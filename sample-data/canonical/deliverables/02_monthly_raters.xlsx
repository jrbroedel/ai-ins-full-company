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 Trend" sheetId="2" state="visible" r:id="rId4"/>
    <sheet name="2025-08" sheetId="3" state="visible" r:id="rId5"/>
    <sheet name="2025-09" sheetId="4" state="visible" r:id="rId6"/>
    <sheet name="2025-10" sheetId="5" state="visible" r:id="rId7"/>
    <sheet name="2025-11" sheetId="6" state="visible" r:id="rId8"/>
    <sheet name="2025-12" sheetId="7" state="visible" r:id="rId9"/>
    <sheet name="2026-01" sheetId="8" state="visible" r:id="rId10"/>
    <sheet name="2026-02" sheetId="9" state="visible" r:id="rId11"/>
    <sheet name="2026-03" sheetId="10" state="visible" r:id="rId12"/>
    <sheet name="2026-04" sheetId="11" state="visible" r:id="rId13"/>
    <sheet name="2026-05" sheetId="12" state="visible" r:id="rId14"/>
    <sheet name="2026-06" sheetId="13" state="visible" r:id="rId15"/>
    <sheet name="2026-07" sheetId="14" state="visible" r:id="rId16"/>
  </sheets>
  <definedNames>
    <definedName function="false" hidden="true" localSheetId="2" name="_xlnm._FilterDatabase" vbProcedure="false">'2025-08'!$A$4:$O$224</definedName>
    <definedName function="false" hidden="true" localSheetId="3" name="_xlnm._FilterDatabase" vbProcedure="false">'2025-09'!$A$4:$O$210</definedName>
    <definedName function="false" hidden="true" localSheetId="4" name="_xlnm._FilterDatabase" vbProcedure="false">'2025-10'!$A$4:$O$255</definedName>
    <definedName function="false" hidden="true" localSheetId="5" name="_xlnm._FilterDatabase" vbProcedure="false">'2025-11'!$A$4:$O$252</definedName>
    <definedName function="false" hidden="true" localSheetId="6" name="_xlnm._FilterDatabase" vbProcedure="false">'2025-12'!$A$4:$O$272</definedName>
    <definedName function="false" hidden="true" localSheetId="7" name="_xlnm._FilterDatabase" vbProcedure="false">'2026-01'!$A$4:$O$273</definedName>
    <definedName function="false" hidden="true" localSheetId="8" name="_xlnm._FilterDatabase" vbProcedure="false">'2026-02'!$A$4:$O$287</definedName>
    <definedName function="false" hidden="true" localSheetId="9" name="_xlnm._FilterDatabase" vbProcedure="false">'2026-03'!$A$4:$O$319</definedName>
    <definedName function="false" hidden="true" localSheetId="10" name="_xlnm._FilterDatabase" vbProcedure="false">'2026-04'!$A$4:$O$289</definedName>
    <definedName function="false" hidden="true" localSheetId="11" name="_xlnm._FilterDatabase" vbProcedure="false">'2026-05'!$A$4:$O$299</definedName>
    <definedName function="false" hidden="true" localSheetId="12" name="_xlnm._FilterDatabase" vbProcedure="false">'2026-06'!$A$4:$O$360</definedName>
    <definedName function="false" hidden="true" localSheetId="13" name="_xlnm._FilterDatabase" vbProcedure="false">'2026-07'!$A$4:$O$308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<sst xmlns="http://schemas.openxmlformats.org/spreadsheetml/2006/main" count="23406" uniqueCount="4884">
  <si>
    <t xml:space="preserve">02 · Monthly Raters (×12)</t>
  </si>
  <si>
    <t xml:space="preserve">Source: canonical_dataset.json (ADR 0043), sha256 965b986a29d24a4c… — verified against canonical_manifest.json. All figures derive read-only from that frozen artifact; no new numbers generated. Column conventions are standard rater/BDX/bordereau layouts (Kent's reference workbooks are not on this VM) — 'middle' fidelity per the build brief.</t>
  </si>
  <si>
    <t xml:space="preserve">Tabs</t>
  </si>
  <si>
    <t xml:space="preserve">Rate Trend + 12 monthly rater tabs</t>
  </si>
  <si>
    <t xml:space="preserve">Rate formula</t>
  </si>
  <si>
    <t xml:space="preserve">Premium = ROUND(AV/100 × BaseRate × Territory × Softening ÷ Gross-Up, 2)</t>
  </si>
  <si>
    <t xml:space="preserve">Trend (artifact)</t>
  </si>
  <si>
    <t xml:space="preserve">M1 $11,144.28 → M12 $8,530.72 (−23.5%)</t>
  </si>
  <si>
    <t xml:space="preserve">Δ column</t>
  </si>
  <si>
    <t xml:space="preserve">Artifact premium − calc; within $0.01 (generator intermediate rounding).</t>
  </si>
  <si>
    <t xml:space="preserve">Declining Rate Trend (12 months)</t>
  </si>
  <si>
    <t xml:space="preserve">Avg BOUND premium and softening index per month — pulled live from each month tab. The downward trend is the core story.</t>
  </si>
  <si>
    <t xml:space="preserve">Month</t>
  </si>
  <si>
    <t xml:space="preserve">Month #</t>
  </si>
  <si>
    <t xml:space="preserve">Softening Index</t>
  </si>
  <si>
    <t xml:space="preserve">Avg Bound Premium</t>
  </si>
  <si>
    <t xml:space="preserve">% vs Month 1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</si>
  <si>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</si>
  <si>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</si>
  <si>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</si>
  <si>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</si>
  <si>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</si>
  <si>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</si>
  <si>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</si>
  <si>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</si>
  <si>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</si>
  <si>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</si>
  <si>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</si>
  <si>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</si>
  <si>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Month 1 → Month 12 change</t>
  </si>
  <si>
    <t xml:space="preserve">Monthly Rater — 2025-08  (Month 1 of 12)</t>
  </si>
  <si>
    <t xml:space="preserve">Softening index 1.0000. Rated Premium = ROUND(AgreedValue/100 × BaseRate × Territory × Softening ÷ Gross-Up, 2); ties to artifact premium within $0.01 (generator rounding).</t>
  </si>
  <si>
    <t xml:space="preserve">Submitted Date</t>
  </si>
  <si>
    <t xml:space="preserve">Submission ID</t>
  </si>
  <si>
    <t xml:space="preserve">State</t>
  </si>
  <si>
    <t xml:space="preserve">Vehicle</t>
  </si>
  <si>
    <t xml:space="preserve">Rating Class</t>
  </si>
  <si>
    <t xml:space="preserve">Agreed Value</t>
  </si>
  <si>
    <t xml:space="preserve">Base Rate /100</t>
  </si>
  <si>
    <t xml:space="preserve">Territory Factor</t>
  </si>
  <si>
    <t xml:space="preserve">Gross-Up Divisor</t>
  </si>
  <si>
    <t xml:space="preserve">Rated Premium (calc)</t>
  </si>
  <si>
    <t xml:space="preserve">Premium — Artifact</t>
  </si>
  <si>
    <t xml:space="preserve">Δ</t>
  </si>
  <si>
    <t xml:space="preserve">Disposition</t>
  </si>
  <si>
    <t xml:space="preserve">Premium Kind</t>
  </si>
  <si>
    <t xml:space="preserve">2025-08-06</t>
  </si>
  <si>
    <t xml:space="preserve">0ea7c067-d4c2-5377-b5ac-ecb565ffd81b</t>
  </si>
  <si>
    <t xml:space="preserve">NY</t>
  </si>
  <si>
    <t xml:space="preserve">2017 Lamborghini Huracan EVO</t>
  </si>
  <si>
    <t xml:space="preserve">03 Supercar</t>
  </si>
  <si>
    <t xml:space="preserve">decline</t>
  </si>
  <si>
    <t xml:space="preserve">indicative</t>
  </si>
  <si>
    <t xml:space="preserve">2025-08-16</t>
  </si>
  <si>
    <t xml:space="preserve">1162aae1-581f-52a4-9f0d-8820df4451f5</t>
  </si>
  <si>
    <t xml:space="preserve">1989 BMW M8 Competition</t>
  </si>
  <si>
    <t xml:space="preserve">01 Luxury Sedan/SUV</t>
  </si>
  <si>
    <t xml:space="preserve">2025-08-20</t>
  </si>
  <si>
    <t xml:space="preserve">0dcf39f4-c180-51ad-8832-49d0d58545a4</t>
  </si>
  <si>
    <t xml:space="preserve">KS</t>
  </si>
  <si>
    <t xml:space="preserve">1984 Porsche 911 Turbo S</t>
  </si>
  <si>
    <t xml:space="preserve">bind</t>
  </si>
  <si>
    <t xml:space="preserve">bound</t>
  </si>
  <si>
    <t xml:space="preserve">a5ffe391-ee0a-53c4-bfac-5716daac59a2</t>
  </si>
  <si>
    <t xml:space="preserve">NV</t>
  </si>
  <si>
    <t xml:space="preserve">1957 Ferrari 296 GTB</t>
  </si>
  <si>
    <t xml:space="preserve">2025-08-29</t>
  </si>
  <si>
    <t xml:space="preserve">e8bb63ec-2a71-536e-afc0-593b77311565</t>
  </si>
  <si>
    <t xml:space="preserve">AR</t>
  </si>
  <si>
    <t xml:space="preserve">1993 Ferrari 296 GTB</t>
  </si>
  <si>
    <t xml:space="preserve">refer</t>
  </si>
  <si>
    <t xml:space="preserve">2025-08-27</t>
  </si>
  <si>
    <t xml:space="preserve">919a344c-9f4c-550c-9e45-9d221631aa27</t>
  </si>
  <si>
    <t xml:space="preserve">1972 Jaguar E-Type Series 1</t>
  </si>
  <si>
    <t xml:space="preserve">07 Post-War Classic (1946-1972)</t>
  </si>
  <si>
    <t xml:space="preserve">2025-08-28</t>
  </si>
  <si>
    <t xml:space="preserve">c4584877-1549-50d0-80c8-56289bb0af1b</t>
  </si>
  <si>
    <t xml:space="preserve">FL</t>
  </si>
  <si>
    <t xml:space="preserve">1994 Maserati GranTurismo</t>
  </si>
  <si>
    <t xml:space="preserve">2025-08-10</t>
  </si>
  <si>
    <t xml:space="preserve">c1a9b768-ca81-5ff9-92af-d6ea53820cf9</t>
  </si>
  <si>
    <t xml:space="preserve">AL</t>
  </si>
  <si>
    <t xml:space="preserve">1998 Ferrari 296 GTB</t>
  </si>
  <si>
    <t xml:space="preserve">2025-08-01</t>
  </si>
  <si>
    <t xml:space="preserve">3cd8e5c7-8c26-52df-a8fa-1e7bdf20f509</t>
  </si>
  <si>
    <t xml:space="preserve">NM</t>
  </si>
  <si>
    <t xml:space="preserve">2020 Ferrari 296 GTB</t>
  </si>
  <si>
    <t xml:space="preserve">2025-08-14</t>
  </si>
  <si>
    <t xml:space="preserve">0aabade3-5a1c-5016-8cb5-d1e56f469519</t>
  </si>
  <si>
    <t xml:space="preserve">CA</t>
  </si>
  <si>
    <t xml:space="preserve">1995 McLaren 750S</t>
  </si>
  <si>
    <t xml:space="preserve">2025-08-05</t>
  </si>
  <si>
    <t xml:space="preserve">382fe6a0-dd32-5c97-bba7-c68ebe504a93</t>
  </si>
  <si>
    <t xml:space="preserve">OH</t>
  </si>
  <si>
    <t xml:space="preserve">2004 Ferrari 296 GTB</t>
  </si>
  <si>
    <t xml:space="preserve">2025-08-30</t>
  </si>
  <si>
    <t xml:space="preserve">bd2d76c3-a217-5819-8155-02506745e701</t>
  </si>
  <si>
    <t xml:space="preserve">2022 Maserati GranTurismo</t>
  </si>
  <si>
    <t xml:space="preserve">2025-08-15</t>
  </si>
  <si>
    <t xml:space="preserve">12d27b5e-6b73-576e-9a9b-7af0bd1a0af7</t>
  </si>
  <si>
    <t xml:space="preserve">1959 Aston Martin DB12</t>
  </si>
  <si>
    <t xml:space="preserve">2025-08-07</t>
  </si>
  <si>
    <t xml:space="preserve">0476df79-aa1d-51ab-ae44-3d1e540a6a6d</t>
  </si>
  <si>
    <t xml:space="preserve">1960 Ferrari 296 GTB</t>
  </si>
  <si>
    <t xml:space="preserve">d800d5ee-d72c-5bcf-aa4b-0187374afaf6</t>
  </si>
  <si>
    <t xml:space="preserve">ID</t>
  </si>
  <si>
    <t xml:space="preserve">2022 Ferrari 296 GTB</t>
  </si>
  <si>
    <t xml:space="preserve">ba332053-c275-5d99-b4df-ef3042d71b5d</t>
  </si>
  <si>
    <t xml:space="preserve">MT</t>
  </si>
  <si>
    <t xml:space="preserve">1975 McLaren 750S</t>
  </si>
  <si>
    <t xml:space="preserve">2025-08-26</t>
  </si>
  <si>
    <t xml:space="preserve">402e1afa-bce0-5fd5-8c6a-9a9ebdf896ff</t>
  </si>
  <si>
    <t xml:space="preserve">1987 Maserati GranTurismo</t>
  </si>
  <si>
    <t xml:space="preserve">bf5723ef-efce-525f-badf-a5b92ac8956c</t>
  </si>
  <si>
    <t xml:space="preserve">IL</t>
  </si>
  <si>
    <t xml:space="preserve">1999 Mercedes-Benz AMG GT</t>
  </si>
  <si>
    <t xml:space="preserve">1fa555ca-b3c2-57f0-bd9e-db1c07590ba8</t>
  </si>
  <si>
    <t xml:space="preserve">NJ</t>
  </si>
  <si>
    <t xml:space="preserve">1958 Porsche 911 Turbo S</t>
  </si>
  <si>
    <t xml:space="preserve">bec0324e-3dfb-5ca0-aa63-7a75e0c2129e</t>
  </si>
  <si>
    <t xml:space="preserve">NC</t>
  </si>
  <si>
    <t xml:space="preserve">2000 McLaren 750S</t>
  </si>
  <si>
    <t xml:space="preserve">617075c4-06ab-5adb-a627-819ccbafa018</t>
  </si>
  <si>
    <t xml:space="preserve">1962 McLaren 750S</t>
  </si>
  <si>
    <t xml:space="preserve">e46ce3bb-3d42-56fa-98f3-19ec2faa7f75</t>
  </si>
  <si>
    <t xml:space="preserve">2001 McLaren 750S</t>
  </si>
  <si>
    <t xml:space="preserve">2025-08-13</t>
  </si>
  <si>
    <t xml:space="preserve">ed9af04b-b268-5cbe-bc7b-404c7e670046</t>
  </si>
  <si>
    <t xml:space="preserve">DE</t>
  </si>
  <si>
    <t xml:space="preserve">1975 Mercedes-Benz AMG GT</t>
  </si>
  <si>
    <t xml:space="preserve">5cd342ba-e26e-547f-b36f-a106a8bc585a</t>
  </si>
  <si>
    <t xml:space="preserve">MD</t>
  </si>
  <si>
    <t xml:space="preserve">2009 Alfa Romeo 8C 2900</t>
  </si>
  <si>
    <t xml:space="preserve">06 Vintage Pre-War (pre-1946)</t>
  </si>
  <si>
    <t xml:space="preserve">2025-08-21</t>
  </si>
  <si>
    <t xml:space="preserve">6c798881-4b52-59f3-9741-82c2cb0fc497</t>
  </si>
  <si>
    <t xml:space="preserve">MN</t>
  </si>
  <si>
    <t xml:space="preserve">1970 Maserati GranTurismo</t>
  </si>
  <si>
    <t xml:space="preserve">1da5aee8-6a8a-5b2c-8de5-f9d20aa9c4d4</t>
  </si>
  <si>
    <t xml:space="preserve">IN</t>
  </si>
  <si>
    <t xml:space="preserve">2013 Mercedes-Benz 280SL Pagoda</t>
  </si>
  <si>
    <t xml:space="preserve">ceb70c0f-33e3-5866-9262-e227884e1ce4</t>
  </si>
  <si>
    <t xml:space="preserve">VT</t>
  </si>
  <si>
    <t xml:space="preserve">1970 Aston Martin DB12</t>
  </si>
  <si>
    <t xml:space="preserve">ae5298c5-6eb8-570e-9bd7-aa8143fb8b37</t>
  </si>
  <si>
    <t xml:space="preserve">WA</t>
  </si>
  <si>
    <t xml:space="preserve">2012 Bentley Continental GT</t>
  </si>
  <si>
    <t xml:space="preserve">2025-08-17</t>
  </si>
  <si>
    <t xml:space="preserve">51e493c7-2bf0-5a6a-9d1a-358cc11a7a9e</t>
  </si>
  <si>
    <t xml:space="preserve">1979 Aston Martin DB5</t>
  </si>
  <si>
    <t xml:space="preserve">2025-08-23</t>
  </si>
  <si>
    <t xml:space="preserve">7903074c-26fa-5abe-84f4-896a7d5c6a3b</t>
  </si>
  <si>
    <t xml:space="preserve">PA</t>
  </si>
  <si>
    <t xml:space="preserve">1975 Aston Martin DB12</t>
  </si>
  <si>
    <t xml:space="preserve">2025-08-12</t>
  </si>
  <si>
    <t xml:space="preserve">b8a442c8-4deb-5ea5-9506-fcc22d222c48</t>
  </si>
  <si>
    <t xml:space="preserve">1978 Ringbrothers Mustang</t>
  </si>
  <si>
    <t xml:space="preserve">11 Restomod/Coachbuilt</t>
  </si>
  <si>
    <t xml:space="preserve">12b2d268-ef1f-5976-8ac4-c828f648ac98</t>
  </si>
  <si>
    <t xml:space="preserve">TX</t>
  </si>
  <si>
    <t xml:space="preserve">1956 McLaren 750S</t>
  </si>
  <si>
    <t xml:space="preserve">ea789573-4a37-58de-8dbd-7207192d2696</t>
  </si>
  <si>
    <t xml:space="preserve">1985 Mercedes-Benz 280SL Pagoda</t>
  </si>
  <si>
    <t xml:space="preserve">2025-08-22</t>
  </si>
  <si>
    <t xml:space="preserve">0bc4b416-e447-503f-8865-cb0020b32334</t>
  </si>
  <si>
    <t xml:space="preserve">2013 Porsche 911 Turbo S</t>
  </si>
  <si>
    <t xml:space="preserve">93a09ab1-2f51-5564-8536-02033eb67027</t>
  </si>
  <si>
    <t xml:space="preserve">2000 Mercedes-Benz 280SL Pagoda</t>
  </si>
  <si>
    <t xml:space="preserve">bd282599-f2ad-5410-842c-c79e7ca2b441</t>
  </si>
  <si>
    <t xml:space="preserve">WY</t>
  </si>
  <si>
    <t xml:space="preserve">2017 Bentley Continental GT</t>
  </si>
  <si>
    <t xml:space="preserve">07b1c314-23c4-581e-9c81-84b3c7a8a116</t>
  </si>
  <si>
    <t xml:space="preserve">1977 Ringbrothers Mustang</t>
  </si>
  <si>
    <t xml:space="preserve">851367ae-5149-5676-a5b7-b0b11a1f60e5</t>
  </si>
  <si>
    <t xml:space="preserve">MI</t>
  </si>
  <si>
    <t xml:space="preserve">1988 Bentley 4.5 Litre</t>
  </si>
  <si>
    <t xml:space="preserve">2025-08-08</t>
  </si>
  <si>
    <t xml:space="preserve">e8593e7e-1910-5489-9bb0-65b5a45e363a</t>
  </si>
  <si>
    <t xml:space="preserve">1973 Aston Martin DB12</t>
  </si>
  <si>
    <t xml:space="preserve">ddd22d30-b06a-5cff-bd36-9416cb99875f</t>
  </si>
  <si>
    <t xml:space="preserve">2001 Aston Martin DB12</t>
  </si>
  <si>
    <t xml:space="preserve">627a2d1e-d03e-5e39-8ff8-01ed803b4ac3</t>
  </si>
  <si>
    <t xml:space="preserve">1989 Maserati GranTurismo</t>
  </si>
  <si>
    <t xml:space="preserve">6b6f29a6-14ee-5300-bae1-49b7c6a0f658</t>
  </si>
  <si>
    <t xml:space="preserve">ND</t>
  </si>
  <si>
    <t xml:space="preserve">10a52128-b095-5afd-b9c3-942c2edcad3f</t>
  </si>
  <si>
    <t xml:space="preserve">1995 Porsche 911 Turbo S</t>
  </si>
  <si>
    <t xml:space="preserve">54782119-cb1a-5dd2-b0d0-dc4faf18df0f</t>
  </si>
  <si>
    <t xml:space="preserve">UT</t>
  </si>
  <si>
    <t xml:space="preserve">1965 McLaren 750S</t>
  </si>
  <si>
    <t xml:space="preserve">2025-08-19</t>
  </si>
  <si>
    <t xml:space="preserve">0cdd9363-8d9a-53a4-8374-36ff5bd852c4</t>
  </si>
  <si>
    <t xml:space="preserve">fb7ad795-578b-5efb-827a-de10c3a58d17</t>
  </si>
  <si>
    <t xml:space="preserve">MA</t>
  </si>
  <si>
    <t xml:space="preserve">1998 Mercedes-Benz AMG GT</t>
  </si>
  <si>
    <t xml:space="preserve">f87747bc-0280-523a-a6a1-4f364078bd25</t>
  </si>
  <si>
    <t xml:space="preserve">NH</t>
  </si>
  <si>
    <t xml:space="preserve">1965 Mercedes-Benz 280SL Pagoda</t>
  </si>
  <si>
    <t xml:space="preserve">df0a97d2-815d-50ce-874b-b735446b4a33</t>
  </si>
  <si>
    <t xml:space="preserve">2004 Porsche 911 Turbo S</t>
  </si>
  <si>
    <t xml:space="preserve">2025-08-03</t>
  </si>
  <si>
    <t xml:space="preserve">dd6be3ca-804a-59e3-8dee-33b14a5b2458</t>
  </si>
  <si>
    <t xml:space="preserve">1983 Ferrari 296 GTB</t>
  </si>
  <si>
    <t xml:space="preserve">039e0ea1-44cf-5cac-9c79-c6e7e4482200</t>
  </si>
  <si>
    <t xml:space="preserve">1965 Ferrari 275 GTB/4</t>
  </si>
  <si>
    <t xml:space="preserve">7afc7cb7-651c-5e17-812a-75caac2108cd</t>
  </si>
  <si>
    <t xml:space="preserve">2001 Aston Martin DB5</t>
  </si>
  <si>
    <t xml:space="preserve">3d21edc5-b156-5eb6-9a7b-334dab11a8d2</t>
  </si>
  <si>
    <t xml:space="preserve">1958 Bentley Continental GT</t>
  </si>
  <si>
    <t xml:space="preserve">9738da74-bda0-523b-a237-94acd543bba4</t>
  </si>
  <si>
    <t xml:space="preserve">LA</t>
  </si>
  <si>
    <t xml:space="preserve">1972 Ferrari SF90 Stradale</t>
  </si>
  <si>
    <t xml:space="preserve">58a08001-90ab-531f-aeab-a8cf688ca731</t>
  </si>
  <si>
    <t xml:space="preserve">1970 Singer 911 Reimagined</t>
  </si>
  <si>
    <t xml:space="preserve">ff057640-07a6-5f26-9981-7297d1dbaf68</t>
  </si>
  <si>
    <t xml:space="preserve">1962 Porsche 911 Turbo S</t>
  </si>
  <si>
    <t xml:space="preserve">3703f5d7-a1b4-50b6-b082-b85eb87ddd98</t>
  </si>
  <si>
    <t xml:space="preserve">NE</t>
  </si>
  <si>
    <t xml:space="preserve">1991 Mercedes-Benz AMG GT</t>
  </si>
  <si>
    <t xml:space="preserve">7137ea8c-25d8-512e-9008-40ef5cba96c5</t>
  </si>
  <si>
    <t xml:space="preserve">AZ</t>
  </si>
  <si>
    <t xml:space="preserve">1956 Ferrari 296 GTB</t>
  </si>
  <si>
    <t xml:space="preserve">2025-08-09</t>
  </si>
  <si>
    <t xml:space="preserve">757e854a-c228-56ef-8920-540efccc8444</t>
  </si>
  <si>
    <t xml:space="preserve">CO</t>
  </si>
  <si>
    <t xml:space="preserve">1959 Mercedes-Benz AMG GT</t>
  </si>
  <si>
    <t xml:space="preserve">2025-08-11</t>
  </si>
  <si>
    <t xml:space="preserve">730dded5-75ea-5c1a-9fd0-28fd9ce1e788</t>
  </si>
  <si>
    <t xml:space="preserve">1979 Ferrari 275 GTB/4</t>
  </si>
  <si>
    <t xml:space="preserve">493bbb42-9030-5713-86a0-99c26f76f4d9</t>
  </si>
  <si>
    <t xml:space="preserve">VA</t>
  </si>
  <si>
    <t xml:space="preserve">1958 BMW M8 Competition</t>
  </si>
  <si>
    <t xml:space="preserve">94a2cf38-5f38-5321-bcce-7b6a2421c8c1</t>
  </si>
  <si>
    <t xml:space="preserve">2021 Ferrari SF90 Stradale</t>
  </si>
  <si>
    <t xml:space="preserve">5f697fb7-695d-5d5a-88e5-b8372e4a5dcf</t>
  </si>
  <si>
    <t xml:space="preserve">2003 BMW M8 Competition</t>
  </si>
  <si>
    <t xml:space="preserve">0e23beb3-b73f-5d43-8b7f-520086ada6e8</t>
  </si>
  <si>
    <t xml:space="preserve">WV</t>
  </si>
  <si>
    <t xml:space="preserve">1984 BMW M8 Competition</t>
  </si>
  <si>
    <t xml:space="preserve">7c1c6f67-202c-528b-b2e8-b20df6bbfee8</t>
  </si>
  <si>
    <t xml:space="preserve">1965 Maserati GranTurismo</t>
  </si>
  <si>
    <t xml:space="preserve">2025-08-25</t>
  </si>
  <si>
    <t xml:space="preserve">cfce0d9f-00de-5384-89d5-32b8b2dd6231</t>
  </si>
  <si>
    <t xml:space="preserve">AK</t>
  </si>
  <si>
    <t xml:space="preserve">1982 Jaguar E-Type Series 1</t>
  </si>
  <si>
    <t xml:space="preserve">06d2d4f5-583d-5802-96b2-0bac5d867ad5</t>
  </si>
  <si>
    <t xml:space="preserve">1970 Jaguar E-Type Series 1</t>
  </si>
  <si>
    <t xml:space="preserve">2025-08-04</t>
  </si>
  <si>
    <t xml:space="preserve">ba40457d-d718-5183-a282-a82283401981</t>
  </si>
  <si>
    <t xml:space="preserve">2bcb7153-d52f-5a3a-bdeb-eb998363a264</t>
  </si>
  <si>
    <t xml:space="preserve">1976 Mercedes-Benz AMG GT</t>
  </si>
  <si>
    <t xml:space="preserve">0eb49063-cb2c-518f-b58f-2e4fdf2ade17</t>
  </si>
  <si>
    <t xml:space="preserve">1988 Jaguar E-Type Series 1</t>
  </si>
  <si>
    <t xml:space="preserve">1f9ff573-dc43-504d-a710-33b39a7ccf27</t>
  </si>
  <si>
    <t xml:space="preserve">1962 Bugatti Type 57</t>
  </si>
  <si>
    <t xml:space="preserve">6d8f4599-9f74-5c18-89fd-716a6b4fc33a</t>
  </si>
  <si>
    <t xml:space="preserve">1993 BMW M8 Competition</t>
  </si>
  <si>
    <t xml:space="preserve">022e5d96-b7b9-557a-ab6f-6486a3159bcf</t>
  </si>
  <si>
    <t xml:space="preserve">1964 Bentley Continental GT</t>
  </si>
  <si>
    <t xml:space="preserve">a0b9fd7b-629a-5275-a928-c2b47f1f4c9c</t>
  </si>
  <si>
    <t xml:space="preserve">2009 Porsche 911 Turbo S</t>
  </si>
  <si>
    <t xml:space="preserve">3adb89ef-f469-578a-befa-743e97e0755f</t>
  </si>
  <si>
    <t xml:space="preserve">1995 Icon Derelict</t>
  </si>
  <si>
    <t xml:space="preserve">0387ed8d-4cbb-5a70-acd2-78fcbebca2e4</t>
  </si>
  <si>
    <t xml:space="preserve">1961 Ferrari 275 GTB/4</t>
  </si>
  <si>
    <t xml:space="preserve">3e26f3fd-d004-5dbf-b726-b3f8622e29b4</t>
  </si>
  <si>
    <t xml:space="preserve">IA</t>
  </si>
  <si>
    <t xml:space="preserve">1957 BMW M8 Competition</t>
  </si>
  <si>
    <t xml:space="preserve">2025-08-24</t>
  </si>
  <si>
    <t xml:space="preserve">acd1d338-8346-5160-a09b-b3819c746704</t>
  </si>
  <si>
    <t xml:space="preserve">2001 Maserati GranTurismo</t>
  </si>
  <si>
    <t xml:space="preserve">535e6442-032a-54ac-9208-b0063b785b67</t>
  </si>
  <si>
    <t xml:space="preserve">811a0077-f1fa-5af6-95f5-bd51c67638eb</t>
  </si>
  <si>
    <t xml:space="preserve">2004 Mercedes-Benz 280SL Pagoda</t>
  </si>
  <si>
    <t xml:space="preserve">ea73c3bc-97d9-5357-a369-6cf23ba71ab6</t>
  </si>
  <si>
    <t xml:space="preserve">MS</t>
  </si>
  <si>
    <t xml:space="preserve">1994 Mercedes-Benz AMG GT</t>
  </si>
  <si>
    <t xml:space="preserve">06c4d411-83a6-57ef-a342-5f4893118523</t>
  </si>
  <si>
    <t xml:space="preserve">TN</t>
  </si>
  <si>
    <t xml:space="preserve">1989 McLaren 750S</t>
  </si>
  <si>
    <t xml:space="preserve">d7108339-03a3-5b6c-bbd0-4d9868f82100</t>
  </si>
  <si>
    <t xml:space="preserve">1985 Porsche 911 Turbo S</t>
  </si>
  <si>
    <t xml:space="preserve">b4c9fae0-c80e-5194-b3f9-17d9b1823ff6</t>
  </si>
  <si>
    <t xml:space="preserve">2019 Aston Martin DB12</t>
  </si>
  <si>
    <t xml:space="preserve">67038a4c-c0e1-5c7c-8a0b-213811333875</t>
  </si>
  <si>
    <t xml:space="preserve">2021 Aston Martin DB12</t>
  </si>
  <si>
    <t xml:space="preserve">98938b52-185c-5ef1-baf0-ae36d95a03bf</t>
  </si>
  <si>
    <t xml:space="preserve">2018 Bentley Continental GT</t>
  </si>
  <si>
    <t xml:space="preserve">dde23472-6199-5863-be3b-29862118ab8f</t>
  </si>
  <si>
    <t xml:space="preserve">1984 Bentley Continental GT</t>
  </si>
  <si>
    <t xml:space="preserve">9e6d4e00-7260-57b8-be97-10ba14195a64</t>
  </si>
  <si>
    <t xml:space="preserve">1999 Ferrari SF90 Stradale</t>
  </si>
  <si>
    <t xml:space="preserve">a2cc51b4-0c63-56d7-831b-5a6e71a64af9</t>
  </si>
  <si>
    <t xml:space="preserve">1961 Porsche 911 Turbo S</t>
  </si>
  <si>
    <t xml:space="preserve">401c4b05-ab42-5247-aecf-aa313b1e5ab5</t>
  </si>
  <si>
    <t xml:space="preserve">WI</t>
  </si>
  <si>
    <t xml:space="preserve">2004 Ferrari 275 GTB/4</t>
  </si>
  <si>
    <t xml:space="preserve">91597cd7-3352-59c7-924c-c520382822c0</t>
  </si>
  <si>
    <t xml:space="preserve">1965 Bentley Continental GT</t>
  </si>
  <si>
    <t xml:space="preserve">2c14d9b2-c9ff-563f-ae47-4f3e30a26c8c</t>
  </si>
  <si>
    <t xml:space="preserve">SD</t>
  </si>
  <si>
    <t xml:space="preserve">1962 Aston Martin DB5</t>
  </si>
  <si>
    <t xml:space="preserve">9b225c04-42ff-5d79-868a-82cf58496283</t>
  </si>
  <si>
    <t xml:space="preserve">1970 Porsche 911 Turbo S</t>
  </si>
  <si>
    <t xml:space="preserve">da9b69d8-6516-537d-b584-32ebf47efdf9</t>
  </si>
  <si>
    <t xml:space="preserve">CT</t>
  </si>
  <si>
    <t xml:space="preserve">1999 BMW M8 Competition</t>
  </si>
  <si>
    <t xml:space="preserve">2fece569-c75f-5efa-beb3-83fa2078902a</t>
  </si>
  <si>
    <t xml:space="preserve">2000 Ferrari SF90 Stradale</t>
  </si>
  <si>
    <t xml:space="preserve">2025-08-31</t>
  </si>
  <si>
    <t xml:space="preserve">efef8f36-79af-5043-b094-a4688f26997e</t>
  </si>
  <si>
    <t xml:space="preserve">MO</t>
  </si>
  <si>
    <t xml:space="preserve">2001 BMW M8 Competition</t>
  </si>
  <si>
    <t xml:space="preserve">6515ada9-3eda-5d59-a149-a7bf5174b4d8</t>
  </si>
  <si>
    <t xml:space="preserve">2016 Mercedes-Benz AMG GT</t>
  </si>
  <si>
    <t xml:space="preserve">ae3ac25e-2e3f-56aa-acc3-14e98c7d519c</t>
  </si>
  <si>
    <t xml:space="preserve">1994 McLaren 750S</t>
  </si>
  <si>
    <t xml:space="preserve">7f00e293-ff37-52bd-8597-9b3911042e48</t>
  </si>
  <si>
    <t xml:space="preserve">2005 Porsche 911 Turbo S</t>
  </si>
  <si>
    <t xml:space="preserve">f5ece77e-7d79-5216-b793-5fa8842292a9</t>
  </si>
  <si>
    <t xml:space="preserve">1965 Ringbrothers Mustang</t>
  </si>
  <si>
    <t xml:space="preserve">08345bd4-04bb-5fd8-8a9c-789a8fbe2cc6</t>
  </si>
  <si>
    <t xml:space="preserve">2010 Mercedes-Benz AMG GT</t>
  </si>
  <si>
    <t xml:space="preserve">a681f65e-b8de-50b0-8640-d8c2fce812d5</t>
  </si>
  <si>
    <t xml:space="preserve">1987 Aston Martin DB12</t>
  </si>
  <si>
    <t xml:space="preserve">09d08907-4ab6-5a48-a68d-ec10085f1051</t>
  </si>
  <si>
    <t xml:space="preserve">GA</t>
  </si>
  <si>
    <t xml:space="preserve">2015 Maserati GranTurismo</t>
  </si>
  <si>
    <t xml:space="preserve">c152de08-ba92-5209-90e4-af0e032007c5</t>
  </si>
  <si>
    <t xml:space="preserve">2005 Bentley 4.5 Litre</t>
  </si>
  <si>
    <t xml:space="preserve">caa96093-e51e-56f8-b3b2-6d113681fba1</t>
  </si>
  <si>
    <t xml:space="preserve">1985 Bentley Continental GT</t>
  </si>
  <si>
    <t xml:space="preserve">2025-08-02</t>
  </si>
  <si>
    <t xml:space="preserve">0b2d2a4b-48ca-5a96-9090-1389b7ec535e</t>
  </si>
  <si>
    <t xml:space="preserve">2011 Lamborghini Huracan EVO</t>
  </si>
  <si>
    <t xml:space="preserve">3bf41522-36da-516a-8eda-1f550b83550e</t>
  </si>
  <si>
    <t xml:space="preserve">2017 Ferrari 296 GTB</t>
  </si>
  <si>
    <t xml:space="preserve">bff110f3-b62b-51ce-af70-d01194878fa6</t>
  </si>
  <si>
    <t xml:space="preserve">1957 Aston Martin DB12</t>
  </si>
  <si>
    <t xml:space="preserve">95d39904-88fc-55ce-a722-ed1b4d565d92</t>
  </si>
  <si>
    <t xml:space="preserve">1977 Lamborghini Huracan EVO</t>
  </si>
  <si>
    <t xml:space="preserve">2a997d2f-a93c-550a-a894-019f2632a11a</t>
  </si>
  <si>
    <t xml:space="preserve">1977 Porsche 911 Turbo S</t>
  </si>
  <si>
    <t xml:space="preserve">dc0f8947-bf66-53e9-b7cb-96c5270a67ec</t>
  </si>
  <si>
    <t xml:space="preserve">1981 Ferrari 296 GTB</t>
  </si>
  <si>
    <t xml:space="preserve">876ac834-c8f7-501a-895d-4ac8ae4e4f67</t>
  </si>
  <si>
    <t xml:space="preserve">1992 Alfa Romeo 8C 2900</t>
  </si>
  <si>
    <t xml:space="preserve">00630f22-4823-57b6-977b-18f14ea6da57</t>
  </si>
  <si>
    <t xml:space="preserve">2004 Lamborghini Huracan EVO</t>
  </si>
  <si>
    <t xml:space="preserve">45265aee-cc21-5981-a255-026ee6b77da3</t>
  </si>
  <si>
    <t xml:space="preserve">1986 Porsche 911 Turbo S</t>
  </si>
  <si>
    <t xml:space="preserve">9258f8f6-d231-5777-8356-6d889137743d</t>
  </si>
  <si>
    <t xml:space="preserve">2017 Mercedes-Benz 280SL Pagoda</t>
  </si>
  <si>
    <t xml:space="preserve">2b1c8322-a6e8-533d-826b-3f32258feb1f</t>
  </si>
  <si>
    <t xml:space="preserve">1959 Maserati GranTurismo</t>
  </si>
  <si>
    <t xml:space="preserve">97f1ab4f-0f83-5977-bb2d-654391e65bbe</t>
  </si>
  <si>
    <t xml:space="preserve">1990 BMW M8 Competition</t>
  </si>
  <si>
    <t xml:space="preserve">cb9ca5c7-8e28-5961-9050-f2668b310c82</t>
  </si>
  <si>
    <t xml:space="preserve">2013 Jaguar E-Type Series 1</t>
  </si>
  <si>
    <t xml:space="preserve">9bb68174-d3e5-54f6-bebe-9b95ef0e2a5b</t>
  </si>
  <si>
    <t xml:space="preserve">1988 Mercedes-Benz AMG GT</t>
  </si>
  <si>
    <t xml:space="preserve">fd6abcd7-5e9b-5c71-991e-a1a2f5b7939f</t>
  </si>
  <si>
    <t xml:space="preserve">1959 Ferrari 275 GTB/4</t>
  </si>
  <si>
    <t xml:space="preserve">3505b838-d6d3-5a18-9f9d-37fd98bd0759</t>
  </si>
  <si>
    <t xml:space="preserve">1972 Porsche 911 Turbo S</t>
  </si>
  <si>
    <t xml:space="preserve">0a29828f-95f6-524a-8bfd-ec209415dd68</t>
  </si>
  <si>
    <t xml:space="preserve">OK</t>
  </si>
  <si>
    <t xml:space="preserve">2002 Porsche 911 Turbo S</t>
  </si>
  <si>
    <t xml:space="preserve">4534ae68-496c-574f-8484-b55f0aa1ad54</t>
  </si>
  <si>
    <t xml:space="preserve">2008 Mercedes-Benz 280SL Pagoda</t>
  </si>
  <si>
    <t xml:space="preserve">522087d6-4dde-5ddd-83f4-c1c1e42e2b1a</t>
  </si>
  <si>
    <t xml:space="preserve">2008 McLaren 750S</t>
  </si>
  <si>
    <t xml:space="preserve">31cf9ca1-e776-5981-bdaf-06861745fa16</t>
  </si>
  <si>
    <t xml:space="preserve">1994 BMW M8 Competition</t>
  </si>
  <si>
    <t xml:space="preserve">d1bb2566-6b2f-5aae-80bf-8f421bbd8266</t>
  </si>
  <si>
    <t xml:space="preserve">f8d9b285-8bd9-536a-b77e-d4daaba90806</t>
  </si>
  <si>
    <t xml:space="preserve">1956 Ferrari 275 GTB/4</t>
  </si>
  <si>
    <t xml:space="preserve">4de40237-7815-5a44-9ef3-e5d3660f9420</t>
  </si>
  <si>
    <t xml:space="preserve">2007 Bentley Continental GT</t>
  </si>
  <si>
    <t xml:space="preserve">d88aeee0-8fa4-5826-b211-9f5bcac0e344</t>
  </si>
  <si>
    <t xml:space="preserve">4c7fbba1-272f-54e1-9abe-24a649f09bac</t>
  </si>
  <si>
    <t xml:space="preserve">1962 Ferrari 275 GTB/4</t>
  </si>
  <si>
    <t xml:space="preserve">6457a733-33a5-51e6-be4c-8965e5247f39</t>
  </si>
  <si>
    <t xml:space="preserve">1966 McLaren 750S</t>
  </si>
  <si>
    <t xml:space="preserve">b319b4b6-3e4a-5bbc-89e0-4c6111151abe</t>
  </si>
  <si>
    <t xml:space="preserve">1993 Maserati GranTurismo</t>
  </si>
  <si>
    <t xml:space="preserve">9160d2c1-3707-5ab5-8724-349fa70b9f76</t>
  </si>
  <si>
    <t xml:space="preserve">1995 Lamborghini Huracan EVO</t>
  </si>
  <si>
    <t xml:space="preserve">2381a54b-54e6-59c5-9cf8-be4c9c022bdb</t>
  </si>
  <si>
    <t xml:space="preserve">2006 Lamborghini Huracan EVO</t>
  </si>
  <si>
    <t xml:space="preserve">f32863c2-c16a-5853-b686-25a1cdfa1ce0</t>
  </si>
  <si>
    <t xml:space="preserve">1975 Jaguar E-Type Series 1</t>
  </si>
  <si>
    <t xml:space="preserve">b7179df0-5cff-5ab9-a095-c44550acb318</t>
  </si>
  <si>
    <t xml:space="preserve">1966 Ferrari SF90 Stradale</t>
  </si>
  <si>
    <t xml:space="preserve">8e9c9657-1467-5f11-9ed5-b8f130536de2</t>
  </si>
  <si>
    <t xml:space="preserve">8ada3364-1067-52a0-943a-48339bebe63a</t>
  </si>
  <si>
    <t xml:space="preserve">2008 Bentley Continental GT</t>
  </si>
  <si>
    <t xml:space="preserve">4eacfd37-0d6e-5aa6-a3be-ee36a3b9255a</t>
  </si>
  <si>
    <t xml:space="preserve">1955 Maserati GranTurismo</t>
  </si>
  <si>
    <t xml:space="preserve">0dd5ec80-cdaf-500a-94cc-abe1d5b6bb77</t>
  </si>
  <si>
    <t xml:space="preserve">1982 BMW M8 Competition</t>
  </si>
  <si>
    <t xml:space="preserve">d0a46c9c-dab8-5343-aafd-373a79f584a2</t>
  </si>
  <si>
    <t xml:space="preserve">1993 Porsche 911 Turbo S</t>
  </si>
  <si>
    <t xml:space="preserve">61e1b9f0-0117-5aea-9aad-fa5f81381679</t>
  </si>
  <si>
    <t xml:space="preserve">e18c96eb-fa60-5390-8453-1ce2b6ef8188</t>
  </si>
  <si>
    <t xml:space="preserve">1996 Maserati GranTurismo</t>
  </si>
  <si>
    <t xml:space="preserve">0209dcee-1aeb-5d41-8483-a7fbe8bb228f</t>
  </si>
  <si>
    <t xml:space="preserve">1990 Lamborghini Huracan EVO</t>
  </si>
  <si>
    <t xml:space="preserve">740fbdce-623b-5649-ad3c-ee3a864a9827</t>
  </si>
  <si>
    <t xml:space="preserve">HI</t>
  </si>
  <si>
    <t xml:space="preserve">790e7bdb-0f85-52d7-b29c-4f205891ef7b</t>
  </si>
  <si>
    <t xml:space="preserve">b7bcad6c-899e-5606-9e32-039d24d8996c</t>
  </si>
  <si>
    <t xml:space="preserve">2018 Aston Martin DB5</t>
  </si>
  <si>
    <t xml:space="preserve">203844a6-1ad3-52a9-bb73-b0d11c33d49e</t>
  </si>
  <si>
    <t xml:space="preserve">b85243a5-1ce6-529f-bc1c-279c4d92f77b</t>
  </si>
  <si>
    <t xml:space="preserve">2024 Maserati GranTurismo</t>
  </si>
  <si>
    <t xml:space="preserve">665a13de-57d7-5557-adc6-904dc31442c5</t>
  </si>
  <si>
    <t xml:space="preserve">SC</t>
  </si>
  <si>
    <t xml:space="preserve">58c591c8-e578-5f4d-a334-e403d5006fab</t>
  </si>
  <si>
    <t xml:space="preserve">1997 Aston Martin DB12</t>
  </si>
  <si>
    <t xml:space="preserve">68d0b5c9-eb57-539f-96f9-c725d44e0d2c</t>
  </si>
  <si>
    <t xml:space="preserve">1999 Maserati GranTurismo</t>
  </si>
  <si>
    <t xml:space="preserve">752da444-7a20-5e5b-ae49-396aef555a88</t>
  </si>
  <si>
    <t xml:space="preserve">1990 Porsche 911 Turbo S</t>
  </si>
  <si>
    <t xml:space="preserve">d8de1150-ee1e-5cb3-b71d-cd6c45b40e49</t>
  </si>
  <si>
    <t xml:space="preserve">2009 Jaguar E-Type Series 1</t>
  </si>
  <si>
    <t xml:space="preserve">4057e987-2e16-5e71-b68d-e88f66ac0a00</t>
  </si>
  <si>
    <t xml:space="preserve">1989 Mercedes-Benz AMG GT</t>
  </si>
  <si>
    <t xml:space="preserve">b6e14759-f293-54bb-9344-9858da5553c7</t>
  </si>
  <si>
    <t xml:space="preserve">2006 Maserati GranTurismo</t>
  </si>
  <si>
    <t xml:space="preserve">f57ed689-376b-52b9-8f92-09ca9cd51ea9</t>
  </si>
  <si>
    <t xml:space="preserve">1973 Mercedes-Benz AMG GT</t>
  </si>
  <si>
    <t xml:space="preserve">8a4d9000-bd52-58f2-9aa5-5589b280b6ac</t>
  </si>
  <si>
    <t xml:space="preserve">2005 Maserati GranTurismo</t>
  </si>
  <si>
    <t xml:space="preserve">1f385d9d-85f2-5879-8b02-43b9aaeefa63</t>
  </si>
  <si>
    <t xml:space="preserve">OR</t>
  </si>
  <si>
    <t xml:space="preserve">1958 Bentley 4.5 Litre</t>
  </si>
  <si>
    <t xml:space="preserve">d24c8199-c8d9-5a31-87ea-603c60f85587</t>
  </si>
  <si>
    <t xml:space="preserve">1983 McLaren 750S</t>
  </si>
  <si>
    <t xml:space="preserve">80bf5000-eb13-57f6-8ca6-cd12afd0153b</t>
  </si>
  <si>
    <t xml:space="preserve">688bd7e9-a612-5bad-a925-491e592431ac</t>
  </si>
  <si>
    <t xml:space="preserve">1969 BMW M8 Competition</t>
  </si>
  <si>
    <t xml:space="preserve">68f3905d-5f70-5e2b-b28f-e9441d4f4677</t>
  </si>
  <si>
    <t xml:space="preserve">1964 Ferrari SF90 Stradale</t>
  </si>
  <si>
    <t xml:space="preserve">6d18e72d-df4f-5716-95c6-83404f3845ef</t>
  </si>
  <si>
    <t xml:space="preserve">2014 Mercedes-Benz AMG GT</t>
  </si>
  <si>
    <t xml:space="preserve">71c66563-d5f2-5258-9ec0-a5b504ec5293</t>
  </si>
  <si>
    <t xml:space="preserve">1976 Maserati GranTurismo</t>
  </si>
  <si>
    <t xml:space="preserve">5d2604fb-5de6-5920-9a72-7e38cd7ea0ca</t>
  </si>
  <si>
    <t xml:space="preserve">2022 Lamborghini Huracan EVO</t>
  </si>
  <si>
    <t xml:space="preserve">38419eba-a146-51a0-b527-e1447724e809</t>
  </si>
  <si>
    <t xml:space="preserve">1972 Ferrari 296 GTB</t>
  </si>
  <si>
    <t xml:space="preserve">3620d348-603e-5d0c-af6e-220ea243fbae</t>
  </si>
  <si>
    <t xml:space="preserve">2011 Maserati GranTurismo</t>
  </si>
  <si>
    <t xml:space="preserve">3ed36292-d74e-5e3c-a592-bf60093d30b9</t>
  </si>
  <si>
    <t xml:space="preserve">2004 Jaguar E-Type Series 1</t>
  </si>
  <si>
    <t xml:space="preserve">7c9e47e5-604f-5e6d-b301-4d9169d66e52</t>
  </si>
  <si>
    <t xml:space="preserve">1962 Bentley Continental GT</t>
  </si>
  <si>
    <t xml:space="preserve">b52b22ea-2cd0-5d7a-bbd0-8ee9a384eb73</t>
  </si>
  <si>
    <t xml:space="preserve">354e6dd5-fe62-54f8-97b2-1ad3129425ce</t>
  </si>
  <si>
    <t xml:space="preserve">2005 Mercedes-Benz AMG GT</t>
  </si>
  <si>
    <t xml:space="preserve">fe9ab552-3f8e-58af-aa99-267726abc065</t>
  </si>
  <si>
    <t xml:space="preserve">KY</t>
  </si>
  <si>
    <t xml:space="preserve">1988 Maserati GranTurismo</t>
  </si>
  <si>
    <t xml:space="preserve">6495c4f6-763e-547b-a362-856bb8d1a6d1</t>
  </si>
  <si>
    <t xml:space="preserve">2007 McLaren 750S</t>
  </si>
  <si>
    <t xml:space="preserve">220e1784-146c-581b-97e2-32b6b10c9d79</t>
  </si>
  <si>
    <t xml:space="preserve">2025-08-18</t>
  </si>
  <si>
    <t xml:space="preserve">c6b15c48-7bf7-5c9f-b0cb-32aba34423de</t>
  </si>
  <si>
    <t xml:space="preserve">90ae4710-65e5-5a93-a3a9-5ce6701bcd40</t>
  </si>
  <si>
    <t xml:space="preserve">681b8701-d564-58c2-b51d-92588885ae28</t>
  </si>
  <si>
    <t xml:space="preserve">2024 Aston Martin DB5</t>
  </si>
  <si>
    <t xml:space="preserve">b7b59f2c-294b-581d-b4cd-74188d9fc12f</t>
  </si>
  <si>
    <t xml:space="preserve">1986 Maserati GranTurismo</t>
  </si>
  <si>
    <t xml:space="preserve">32604e32-5b98-52fa-a377-ad369ff04ca7</t>
  </si>
  <si>
    <t xml:space="preserve">a2af2310-1a4c-5395-a7b4-c3195664b2c8</t>
  </si>
  <si>
    <t xml:space="preserve">2020 Maserati GranTurismo</t>
  </si>
  <si>
    <t xml:space="preserve">6249cd82-8cc8-595c-b382-9467e12bb910</t>
  </si>
  <si>
    <t xml:space="preserve">1967 Mercedes-Benz AMG GT</t>
  </si>
  <si>
    <t xml:space="preserve">be311057-d066-55a8-9c6b-d751e1998d15</t>
  </si>
  <si>
    <t xml:space="preserve">1988 Mercedes-Benz 280SL Pagoda</t>
  </si>
  <si>
    <t xml:space="preserve">9dff0b74-d913-5149-a345-2127f90b385d</t>
  </si>
  <si>
    <t xml:space="preserve">1986 Mercedes-Benz AMG GT</t>
  </si>
  <si>
    <t xml:space="preserve">b7b617a3-498f-57cb-93d0-732548dda25c</t>
  </si>
  <si>
    <t xml:space="preserve">1986 Bugatti Type 57</t>
  </si>
  <si>
    <t xml:space="preserve">e8a4c989-6691-5cec-8479-1c8f5297bf1e</t>
  </si>
  <si>
    <t xml:space="preserve">2016 Bentley Continental GT</t>
  </si>
  <si>
    <t xml:space="preserve">393a3c28-78bc-5de3-b1ce-85088eb6e008</t>
  </si>
  <si>
    <t xml:space="preserve">2010 Bentley Continental GT</t>
  </si>
  <si>
    <t xml:space="preserve">48b6386c-923f-5fe6-a5bc-e8ae94730c2a</t>
  </si>
  <si>
    <t xml:space="preserve">2016 Jaguar E-Type Series 1</t>
  </si>
  <si>
    <t xml:space="preserve">effc1c44-8550-5717-b0a6-6ab1b4b64ce1</t>
  </si>
  <si>
    <t xml:space="preserve">2021 Porsche 911 Turbo S</t>
  </si>
  <si>
    <t xml:space="preserve">9f6bc7d0-6a5c-5bfe-8bee-65fa082cbd65</t>
  </si>
  <si>
    <t xml:space="preserve">2000 Bentley Continental GT</t>
  </si>
  <si>
    <t xml:space="preserve">94e050ef-35c8-534e-a04b-3ff322682c74</t>
  </si>
  <si>
    <t xml:space="preserve">2002 Maserati GranTurismo</t>
  </si>
  <si>
    <t xml:space="preserve">b35b1a50-ad84-55f4-9f18-b34e01e6b3c4</t>
  </si>
  <si>
    <t xml:space="preserve">2020 Porsche 911 Turbo S</t>
  </si>
  <si>
    <t xml:space="preserve">d2180405-c089-5eb3-8bea-f257f8d6f203</t>
  </si>
  <si>
    <t xml:space="preserve">1964 McLaren 750S</t>
  </si>
  <si>
    <t xml:space="preserve">d964aaa4-fecd-53d4-97d8-9744553283e5</t>
  </si>
  <si>
    <t xml:space="preserve">2003 Maserati GranTurismo</t>
  </si>
  <si>
    <t xml:space="preserve">cdd25e71-36e4-575d-8ac2-3644f402d01b</t>
  </si>
  <si>
    <t xml:space="preserve">2020 Singer 911 Reimagined</t>
  </si>
  <si>
    <t xml:space="preserve">3195c7c0-38a4-51da-8373-5423ea352319</t>
  </si>
  <si>
    <t xml:space="preserve">1adc4572-1197-581a-8b62-f5d9a0e7390b</t>
  </si>
  <si>
    <t xml:space="preserve">2014 Ferrari 296 GTB</t>
  </si>
  <si>
    <t xml:space="preserve">0c223d84-069b-57fa-b825-dabb154a3537</t>
  </si>
  <si>
    <t xml:space="preserve">1997 Mercedes-Benz 280SL Pagoda</t>
  </si>
  <si>
    <t xml:space="preserve">b9405f7a-388e-5c31-bd12-acd50666eb48</t>
  </si>
  <si>
    <t xml:space="preserve">1999 Bentley Continental GT</t>
  </si>
  <si>
    <t xml:space="preserve">a2dfe071-b5f9-526a-a1e6-7621c2593fcf</t>
  </si>
  <si>
    <t xml:space="preserve">2013 Aston Martin DB12</t>
  </si>
  <si>
    <t xml:space="preserve">aa80bece-45e5-5fb4-ac17-4b75878b154f</t>
  </si>
  <si>
    <t xml:space="preserve">d1644af6-e0fc-56e8-9c1c-a72b08ca67e9</t>
  </si>
  <si>
    <t xml:space="preserve">ad85d7b2-cbdd-530c-a962-3f9b3b1311d8</t>
  </si>
  <si>
    <t xml:space="preserve">2011 Mercedes-Benz 280SL Pagoda</t>
  </si>
  <si>
    <t xml:space="preserve">16d5f312-9a84-57c8-bfa3-c114b799299c</t>
  </si>
  <si>
    <t xml:space="preserve">2012 Jaguar E-Type Series 1</t>
  </si>
  <si>
    <t xml:space="preserve">602a4927-0d49-5c10-a767-179742683318</t>
  </si>
  <si>
    <t xml:space="preserve">1955 McLaren 750S</t>
  </si>
  <si>
    <t xml:space="preserve">c23cd9b9-8739-50f3-9953-857c307b9b26</t>
  </si>
  <si>
    <t xml:space="preserve">1977 Jaguar E-Type Series 1</t>
  </si>
  <si>
    <t xml:space="preserve">8d9255c2-6a75-57a8-81b9-fda7570d9d89</t>
  </si>
  <si>
    <t xml:space="preserve">004ca159-2365-5cf1-8a58-eb4e10704fb4</t>
  </si>
  <si>
    <t xml:space="preserve">cef3b954-bb6d-593c-9fc7-7860fde3d17e</t>
  </si>
  <si>
    <t xml:space="preserve">2006 Porsche 911 Turbo S</t>
  </si>
  <si>
    <t xml:space="preserve">137589e7-a4e9-5148-a63d-a3be2b77a1dc</t>
  </si>
  <si>
    <t xml:space="preserve">1966 Bentley Continental GT</t>
  </si>
  <si>
    <t xml:space="preserve">c3577ced-a58f-5311-98c0-08b8429a7eac</t>
  </si>
  <si>
    <t xml:space="preserve">1963 Mercedes-Benz AMG GT</t>
  </si>
  <si>
    <t xml:space="preserve">0bca92dd-f4df-5cc3-8b3a-4de99ac32b6f</t>
  </si>
  <si>
    <t xml:space="preserve">2022 BMW M8 Competition</t>
  </si>
  <si>
    <t xml:space="preserve">06406892-e99b-5a78-b4da-08f31a0bde06</t>
  </si>
  <si>
    <t xml:space="preserve">2015 Jaguar E-Type Series 1</t>
  </si>
  <si>
    <t xml:space="preserve">3ba6ada2-779c-5c2b-ba56-9de48a5e07d9</t>
  </si>
  <si>
    <t xml:space="preserve">1996 Ferrari 275 GTB/4</t>
  </si>
  <si>
    <t xml:space="preserve">53aa21da-668d-55ca-bc28-c3a9d55a331a</t>
  </si>
  <si>
    <t xml:space="preserve">a69b15fa-6e56-58e2-b42f-976adacac29c</t>
  </si>
  <si>
    <t xml:space="preserve">1978 Bentley Continental GT</t>
  </si>
  <si>
    <t xml:space="preserve">f10066cf-bc86-5378-979b-a3141f5d13d3</t>
  </si>
  <si>
    <t xml:space="preserve">2019 McLaren 750S</t>
  </si>
  <si>
    <t xml:space="preserve">2c49e688-a7ed-545c-8d58-1244697af026</t>
  </si>
  <si>
    <t xml:space="preserve">1994 Ferrari SF90 Stradale</t>
  </si>
  <si>
    <t xml:space="preserve">465fad85-37ef-5a86-974f-e89a18777206</t>
  </si>
  <si>
    <t xml:space="preserve">1995 Bentley 4.5 Litre</t>
  </si>
  <si>
    <t xml:space="preserve">88acf0a6-f3ac-50d4-be28-1835a5c2fb5f</t>
  </si>
  <si>
    <t xml:space="preserve">2002 Bentley Continental GT</t>
  </si>
  <si>
    <t xml:space="preserve">42400562-87f0-5f2e-b84c-0b6db49cc952</t>
  </si>
  <si>
    <t xml:space="preserve">2019 Maserati GranTurismo</t>
  </si>
  <si>
    <t xml:space="preserve">Rated submissions</t>
  </si>
  <si>
    <t xml:space="preserve">Bound count</t>
  </si>
  <si>
    <t xml:space="preserve">Avg premium — all rated</t>
  </si>
  <si>
    <t xml:space="preserve">Avg premium — BOUND only</t>
  </si>
  <si>
    <t xml:space="preserve">GWP bound (month)</t>
  </si>
  <si>
    <t xml:space="preserve">Softening index (month)</t>
  </si>
  <si>
    <t xml:space="preserve">Monthly Rater — 2025-09  (Month 2 of 12)</t>
  </si>
  <si>
    <t xml:space="preserve">Softening index 0.9591. Rated Premium = ROUND(AgreedValue/100 × BaseRate × Territory × Softening ÷ Gross-Up, 2); ties to artifact premium within $0.01 (generator rounding).</t>
  </si>
  <si>
    <t xml:space="preserve">2025-09-15</t>
  </si>
  <si>
    <t xml:space="preserve">13a0d320-9cda-5737-93d5-e48a5aeb681a</t>
  </si>
  <si>
    <t xml:space="preserve">1996 Singer 911 Reimagined</t>
  </si>
  <si>
    <t xml:space="preserve">2025-09-11</t>
  </si>
  <si>
    <t xml:space="preserve">ae7f5801-ed70-569e-9e83-b42a02a7eeca</t>
  </si>
  <si>
    <t xml:space="preserve">2025-09-28</t>
  </si>
  <si>
    <t xml:space="preserve">2f989eae-ba02-5a2a-891c-2de0c33cf312</t>
  </si>
  <si>
    <t xml:space="preserve">2021 Mercedes-Benz AMG GT</t>
  </si>
  <si>
    <t xml:space="preserve">2025-09-01</t>
  </si>
  <si>
    <t xml:space="preserve">727ad849-901e-533b-adbb-cf2030c8311d</t>
  </si>
  <si>
    <t xml:space="preserve">2023 McLaren 750S</t>
  </si>
  <si>
    <t xml:space="preserve">2025-09-29</t>
  </si>
  <si>
    <t xml:space="preserve">3262d6ce-4931-5e4d-b75b-b1321c56aad2</t>
  </si>
  <si>
    <t xml:space="preserve">1986 Bentley Continental GT</t>
  </si>
  <si>
    <t xml:space="preserve">2025-09-23</t>
  </si>
  <si>
    <t xml:space="preserve">a52a5f27-f4f6-5193-a171-d45aaa23c1a7</t>
  </si>
  <si>
    <t xml:space="preserve">1975 Porsche 911 Turbo S</t>
  </si>
  <si>
    <t xml:space="preserve">2025-09-21</t>
  </si>
  <si>
    <t xml:space="preserve">15b0b563-17aa-5158-8e53-a811f44bb054</t>
  </si>
  <si>
    <t xml:space="preserve">2025-09-08</t>
  </si>
  <si>
    <t xml:space="preserve">9d1b81b0-2255-5a04-b8f9-03387c615691</t>
  </si>
  <si>
    <t xml:space="preserve">1c3af948-0ad3-501c-b16e-fc7e7ff16369</t>
  </si>
  <si>
    <t xml:space="preserve">1996 Bugatti Type 57</t>
  </si>
  <si>
    <t xml:space="preserve">2025-09-05</t>
  </si>
  <si>
    <t xml:space="preserve">fc839a08-e0b9-5703-b850-f68c4141f525</t>
  </si>
  <si>
    <t xml:space="preserve">1973 Lamborghini Huracan EVO</t>
  </si>
  <si>
    <t xml:space="preserve">2025-09-20</t>
  </si>
  <si>
    <t xml:space="preserve">92519055-ea86-5213-97fc-33a75e7df072</t>
  </si>
  <si>
    <t xml:space="preserve">1983 Maserati GranTurismo</t>
  </si>
  <si>
    <t xml:space="preserve">2025-09-10</t>
  </si>
  <si>
    <t xml:space="preserve">c49142bc-c18e-52eb-a1de-0b8ce86e9714</t>
  </si>
  <si>
    <t xml:space="preserve">1992 Jaguar E-Type Series 1</t>
  </si>
  <si>
    <t xml:space="preserve">2025-09-26</t>
  </si>
  <si>
    <t xml:space="preserve">2c06259d-060c-5cb1-92ff-36f6d38bd447</t>
  </si>
  <si>
    <t xml:space="preserve">1960 BMW M8 Competition</t>
  </si>
  <si>
    <t xml:space="preserve">2025-09-27</t>
  </si>
  <si>
    <t xml:space="preserve">d5f54302-bff3-54dc-9e6d-8b70d561c608</t>
  </si>
  <si>
    <t xml:space="preserve">1992 Aston Martin DB12</t>
  </si>
  <si>
    <t xml:space="preserve">4a01198b-9c02-5fd8-a667-c225fc691aab</t>
  </si>
  <si>
    <t xml:space="preserve">1987 Mercedes-Benz AMG GT</t>
  </si>
  <si>
    <t xml:space="preserve">1aff42db-b27c-520d-8656-502fc8b5eafe</t>
  </si>
  <si>
    <t xml:space="preserve">1971 Ringbrothers Mustang</t>
  </si>
  <si>
    <t xml:space="preserve">ce930c49-bb30-589f-a3b9-efb49c8f7d8f</t>
  </si>
  <si>
    <t xml:space="preserve">2025-09-13</t>
  </si>
  <si>
    <t xml:space="preserve">24460bb0-2467-5737-9595-66a06fb7ceea</t>
  </si>
  <si>
    <t xml:space="preserve">2025-09-16</t>
  </si>
  <si>
    <t xml:space="preserve">544bd241-407f-5204-8831-3455fe49da35</t>
  </si>
  <si>
    <t xml:space="preserve">2020 BMW M8 Competition</t>
  </si>
  <si>
    <t xml:space="preserve">0fec40e8-74ef-5616-804a-d7166ec0fabc</t>
  </si>
  <si>
    <t xml:space="preserve">1997 Maserati GranTurismo</t>
  </si>
  <si>
    <t xml:space="preserve">2025-09-12</t>
  </si>
  <si>
    <t xml:space="preserve">8fc38231-a271-524c-ba5d-758351b14279</t>
  </si>
  <si>
    <t xml:space="preserve">71960109-ac96-5ac8-b6c6-29cd6d299687</t>
  </si>
  <si>
    <t xml:space="preserve">1991 Jaguar E-Type Series 1</t>
  </si>
  <si>
    <t xml:space="preserve">2025-09-30</t>
  </si>
  <si>
    <t xml:space="preserve">c4e09f59-4e1d-5316-b215-f57db8c85bdd</t>
  </si>
  <si>
    <t xml:space="preserve">1998 Aston Martin DB12</t>
  </si>
  <si>
    <t xml:space="preserve">97d2a7f5-a9d1-5bd1-ba96-a5536e726466</t>
  </si>
  <si>
    <t xml:space="preserve">1997 BMW M8 Competition</t>
  </si>
  <si>
    <t xml:space="preserve">01975dee-445f-508e-b599-7abd63a8562e</t>
  </si>
  <si>
    <t xml:space="preserve">73d72939-4720-57a8-a5b0-7908f261b5c9</t>
  </si>
  <si>
    <t xml:space="preserve">2025-09-14</t>
  </si>
  <si>
    <t xml:space="preserve">702acb20-f26b-5fdd-afee-659c4aeadaeb</t>
  </si>
  <si>
    <t xml:space="preserve">1966 Aston Martin DB12</t>
  </si>
  <si>
    <t xml:space="preserve">b43cf6e6-8e4a-58ad-b580-704b87b47630</t>
  </si>
  <si>
    <t xml:space="preserve">1981 Bentley Continental GT</t>
  </si>
  <si>
    <t xml:space="preserve">e7ecf356-6cd5-5dcf-9b9d-52eed6a2ba25</t>
  </si>
  <si>
    <t xml:space="preserve">2022 Jaguar E-Type Series 1</t>
  </si>
  <si>
    <t xml:space="preserve">d70c5893-39b7-5241-840b-6f32c8e9614c</t>
  </si>
  <si>
    <t xml:space="preserve">1981 Aston Martin DB12</t>
  </si>
  <si>
    <t xml:space="preserve">2025-09-02</t>
  </si>
  <si>
    <t xml:space="preserve">b00dc0c9-b5c2-595e-adf5-07129d7168dd</t>
  </si>
  <si>
    <t xml:space="preserve">6ca3e246-2c4e-5b80-b420-2c24a6442a22</t>
  </si>
  <si>
    <t xml:space="preserve">2025-09-04</t>
  </si>
  <si>
    <t xml:space="preserve">4da0520b-7e90-5493-8895-c403cf53ff86</t>
  </si>
  <si>
    <t xml:space="preserve">1957 Maserati GranTurismo</t>
  </si>
  <si>
    <t xml:space="preserve">53f4f06d-e752-5af4-a6b0-a6329a03676d</t>
  </si>
  <si>
    <t xml:space="preserve">2015 Ringbrothers Mustang</t>
  </si>
  <si>
    <t xml:space="preserve">2025-09-09</t>
  </si>
  <si>
    <t xml:space="preserve">09a27194-b915-5065-b517-0e59eb125251</t>
  </si>
  <si>
    <t xml:space="preserve">1970 Mercedes-Benz AMG GT</t>
  </si>
  <si>
    <t xml:space="preserve">2025-09-25</t>
  </si>
  <si>
    <t xml:space="preserve">99458130-c377-5c77-aa35-f4d1c4f14609</t>
  </si>
  <si>
    <t xml:space="preserve">1990 Bentley Continental GT</t>
  </si>
  <si>
    <t xml:space="preserve">11ca5b33-80d7-5783-8fb5-f3765161b0be</t>
  </si>
  <si>
    <t xml:space="preserve">7daaaefc-83a1-5a3a-8b1e-0d33c8507e65</t>
  </si>
  <si>
    <t xml:space="preserve">1968 Bentley Continental GT</t>
  </si>
  <si>
    <t xml:space="preserve">2025-09-17</t>
  </si>
  <si>
    <t xml:space="preserve">804b5edf-7db7-5b65-a373-ce469e04bd3d</t>
  </si>
  <si>
    <t xml:space="preserve">2023 Aston Martin DB12</t>
  </si>
  <si>
    <t xml:space="preserve">acd473c2-0c96-558c-96a5-623e29cd409e</t>
  </si>
  <si>
    <t xml:space="preserve">058d1ff3-48d2-5af2-a894-c735bd791d51</t>
  </si>
  <si>
    <t xml:space="preserve">4dbcf5c8-9c98-5c6d-99b1-2636cb241727</t>
  </si>
  <si>
    <t xml:space="preserve">1964 BMW M8 Competition</t>
  </si>
  <si>
    <t xml:space="preserve">4da3056f-e1ec-5c9e-8b6e-1e294414d701</t>
  </si>
  <si>
    <t xml:space="preserve">1990 Aston Martin DB5</t>
  </si>
  <si>
    <t xml:space="preserve">962724e6-1e3c-5cc0-8787-58cc2f708a12</t>
  </si>
  <si>
    <t xml:space="preserve">1992 McLaren 750S</t>
  </si>
  <si>
    <t xml:space="preserve">2025-09-06</t>
  </si>
  <si>
    <t xml:space="preserve">e45b8cbb-ae92-5869-9e61-5fb9e92a81ce</t>
  </si>
  <si>
    <t xml:space="preserve">1956 Bentley Continental GT</t>
  </si>
  <si>
    <t xml:space="preserve">2025-09-19</t>
  </si>
  <si>
    <t xml:space="preserve">b680bc76-f1a2-56e9-a9aa-49ac0ac06e39</t>
  </si>
  <si>
    <t xml:space="preserve">2024 Bentley Continental GT</t>
  </si>
  <si>
    <t xml:space="preserve">77a3acc4-0d78-5bfa-b055-82f1c1cc6373</t>
  </si>
  <si>
    <t xml:space="preserve">1968 BMW M8 Competition</t>
  </si>
  <si>
    <t xml:space="preserve">bf0e51f8-f71e-507e-945c-cddd3d9ab86f</t>
  </si>
  <si>
    <t xml:space="preserve">2001 Ferrari 296 GTB</t>
  </si>
  <si>
    <t xml:space="preserve">04a826ef-cca7-53cf-949a-c9e661a63725</t>
  </si>
  <si>
    <t xml:space="preserve">1974 Ferrari 275 GTB/4</t>
  </si>
  <si>
    <t xml:space="preserve">2025-09-22</t>
  </si>
  <si>
    <t xml:space="preserve">af371398-3a42-5963-a3aa-4ef06418ae17</t>
  </si>
  <si>
    <t xml:space="preserve">2012 Maserati GranTurismo</t>
  </si>
  <si>
    <t xml:space="preserve">3f500b3f-e9c9-5dda-87c6-19e844efa643</t>
  </si>
  <si>
    <t xml:space="preserve">1975 BMW M8 Competition</t>
  </si>
  <si>
    <t xml:space="preserve">461c51d2-6a4e-54b3-9533-7b10a249a4a0</t>
  </si>
  <si>
    <t xml:space="preserve">2009 Maserati GranTurismo</t>
  </si>
  <si>
    <t xml:space="preserve">62e825b9-fa64-5491-a6c1-b4e869424334</t>
  </si>
  <si>
    <t xml:space="preserve">1960 McLaren 750S</t>
  </si>
  <si>
    <t xml:space="preserve">2025-09-03</t>
  </si>
  <si>
    <t xml:space="preserve">062d208c-1576-5058-8481-2904980f93f6</t>
  </si>
  <si>
    <t xml:space="preserve">1978 Maserati GranTurismo</t>
  </si>
  <si>
    <t xml:space="preserve">12541764-8df2-5e1f-821f-c5addd2a33fa</t>
  </si>
  <si>
    <t xml:space="preserve">2000 Porsche 911 Turbo S</t>
  </si>
  <si>
    <t xml:space="preserve">51fa09b1-ec38-519a-9407-0c1acfbee009</t>
  </si>
  <si>
    <t xml:space="preserve">225bf7b1-9199-5b41-9e6f-b842d64c9006</t>
  </si>
  <si>
    <t xml:space="preserve">1958 Jaguar E-Type Series 1</t>
  </si>
  <si>
    <t xml:space="preserve">2025-09-18</t>
  </si>
  <si>
    <t xml:space="preserve">1b20a514-a589-591d-aa34-59bbe5e24c97</t>
  </si>
  <si>
    <t xml:space="preserve">807c1f95-4236-5685-b09e-be266653a9fe</t>
  </si>
  <si>
    <t xml:space="preserve">2019 Aston Martin DB5</t>
  </si>
  <si>
    <t xml:space="preserve">2025-09-24</t>
  </si>
  <si>
    <t xml:space="preserve">f22f7d80-4c6e-5c24-b5eb-bedfb9333afb</t>
  </si>
  <si>
    <t xml:space="preserve">da9149c2-dbbc-5f7e-86e0-da5e80de3b6b</t>
  </si>
  <si>
    <t xml:space="preserve">cd2f85a4-551d-537d-932f-b85d38b9df50</t>
  </si>
  <si>
    <t xml:space="preserve">1961 BMW M8 Competition</t>
  </si>
  <si>
    <t xml:space="preserve">8056676c-df41-5c42-820f-000cc32938d4</t>
  </si>
  <si>
    <t xml:space="preserve">1992 Mercedes-Benz AMG GT</t>
  </si>
  <si>
    <t xml:space="preserve">5c0dfe4b-c2f5-552b-9d8b-e23857b85f69</t>
  </si>
  <si>
    <t xml:space="preserve">2015 Ferrari 275 GTB/4</t>
  </si>
  <si>
    <t xml:space="preserve">c5289f64-3fb1-5ddf-93dc-ef42cd2ffcec</t>
  </si>
  <si>
    <t xml:space="preserve">1986 Jaguar E-Type Series 1</t>
  </si>
  <si>
    <t xml:space="preserve">4700169e-a2aa-5c7e-93eb-f0d2fe40ad48</t>
  </si>
  <si>
    <t xml:space="preserve">cc50f830-9928-575b-8a9b-e57be48ad30f</t>
  </si>
  <si>
    <t xml:space="preserve">1999 Jaguar E-Type Series 1</t>
  </si>
  <si>
    <t xml:space="preserve">96606b53-2703-503b-b0f5-7a0cec28d48f</t>
  </si>
  <si>
    <t xml:space="preserve">1971 Aston Martin DB12</t>
  </si>
  <si>
    <t xml:space="preserve">35fdba88-ae71-5698-91ce-2728fed46925</t>
  </si>
  <si>
    <t xml:space="preserve">2000 Lamborghini Huracan EVO</t>
  </si>
  <si>
    <t xml:space="preserve">a5807ea6-c3fa-5b35-bbf9-642da6b4900c</t>
  </si>
  <si>
    <t xml:space="preserve">2007 Mercedes-Benz AMG GT</t>
  </si>
  <si>
    <t xml:space="preserve">0928084a-2f6e-520b-bf31-66db066cf608</t>
  </si>
  <si>
    <t xml:space="preserve">2021 Bentley Continental GT</t>
  </si>
  <si>
    <t xml:space="preserve">66bd9599-3413-5444-a366-9866bc4a3e8f</t>
  </si>
  <si>
    <t xml:space="preserve">1979 McLaren 750S</t>
  </si>
  <si>
    <t xml:space="preserve">bff16bc3-fc38-5149-9e39-d88df40b7f03</t>
  </si>
  <si>
    <t xml:space="preserve">1955 Jaguar E-Type Series 1</t>
  </si>
  <si>
    <t xml:space="preserve">3fdab81d-efb4-5e96-ab85-bed1b096017c</t>
  </si>
  <si>
    <t xml:space="preserve">1984 Mercedes-Benz AMG GT</t>
  </si>
  <si>
    <t xml:space="preserve">ded655a3-dd86-5c0b-a114-a9911c73e276</t>
  </si>
  <si>
    <t xml:space="preserve">a4838407-cc66-5ab8-9f45-145c32b8cb8e</t>
  </si>
  <si>
    <t xml:space="preserve">2010 Ferrari SF90 Stradale</t>
  </si>
  <si>
    <t xml:space="preserve">96359e07-6e61-58f3-99e3-ec3623342445</t>
  </si>
  <si>
    <t xml:space="preserve">1990 Ferrari 296 GTB</t>
  </si>
  <si>
    <t xml:space="preserve">d41d60d8-8d0f-5cfe-ba78-e78f2e5248f9</t>
  </si>
  <si>
    <t xml:space="preserve">1961 McLaren 750S</t>
  </si>
  <si>
    <t xml:space="preserve">04af9c0a-37da-5979-a76d-b4aefa4866b9</t>
  </si>
  <si>
    <t xml:space="preserve">1973 Ringbrothers Mustang</t>
  </si>
  <si>
    <t xml:space="preserve">97ca3e3c-6f78-5c7a-ba02-e141bb6d91ca</t>
  </si>
  <si>
    <t xml:space="preserve">1956 BMW M8 Competition</t>
  </si>
  <si>
    <t xml:space="preserve">74a91af3-a07f-5290-b403-1ba54d9ab575</t>
  </si>
  <si>
    <t xml:space="preserve">1969 Porsche 911 Turbo S</t>
  </si>
  <si>
    <t xml:space="preserve">7c55e9d5-f064-5fb0-b539-83bb493e9706</t>
  </si>
  <si>
    <t xml:space="preserve">e9e15707-bfee-5cab-b51a-28db5c74fb5c</t>
  </si>
  <si>
    <t xml:space="preserve">1996 Bentley Continental GT</t>
  </si>
  <si>
    <t xml:space="preserve">c57eefee-74c9-5751-bb2e-72521b1336f8</t>
  </si>
  <si>
    <t xml:space="preserve">1974 Bentley Continental GT</t>
  </si>
  <si>
    <t xml:space="preserve">6ba20c42-ab73-5cf3-b777-942e123d6be0</t>
  </si>
  <si>
    <t xml:space="preserve">2000 Jaguar E-Type Series 1</t>
  </si>
  <si>
    <t xml:space="preserve">d2abd018-5fd6-595f-ac0f-848e7271ea70</t>
  </si>
  <si>
    <t xml:space="preserve">9387cb9b-ee3c-56cc-a299-86c37c2ab864</t>
  </si>
  <si>
    <t xml:space="preserve">bd8653a1-f13c-5804-a970-8c0f1c18f8d8</t>
  </si>
  <si>
    <t xml:space="preserve">1965 BMW M8 Competition</t>
  </si>
  <si>
    <t xml:space="preserve">ec7d7281-d141-5a0b-91d4-e3ccdde38bb4</t>
  </si>
  <si>
    <t xml:space="preserve">1985 Ferrari SF90 Stradale</t>
  </si>
  <si>
    <t xml:space="preserve">d7dbd054-dc86-57fd-9294-951150d0dcd7</t>
  </si>
  <si>
    <t xml:space="preserve">2011 Aston Martin DB12</t>
  </si>
  <si>
    <t xml:space="preserve">18764860-a34e-5eaf-9a8d-19676422ac6b</t>
  </si>
  <si>
    <t xml:space="preserve">1983 Mercedes-Benz AMG GT</t>
  </si>
  <si>
    <t xml:space="preserve">ff5894c7-3dd5-59d4-b67a-621dd6d8363d</t>
  </si>
  <si>
    <t xml:space="preserve">1995 Aston Martin DB5</t>
  </si>
  <si>
    <t xml:space="preserve">31b04730-6979-595f-a63f-734e9bf2eae6</t>
  </si>
  <si>
    <t xml:space="preserve">1991 Aston Martin DB12</t>
  </si>
  <si>
    <t xml:space="preserve">658a4e07-9743-5a5a-9b76-191500f494dd</t>
  </si>
  <si>
    <t xml:space="preserve">416c565b-4000-5564-9cdf-9cf6915b9bef</t>
  </si>
  <si>
    <t xml:space="preserve">2009 Mercedes-Benz AMG GT</t>
  </si>
  <si>
    <t xml:space="preserve">1505f095-c3a6-5275-9f8a-0573495ea3da</t>
  </si>
  <si>
    <t xml:space="preserve">2d18a330-27b0-5e86-b704-794f2469c9de</t>
  </si>
  <si>
    <t xml:space="preserve">2022 Bentley Continental GT</t>
  </si>
  <si>
    <t xml:space="preserve">3a732bc2-4e26-58e1-ba4b-57cffdc5a865</t>
  </si>
  <si>
    <t xml:space="preserve">1989 Porsche 911 Turbo S</t>
  </si>
  <si>
    <t xml:space="preserve">94e1451c-86b4-569d-a96b-83652a5a4e8a</t>
  </si>
  <si>
    <t xml:space="preserve">1989 Aston Martin DB12</t>
  </si>
  <si>
    <t xml:space="preserve">e473c751-7c77-5715-97b1-2012fcc958da</t>
  </si>
  <si>
    <t xml:space="preserve">1964 Aston Martin DB12</t>
  </si>
  <si>
    <t xml:space="preserve">7d2e4b9a-2788-54c0-b688-e0b95dff4773</t>
  </si>
  <si>
    <t xml:space="preserve">a2f5bf26-34a2-59ed-9726-56b81e56c024</t>
  </si>
  <si>
    <t xml:space="preserve">1997 Ferrari 296 GTB</t>
  </si>
  <si>
    <t xml:space="preserve">2b772484-386b-5e82-8008-2be14900de58</t>
  </si>
  <si>
    <t xml:space="preserve">2a8647b2-26da-5b7f-ab3d-fbb8d90d04f9</t>
  </si>
  <si>
    <t xml:space="preserve">1971 Mercedes-Benz AMG GT</t>
  </si>
  <si>
    <t xml:space="preserve">0f6a620e-d722-54db-9dcf-9f919d81e25d</t>
  </si>
  <si>
    <t xml:space="preserve">2024 Aston Martin DB12</t>
  </si>
  <si>
    <t xml:space="preserve">7685fa3c-92fe-5300-a910-b5d63f77837a</t>
  </si>
  <si>
    <t xml:space="preserve">2025-09-07</t>
  </si>
  <si>
    <t xml:space="preserve">fcabbefb-dc4b-564b-8877-4e6d1b2e3366</t>
  </si>
  <si>
    <t xml:space="preserve">1970 Ferrari 296 GTB</t>
  </si>
  <si>
    <t xml:space="preserve">2eab91b8-815e-5a17-a552-a6f6854ba290</t>
  </si>
  <si>
    <t xml:space="preserve">2dc1a287-0238-5067-9c3b-877f68922268</t>
  </si>
  <si>
    <t xml:space="preserve">2006 McLaren 750S</t>
  </si>
  <si>
    <t xml:space="preserve">a2e072dc-2f6c-5fff-8749-6546b6e74393</t>
  </si>
  <si>
    <t xml:space="preserve">2004 BMW M8 Competition</t>
  </si>
  <si>
    <t xml:space="preserve">0020baff-dd86-5684-9118-15846c0bf655</t>
  </si>
  <si>
    <t xml:space="preserve">2019 Porsche 911 Turbo S</t>
  </si>
  <si>
    <t xml:space="preserve">675e859b-4225-57f8-a9ce-f4b0a8295ae8</t>
  </si>
  <si>
    <t xml:space="preserve">2015 Mercedes-Benz 280SL Pagoda</t>
  </si>
  <si>
    <t xml:space="preserve">0a021152-edd1-54fd-92bf-d1fef35d1ea6</t>
  </si>
  <si>
    <t xml:space="preserve">df02625b-c7e3-50b7-9095-910b16fc4da9</t>
  </si>
  <si>
    <t xml:space="preserve">098beeaf-6177-5d28-9eb6-a126e8778286</t>
  </si>
  <si>
    <t xml:space="preserve">2016 Ferrari 275 GTB/4</t>
  </si>
  <si>
    <t xml:space="preserve">569c681e-f3f3-5d52-bf6a-9af603c69718</t>
  </si>
  <si>
    <t xml:space="preserve">98dfc5ee-785d-5f38-876f-ca5a85b0165e</t>
  </si>
  <si>
    <t xml:space="preserve">1997 Porsche 911 Turbo S</t>
  </si>
  <si>
    <t xml:space="preserve">b5d45f52-c667-5df5-9057-33510fd472ce</t>
  </si>
  <si>
    <t xml:space="preserve">2002 Ferrari SF90 Stradale</t>
  </si>
  <si>
    <t xml:space="preserve">990e500e-219e-5f15-b2af-d1d5ddb81118</t>
  </si>
  <si>
    <t xml:space="preserve">2e3d72a6-5c82-5f84-8b65-5269121e9cbb</t>
  </si>
  <si>
    <t xml:space="preserve">1958 McLaren 750S</t>
  </si>
  <si>
    <t xml:space="preserve">cd0aae68-43c2-5b5a-b60e-7d967b39e2a6</t>
  </si>
  <si>
    <t xml:space="preserve">1983 Bentley Continental GT</t>
  </si>
  <si>
    <t xml:space="preserve">7f9e82f1-c292-5d89-8485-3efabb54c7b0</t>
  </si>
  <si>
    <t xml:space="preserve">1979 BMW M8 Competition</t>
  </si>
  <si>
    <t xml:space="preserve">3936a452-a0a9-54e3-90df-4a559edf377d</t>
  </si>
  <si>
    <t xml:space="preserve">1989 Bentley Continental GT</t>
  </si>
  <si>
    <t xml:space="preserve">feab29e0-92ba-5e27-9f79-fb696b94f3a1</t>
  </si>
  <si>
    <t xml:space="preserve">e5ce9ad0-84fd-5c2d-ad85-f9b24aa16227</t>
  </si>
  <si>
    <t xml:space="preserve">f272142e-b04c-579c-b7e2-3d09d183b3d0</t>
  </si>
  <si>
    <t xml:space="preserve">1997 Lamborghini Huracan EVO</t>
  </si>
  <si>
    <t xml:space="preserve">bc284d21-532c-559e-bd37-f6a8bdc4e8cc</t>
  </si>
  <si>
    <t xml:space="preserve">1de7db10-993f-5f5b-95e2-86a0f3548a01</t>
  </si>
  <si>
    <t xml:space="preserve">d1ec4958-7258-536e-88be-cf3dbca091d7</t>
  </si>
  <si>
    <t xml:space="preserve">1996 Porsche 911 Turbo S</t>
  </si>
  <si>
    <t xml:space="preserve">f526c6f3-c026-560a-abcd-80e6a01d159f</t>
  </si>
  <si>
    <t xml:space="preserve">1967 Ferrari 296 GTB</t>
  </si>
  <si>
    <t xml:space="preserve">4c2ed248-342c-5cac-b780-5630a7a1fe19</t>
  </si>
  <si>
    <t xml:space="preserve">1977 Mercedes-Benz AMG GT</t>
  </si>
  <si>
    <t xml:space="preserve">ca16948c-85ce-5940-a061-027c3c4842f6</t>
  </si>
  <si>
    <t xml:space="preserve">37008bf9-2e83-58ea-8892-920f0da3ad92</t>
  </si>
  <si>
    <t xml:space="preserve">1964 Mercedes-Benz AMG GT</t>
  </si>
  <si>
    <t xml:space="preserve">bca4895e-c380-57e4-ac68-a2f68fce6cdf</t>
  </si>
  <si>
    <t xml:space="preserve">1955 Porsche 911 Turbo S</t>
  </si>
  <si>
    <t xml:space="preserve">eb92aa1a-37d4-5031-8f75-6aa9243c42ff</t>
  </si>
  <si>
    <t xml:space="preserve">1994 Mercedes-Benz 280SL Pagoda</t>
  </si>
  <si>
    <t xml:space="preserve">a213f660-d491-506e-b6a6-db86735823b0</t>
  </si>
  <si>
    <t xml:space="preserve">1995 Ferrari 296 GTB</t>
  </si>
  <si>
    <t xml:space="preserve">8d30d274-bb2f-5f25-a4b4-08569154d973</t>
  </si>
  <si>
    <t xml:space="preserve">78504cf8-fdca-5d83-83fb-fb8c2b96db3d</t>
  </si>
  <si>
    <t xml:space="preserve">2014 Aston Martin DB12</t>
  </si>
  <si>
    <t xml:space="preserve">e3eea4db-ac55-56f4-87a9-d45a748b24e0</t>
  </si>
  <si>
    <t xml:space="preserve">1995 Maserati GranTurismo</t>
  </si>
  <si>
    <t xml:space="preserve">de295465-43bb-581d-a7fc-7f0376349857</t>
  </si>
  <si>
    <t xml:space="preserve">1983 Ringbrothers Mustang</t>
  </si>
  <si>
    <t xml:space="preserve">73a18388-30fb-5bb8-aa49-92af42bada3b</t>
  </si>
  <si>
    <t xml:space="preserve">9d855927-2f57-547d-9488-8296b9181948</t>
  </si>
  <si>
    <t xml:space="preserve">933362b9-4fd0-5f57-9aba-1506ee8de715</t>
  </si>
  <si>
    <t xml:space="preserve">2002 BMW M8 Competition</t>
  </si>
  <si>
    <t xml:space="preserve">a594f69a-0188-564a-8c02-7c1ea73f2533</t>
  </si>
  <si>
    <t xml:space="preserve">1976 Mercedes-Benz 280SL Pagoda</t>
  </si>
  <si>
    <t xml:space="preserve">9b3f014f-98cb-5a4f-8daf-12a97c14e3df</t>
  </si>
  <si>
    <t xml:space="preserve">1993 Aston Martin DB12</t>
  </si>
  <si>
    <t xml:space="preserve">da832c46-7b88-5389-841e-d8b709cf5ac8</t>
  </si>
  <si>
    <t xml:space="preserve">1966 Ringbrothers Mustang</t>
  </si>
  <si>
    <t xml:space="preserve">da57d744-762e-57ed-8988-206aad891c76</t>
  </si>
  <si>
    <t xml:space="preserve">2006 BMW M8 Competition</t>
  </si>
  <si>
    <t xml:space="preserve">a5e19bea-5bca-55a9-9a12-2ad805270ca6</t>
  </si>
  <si>
    <t xml:space="preserve">d41660a8-721e-51e9-8d7d-41a7049bcfcf</t>
  </si>
  <si>
    <t xml:space="preserve">dcc05f87-bb5c-54a2-b356-e43bc32bb320</t>
  </si>
  <si>
    <t xml:space="preserve">2003 Aston Martin DB12</t>
  </si>
  <si>
    <t xml:space="preserve">62962c14-feee-5c55-a307-c4ace2e05515</t>
  </si>
  <si>
    <t xml:space="preserve">769c99d5-d070-5ada-bd7d-094b3ad394ac</t>
  </si>
  <si>
    <t xml:space="preserve">2023 Ferrari 275 GTB/4</t>
  </si>
  <si>
    <t xml:space="preserve">3bf99509-5c0e-543e-9c97-6f3f83429164</t>
  </si>
  <si>
    <t xml:space="preserve">feacaa5a-2822-5100-9e5e-5bac67e89f50</t>
  </si>
  <si>
    <t xml:space="preserve">1995 Ferrari SF90 Stradale</t>
  </si>
  <si>
    <t xml:space="preserve">a7d94ec5-e977-5e67-9239-03411201167b</t>
  </si>
  <si>
    <t xml:space="preserve">2004 Bentley Continental GT</t>
  </si>
  <si>
    <t xml:space="preserve">25ea2118-cb9c-5b1b-b669-cfec7cab403d</t>
  </si>
  <si>
    <t xml:space="preserve">6c7ebb95-0075-57e9-8e41-030ad2bba13e</t>
  </si>
  <si>
    <t xml:space="preserve">2008 Maserati GranTurismo</t>
  </si>
  <si>
    <t xml:space="preserve">8b7f0a5b-b299-522a-8670-3721b6d97487</t>
  </si>
  <si>
    <t xml:space="preserve">1983 Aston Martin DB12</t>
  </si>
  <si>
    <t xml:space="preserve">ae2ac3a5-1a5e-5811-a8d2-3ee5e6c97fb1</t>
  </si>
  <si>
    <t xml:space="preserve">1959 Lamborghini Huracan EVO</t>
  </si>
  <si>
    <t xml:space="preserve">657a38f7-eb0f-59f4-b20a-4f6b03df0409</t>
  </si>
  <si>
    <t xml:space="preserve">2017 Maserati GranTurismo</t>
  </si>
  <si>
    <t xml:space="preserve">d55830ab-2620-5d43-b055-908568703ba4</t>
  </si>
  <si>
    <t xml:space="preserve">1991 Ferrari 296 GTB</t>
  </si>
  <si>
    <t xml:space="preserve">ced53988-e765-5ed0-bc87-52027d8d37e7</t>
  </si>
  <si>
    <t xml:space="preserve">2008 Lamborghini Huracan EVO</t>
  </si>
  <si>
    <t xml:space="preserve">cf947ed8-2f7f-58d4-9e2f-5e4104a3c526</t>
  </si>
  <si>
    <t xml:space="preserve">2022 Bugatti Type 57</t>
  </si>
  <si>
    <t xml:space="preserve">803122cf-adeb-5435-bf9a-97ba70580447</t>
  </si>
  <si>
    <t xml:space="preserve">2014 Maserati GranTurismo</t>
  </si>
  <si>
    <t xml:space="preserve">91b503ce-bec9-5d34-965a-41e1fb8faea1</t>
  </si>
  <si>
    <t xml:space="preserve">d045345e-6756-5aae-a826-0ae4e58c2361</t>
  </si>
  <si>
    <t xml:space="preserve">1969 Maserati GranTurismo</t>
  </si>
  <si>
    <t xml:space="preserve">f584b1ff-71fb-5a86-a49f-6c2ccf035d9e</t>
  </si>
  <si>
    <t xml:space="preserve">1960 Aston Martin DB12</t>
  </si>
  <si>
    <t xml:space="preserve">3cc056d3-476d-55fd-90d3-b8ac16da30a9</t>
  </si>
  <si>
    <t xml:space="preserve">1992 Maserati GranTurismo</t>
  </si>
  <si>
    <t xml:space="preserve">91f69928-f239-5539-9c60-2abff5fb1cb1</t>
  </si>
  <si>
    <t xml:space="preserve">2016 Maserati GranTurismo</t>
  </si>
  <si>
    <t xml:space="preserve">506b5168-01d7-588a-b13b-a64da2050b1c</t>
  </si>
  <si>
    <t xml:space="preserve">1973 Mercedes-Benz 280SL Pagoda</t>
  </si>
  <si>
    <t xml:space="preserve">31bf7ddc-40bf-5590-80b9-c053a11b86b2</t>
  </si>
  <si>
    <t xml:space="preserve">bd0add05-2762-5a12-ace9-3e6988469180</t>
  </si>
  <si>
    <t xml:space="preserve">1958 Aston Martin DB12</t>
  </si>
  <si>
    <t xml:space="preserve">b6c4f807-ec39-54c6-ac7d-02f69dbcb736</t>
  </si>
  <si>
    <t xml:space="preserve">RI</t>
  </si>
  <si>
    <t xml:space="preserve">2003 Bentley Continental GT</t>
  </si>
  <si>
    <t xml:space="preserve">553d5056-0261-505a-9958-280edd7f3a49</t>
  </si>
  <si>
    <t xml:space="preserve">1980 McLaren 750S</t>
  </si>
  <si>
    <t xml:space="preserve">45012a0e-28a1-5668-86f2-d851462a9df5</t>
  </si>
  <si>
    <t xml:space="preserve">ME</t>
  </si>
  <si>
    <t xml:space="preserve">1961 Aston Martin DB12</t>
  </si>
  <si>
    <t xml:space="preserve">3f4a49a3-5883-5166-98ba-342259f4432e</t>
  </si>
  <si>
    <t xml:space="preserve">1963 Aston Martin DB12</t>
  </si>
  <si>
    <t xml:space="preserve">973f3533-9dbe-5afa-a909-d7fc85330d00</t>
  </si>
  <si>
    <t xml:space="preserve">2019 Mercedes-Benz 280SL Pagoda</t>
  </si>
  <si>
    <t xml:space="preserve">97bbf99d-95ea-5463-b70d-adbe197538c9</t>
  </si>
  <si>
    <t xml:space="preserve">5f7cd0b7-a5a4-53dc-a070-b6f6968d80d5</t>
  </si>
  <si>
    <t xml:space="preserve">1967 BMW M8 Competition</t>
  </si>
  <si>
    <t xml:space="preserve">62b894c5-3d9f-5f0a-b6cb-a30de3851bc5</t>
  </si>
  <si>
    <t xml:space="preserve">2015 Ferrari SF90 Stradale</t>
  </si>
  <si>
    <t xml:space="preserve">4b44be10-b126-59fa-886e-3bf296866f49</t>
  </si>
  <si>
    <t xml:space="preserve">1957 Lamborghini Huracan EVO</t>
  </si>
  <si>
    <t xml:space="preserve">d11393c5-02ea-52c5-8345-4b52026ee413</t>
  </si>
  <si>
    <t xml:space="preserve">1997 Ringbrothers Mustang</t>
  </si>
  <si>
    <t xml:space="preserve">8e05ad8f-a181-522b-92a6-c6bc44896358</t>
  </si>
  <si>
    <t xml:space="preserve">1969 Ferrari SF90 Stradale</t>
  </si>
  <si>
    <t xml:space="preserve">d256dff1-0549-5f63-91f5-4b0faeb890b8</t>
  </si>
  <si>
    <t xml:space="preserve">cad61b85-6aea-51a5-ba7a-6172e3a237bd</t>
  </si>
  <si>
    <t xml:space="preserve">c957f535-3bbd-525b-95da-8888116f259f</t>
  </si>
  <si>
    <t xml:space="preserve">2002 Ferrari 296 GTB</t>
  </si>
  <si>
    <t xml:space="preserve">185752a3-de36-5096-9af2-7f54a775fcd2</t>
  </si>
  <si>
    <t xml:space="preserve">08f9440f-e2e6-5b35-ab91-330094eea874</t>
  </si>
  <si>
    <t xml:space="preserve">984d5a2d-660d-5a4c-94a1-f8fe613d8f5c</t>
  </si>
  <si>
    <t xml:space="preserve">1957 Bentley Continental GT</t>
  </si>
  <si>
    <t xml:space="preserve">992c657c-1b45-541d-adf9-636a3f9c8525</t>
  </si>
  <si>
    <t xml:space="preserve">1967 Jaguar E-Type Series 1</t>
  </si>
  <si>
    <t xml:space="preserve">3943ff88-82f5-5351-8d6d-9892efd511c2</t>
  </si>
  <si>
    <t xml:space="preserve">1967 Mercedes-Benz 280SL Pagoda</t>
  </si>
  <si>
    <t xml:space="preserve">c04907eb-10b0-5abd-8685-cdf7d1bc307f</t>
  </si>
  <si>
    <t xml:space="preserve">8589a8b0-15a9-5d98-ab45-ccb34c713f10</t>
  </si>
  <si>
    <t xml:space="preserve">2009 BMW M8 Competition</t>
  </si>
  <si>
    <t xml:space="preserve">920e7abc-f381-50f4-a9a7-afd931b51001</t>
  </si>
  <si>
    <t xml:space="preserve">1988 Bentley Continental GT</t>
  </si>
  <si>
    <t xml:space="preserve">4ff3d0bb-3bcd-5ec1-895b-f528797e2433</t>
  </si>
  <si>
    <t xml:space="preserve">2015 Aston Martin DB5</t>
  </si>
  <si>
    <t xml:space="preserve">fe793641-53ed-59c5-8776-c28293e81dda</t>
  </si>
  <si>
    <t xml:space="preserve">1d5bca7f-df9b-55ea-ab76-6e67b2355831</t>
  </si>
  <si>
    <t xml:space="preserve">77008335-1e35-541e-9c34-3c995dd7f4de</t>
  </si>
  <si>
    <t xml:space="preserve">2022 Aston Martin DB12</t>
  </si>
  <si>
    <t xml:space="preserve">3d357502-04ae-58c0-9146-5710ff4eb14d</t>
  </si>
  <si>
    <t xml:space="preserve">1958 Mercedes-Benz AMG GT</t>
  </si>
  <si>
    <t xml:space="preserve">37968d2b-a415-5bc2-af4e-730bf263dce5</t>
  </si>
  <si>
    <t xml:space="preserve">1971 Lamborghini Huracan EVO</t>
  </si>
  <si>
    <t xml:space="preserve">198d6630-4f9f-588a-a074-59499e788ed5</t>
  </si>
  <si>
    <t xml:space="preserve">1991 Maserati GranTurismo</t>
  </si>
  <si>
    <t xml:space="preserve">332dca52-68fa-51fa-8085-6a9cf4926520</t>
  </si>
  <si>
    <t xml:space="preserve">1993 Icon Derelict</t>
  </si>
  <si>
    <t xml:space="preserve">bd1a8b0f-017a-5eb7-9daf-6431a8cac982</t>
  </si>
  <si>
    <t xml:space="preserve">2021 McLaren 750S</t>
  </si>
  <si>
    <t xml:space="preserve">d16b7617-4e78-5401-9952-b52bcb9c293f</t>
  </si>
  <si>
    <t xml:space="preserve">1eca6369-3fc9-560d-9aa3-ab82c9d182f2</t>
  </si>
  <si>
    <t xml:space="preserve">1979 Porsche 911 Turbo S</t>
  </si>
  <si>
    <t xml:space="preserve">d86f2566-a7f7-5615-8a94-0ce8d29cfde4</t>
  </si>
  <si>
    <t xml:space="preserve">1998 Maserati GranTurismo</t>
  </si>
  <si>
    <t xml:space="preserve">Monthly Rater — 2025-10  (Month 3 of 12)</t>
  </si>
  <si>
    <t xml:space="preserve">Softening index 0.9691. Rated Premium = ROUND(AgreedValue/100 × BaseRate × Territory × Softening ÷ Gross-Up, 2); ties to artifact premium within $0.01 (generator rounding).</t>
  </si>
  <si>
    <t xml:space="preserve">2025-10-15</t>
  </si>
  <si>
    <t xml:space="preserve">acd62f01-73e9-558b-811e-af8a2b93793b</t>
  </si>
  <si>
    <t xml:space="preserve">1974 Jaguar E-Type Series 1</t>
  </si>
  <si>
    <t xml:space="preserve">2025-10-20</t>
  </si>
  <si>
    <t xml:space="preserve">69954cdc-99fa-5468-82cc-482e9baefa90</t>
  </si>
  <si>
    <t xml:space="preserve">2025-10-14</t>
  </si>
  <si>
    <t xml:space="preserve">4ae569c3-12c0-576e-bf78-976132ca8dd6</t>
  </si>
  <si>
    <t xml:space="preserve">2003 Ferrari 275 GTB/4</t>
  </si>
  <si>
    <t xml:space="preserve">df191f38-5fbf-5bc3-99cf-684c2f24405e</t>
  </si>
  <si>
    <t xml:space="preserve">2025-10-11</t>
  </si>
  <si>
    <t xml:space="preserve">b4cdbbcb-2c19-5205-b6cb-660937c0c356</t>
  </si>
  <si>
    <t xml:space="preserve">2025-10-24</t>
  </si>
  <si>
    <t xml:space="preserve">28f20aa2-83b6-5672-b1a8-501b1a34b7bb</t>
  </si>
  <si>
    <t xml:space="preserve">2003 Mercedes-Benz AMG GT</t>
  </si>
  <si>
    <t xml:space="preserve">2025-10-06</t>
  </si>
  <si>
    <t xml:space="preserve">daf71ca0-ef2c-56f3-92fd-89e63b95404e</t>
  </si>
  <si>
    <t xml:space="preserve">2000 Ferrari 275 GTB/4</t>
  </si>
  <si>
    <t xml:space="preserve">2025-10-10</t>
  </si>
  <si>
    <t xml:space="preserve">d65a6254-01dd-5f97-a1cc-6faf52aefd1b</t>
  </si>
  <si>
    <t xml:space="preserve">1963 Ferrari 296 GTB</t>
  </si>
  <si>
    <t xml:space="preserve">67a2e49e-fe4d-5015-8271-5ec7b4309161</t>
  </si>
  <si>
    <t xml:space="preserve">2017 Aston Martin DB12</t>
  </si>
  <si>
    <t xml:space="preserve">2025-10-31</t>
  </si>
  <si>
    <t xml:space="preserve">2c53162f-a853-562c-9400-5d9ebefb1e20</t>
  </si>
  <si>
    <t xml:space="preserve">2025-10-17</t>
  </si>
  <si>
    <t xml:space="preserve">3e0f92cb-8054-5eb5-8019-d12b70045dee</t>
  </si>
  <si>
    <t xml:space="preserve">2025-10-27</t>
  </si>
  <si>
    <t xml:space="preserve">7e460c2c-baf0-5807-aa18-fed14e21d4df</t>
  </si>
  <si>
    <t xml:space="preserve">afd119ce-28ce-5216-af8c-c293c05b503d</t>
  </si>
  <si>
    <t xml:space="preserve">2007 Maserati GranTurismo</t>
  </si>
  <si>
    <t xml:space="preserve">2025-10-01</t>
  </si>
  <si>
    <t xml:space="preserve">422810dc-0e02-54bf-a7db-649d973299ea</t>
  </si>
  <si>
    <t xml:space="preserve">2025-10-25</t>
  </si>
  <si>
    <t xml:space="preserve">879deacb-6268-5212-bb8c-5bcef3da03e7</t>
  </si>
  <si>
    <t xml:space="preserve">010682c7-54f3-50eb-ac8c-9111e016edf9</t>
  </si>
  <si>
    <t xml:space="preserve">2025-10-28</t>
  </si>
  <si>
    <t xml:space="preserve">7611f5f5-9997-53ef-a9a2-84760b4ddb37</t>
  </si>
  <si>
    <t xml:space="preserve">2006 Bentley Continental GT</t>
  </si>
  <si>
    <t xml:space="preserve">2025-10-08</t>
  </si>
  <si>
    <t xml:space="preserve">bad661fd-ad3f-5cb6-9ded-46b818568415</t>
  </si>
  <si>
    <t xml:space="preserve">1990 Mercedes-Benz AMG GT</t>
  </si>
  <si>
    <t xml:space="preserve">2025-10-12</t>
  </si>
  <si>
    <t xml:space="preserve">3284196c-2e86-53e5-83be-8e130dd4c20a</t>
  </si>
  <si>
    <t xml:space="preserve">1959 Singer 911 Reimagined</t>
  </si>
  <si>
    <t xml:space="preserve">f57bd989-f0a7-5ee2-84e3-a26bb5737475</t>
  </si>
  <si>
    <t xml:space="preserve">2025-10-30</t>
  </si>
  <si>
    <t xml:space="preserve">c0de5fa6-8d6e-5d0b-88b4-54fd00b43b1f</t>
  </si>
  <si>
    <t xml:space="preserve">2025-10-29</t>
  </si>
  <si>
    <t xml:space="preserve">23f515a1-9c79-549a-ba1a-81445274d5db</t>
  </si>
  <si>
    <t xml:space="preserve">1967 Maserati GranTurismo</t>
  </si>
  <si>
    <t xml:space="preserve">82c9c492-170c-5984-9b33-3371c8ed51bc</t>
  </si>
  <si>
    <t xml:space="preserve">2015 Bentley Continental GT</t>
  </si>
  <si>
    <t xml:space="preserve">81e213cf-043e-52ff-904e-b9e3b23e972e</t>
  </si>
  <si>
    <t xml:space="preserve">1983 Lamborghini Huracan EVO</t>
  </si>
  <si>
    <t xml:space="preserve">47df9cfc-1805-5aca-81f6-85060b79dedb</t>
  </si>
  <si>
    <t xml:space="preserve">2022 Ringbrothers Mustang</t>
  </si>
  <si>
    <t xml:space="preserve">2025-10-03</t>
  </si>
  <si>
    <t xml:space="preserve">eed76349-afa1-5e7d-91a0-26e8029c245f</t>
  </si>
  <si>
    <t xml:space="preserve">1957 McLaren 750S</t>
  </si>
  <si>
    <t xml:space="preserve">a70818ad-9bf5-54f9-8a40-7d4ce3b35a91</t>
  </si>
  <si>
    <t xml:space="preserve">16b81ef2-9345-5fdb-8d42-246ceb596db4</t>
  </si>
  <si>
    <t xml:space="preserve">1992 Bentley Continental GT</t>
  </si>
  <si>
    <t xml:space="preserve">062631de-bde4-5f97-82cc-7614dbf409a7</t>
  </si>
  <si>
    <t xml:space="preserve">1955 Bentley Continental GT</t>
  </si>
  <si>
    <t xml:space="preserve">2025-10-07</t>
  </si>
  <si>
    <t xml:space="preserve">a4bbcf9a-f11c-54e3-af4c-b40802131152</t>
  </si>
  <si>
    <t xml:space="preserve">0469c27b-1d34-5bb5-ac54-174cfa92826b</t>
  </si>
  <si>
    <t xml:space="preserve">1967 Aston Martin DB12</t>
  </si>
  <si>
    <t xml:space="preserve">2025-10-09</t>
  </si>
  <si>
    <t xml:space="preserve">14842cb3-15b0-5944-a0b5-1f57d54059bd</t>
  </si>
  <si>
    <t xml:space="preserve">2025-10-16</t>
  </si>
  <si>
    <t xml:space="preserve">bbc74db1-10a5-554d-bf25-4d505050d3b3</t>
  </si>
  <si>
    <t xml:space="preserve">2002 Alfa Romeo 8C 2900</t>
  </si>
  <si>
    <t xml:space="preserve">5a8ea457-4151-5311-a51a-04f1613f1a27</t>
  </si>
  <si>
    <t xml:space="preserve">38cde42e-9840-5a1d-a5e7-9b7f44573ca9</t>
  </si>
  <si>
    <t xml:space="preserve">2025-10-26</t>
  </si>
  <si>
    <t xml:space="preserve">7a37da31-b4f5-560c-ad5e-050e12aad228</t>
  </si>
  <si>
    <t xml:space="preserve">2025-10-22</t>
  </si>
  <si>
    <t xml:space="preserve">26fc1b79-654b-5b7a-876b-c82e57a30adc</t>
  </si>
  <si>
    <t xml:space="preserve">1976 Lamborghini Huracan EVO</t>
  </si>
  <si>
    <t xml:space="preserve">ceb548ff-b13c-5e74-8b71-a71380a62402</t>
  </si>
  <si>
    <t xml:space="preserve">5ee74263-4891-59c1-8344-c95766b31a6f</t>
  </si>
  <si>
    <t xml:space="preserve">2025-10-23</t>
  </si>
  <si>
    <t xml:space="preserve">bd2e152f-b890-54ba-a503-e3f3e528089e</t>
  </si>
  <si>
    <t xml:space="preserve">1977 BMW M8 Competition</t>
  </si>
  <si>
    <t xml:space="preserve">2025-10-19</t>
  </si>
  <si>
    <t xml:space="preserve">43972871-e197-5036-85f9-8128f3263274</t>
  </si>
  <si>
    <t xml:space="preserve">e0f5363b-3270-5936-9350-17222359edde</t>
  </si>
  <si>
    <t xml:space="preserve">1980 Ferrari SF90 Stradale</t>
  </si>
  <si>
    <t xml:space="preserve">f073201e-615e-550c-9243-efd7bb0cb067</t>
  </si>
  <si>
    <t xml:space="preserve">2003 Mercedes-Benz 280SL Pagoda</t>
  </si>
  <si>
    <t xml:space="preserve">2025-10-05</t>
  </si>
  <si>
    <t xml:space="preserve">34ff6cf1-4583-5460-80ed-632040ba016c</t>
  </si>
  <si>
    <t xml:space="preserve">68a6f5c0-9e1b-507e-b813-f62b18b83af7</t>
  </si>
  <si>
    <t xml:space="preserve">1959 McLaren 750S</t>
  </si>
  <si>
    <t xml:space="preserve">15604dcb-e793-50fd-9412-b506a612e1e3</t>
  </si>
  <si>
    <t xml:space="preserve">1987 Ferrari SF90 Stradale</t>
  </si>
  <si>
    <t xml:space="preserve">ee28f158-06ce-5286-87a3-d509bee5031a</t>
  </si>
  <si>
    <t xml:space="preserve">76737ec2-7817-5246-b5da-9661273533e6</t>
  </si>
  <si>
    <t xml:space="preserve">aaf93263-b322-5057-b3e5-7fe24323e415</t>
  </si>
  <si>
    <t xml:space="preserve">2010 Porsche 911 Turbo S</t>
  </si>
  <si>
    <t xml:space="preserve">92ad0d19-a26e-5444-80c4-5c731e96c0aa</t>
  </si>
  <si>
    <t xml:space="preserve">2018 Ferrari 296 GTB</t>
  </si>
  <si>
    <t xml:space="preserve">2025-10-02</t>
  </si>
  <si>
    <t xml:space="preserve">b0a249e7-5051-5889-88b2-36828a63c6f1</t>
  </si>
  <si>
    <t xml:space="preserve">2017 Jaguar E-Type Series 1</t>
  </si>
  <si>
    <t xml:space="preserve">c3b63e2c-5d93-5765-8313-08ec3a2a394d</t>
  </si>
  <si>
    <t xml:space="preserve">1971 Ferrari SF90 Stradale</t>
  </si>
  <si>
    <t xml:space="preserve">ef3920de-ca60-5002-a79a-df2ea999c3f5</t>
  </si>
  <si>
    <t xml:space="preserve">5af974f3-b625-57ed-90d5-52b733af6686</t>
  </si>
  <si>
    <t xml:space="preserve">1961 Singer 911 Reimagined</t>
  </si>
  <si>
    <t xml:space="preserve">e149376c-8d8c-58af-abcc-20463a3d1018</t>
  </si>
  <si>
    <t xml:space="preserve">1995 BMW M8 Competition</t>
  </si>
  <si>
    <t xml:space="preserve">76dc2068-3e1d-5918-b03e-44fa94981940</t>
  </si>
  <si>
    <t xml:space="preserve">1995 Bentley Continental GT</t>
  </si>
  <si>
    <t xml:space="preserve">4d635278-f086-5190-9345-c0f1bc7627b0</t>
  </si>
  <si>
    <t xml:space="preserve">2014 Jaguar E-Type Series 1</t>
  </si>
  <si>
    <t xml:space="preserve">29a32091-737b-5b05-9470-06d0fef8b50d</t>
  </si>
  <si>
    <t xml:space="preserve">c9608706-50a7-593b-982a-9bb344411ae0</t>
  </si>
  <si>
    <t xml:space="preserve">2012 Porsche 911 Turbo S</t>
  </si>
  <si>
    <t xml:space="preserve">8856cba1-0309-503c-a592-48400f4d68bb</t>
  </si>
  <si>
    <t xml:space="preserve">2020 Aston Martin DB5</t>
  </si>
  <si>
    <t xml:space="preserve">a023d760-b515-5306-8ea8-eb98ffbfecff</t>
  </si>
  <si>
    <t xml:space="preserve">1988 McLaren 750S</t>
  </si>
  <si>
    <t xml:space="preserve">e206bd2a-0c36-50a8-9221-564a8a06a659</t>
  </si>
  <si>
    <t xml:space="preserve">1989 Jaguar E-Type Series 1</t>
  </si>
  <si>
    <t xml:space="preserve">906eb087-7656-5a38-bad4-5012981dd005</t>
  </si>
  <si>
    <t xml:space="preserve">1991 BMW M8 Competition</t>
  </si>
  <si>
    <t xml:space="preserve">bda5c4ca-1830-5208-b4b2-3aac091ac831</t>
  </si>
  <si>
    <t xml:space="preserve">25779fc4-f599-5c75-92e1-d16710e84076</t>
  </si>
  <si>
    <t xml:space="preserve">0d766692-87bc-5355-926b-c0197979e832</t>
  </si>
  <si>
    <t xml:space="preserve">890ad2ed-a407-5978-9607-9beff91b9041</t>
  </si>
  <si>
    <t xml:space="preserve">2009 Ferrari SF90 Stradale</t>
  </si>
  <si>
    <t xml:space="preserve">3a3a5369-3c03-51be-b572-ac43a203b85d</t>
  </si>
  <si>
    <t xml:space="preserve">2025-10-04</t>
  </si>
  <si>
    <t xml:space="preserve">0105eb4c-44d3-5ffc-87de-f783fee8d2f2</t>
  </si>
  <si>
    <t xml:space="preserve">2023 Porsche 911 Turbo S</t>
  </si>
  <si>
    <t xml:space="preserve">79cb5ccf-8761-5c85-b012-ccd9ef276763</t>
  </si>
  <si>
    <t xml:space="preserve">2018 McLaren 750S</t>
  </si>
  <si>
    <t xml:space="preserve">72797cba-0069-524f-9b96-1cae29fa4e21</t>
  </si>
  <si>
    <t xml:space="preserve">2010 Ferrari 275 GTB/4</t>
  </si>
  <si>
    <t xml:space="preserve">4c92062b-5511-58b4-b039-e8d9729dee12</t>
  </si>
  <si>
    <t xml:space="preserve">205e7797-e096-543d-bb87-9d4c4fb946d3</t>
  </si>
  <si>
    <t xml:space="preserve">2014 Lamborghini Huracan EVO</t>
  </si>
  <si>
    <t xml:space="preserve">2bd9d41d-52cd-5eec-85b7-52cd57d214d3</t>
  </si>
  <si>
    <t xml:space="preserve">62bfcf9e-e2ad-5116-9a1d-ed080f981a13</t>
  </si>
  <si>
    <t xml:space="preserve">1963 Bentley 4.5 Litre</t>
  </si>
  <si>
    <t xml:space="preserve">627db2e0-0d79-56fb-abef-c0078d360f0d</t>
  </si>
  <si>
    <t xml:space="preserve">1983 Mercedes-Benz 280SL Pagoda</t>
  </si>
  <si>
    <t xml:space="preserve">56178507-fdc5-557c-86f1-a69e1b6c60ac</t>
  </si>
  <si>
    <t xml:space="preserve">2011 BMW M8 Competition</t>
  </si>
  <si>
    <t xml:space="preserve">3f9bcca3-35d4-5000-baa8-516084e26e88</t>
  </si>
  <si>
    <t xml:space="preserve">1973 Bentley Continental GT</t>
  </si>
  <si>
    <t xml:space="preserve">cc147b5e-03d3-5e50-8ce2-5da1f9bf5a5f</t>
  </si>
  <si>
    <t xml:space="preserve">1996 Aston Martin DB12</t>
  </si>
  <si>
    <t xml:space="preserve">c13e5f39-1b89-5fb5-a005-6b4d4ea08866</t>
  </si>
  <si>
    <t xml:space="preserve">dd2456fc-b5f5-5564-8174-a76df766cae9</t>
  </si>
  <si>
    <t xml:space="preserve">1569235a-c332-5690-ac11-1ea34906573d</t>
  </si>
  <si>
    <t xml:space="preserve">2025-10-13</t>
  </si>
  <si>
    <t xml:space="preserve">fade33ac-ff73-5492-b0c1-9b5e9ae5103a</t>
  </si>
  <si>
    <t xml:space="preserve">0b172f21-6243-5262-9101-1f988953a228</t>
  </si>
  <si>
    <t xml:space="preserve">2017 Mercedes-Benz AMG GT</t>
  </si>
  <si>
    <t xml:space="preserve">c81eccc5-d050-5c13-b72d-a74a432abc4b</t>
  </si>
  <si>
    <t xml:space="preserve">1956 Ferrari SF90 Stradale</t>
  </si>
  <si>
    <t xml:space="preserve">42bbe995-013d-5b2c-a1c3-e5437ac7af46</t>
  </si>
  <si>
    <t xml:space="preserve">2025-10-21</t>
  </si>
  <si>
    <t xml:space="preserve">f23c9269-7b1f-5e39-91cd-c52652c4725f</t>
  </si>
  <si>
    <t xml:space="preserve">817a0f35-a5de-5db6-aeaf-11b886d84cc5</t>
  </si>
  <si>
    <t xml:space="preserve">2023 Bugatti Type 57</t>
  </si>
  <si>
    <t xml:space="preserve">531a3cda-368a-5c2e-8da5-d7ba605d496e</t>
  </si>
  <si>
    <t xml:space="preserve">27685100-e90b-5b2e-935f-b5ca2afdfb74</t>
  </si>
  <si>
    <t xml:space="preserve">20838cc5-669e-5d76-ae0b-965f8e49e037</t>
  </si>
  <si>
    <t xml:space="preserve">1970 Lamborghini Huracan EVO</t>
  </si>
  <si>
    <t xml:space="preserve">84a985d5-fdae-5aea-b9fc-3b58ecd9509e</t>
  </si>
  <si>
    <t xml:space="preserve">2009 Ringbrothers Mustang</t>
  </si>
  <si>
    <t xml:space="preserve">2025-10-18</t>
  </si>
  <si>
    <t xml:space="preserve">a62bbfa7-7367-5a01-804d-2f3cda290ba3</t>
  </si>
  <si>
    <t xml:space="preserve">0bfef28b-27e4-51ef-b6e0-28b71f03b794</t>
  </si>
  <si>
    <t xml:space="preserve">26b8907b-e9a0-5c12-a8cf-1653508f2b5a</t>
  </si>
  <si>
    <t xml:space="preserve">4e519abe-ff84-50c2-93d9-dfaf7f807164</t>
  </si>
  <si>
    <t xml:space="preserve">1972 McLaren 750S</t>
  </si>
  <si>
    <t xml:space="preserve">7017ca60-ddd7-5d4d-8583-3b3fa7bc26f3</t>
  </si>
  <si>
    <t xml:space="preserve">1979 Icon Derelict</t>
  </si>
  <si>
    <t xml:space="preserve">f1178c6d-f287-5534-a734-37fa4cd9020f</t>
  </si>
  <si>
    <t xml:space="preserve">4ac6ec54-eac9-51a4-9ba7-d00fb03302ec</t>
  </si>
  <si>
    <t xml:space="preserve">9044e219-a5d8-5428-8c62-68ec70b473a8</t>
  </si>
  <si>
    <t xml:space="preserve">03cfbd8e-04c1-5cd6-b935-fd5bb1aa6180</t>
  </si>
  <si>
    <t xml:space="preserve">46fb8514-54c2-56af-bf64-4f65b33cbfad</t>
  </si>
  <si>
    <t xml:space="preserve">1969 Bentley Continental GT</t>
  </si>
  <si>
    <t xml:space="preserve">1df4559f-3ac4-54f7-bca3-61b7cbedb9a3</t>
  </si>
  <si>
    <t xml:space="preserve">1960 Mercedes-Benz AMG GT</t>
  </si>
  <si>
    <t xml:space="preserve">dfe2ac9f-f930-5f44-bd71-f140aa326baa</t>
  </si>
  <si>
    <t xml:space="preserve">4dedc23e-73c2-5673-9228-55c400821c46</t>
  </si>
  <si>
    <t xml:space="preserve">2016 Icon Derelict</t>
  </si>
  <si>
    <t xml:space="preserve">75303572-bc34-5615-b023-e7e1be619344</t>
  </si>
  <si>
    <t xml:space="preserve">15189add-6db1-571f-b83f-78a96958bf66</t>
  </si>
  <si>
    <t xml:space="preserve">ec798e87-342b-5612-bba7-05cfec2710f4</t>
  </si>
  <si>
    <t xml:space="preserve">1968 Mercedes-Benz AMG GT</t>
  </si>
  <si>
    <t xml:space="preserve">f20809d9-abd2-50ba-b9e5-888acac9899f</t>
  </si>
  <si>
    <t xml:space="preserve">1999 Porsche 911 Turbo S</t>
  </si>
  <si>
    <t xml:space="preserve">080fff76-0832-5a68-aa90-243b016faaed</t>
  </si>
  <si>
    <t xml:space="preserve">1969 Mercedes-Benz AMG GT</t>
  </si>
  <si>
    <t xml:space="preserve">68a39093-1cbc-5d85-a0b3-3ba48af3732b</t>
  </si>
  <si>
    <t xml:space="preserve">2005 Ferrari SF90 Stradale</t>
  </si>
  <si>
    <t xml:space="preserve">c3dae3f2-5f59-595a-ac90-04d8db41e48c</t>
  </si>
  <si>
    <t xml:space="preserve">1975 Lamborghini Huracan EVO</t>
  </si>
  <si>
    <t xml:space="preserve">59514aa1-8566-5438-aa4d-0c4da4dfdeba</t>
  </si>
  <si>
    <t xml:space="preserve">1972 Mercedes-Benz AMG GT</t>
  </si>
  <si>
    <t xml:space="preserve">cdfd4a8a-f217-5fed-8e45-a388ee1657ce</t>
  </si>
  <si>
    <t xml:space="preserve">d8b7f581-71fa-5873-a900-7aac4d10d1ac</t>
  </si>
  <si>
    <t xml:space="preserve">1998 Ferrari SF90 Stradale</t>
  </si>
  <si>
    <t xml:space="preserve">bbf6bde2-4a90-5ce5-9549-6dda821ad6cf</t>
  </si>
  <si>
    <t xml:space="preserve">1978 Bentley 4.5 Litre</t>
  </si>
  <si>
    <t xml:space="preserve">ccd06a88-78ff-5bef-bc83-8a76b233a1af</t>
  </si>
  <si>
    <t xml:space="preserve">1966 Ferrari 296 GTB</t>
  </si>
  <si>
    <t xml:space="preserve">750170f0-065a-5d3c-955a-7bfb03f337c1</t>
  </si>
  <si>
    <t xml:space="preserve">90d4f175-b341-5c9e-8ec6-4d3bd69e317e</t>
  </si>
  <si>
    <t xml:space="preserve">1993 Lamborghini Huracan EVO</t>
  </si>
  <si>
    <t xml:space="preserve">6cd4a85f-592b-5457-8d5f-5705d4bca829</t>
  </si>
  <si>
    <t xml:space="preserve">2004 Mercedes-Benz AMG GT</t>
  </si>
  <si>
    <t xml:space="preserve">3e52dd6b-d141-59d3-9bd0-20e0f3bfdf90</t>
  </si>
  <si>
    <t xml:space="preserve">2021 Aston Martin DB5</t>
  </si>
  <si>
    <t xml:space="preserve">0293981b-6977-5b52-aaba-b385af925f94</t>
  </si>
  <si>
    <t xml:space="preserve">81984a25-3e26-597b-bdcf-eab5be41c9f4</t>
  </si>
  <si>
    <t xml:space="preserve">1973 Maserati GranTurismo</t>
  </si>
  <si>
    <t xml:space="preserve">e6eb7e21-f54a-564e-b777-4023ab79723e</t>
  </si>
  <si>
    <t xml:space="preserve">1961 Maserati GranTurismo</t>
  </si>
  <si>
    <t xml:space="preserve">3152e17c-e0ba-53c5-89e1-71d63f30df2a</t>
  </si>
  <si>
    <t xml:space="preserve">e54ef72f-ade9-554c-9a8d-73d104d7899f</t>
  </si>
  <si>
    <t xml:space="preserve">1969 Aston Martin DB12</t>
  </si>
  <si>
    <t xml:space="preserve">873341a0-c3c9-51cc-8d82-6a1ca09e9ee0</t>
  </si>
  <si>
    <t xml:space="preserve">2022 Ferrari SF90 Stradale</t>
  </si>
  <si>
    <t xml:space="preserve">8ff812e5-5226-5590-b668-651f2cf7f614</t>
  </si>
  <si>
    <t xml:space="preserve">1965 Lamborghini Huracan EVO</t>
  </si>
  <si>
    <t xml:space="preserve">584a4450-42a8-55a2-ae04-032465e2d6be</t>
  </si>
  <si>
    <t xml:space="preserve">2010 McLaren 750S</t>
  </si>
  <si>
    <t xml:space="preserve">eb947ee4-2e43-5140-af9d-52320ff59fa8</t>
  </si>
  <si>
    <t xml:space="preserve">1965 Aston Martin DB12</t>
  </si>
  <si>
    <t xml:space="preserve">2b97e50e-038f-5ba9-8c66-785960a2cc4e</t>
  </si>
  <si>
    <t xml:space="preserve">1995 Aston Martin DB12</t>
  </si>
  <si>
    <t xml:space="preserve">b756e5f4-9b1d-59d6-b41f-c7dd998ab8c3</t>
  </si>
  <si>
    <t xml:space="preserve">2021 Lamborghini Huracan EVO</t>
  </si>
  <si>
    <t xml:space="preserve">bbb3ea91-6300-5da6-b2bc-61df788e3fe0</t>
  </si>
  <si>
    <t xml:space="preserve">25fee216-c9fd-5aed-8bb6-5f5fcbd8c9a7</t>
  </si>
  <si>
    <t xml:space="preserve">aadefe9b-e409-5188-a2ba-2f77fe0bb964</t>
  </si>
  <si>
    <t xml:space="preserve">ac0376af-7ad6-5a3b-8df0-47039fc37b72</t>
  </si>
  <si>
    <t xml:space="preserve">1993 Aston Martin DB5</t>
  </si>
  <si>
    <t xml:space="preserve">3410e2cc-cb96-5845-8875-6d0343fd8bf7</t>
  </si>
  <si>
    <t xml:space="preserve">1956 Porsche 911 Turbo S</t>
  </si>
  <si>
    <t xml:space="preserve">e0902dc2-8cc4-5e86-b2cf-8ef7ffb0cd6c</t>
  </si>
  <si>
    <t xml:space="preserve">c5a5fd30-085b-5e30-8fc6-8bf0ae18ef75</t>
  </si>
  <si>
    <t xml:space="preserve">b1fab89c-79da-5138-8db3-c0023aee7e44</t>
  </si>
  <si>
    <t xml:space="preserve">2023 Bentley Continental GT</t>
  </si>
  <si>
    <t xml:space="preserve">91089be4-a7b3-5991-9685-57b756439c74</t>
  </si>
  <si>
    <t xml:space="preserve">1959 Ferrari 296 GTB</t>
  </si>
  <si>
    <t xml:space="preserve">277f75d6-c91c-52b7-9021-7153db1d977a</t>
  </si>
  <si>
    <t xml:space="preserve">309cfba2-f703-567b-bd6b-cff8ebeda417</t>
  </si>
  <si>
    <t xml:space="preserve">2020 Aston Martin DB12</t>
  </si>
  <si>
    <t xml:space="preserve">44ea9c4e-8013-5a6c-8d65-34139ff29380</t>
  </si>
  <si>
    <t xml:space="preserve">34075bcc-0edd-542c-9fc8-d499bda112d0</t>
  </si>
  <si>
    <t xml:space="preserve">1963 Ringbrothers Mustang</t>
  </si>
  <si>
    <t xml:space="preserve">42d45568-b565-5df6-bb38-c731481caecb</t>
  </si>
  <si>
    <t xml:space="preserve">2b5dfcb2-1d48-528f-83e7-25c2e5e2fbd5</t>
  </si>
  <si>
    <t xml:space="preserve">4136ab19-0a61-5736-a584-30c1dce1fe15</t>
  </si>
  <si>
    <t xml:space="preserve">1959 BMW M8 Competition</t>
  </si>
  <si>
    <t xml:space="preserve">a71f5d85-6d7f-55d1-917a-e4cc398f51a8</t>
  </si>
  <si>
    <t xml:space="preserve">1980 Mercedes-Benz AMG GT</t>
  </si>
  <si>
    <t xml:space="preserve">9a95ed09-e34d-5f29-9a63-416456ea9e3c</t>
  </si>
  <si>
    <t xml:space="preserve">1992 BMW M8 Competition</t>
  </si>
  <si>
    <t xml:space="preserve">33f180b6-fe75-5012-b927-5b9cae4aad88</t>
  </si>
  <si>
    <t xml:space="preserve">2016 McLaren 750S</t>
  </si>
  <si>
    <t xml:space="preserve">7d71fbba-1c3c-5d61-8126-03f824e38dd3</t>
  </si>
  <si>
    <t xml:space="preserve">bdf220f9-8509-5fd3-8e76-83935e6a93f9</t>
  </si>
  <si>
    <t xml:space="preserve">f5359c9c-3d24-5d0e-8454-333f75a79ead</t>
  </si>
  <si>
    <t xml:space="preserve">b37e07a6-abf4-597e-8081-2987bd748f74</t>
  </si>
  <si>
    <t xml:space="preserve">1958 Mercedes-Benz 280SL Pagoda</t>
  </si>
  <si>
    <t xml:space="preserve">a144440e-e492-5304-9a12-8912ab24228f</t>
  </si>
  <si>
    <t xml:space="preserve">1998 Aston Martin DB5</t>
  </si>
  <si>
    <t xml:space="preserve">b4de440e-0074-5d2a-8a8a-e60b735a691b</t>
  </si>
  <si>
    <t xml:space="preserve">1986 Alfa Romeo 8C 2900</t>
  </si>
  <si>
    <t xml:space="preserve">dc904739-aec0-5175-bed7-5aa7845b2c58</t>
  </si>
  <si>
    <t xml:space="preserve">c95d2c7f-138e-5516-9150-089d395df7f8</t>
  </si>
  <si>
    <t xml:space="preserve">f8ea2cdb-3465-503b-b894-30f6ece4298f</t>
  </si>
  <si>
    <t xml:space="preserve">c19f2e5d-64c6-5def-9fc2-59e98a94ddb2</t>
  </si>
  <si>
    <t xml:space="preserve">4a7045b4-b78e-5627-9ffa-82b6f462a229</t>
  </si>
  <si>
    <t xml:space="preserve">2006 Aston Martin DB12</t>
  </si>
  <si>
    <t xml:space="preserve">99eeed2a-9005-5abc-9dff-7b35e2ffc8a7</t>
  </si>
  <si>
    <t xml:space="preserve">2006 Ferrari 296 GTB</t>
  </si>
  <si>
    <t xml:space="preserve">2f36ff5f-cfa0-52ed-83a6-488ad3ec8700</t>
  </si>
  <si>
    <t xml:space="preserve">1978 Mercedes-Benz AMG GT</t>
  </si>
  <si>
    <t xml:space="preserve">508b8771-855b-5d30-ad06-afa5f5b54ccc</t>
  </si>
  <si>
    <t xml:space="preserve">1994 Jaguar E-Type Series 1</t>
  </si>
  <si>
    <t xml:space="preserve">62448896-c8db-5000-8829-c23f74f90033</t>
  </si>
  <si>
    <t xml:space="preserve">1990 Maserati GranTurismo</t>
  </si>
  <si>
    <t xml:space="preserve">44bb1778-2cc1-50b9-b445-99225fb15686</t>
  </si>
  <si>
    <t xml:space="preserve">1978 Lamborghini Huracan EVO</t>
  </si>
  <si>
    <t xml:space="preserve">b0b0143e-9b75-5746-a33d-0498d8f7e931</t>
  </si>
  <si>
    <t xml:space="preserve">b80d1f10-6f1f-5188-a0bb-177ca8444811</t>
  </si>
  <si>
    <t xml:space="preserve">2020 Bugatti Type 57</t>
  </si>
  <si>
    <t xml:space="preserve">82a0fcd2-1ad7-5105-bb60-9dad31244f5d</t>
  </si>
  <si>
    <t xml:space="preserve">11f45be2-7e4c-5edb-8287-8795258a7d80</t>
  </si>
  <si>
    <t xml:space="preserve">3b8c84ec-16cc-5b49-a2d0-4c84c1f5264f</t>
  </si>
  <si>
    <t xml:space="preserve">1970 McLaren 750S</t>
  </si>
  <si>
    <t xml:space="preserve">8038ac99-797f-5815-9d0d-1bc3a2c87165</t>
  </si>
  <si>
    <t xml:space="preserve">a62fde11-0e14-51ab-ad6f-a121be3623eb</t>
  </si>
  <si>
    <t xml:space="preserve">b3e1925e-ed0f-517d-87ed-482dd5177585</t>
  </si>
  <si>
    <t xml:space="preserve">1976 Ferrari 296 GTB</t>
  </si>
  <si>
    <t xml:space="preserve">422cf8f3-a19b-5fbe-a874-082caf5133f1</t>
  </si>
  <si>
    <t xml:space="preserve">5ca349f9-6687-57b5-886a-961e5abe24fb</t>
  </si>
  <si>
    <t xml:space="preserve">1959 Ferrari SF90 Stradale</t>
  </si>
  <si>
    <t xml:space="preserve">173a16d6-6df1-5e34-9d84-c9f295ab848a</t>
  </si>
  <si>
    <t xml:space="preserve">f3b7af52-96bd-590b-97d8-31b06989b0cc</t>
  </si>
  <si>
    <t xml:space="preserve">1959 Aston Martin DB5</t>
  </si>
  <si>
    <t xml:space="preserve">413283c2-ca66-55ef-b49b-f75530f4bd07</t>
  </si>
  <si>
    <t xml:space="preserve">1958 Maserati GranTurismo</t>
  </si>
  <si>
    <t xml:space="preserve">b13eeb1e-cf30-5462-b1f5-9b2fb184047f</t>
  </si>
  <si>
    <t xml:space="preserve">1994 Alfa Romeo 8C 2900</t>
  </si>
  <si>
    <t xml:space="preserve">0f73e32e-c554-51ad-a4d2-b1e48f341075</t>
  </si>
  <si>
    <t xml:space="preserve">f66aa92b-85a5-580b-868a-759de4d9da67</t>
  </si>
  <si>
    <t xml:space="preserve">1985 McLaren 750S</t>
  </si>
  <si>
    <t xml:space="preserve">a0acebc3-cf23-5ff4-b8ee-8a04d239d05a</t>
  </si>
  <si>
    <t xml:space="preserve">1980 Mercedes-Benz 280SL Pagoda</t>
  </si>
  <si>
    <t xml:space="preserve">1a15183d-3e65-5d13-90b1-84cec575a436</t>
  </si>
  <si>
    <t xml:space="preserve">2000 Aston Martin DB5</t>
  </si>
  <si>
    <t xml:space="preserve">5102cab5-9079-5c35-8568-4c8aa1c2bff6</t>
  </si>
  <si>
    <t xml:space="preserve">cf61e213-bb6a-5c75-9ac2-09738827d9d5</t>
  </si>
  <si>
    <t xml:space="preserve">54250def-602e-5957-818e-2fbc04eb0be6</t>
  </si>
  <si>
    <t xml:space="preserve">2013 Maserati GranTurismo</t>
  </si>
  <si>
    <t xml:space="preserve">4523221f-310d-5b26-b574-ba4fbc674d72</t>
  </si>
  <si>
    <t xml:space="preserve">3c999346-4f85-5961-93e5-828eaee6f18a</t>
  </si>
  <si>
    <t xml:space="preserve">2007 Alfa Romeo 8C 2900</t>
  </si>
  <si>
    <t xml:space="preserve">f8436a39-6c43-5371-84b8-0417d633c8ca</t>
  </si>
  <si>
    <t xml:space="preserve">1971 Aston Martin DB5</t>
  </si>
  <si>
    <t xml:space="preserve">e86f5003-536a-59c0-8e2a-cada4c444ae5</t>
  </si>
  <si>
    <t xml:space="preserve">1955 Aston Martin DB12</t>
  </si>
  <si>
    <t xml:space="preserve">d66ea076-770a-59c4-995f-255e4f6eaaa3</t>
  </si>
  <si>
    <t xml:space="preserve">1958 Ferrari SF90 Stradale</t>
  </si>
  <si>
    <t xml:space="preserve">bd5a745d-031b-51e2-b96e-43d273e9812a</t>
  </si>
  <si>
    <t xml:space="preserve">92a2d7a1-d3c2-541f-99b1-1032e41ceee9</t>
  </si>
  <si>
    <t xml:space="preserve">1985 BMW M8 Competition</t>
  </si>
  <si>
    <t xml:space="preserve">54d45e84-bd2e-5220-b106-5a080f4912dc</t>
  </si>
  <si>
    <t xml:space="preserve">1964 Maserati GranTurismo</t>
  </si>
  <si>
    <t xml:space="preserve">82a48d56-d12f-5042-9bd0-d840ca4de232</t>
  </si>
  <si>
    <t xml:space="preserve">1999 Aston Martin DB12</t>
  </si>
  <si>
    <t xml:space="preserve">72c5e3d3-7bf9-5bef-ab31-756cd84eb096</t>
  </si>
  <si>
    <t xml:space="preserve">1991 Lamborghini Huracan EVO</t>
  </si>
  <si>
    <t xml:space="preserve">1c23048a-e0f6-5197-8804-e138cd3ba7b0</t>
  </si>
  <si>
    <t xml:space="preserve">f301a538-c70e-599b-86c5-ca51c299842f</t>
  </si>
  <si>
    <t xml:space="preserve">2005 BMW M8 Competition</t>
  </si>
  <si>
    <t xml:space="preserve">f2f5a7e4-ba84-54d3-98f5-aba6075fd108</t>
  </si>
  <si>
    <t xml:space="preserve">1979 Ferrari 296 GTB</t>
  </si>
  <si>
    <t xml:space="preserve">df272078-ad72-59e3-92fa-58099d1708ce</t>
  </si>
  <si>
    <t xml:space="preserve">2000 Aston Martin DB12</t>
  </si>
  <si>
    <t xml:space="preserve">e3660e43-8d07-5744-9d6b-9f2ff58341cc</t>
  </si>
  <si>
    <t xml:space="preserve">2c722fad-7281-5f01-a8d3-ee7bc36d8917</t>
  </si>
  <si>
    <t xml:space="preserve">1997 Bentley Continental GT</t>
  </si>
  <si>
    <t xml:space="preserve">71a254f9-b82a-58e9-a688-7859d00987b8</t>
  </si>
  <si>
    <t xml:space="preserve">2019 Bugatti Type 57</t>
  </si>
  <si>
    <t xml:space="preserve">2594c3e0-917f-5030-8add-22c35937c834</t>
  </si>
  <si>
    <t xml:space="preserve">0e779ecb-1206-5791-826c-0b6d115c28f6</t>
  </si>
  <si>
    <t xml:space="preserve">bde3a215-90b9-57bb-8740-2c72749cb11f</t>
  </si>
  <si>
    <t xml:space="preserve">ba9ae01d-a648-51db-b4a6-06b3544561f5</t>
  </si>
  <si>
    <t xml:space="preserve">e580e430-8803-5883-add8-26b008517f31</t>
  </si>
  <si>
    <t xml:space="preserve">1982 Alfa Romeo 8C 2900</t>
  </si>
  <si>
    <t xml:space="preserve">5e9cba13-1d10-5c01-8b43-b96d20a37e52</t>
  </si>
  <si>
    <t xml:space="preserve">3d671bdf-baab-5b28-a85b-81b0b1982aaa</t>
  </si>
  <si>
    <t xml:space="preserve">1976 Bentley Continental GT</t>
  </si>
  <si>
    <t xml:space="preserve">ada2a400-70b6-5745-b7d1-eebdf35b263d</t>
  </si>
  <si>
    <t xml:space="preserve">2003 Lamborghini Huracan EVO</t>
  </si>
  <si>
    <t xml:space="preserve">620eb3cf-4454-5888-98dc-cf491fb25729</t>
  </si>
  <si>
    <t xml:space="preserve">1966 Bugatti Type 57</t>
  </si>
  <si>
    <t xml:space="preserve">18fd08ab-b1ad-50b8-be76-63082f4b7c31</t>
  </si>
  <si>
    <t xml:space="preserve">2022 Porsche 911 Turbo S</t>
  </si>
  <si>
    <t xml:space="preserve">e79ba7b2-2c92-5840-9928-c33583ce8ddd</t>
  </si>
  <si>
    <t xml:space="preserve">1984 Lamborghini Huracan EVO</t>
  </si>
  <si>
    <t xml:space="preserve">d714dcdf-32f7-5968-9bfa-71372b79e75c</t>
  </si>
  <si>
    <t xml:space="preserve">1978 Porsche 911 Turbo S</t>
  </si>
  <si>
    <t xml:space="preserve">b1a3b163-6e14-5932-a49f-0a417ee2b3d8</t>
  </si>
  <si>
    <t xml:space="preserve">756e773b-49eb-5133-b89f-4a0f7c2181e2</t>
  </si>
  <si>
    <t xml:space="preserve">1981 Maserati GranTurismo</t>
  </si>
  <si>
    <t xml:space="preserve">acc18e3d-5394-5016-bbc9-f8d390041e8e</t>
  </si>
  <si>
    <t xml:space="preserve">1973 Porsche 911 Turbo S</t>
  </si>
  <si>
    <t xml:space="preserve">ebe2164c-1c61-5a7c-bb79-178297d9b720</t>
  </si>
  <si>
    <t xml:space="preserve">1983 Ferrari SF90 Stradale</t>
  </si>
  <si>
    <t xml:space="preserve">fddfe9e6-7e9f-54f8-a92a-1bf4beb88b2a</t>
  </si>
  <si>
    <t xml:space="preserve">82c198f3-1478-5be1-9ba0-103bdcca5c8f</t>
  </si>
  <si>
    <t xml:space="preserve">2023 BMW M8 Competition</t>
  </si>
  <si>
    <t xml:space="preserve">deca12e9-1b7a-5a4a-a43a-cbc9baa34277</t>
  </si>
  <si>
    <t xml:space="preserve">1990 Icon Derelict</t>
  </si>
  <si>
    <t xml:space="preserve">41d53b00-9a59-5afb-b599-839180c2e140</t>
  </si>
  <si>
    <t xml:space="preserve">1977 Ferrari SF90 Stradale</t>
  </si>
  <si>
    <t xml:space="preserve">40fbcb1f-459f-5c68-a413-24eeb024bb74</t>
  </si>
  <si>
    <t xml:space="preserve">1992 Porsche 911 Turbo S</t>
  </si>
  <si>
    <t xml:space="preserve">434f47fc-8235-5b35-9384-6fe4651f1a64</t>
  </si>
  <si>
    <t xml:space="preserve">5294287f-2a85-5a75-903c-59bc39841db7</t>
  </si>
  <si>
    <t xml:space="preserve">1967 Bentley Continental GT</t>
  </si>
  <si>
    <t xml:space="preserve">e07bb50f-e5b5-56b0-856b-167030fdad03</t>
  </si>
  <si>
    <t xml:space="preserve">d5dad634-c3b1-591d-bc59-4a398cd6ef3f</t>
  </si>
  <si>
    <t xml:space="preserve">2007 Jaguar E-Type Series 1</t>
  </si>
  <si>
    <t xml:space="preserve">d4a279de-1788-5a64-9ecc-3cdf8aedcd78</t>
  </si>
  <si>
    <t xml:space="preserve">df52739e-8200-5c5d-a216-93049aca0e12</t>
  </si>
  <si>
    <t xml:space="preserve">741c9027-ae8d-5721-a8ce-5ce1593f4e1e</t>
  </si>
  <si>
    <t xml:space="preserve">e2358087-289b-51db-8d95-d8f610cf0248</t>
  </si>
  <si>
    <t xml:space="preserve">2005 Lamborghini Huracan EVO</t>
  </si>
  <si>
    <t xml:space="preserve">eb189ad5-f397-59ac-8111-de0ce179611c</t>
  </si>
  <si>
    <t xml:space="preserve">45707e01-b24b-5406-ae0c-e6687bfb03d9</t>
  </si>
  <si>
    <t xml:space="preserve">8922883c-3000-58f2-814f-e89501876a75</t>
  </si>
  <si>
    <t xml:space="preserve">bfbd49ab-5266-586b-ba9d-6387e8c01030</t>
  </si>
  <si>
    <t xml:space="preserve">693383a8-bd87-5a64-b021-12244ef01983</t>
  </si>
  <si>
    <t xml:space="preserve">ea7d3726-a6af-5160-a9dc-ec30850911be</t>
  </si>
  <si>
    <t xml:space="preserve">f3c50da6-d6d7-54a5-bf00-5de38a7efdb7</t>
  </si>
  <si>
    <t xml:space="preserve">2013 Bentley Continental GT</t>
  </si>
  <si>
    <t xml:space="preserve">15e5e400-71e7-59a4-995d-5a76a7496397</t>
  </si>
  <si>
    <t xml:space="preserve">3b7b3d78-cd03-51ef-b5bb-e749dae59ed4</t>
  </si>
  <si>
    <t xml:space="preserve">2002 McLaren 750S</t>
  </si>
  <si>
    <t xml:space="preserve">4baa0ff0-d1cb-54ad-83a5-f35f66015931</t>
  </si>
  <si>
    <t xml:space="preserve">2011 Ferrari SF90 Stradale</t>
  </si>
  <si>
    <t xml:space="preserve">292ca24b-7b7b-5d20-b054-7e41fda6e95e</t>
  </si>
  <si>
    <t xml:space="preserve">8fd4f652-3b6c-5216-9c4c-167b0dabbb69</t>
  </si>
  <si>
    <t xml:space="preserve">1976 Singer 911 Reimagined</t>
  </si>
  <si>
    <t xml:space="preserve">67aad958-3927-5938-89f1-d53b3ef60767</t>
  </si>
  <si>
    <t xml:space="preserve">1977 Icon Derelict</t>
  </si>
  <si>
    <t xml:space="preserve">ca4332f8-4b4a-58bd-bbbb-8c6b94ec2555</t>
  </si>
  <si>
    <t xml:space="preserve">d0000aba-404b-52c9-8631-d72bd6fb34fb</t>
  </si>
  <si>
    <t xml:space="preserve">5e908782-c909-531d-a25c-0c50124cf01e</t>
  </si>
  <si>
    <t xml:space="preserve">f2f020e8-e2df-58b4-b917-a9e157759cda</t>
  </si>
  <si>
    <t xml:space="preserve">2013 Ferrari 296 GTB</t>
  </si>
  <si>
    <t xml:space="preserve">Monthly Rater — 2025-11  (Month 4 of 12)</t>
  </si>
  <si>
    <t xml:space="preserve">Softening index 0.9194. Rated Premium = ROUND(AgreedValue/100 × BaseRate × Territory × Softening ÷ Gross-Up, 2); ties to artifact premium within $0.01 (generator rounding).</t>
  </si>
  <si>
    <t xml:space="preserve">2025-11-16</t>
  </si>
  <si>
    <t xml:space="preserve">6bd9336c-89f5-5993-bfd7-12a51d124ac9</t>
  </si>
  <si>
    <t xml:space="preserve">1994 Singer 911 Reimagined</t>
  </si>
  <si>
    <t xml:space="preserve">2025-11-09</t>
  </si>
  <si>
    <t xml:space="preserve">eb682e3d-1aa7-5084-b111-5eea1fd9eb81</t>
  </si>
  <si>
    <t xml:space="preserve">2025-11-21</t>
  </si>
  <si>
    <t xml:space="preserve">3366ee43-7359-5ffa-a9a0-5c410c7132a3</t>
  </si>
  <si>
    <t xml:space="preserve">2003 Jaguar E-Type Series 1</t>
  </si>
  <si>
    <t xml:space="preserve">2025-11-20</t>
  </si>
  <si>
    <t xml:space="preserve">572befde-b2b5-5854-9a45-8b35b710d987</t>
  </si>
  <si>
    <t xml:space="preserve">1962 Lamborghini Huracan EVO</t>
  </si>
  <si>
    <t xml:space="preserve">2025-11-02</t>
  </si>
  <si>
    <t xml:space="preserve">222a0123-79df-5992-b179-c68979dad660</t>
  </si>
  <si>
    <t xml:space="preserve">2025-11-25</t>
  </si>
  <si>
    <t xml:space="preserve">cb4320be-0ba9-5e26-9aef-d48962d0cc0e</t>
  </si>
  <si>
    <t xml:space="preserve">2025-11-19</t>
  </si>
  <si>
    <t xml:space="preserve">d810f3f7-3e42-51da-bcab-51f8a285d4aa</t>
  </si>
  <si>
    <t xml:space="preserve">2025-11-28</t>
  </si>
  <si>
    <t xml:space="preserve">7e3380c8-bfdb-5388-8fe3-c92e2f731d69</t>
  </si>
  <si>
    <t xml:space="preserve">1970 Ringbrothers Mustang</t>
  </si>
  <si>
    <t xml:space="preserve">2025-11-27</t>
  </si>
  <si>
    <t xml:space="preserve">3bd2380d-86a8-5152-b838-ac9814df3c48</t>
  </si>
  <si>
    <t xml:space="preserve">2025-11-06</t>
  </si>
  <si>
    <t xml:space="preserve">91e91123-01fb-5267-be93-051189619eb6</t>
  </si>
  <si>
    <t xml:space="preserve">2025-11-12</t>
  </si>
  <si>
    <t xml:space="preserve">14019fd7-1c9a-5a33-a497-c5082bbf8938</t>
  </si>
  <si>
    <t xml:space="preserve">2025-11-17</t>
  </si>
  <si>
    <t xml:space="preserve">ad6ad309-08ba-5f75-9a8d-0f0d0f9622c5</t>
  </si>
  <si>
    <t xml:space="preserve">1996 Alfa Romeo 8C 2900</t>
  </si>
  <si>
    <t xml:space="preserve">7369f87b-869f-51a8-b72b-0cf3478c02bc</t>
  </si>
  <si>
    <t xml:space="preserve">7150bc12-bf43-5fd2-b957-d70cc4d6edc0</t>
  </si>
  <si>
    <t xml:space="preserve">1987 Icon Derelict</t>
  </si>
  <si>
    <t xml:space="preserve">2025-11-03</t>
  </si>
  <si>
    <t xml:space="preserve">13514deb-ca97-5d67-9bd4-3274e72a301d</t>
  </si>
  <si>
    <t xml:space="preserve">1974 Ferrari SF90 Stradale</t>
  </si>
  <si>
    <t xml:space="preserve">b89c163a-99c7-5845-97d3-4c1eeee876b5</t>
  </si>
  <si>
    <t xml:space="preserve">1956 Maserati GranTurismo</t>
  </si>
  <si>
    <t xml:space="preserve">2025-11-11</t>
  </si>
  <si>
    <t xml:space="preserve">43caffe1-ed0a-577c-810e-5a9a0d39930d</t>
  </si>
  <si>
    <t xml:space="preserve">1991 Porsche 911 Turbo S</t>
  </si>
  <si>
    <t xml:space="preserve">2025-11-07</t>
  </si>
  <si>
    <t xml:space="preserve">a2173c68-fda1-5bb8-b3b8-496a0bd359ec</t>
  </si>
  <si>
    <t xml:space="preserve">2025-11-23</t>
  </si>
  <si>
    <t xml:space="preserve">463a8093-c5be-5b6b-8f47-290832d28f26</t>
  </si>
  <si>
    <t xml:space="preserve">1972 Bentley Continental GT</t>
  </si>
  <si>
    <t xml:space="preserve">2025-11-18</t>
  </si>
  <si>
    <t xml:space="preserve">40c92986-464c-592a-b139-f25a81c82240</t>
  </si>
  <si>
    <t xml:space="preserve">2016 Ferrari 296 GTB</t>
  </si>
  <si>
    <t xml:space="preserve">ec3c2113-ce9a-5cac-814e-8a21c39f252c</t>
  </si>
  <si>
    <t xml:space="preserve">2025-11-29</t>
  </si>
  <si>
    <t xml:space="preserve">ce55c05e-8f12-59a8-8523-2c1f49e72e45</t>
  </si>
  <si>
    <t xml:space="preserve">2025-11-05</t>
  </si>
  <si>
    <t xml:space="preserve">8a53855e-478f-5623-9e51-9ad361732797</t>
  </si>
  <si>
    <t xml:space="preserve">1d80ce38-b4a3-55ea-b05a-1070769433ad</t>
  </si>
  <si>
    <t xml:space="preserve">1971 Bentley Continental GT</t>
  </si>
  <si>
    <t xml:space="preserve">53cf4807-2adb-56a7-b6e3-db989af856f5</t>
  </si>
  <si>
    <t xml:space="preserve">1978 BMW M8 Competition</t>
  </si>
  <si>
    <t xml:space="preserve">2025-11-08</t>
  </si>
  <si>
    <t xml:space="preserve">1dbb31c3-1a76-5b25-8847-f6ecc9264ed2</t>
  </si>
  <si>
    <t xml:space="preserve">288b67eb-898f-5af1-ba80-a5e525819c34</t>
  </si>
  <si>
    <t xml:space="preserve">2025-11-14</t>
  </si>
  <si>
    <t xml:space="preserve">f1106528-cce6-508a-9cce-a44e2a973d7b</t>
  </si>
  <si>
    <t xml:space="preserve">1987 BMW M8 Competition</t>
  </si>
  <si>
    <t xml:space="preserve">f9db2e5f-99e3-5a77-ba59-dd3c92019538</t>
  </si>
  <si>
    <t xml:space="preserve">1998 Lamborghini Huracan EVO</t>
  </si>
  <si>
    <t xml:space="preserve">2025-11-26</t>
  </si>
  <si>
    <t xml:space="preserve">3b614efe-2dbc-52e0-887c-e310e604c755</t>
  </si>
  <si>
    <t xml:space="preserve">1955 Mercedes-Benz 280SL Pagoda</t>
  </si>
  <si>
    <t xml:space="preserve">80ac7991-f40b-50af-9b05-5114f3384ed7</t>
  </si>
  <si>
    <t xml:space="preserve">2018 Mercedes-Benz AMG GT</t>
  </si>
  <si>
    <t xml:space="preserve">0c911368-9e74-5ddb-9c90-94d264226913</t>
  </si>
  <si>
    <t xml:space="preserve">1972 Ferrari 275 GTB/4</t>
  </si>
  <si>
    <t xml:space="preserve">2025-11-10</t>
  </si>
  <si>
    <t xml:space="preserve">a920637e-9141-547e-8759-a729a7686751</t>
  </si>
  <si>
    <t xml:space="preserve">1962 Ferrari 296 GTB</t>
  </si>
  <si>
    <t xml:space="preserve">d683391a-5547-5dcf-8358-42a4025afc31</t>
  </si>
  <si>
    <t xml:space="preserve">1994 Aston Martin DB12</t>
  </si>
  <si>
    <t xml:space="preserve">2025-11-24</t>
  </si>
  <si>
    <t xml:space="preserve">9c1c818a-def5-53dc-96ed-d6a02baf66bc</t>
  </si>
  <si>
    <t xml:space="preserve">1967 Icon Derelict</t>
  </si>
  <si>
    <t xml:space="preserve">a25ef6a1-ddfd-5ffb-bed2-5a245df11553</t>
  </si>
  <si>
    <t xml:space="preserve">f3f5f379-03f8-5fb5-984c-c344eeb8751c</t>
  </si>
  <si>
    <t xml:space="preserve">2004 Ringbrothers Mustang</t>
  </si>
  <si>
    <t xml:space="preserve">481d178a-6464-5361-b0a0-2268a39f3cfe</t>
  </si>
  <si>
    <t xml:space="preserve">a1e40959-2dab-58ac-89b8-1f9dafa33567</t>
  </si>
  <si>
    <t xml:space="preserve">2005 Ringbrothers Mustang</t>
  </si>
  <si>
    <t xml:space="preserve">a57fa687-bcc3-5502-948e-c37c1cb0e9b2</t>
  </si>
  <si>
    <t xml:space="preserve">d2b5a6a5-9857-5166-a070-3ca05d52e835</t>
  </si>
  <si>
    <t xml:space="preserve">efa7dc05-000d-58c1-b079-8d25c985ad7d</t>
  </si>
  <si>
    <t xml:space="preserve">2022 Alfa Romeo 8C 2900</t>
  </si>
  <si>
    <t xml:space="preserve">80c2a7cb-aaeb-554b-8f88-d0871f6de53d</t>
  </si>
  <si>
    <t xml:space="preserve">2025-11-22</t>
  </si>
  <si>
    <t xml:space="preserve">5ab73cde-b5de-5849-9d7d-2427e9691fb2</t>
  </si>
  <si>
    <t xml:space="preserve">1957 Ferrari 275 GTB/4</t>
  </si>
  <si>
    <t xml:space="preserve">c5bddf6e-7509-524d-9891-a96f043ca23c</t>
  </si>
  <si>
    <t xml:space="preserve">6802c3ea-04a0-5fc2-be63-c0c3224d79ad</t>
  </si>
  <si>
    <t xml:space="preserve">1980 Ferrari 296 GTB</t>
  </si>
  <si>
    <t xml:space="preserve">f0f127d2-c685-54f7-946b-65d8da767c35</t>
  </si>
  <si>
    <t xml:space="preserve">2021 Ferrari 296 GTB</t>
  </si>
  <si>
    <t xml:space="preserve">2025-11-01</t>
  </si>
  <si>
    <t xml:space="preserve">0b6f9f7c-3c25-5c96-a615-20f9cbfc2910</t>
  </si>
  <si>
    <t xml:space="preserve">1979 Aston Martin DB12</t>
  </si>
  <si>
    <t xml:space="preserve">2025-11-15</t>
  </si>
  <si>
    <t xml:space="preserve">8c4629af-cc32-5079-94e6-f5e614ba3b19</t>
  </si>
  <si>
    <t xml:space="preserve">2025-11-13</t>
  </si>
  <si>
    <t xml:space="preserve">356a3bd0-7e75-5b7e-b253-8f5d29866058</t>
  </si>
  <si>
    <t xml:space="preserve">c39c32d8-355b-5406-9fdd-9e0f483965a4</t>
  </si>
  <si>
    <t xml:space="preserve">dabd946b-e70d-51cb-b2eb-3b2f8b7ab938</t>
  </si>
  <si>
    <t xml:space="preserve">2013 Ferrari SF90 Stradale</t>
  </si>
  <si>
    <t xml:space="preserve">9b2c528a-95db-5fe6-8c82-10c2c8203ca1</t>
  </si>
  <si>
    <t xml:space="preserve">2024 Ferrari 296 GTB</t>
  </si>
  <si>
    <t xml:space="preserve">9e3a0c79-c56f-5d1b-9571-887c92a7b11d</t>
  </si>
  <si>
    <t xml:space="preserve">1989 Mercedes-Benz 280SL Pagoda</t>
  </si>
  <si>
    <t xml:space="preserve">f9b1ec5d-2bdc-523a-abee-a999f450f6a5</t>
  </si>
  <si>
    <t xml:space="preserve">191a62ed-d1b4-5e82-8127-40f66572b8e1</t>
  </si>
  <si>
    <t xml:space="preserve">1990 Jaguar E-Type Series 1</t>
  </si>
  <si>
    <t xml:space="preserve">06ee8683-5c23-580c-87ad-b8c6ea9850f1</t>
  </si>
  <si>
    <t xml:space="preserve">e5d8767d-1ff0-542f-92b7-636bd4508df7</t>
  </si>
  <si>
    <t xml:space="preserve">1981 BMW M8 Competition</t>
  </si>
  <si>
    <t xml:space="preserve">5fd3fd39-2e0d-59b1-aed1-b4fcd0b86c5d</t>
  </si>
  <si>
    <t xml:space="preserve">2016 Aston Martin DB12</t>
  </si>
  <si>
    <t xml:space="preserve">2025-11-04</t>
  </si>
  <si>
    <t xml:space="preserve">1eee3255-2960-5631-994c-2d0a8eb7c750</t>
  </si>
  <si>
    <t xml:space="preserve">1971 Porsche 911 Turbo S</t>
  </si>
  <si>
    <t xml:space="preserve">8f6ba499-2c6f-5a60-9adb-b34401cca431</t>
  </si>
  <si>
    <t xml:space="preserve">1979 Lamborghini Huracan EVO</t>
  </si>
  <si>
    <t xml:space="preserve">2cf8df45-6c19-5ba3-9e08-9ba3dc1bfe83</t>
  </si>
  <si>
    <t xml:space="preserve">a70d3a35-3919-5799-b6bb-4a0d23e769f2</t>
  </si>
  <si>
    <t xml:space="preserve">2012 Aston Martin DB12</t>
  </si>
  <si>
    <t xml:space="preserve">69120a77-8c45-56be-810b-471562ba6fba</t>
  </si>
  <si>
    <t xml:space="preserve">a300b2d7-77a5-52b8-bda4-205efc0a5877</t>
  </si>
  <si>
    <t xml:space="preserve">b6f9d438-7079-5d6b-af99-0f8732d33d41</t>
  </si>
  <si>
    <t xml:space="preserve">2016 Aston Martin DB5</t>
  </si>
  <si>
    <t xml:space="preserve">37c11e64-3fbb-56cc-ab21-e7d027fc55cd</t>
  </si>
  <si>
    <t xml:space="preserve">1988 Porsche 911 Turbo S</t>
  </si>
  <si>
    <t xml:space="preserve">040de74a-95d0-5643-ac8d-76e933227bd1</t>
  </si>
  <si>
    <t xml:space="preserve">1994 Icon Derelict</t>
  </si>
  <si>
    <t xml:space="preserve">f17513de-be0c-504b-b3d2-fe1ed14dc685</t>
  </si>
  <si>
    <t xml:space="preserve">0bd96a5f-955f-59af-87ca-cc03c87602c3</t>
  </si>
  <si>
    <t xml:space="preserve">1998 BMW M8 Competition</t>
  </si>
  <si>
    <t xml:space="preserve">d08fe5b6-1faa-5b53-978f-dd263a683ed1</t>
  </si>
  <si>
    <t xml:space="preserve">1d21e3d7-ab5f-53af-a04f-b33885387562</t>
  </si>
  <si>
    <t xml:space="preserve">ca631496-311b-5111-9148-60b25696b76f</t>
  </si>
  <si>
    <t xml:space="preserve">2012 McLaren 750S</t>
  </si>
  <si>
    <t xml:space="preserve">2025-11-30</t>
  </si>
  <si>
    <t xml:space="preserve">6347dd87-1d87-5138-b719-efb91e0faab7</t>
  </si>
  <si>
    <t xml:space="preserve">99f78874-4444-5e1a-b0ea-740758e37b51</t>
  </si>
  <si>
    <t xml:space="preserve">d3119434-fffd-5425-ab1f-c4ec04e7f282</t>
  </si>
  <si>
    <t xml:space="preserve">b96809fe-eb8d-5b96-a556-4c1362fe9fa0</t>
  </si>
  <si>
    <t xml:space="preserve">2008 Aston Martin DB12</t>
  </si>
  <si>
    <t xml:space="preserve">8c645495-bd2a-5bbf-97ab-e4a96ff9e2a2</t>
  </si>
  <si>
    <t xml:space="preserve">1994 Porsche 911 Turbo S</t>
  </si>
  <si>
    <t xml:space="preserve">bd3341a2-5e7b-5b2a-9165-38e1513ef133</t>
  </si>
  <si>
    <t xml:space="preserve">1960 Bentley Continental GT</t>
  </si>
  <si>
    <t xml:space="preserve">4969f80a-5e83-5e05-a626-1267e1c66aed</t>
  </si>
  <si>
    <t xml:space="preserve">a08c736a-272b-58b3-9426-d6131cf70cca</t>
  </si>
  <si>
    <t xml:space="preserve">a32c78e9-48f7-50fb-811f-1ff76ace9727</t>
  </si>
  <si>
    <t xml:space="preserve">1963 Jaguar E-Type Series 1</t>
  </si>
  <si>
    <t xml:space="preserve">859cd3ee-c338-536b-a072-6c1ad0349e1a</t>
  </si>
  <si>
    <t xml:space="preserve">1961 Ferrari 296 GTB</t>
  </si>
  <si>
    <t xml:space="preserve">29ea1928-d370-59d8-9c9b-6331dc2285a6</t>
  </si>
  <si>
    <t xml:space="preserve">738d2980-3aef-5c38-af6c-6545b7d01bf0</t>
  </si>
  <si>
    <t xml:space="preserve">2022 Aston Martin DB5</t>
  </si>
  <si>
    <t xml:space="preserve">abbcb7ef-1746-596c-8ce0-d6f81741b812</t>
  </si>
  <si>
    <t xml:space="preserve">1968 Aston Martin DB12</t>
  </si>
  <si>
    <t xml:space="preserve">0852d8be-e843-5343-8f16-9415ebc46bae</t>
  </si>
  <si>
    <t xml:space="preserve">38204282-91d6-5359-85ff-0782ca35bcb3</t>
  </si>
  <si>
    <t xml:space="preserve">1972 Alfa Romeo 8C 2900</t>
  </si>
  <si>
    <t xml:space="preserve">cdb7855b-a732-52d2-a405-d6c6cd1b06a3</t>
  </si>
  <si>
    <t xml:space="preserve">2019 Bentley Continental GT</t>
  </si>
  <si>
    <t xml:space="preserve">3cc4cb5b-2236-50a1-99fa-81388251cde6</t>
  </si>
  <si>
    <t xml:space="preserve">2005 Aston Martin DB12</t>
  </si>
  <si>
    <t xml:space="preserve">4c4a1c9a-fc6e-559a-b57f-7160769dd0d1</t>
  </si>
  <si>
    <t xml:space="preserve">1990 McLaren 750S</t>
  </si>
  <si>
    <t xml:space="preserve">e8a45ee3-0843-5f78-bb66-3d4f261e7a6d</t>
  </si>
  <si>
    <t xml:space="preserve">1993 McLaren 750S</t>
  </si>
  <si>
    <t xml:space="preserve">de5633ce-ad19-56e1-a76e-8e7254146a3e</t>
  </si>
  <si>
    <t xml:space="preserve">1998 Porsche 911 Turbo S</t>
  </si>
  <si>
    <t xml:space="preserve">bec399bc-b2fb-5d3e-9b6c-5173facb7665</t>
  </si>
  <si>
    <t xml:space="preserve">677bdd37-1c5f-5621-9a26-22a8469d021b</t>
  </si>
  <si>
    <t xml:space="preserve">8641e8d0-03ef-572b-bea4-fb5dc85a231e</t>
  </si>
  <si>
    <t xml:space="preserve">91728579-613d-5f71-b743-6a22f4e01db0</t>
  </si>
  <si>
    <t xml:space="preserve">2018 Maserati GranTurismo</t>
  </si>
  <si>
    <t xml:space="preserve">31bfe4b4-bb40-5f63-8dde-f15682381fa3</t>
  </si>
  <si>
    <t xml:space="preserve">43f18323-de5f-5122-8578-38614a8fd025</t>
  </si>
  <si>
    <t xml:space="preserve">1964 Porsche 911 Turbo S</t>
  </si>
  <si>
    <t xml:space="preserve">6a873a79-391a-599d-90a4-be2faa27ff4e</t>
  </si>
  <si>
    <t xml:space="preserve">1969 McLaren 750S</t>
  </si>
  <si>
    <t xml:space="preserve">163a7020-980a-5e24-845b-6312c5bbb36a</t>
  </si>
  <si>
    <t xml:space="preserve">2005 Aston Martin DB5</t>
  </si>
  <si>
    <t xml:space="preserve">35557194-ec21-5f31-8dcc-fd1f118bf3d0</t>
  </si>
  <si>
    <t xml:space="preserve">4d2f878e-a18f-5076-bfde-3178728a65c8</t>
  </si>
  <si>
    <t xml:space="preserve">16a68339-ebbf-5784-a077-80be766bcf70</t>
  </si>
  <si>
    <t xml:space="preserve">1960 Ringbrothers Mustang</t>
  </si>
  <si>
    <t xml:space="preserve">1116790f-8798-59d6-989f-96bb38be568b</t>
  </si>
  <si>
    <t xml:space="preserve">2010 Aston Martin DB12</t>
  </si>
  <si>
    <t xml:space="preserve">c16c0d0a-f114-5821-97da-723ff219c005</t>
  </si>
  <si>
    <t xml:space="preserve">45cf4c65-f139-5c81-8afd-b4b209c4f647</t>
  </si>
  <si>
    <t xml:space="preserve">1958 Aston Martin DB5</t>
  </si>
  <si>
    <t xml:space="preserve">fc9c69bb-6eec-54ef-840b-57d7b3707dd2</t>
  </si>
  <si>
    <t xml:space="preserve">2019 Ferrari 296 GTB</t>
  </si>
  <si>
    <t xml:space="preserve">c2923cff-96d3-5384-8b49-3fda4db1bc14</t>
  </si>
  <si>
    <t xml:space="preserve">7dd9041e-1721-5b98-a4fd-9bbf5e585517</t>
  </si>
  <si>
    <t xml:space="preserve">c10aacd1-4f1c-5dab-9589-743daf9c53b3</t>
  </si>
  <si>
    <t xml:space="preserve">5e218f8d-f5b9-51e3-980e-5ed17dfc8828</t>
  </si>
  <si>
    <t xml:space="preserve">1962 BMW M8 Competition</t>
  </si>
  <si>
    <t xml:space="preserve">9919ca41-57cd-55ed-9acb-bb3f6867533e</t>
  </si>
  <si>
    <t xml:space="preserve">2005 Mercedes-Benz 280SL Pagoda</t>
  </si>
  <si>
    <t xml:space="preserve">d5bb0f15-d124-5b00-ae38-89c35a90f04d</t>
  </si>
  <si>
    <t xml:space="preserve">1982 Ferrari 275 GTB/4</t>
  </si>
  <si>
    <t xml:space="preserve">ae79f3bd-3943-5282-8684-6883177d441a</t>
  </si>
  <si>
    <t xml:space="preserve">1956 Aston Martin DB5</t>
  </si>
  <si>
    <t xml:space="preserve">0dfc9d1a-0f4b-545a-ac31-2fe2ac5d960d</t>
  </si>
  <si>
    <t xml:space="preserve">7be38908-95b7-58e8-93c0-ab7979bf9e80</t>
  </si>
  <si>
    <t xml:space="preserve">1966 Porsche 911 Turbo S</t>
  </si>
  <si>
    <t xml:space="preserve">77a486c4-ab73-5ec8-b697-93fd813d0106</t>
  </si>
  <si>
    <t xml:space="preserve">1995 Mercedes-Benz 280SL Pagoda</t>
  </si>
  <si>
    <t xml:space="preserve">ece191ea-ab87-531d-be20-3f09323ff419</t>
  </si>
  <si>
    <t xml:space="preserve">1b8d11df-e766-5e2f-b02e-afccb142bfba</t>
  </si>
  <si>
    <t xml:space="preserve">781fc8da-8198-55a5-b121-4b6b6031f8cb</t>
  </si>
  <si>
    <t xml:space="preserve">0f07ca6f-32c8-5faa-a67f-accca786520e</t>
  </si>
  <si>
    <t xml:space="preserve">1975 Maserati GranTurismo</t>
  </si>
  <si>
    <t xml:space="preserve">4b97ff22-add9-5f68-89be-d1242b8ae3dd</t>
  </si>
  <si>
    <t xml:space="preserve">2011 Porsche 911 Turbo S</t>
  </si>
  <si>
    <t xml:space="preserve">4fe9e965-c2ec-59b2-8022-973e555ac95b</t>
  </si>
  <si>
    <t xml:space="preserve">eba249bb-b139-5a75-93d3-fc18ea2f7074</t>
  </si>
  <si>
    <t xml:space="preserve">93b11e55-94d4-5d36-a9df-ed7cd87c8fe9</t>
  </si>
  <si>
    <t xml:space="preserve">2013 McLaren 750S</t>
  </si>
  <si>
    <t xml:space="preserve">2bffd150-e10b-5e62-87cd-9c7c10df8daf</t>
  </si>
  <si>
    <t xml:space="preserve">bf3db2b5-c6b6-565e-8909-2bf8c1ec3338</t>
  </si>
  <si>
    <t xml:space="preserve">5b95bcb7-c242-5ecb-81dd-061be9ac0da7</t>
  </si>
  <si>
    <t xml:space="preserve">1980 Porsche 911 Turbo S</t>
  </si>
  <si>
    <t xml:space="preserve">00760cb6-b4c4-5ab7-8a91-72fc618fb918</t>
  </si>
  <si>
    <t xml:space="preserve">bafacf20-be57-5d8d-97c0-268f17495912</t>
  </si>
  <si>
    <t xml:space="preserve">2023 Maserati GranTurismo</t>
  </si>
  <si>
    <t xml:space="preserve">d8e3326c-fac4-5fe0-8da3-50b62cd1b941</t>
  </si>
  <si>
    <t xml:space="preserve">2018 Alfa Romeo 8C 2900</t>
  </si>
  <si>
    <t xml:space="preserve">ab0f9d23-87a7-5251-91b4-fa86f6f08371</t>
  </si>
  <si>
    <t xml:space="preserve">2013 Aston Martin DB5</t>
  </si>
  <si>
    <t xml:space="preserve">dbae0025-5e50-5315-b639-e15a07069015</t>
  </si>
  <si>
    <t xml:space="preserve">1984 Maserati GranTurismo</t>
  </si>
  <si>
    <t xml:space="preserve">ffd1e037-b1ce-555a-8da2-85dcf92ee8dc</t>
  </si>
  <si>
    <t xml:space="preserve">62c3a367-7f2e-5cda-8343-c1b2251c019d</t>
  </si>
  <si>
    <t xml:space="preserve">862920ce-e0d0-5a70-b005-38600e813a52</t>
  </si>
  <si>
    <t xml:space="preserve">0666e5a2-1af3-5397-95b6-61ef8e54e40d</t>
  </si>
  <si>
    <t xml:space="preserve">3fd3c5d1-70bd-5cff-b785-7d54acee178d</t>
  </si>
  <si>
    <t xml:space="preserve">322b895c-1aef-54aa-a99f-5e4c5e29f529</t>
  </si>
  <si>
    <t xml:space="preserve">894fb182-adb8-55b7-8eb2-f08ec3f0d843</t>
  </si>
  <si>
    <t xml:space="preserve">95a61190-7b08-5592-815d-c5e84f31aab5</t>
  </si>
  <si>
    <t xml:space="preserve">1974 Aston Martin DB12</t>
  </si>
  <si>
    <t xml:space="preserve">b8cf0b0b-3cbc-5d25-9193-65f0373b3a4a</t>
  </si>
  <si>
    <t xml:space="preserve">1958 Alfa Romeo 8C 2900</t>
  </si>
  <si>
    <t xml:space="preserve">e65341ee-b0f5-5186-bb65-14fe3bc2a8d7</t>
  </si>
  <si>
    <t xml:space="preserve">f077e2e4-4d89-5462-a333-d7ad7227d74d</t>
  </si>
  <si>
    <t xml:space="preserve">02713216-f728-5dc6-93ce-b1e22961f434</t>
  </si>
  <si>
    <t xml:space="preserve">1994 Ferrari 296 GTB</t>
  </si>
  <si>
    <t xml:space="preserve">74bbb0d1-779c-5268-a837-f271d0eb9c9d</t>
  </si>
  <si>
    <t xml:space="preserve">3604b002-9e6a-556a-a96f-62cc329a6105</t>
  </si>
  <si>
    <t xml:space="preserve">d467cc69-2019-539a-822a-03fc7e3f4d6b</t>
  </si>
  <si>
    <t xml:space="preserve">1974 Mercedes-Benz AMG GT</t>
  </si>
  <si>
    <t xml:space="preserve">69b34bc6-3c35-5425-85b6-4cd306da5caf</t>
  </si>
  <si>
    <t xml:space="preserve">1151e1cf-485e-58fa-8267-feee6c02efe2</t>
  </si>
  <si>
    <t xml:space="preserve">1985 Ferrari 275 GTB/4</t>
  </si>
  <si>
    <t xml:space="preserve">2ce2652e-6b5d-52cc-8816-1b5082378068</t>
  </si>
  <si>
    <t xml:space="preserve">1979 Singer 911 Reimagined</t>
  </si>
  <si>
    <t xml:space="preserve">eb072196-1dfe-5d11-9148-218993b4d5b1</t>
  </si>
  <si>
    <t xml:space="preserve">d55e4771-53ce-5c77-8cbe-3b476091b75b</t>
  </si>
  <si>
    <t xml:space="preserve">1974 Mercedes-Benz 280SL Pagoda</t>
  </si>
  <si>
    <t xml:space="preserve">33eee2c0-b70a-5fd6-a00d-8d6b9287edc4</t>
  </si>
  <si>
    <t xml:space="preserve">5e9a5af7-99a7-5531-a8ad-af9d3a71efb3</t>
  </si>
  <si>
    <t xml:space="preserve">1987 Ferrari 275 GTB/4</t>
  </si>
  <si>
    <t xml:space="preserve">1b0b0809-0103-53c8-af46-dbafca803651</t>
  </si>
  <si>
    <t xml:space="preserve">1962 Mercedes-Benz 280SL Pagoda</t>
  </si>
  <si>
    <t xml:space="preserve">ba59c3e1-82c0-5a53-aa66-b5e507226e53</t>
  </si>
  <si>
    <t xml:space="preserve">dea84a97-660d-5a3e-851a-2e2454eddd40</t>
  </si>
  <si>
    <t xml:space="preserve">1999 McLaren 750S</t>
  </si>
  <si>
    <t xml:space="preserve">94886bc7-c30a-5035-af85-1c2821038b87</t>
  </si>
  <si>
    <t xml:space="preserve">b63db3d8-045e-5837-9636-7a1ec010e10c</t>
  </si>
  <si>
    <t xml:space="preserve">df490b5e-7e5b-557a-be95-0205103a443d</t>
  </si>
  <si>
    <t xml:space="preserve">2879aa17-442d-5bab-b53f-2b199768396a</t>
  </si>
  <si>
    <t xml:space="preserve">1968 Porsche 911 Turbo S</t>
  </si>
  <si>
    <t xml:space="preserve">aefa506a-95ac-5eff-8857-6b06719c390e</t>
  </si>
  <si>
    <t xml:space="preserve">9d16eb55-e4e8-5e7f-bc81-0a905ae1c1a0</t>
  </si>
  <si>
    <t xml:space="preserve">e0872dad-3a61-5ac0-92f0-2e0eca143ffa</t>
  </si>
  <si>
    <t xml:space="preserve">412c6ff9-5e13-5d3d-8dfd-e64755a3a870</t>
  </si>
  <si>
    <t xml:space="preserve">34f439f9-5936-5fc2-aaf6-d65e74d6ce49</t>
  </si>
  <si>
    <t xml:space="preserve">adfac7db-80d5-52fd-8dda-3c78a7da6da2</t>
  </si>
  <si>
    <t xml:space="preserve">c104d45b-37a7-5463-a789-b266ef7af43d</t>
  </si>
  <si>
    <t xml:space="preserve">068be680-5603-59d0-9c0c-b604862371fa</t>
  </si>
  <si>
    <t xml:space="preserve">3aabcf20-8222-5e69-aedb-9eb5b7429705</t>
  </si>
  <si>
    <t xml:space="preserve">e7caf7d6-1038-5bbe-b157-9390ffb930ae</t>
  </si>
  <si>
    <t xml:space="preserve">1990 Aston Martin DB12</t>
  </si>
  <si>
    <t xml:space="preserve">bd67089a-e553-5f95-a72d-960673b4a5e1</t>
  </si>
  <si>
    <t xml:space="preserve">1964 Lamborghini Huracan EVO</t>
  </si>
  <si>
    <t xml:space="preserve">8a88bf34-c4e1-5d0a-bd0d-33171b181796</t>
  </si>
  <si>
    <t xml:space="preserve">1993 Ferrari 275 GTB/4</t>
  </si>
  <si>
    <t xml:space="preserve">188d98e7-a9cf-58fa-9166-37f7cde2cf27</t>
  </si>
  <si>
    <t xml:space="preserve">2007 Aston Martin DB12</t>
  </si>
  <si>
    <t xml:space="preserve">fec9c59f-ec81-54e8-b7ff-26aa849aac88</t>
  </si>
  <si>
    <t xml:space="preserve">43790988-dbc5-59b8-a1da-8e6bf25be3e0</t>
  </si>
  <si>
    <t xml:space="preserve">2009 Icon Derelict</t>
  </si>
  <si>
    <t xml:space="preserve">7778a76f-3ad1-5050-98a6-be81e9318d94</t>
  </si>
  <si>
    <t xml:space="preserve">4958cd40-6904-5f0f-a7e7-2507b90def80</t>
  </si>
  <si>
    <t xml:space="preserve">1bfeea17-23d2-546d-b927-ecc4d61ae67d</t>
  </si>
  <si>
    <t xml:space="preserve">2023 Lamborghini Huracan EVO</t>
  </si>
  <si>
    <t xml:space="preserve">35a3ef57-0170-50e8-aa42-67ca56868ef7</t>
  </si>
  <si>
    <t xml:space="preserve">2005 Ferrari 296 GTB</t>
  </si>
  <si>
    <t xml:space="preserve">edd775a3-7ded-578e-87d5-94630b780459</t>
  </si>
  <si>
    <t xml:space="preserve">373065a9-29e2-510a-b444-4385687c4b1b</t>
  </si>
  <si>
    <t xml:space="preserve">2bf52859-80f5-5b3e-9191-f70cfdaa72a0</t>
  </si>
  <si>
    <t xml:space="preserve">1969 Ferrari 296 GTB</t>
  </si>
  <si>
    <t xml:space="preserve">fe9d67da-9b9c-596d-abb1-c9630b347b39</t>
  </si>
  <si>
    <t xml:space="preserve">2021 Maserati GranTurismo</t>
  </si>
  <si>
    <t xml:space="preserve">0f5a4180-43a0-58ba-83aa-56e72146b8cd</t>
  </si>
  <si>
    <t xml:space="preserve">ad620614-ba48-5d1c-83dc-0d869a8c5697</t>
  </si>
  <si>
    <t xml:space="preserve">2002 Singer 911 Reimagined</t>
  </si>
  <si>
    <t xml:space="preserve">13b97e5f-b5d9-585c-b6d3-0fada8ac0927</t>
  </si>
  <si>
    <t xml:space="preserve">9c32d35d-dcd3-516f-ac29-ff4279967f21</t>
  </si>
  <si>
    <t xml:space="preserve">2b022548-eda7-5570-988d-d9e2a5e2723d</t>
  </si>
  <si>
    <t xml:space="preserve">09393ef5-4699-5262-af3e-06e56e07c570</t>
  </si>
  <si>
    <t xml:space="preserve">1971 McLaren 750S</t>
  </si>
  <si>
    <t xml:space="preserve">f10ace8c-a0a1-54c0-8bf0-164ecb5ba215</t>
  </si>
  <si>
    <t xml:space="preserve">1955 Mercedes-Benz AMG GT</t>
  </si>
  <si>
    <t xml:space="preserve">44009632-be45-5004-831c-7f359d932a4d</t>
  </si>
  <si>
    <t xml:space="preserve">1965 Jaguar E-Type Series 1</t>
  </si>
  <si>
    <t xml:space="preserve">6eda6994-e44d-5f3f-bac9-261c2a9f67f6</t>
  </si>
  <si>
    <t xml:space="preserve">dba4e33b-0935-59f4-a164-58cc15e573f1</t>
  </si>
  <si>
    <t xml:space="preserve">1959 Bugatti Type 57</t>
  </si>
  <si>
    <t xml:space="preserve">469f8d16-5282-5d4c-9c71-e4446bb4745d</t>
  </si>
  <si>
    <t xml:space="preserve">1980 BMW M8 Competition</t>
  </si>
  <si>
    <t xml:space="preserve">7c829ce8-8eeb-5f2c-8253-010f422d6df2</t>
  </si>
  <si>
    <t xml:space="preserve">cc9578ac-c307-5668-ab80-eab637231f4e</t>
  </si>
  <si>
    <t xml:space="preserve">2012 Mercedes-Benz 280SL Pagoda</t>
  </si>
  <si>
    <t xml:space="preserve">b7cdca9a-09de-52e5-a1dd-92f237aff8fe</t>
  </si>
  <si>
    <t xml:space="preserve">37ed47fa-214f-5054-9d93-b2727af03cf2</t>
  </si>
  <si>
    <t xml:space="preserve">1966 Bentley 4.5 Litre</t>
  </si>
  <si>
    <t xml:space="preserve">cc5bda51-0198-5c5a-8d88-c8804e8ddc41</t>
  </si>
  <si>
    <t xml:space="preserve">b4d42b29-85af-5ca2-899b-453ec6224aa7</t>
  </si>
  <si>
    <t xml:space="preserve">56309337-4152-56fa-abb1-4bfbc428cbe4</t>
  </si>
  <si>
    <t xml:space="preserve">9d55246e-73bd-572b-8de8-a35b09bd6f02</t>
  </si>
  <si>
    <t xml:space="preserve">1957 Mercedes-Benz 280SL Pagoda</t>
  </si>
  <si>
    <t xml:space="preserve">aa908820-6651-5867-9f68-11c014e876dc</t>
  </si>
  <si>
    <t xml:space="preserve">b8dcdbf3-6fa5-5179-86b7-ed0f4c03f988</t>
  </si>
  <si>
    <t xml:space="preserve">28732cda-d16d-50ad-9f5f-761ce57bcf51</t>
  </si>
  <si>
    <t xml:space="preserve">2015 BMW M8 Competition</t>
  </si>
  <si>
    <t xml:space="preserve">24aee23d-4cd9-535c-9d1d-79ddd15826cf</t>
  </si>
  <si>
    <t xml:space="preserve">bd43d1da-71e9-5131-ac3a-5de21648d553</t>
  </si>
  <si>
    <t xml:space="preserve">082f5eeb-51fb-572e-ab78-c18a2a2943e6</t>
  </si>
  <si>
    <t xml:space="preserve">62db2655-e0ce-5a44-ae64-3ea435d3f20f</t>
  </si>
  <si>
    <t xml:space="preserve">b0945b07-a792-5517-8a0b-f18c19c75f95</t>
  </si>
  <si>
    <t xml:space="preserve">2024 BMW M8 Competition</t>
  </si>
  <si>
    <t xml:space="preserve">d16286e2-fd81-5e7f-858a-9b02b7790f7d</t>
  </si>
  <si>
    <t xml:space="preserve">2021 Jaguar E-Type Series 1</t>
  </si>
  <si>
    <t xml:space="preserve">73057314-3099-5008-947d-c3ff908edb7f</t>
  </si>
  <si>
    <t xml:space="preserve">9fa85227-64cd-5ba9-ab50-b2ccf10601bb</t>
  </si>
  <si>
    <t xml:space="preserve">35b1ac9c-07cd-5f0d-bd30-1f99d750c0a8</t>
  </si>
  <si>
    <t xml:space="preserve">745227ee-ad56-5e02-8bd3-e74f21da90b0</t>
  </si>
  <si>
    <t xml:space="preserve">2014 McLaren 750S</t>
  </si>
  <si>
    <t xml:space="preserve">282c195b-d166-5193-b18b-5f9ab1157ae2</t>
  </si>
  <si>
    <t xml:space="preserve">36d860e0-3843-5c1a-955a-e4ae6371bc1a</t>
  </si>
  <si>
    <t xml:space="preserve">5cef0bc4-fda7-5a06-a00b-2e6d3e3fcfb4</t>
  </si>
  <si>
    <t xml:space="preserve">1978 Mercedes-Benz 280SL Pagoda</t>
  </si>
  <si>
    <t xml:space="preserve">30aa4d7d-1db9-53b9-9016-44d671a5101c</t>
  </si>
  <si>
    <t xml:space="preserve">3f74c8d6-39ba-5cef-b517-9733dafd3ed5</t>
  </si>
  <si>
    <t xml:space="preserve">968d0315-6f63-5138-b446-1888bc25cea4</t>
  </si>
  <si>
    <t xml:space="preserve">1982 Bentley Continental GT</t>
  </si>
  <si>
    <t xml:space="preserve">1bc69124-c02a-515d-90ee-11ac19330eda</t>
  </si>
  <si>
    <t xml:space="preserve">ab266ec4-60a3-599a-b5f9-a7fa6c4c472e</t>
  </si>
  <si>
    <t xml:space="preserve">f727599d-44d1-5e50-9ad6-c23c2658fc49</t>
  </si>
  <si>
    <t xml:space="preserve">1980 Ferrari 275 GTB/4</t>
  </si>
  <si>
    <t xml:space="preserve">edc2be90-0aa9-5367-8276-1ab23cbfb30a</t>
  </si>
  <si>
    <t xml:space="preserve">16450774-e566-5526-9a4e-989166d35e73</t>
  </si>
  <si>
    <t xml:space="preserve">a0a5f753-6a1b-52d7-ab99-c5d4770fbf83</t>
  </si>
  <si>
    <t xml:space="preserve">69b6454a-af8a-525f-bd82-c15f049d2c3c</t>
  </si>
  <si>
    <t xml:space="preserve">db5e4c26-8d98-500f-bdf0-c752114f60d9</t>
  </si>
  <si>
    <t xml:space="preserve">f3ca83b5-25ba-5ff9-8822-817a4051da66</t>
  </si>
  <si>
    <t xml:space="preserve">1996 Mercedes-Benz AMG GT</t>
  </si>
  <si>
    <t xml:space="preserve">be95459d-d420-5549-962b-1c7f50e44fb2</t>
  </si>
  <si>
    <t xml:space="preserve">137e8745-f5c3-584c-ae29-13a22db75e67</t>
  </si>
  <si>
    <t xml:space="preserve">145c5962-8d7a-533b-bb7b-f170bd62e04f</t>
  </si>
  <si>
    <t xml:space="preserve">2fb0dbb5-a199-5bcf-aff1-7fec1c1f9add</t>
  </si>
  <si>
    <t xml:space="preserve">1996 Ringbrothers Mustang</t>
  </si>
  <si>
    <t xml:space="preserve">f96d7a52-0dfa-55d8-9428-9803197be052</t>
  </si>
  <si>
    <t xml:space="preserve">6a601663-0e5c-50b2-93b4-29d82cfce355</t>
  </si>
  <si>
    <t xml:space="preserve">1965 Ferrari SF90 Stradale</t>
  </si>
  <si>
    <t xml:space="preserve">95c2eef0-9177-53e1-9eec-b96851a1b4a3</t>
  </si>
  <si>
    <t xml:space="preserve">1977 Mercedes-Benz 280SL Pagoda</t>
  </si>
  <si>
    <t xml:space="preserve">5c10a983-0a74-53ba-8708-91053fd8fc83</t>
  </si>
  <si>
    <t xml:space="preserve">2011 Bentley Continental GT</t>
  </si>
  <si>
    <t xml:space="preserve">9732f1c6-fe89-5375-9779-94a2bb3e9af1</t>
  </si>
  <si>
    <t xml:space="preserve">d2c21056-3744-5a2c-9d05-7f9675d32bd0</t>
  </si>
  <si>
    <t xml:space="preserve">2022 Mercedes-Benz AMG GT</t>
  </si>
  <si>
    <t xml:space="preserve">199951ac-9870-5f89-b445-5107f0fa459b</t>
  </si>
  <si>
    <t xml:space="preserve">1977 Aston Martin DB12</t>
  </si>
  <si>
    <t xml:space="preserve">ee323c3b-6848-5ed7-9429-8a876333df87</t>
  </si>
  <si>
    <t xml:space="preserve">1967 Porsche 911 Turbo S</t>
  </si>
  <si>
    <t xml:space="preserve">1bca5d4c-1026-5203-9c88-148de19a3ad1</t>
  </si>
  <si>
    <t xml:space="preserve">505a7d61-abf8-5eb2-b050-4adbd78e17c6</t>
  </si>
  <si>
    <t xml:space="preserve">80ea2107-e127-55df-9a71-3d7926ba6da2</t>
  </si>
  <si>
    <t xml:space="preserve">1982 McLaren 750S</t>
  </si>
  <si>
    <t xml:space="preserve">Monthly Rater — 2025-12  (Month 5 of 12)</t>
  </si>
  <si>
    <t xml:space="preserve">Softening index 0.9167. Rated Premium = ROUND(AgreedValue/100 × BaseRate × Territory × Softening ÷ Gross-Up, 2); ties to artifact premium within $0.01 (generator rounding).</t>
  </si>
  <si>
    <t xml:space="preserve">2025-12-23</t>
  </si>
  <si>
    <t xml:space="preserve">09144c66-5272-5048-a948-1a5770f75731</t>
  </si>
  <si>
    <t xml:space="preserve">2025-12-17</t>
  </si>
  <si>
    <t xml:space="preserve">a0830a9f-54f5-5a39-805c-0315c6fd2d3c</t>
  </si>
  <si>
    <t xml:space="preserve">2025-12-24</t>
  </si>
  <si>
    <t xml:space="preserve">c46d4ccb-695c-54c1-a815-b106cbc8f152</t>
  </si>
  <si>
    <t xml:space="preserve">1963 BMW M8 Competition</t>
  </si>
  <si>
    <t xml:space="preserve">2025-12-27</t>
  </si>
  <si>
    <t xml:space="preserve">c5ce63ec-879a-52d7-8fba-e1b4f413ac2d</t>
  </si>
  <si>
    <t xml:space="preserve">2025-12-06</t>
  </si>
  <si>
    <t xml:space="preserve">810eb774-973e-569c-bcdc-0ee31e155897</t>
  </si>
  <si>
    <t xml:space="preserve">2025-12-03</t>
  </si>
  <si>
    <t xml:space="preserve">886271f0-e39c-5c48-8e29-1fba1128b5aa</t>
  </si>
  <si>
    <t xml:space="preserve">2025-12-13</t>
  </si>
  <si>
    <t xml:space="preserve">cbda33db-e8d9-5191-8203-dc27e223662a</t>
  </si>
  <si>
    <t xml:space="preserve">2025-12-09</t>
  </si>
  <si>
    <t xml:space="preserve">08770b2f-b371-5af4-8e36-78d9a2a05b1a</t>
  </si>
  <si>
    <t xml:space="preserve">44091bbf-54d7-5682-ba15-814fb27d0be2</t>
  </si>
  <si>
    <t xml:space="preserve">1ce97741-8cc2-55f6-8e3f-69f9b5a3acdb</t>
  </si>
  <si>
    <t xml:space="preserve">dee484a4-5e1d-5ed8-9cdb-ba604e96407c</t>
  </si>
  <si>
    <t xml:space="preserve">2025-12-26</t>
  </si>
  <si>
    <t xml:space="preserve">ee3e33e2-aea6-5f64-9d59-d839c0378d2b</t>
  </si>
  <si>
    <t xml:space="preserve">ac6936c5-63fa-5d86-9f7a-453cec5b1700</t>
  </si>
  <si>
    <t xml:space="preserve">2015 Porsche 911 Turbo S</t>
  </si>
  <si>
    <t xml:space="preserve">2025-12-15</t>
  </si>
  <si>
    <t xml:space="preserve">1b006e70-e8bc-5f58-b981-4d6016e33ac4</t>
  </si>
  <si>
    <t xml:space="preserve">1965 Mercedes-Benz AMG GT</t>
  </si>
  <si>
    <t xml:space="preserve">2025-12-25</t>
  </si>
  <si>
    <t xml:space="preserve">299176f9-de30-585a-ae05-7efaef9e75be</t>
  </si>
  <si>
    <t xml:space="preserve">1988 Aston Martin DB12</t>
  </si>
  <si>
    <t xml:space="preserve">2025-12-10</t>
  </si>
  <si>
    <t xml:space="preserve">3b91c9ef-72a8-576a-9a7d-e103112eccf6</t>
  </si>
  <si>
    <t xml:space="preserve">2002 Jaguar E-Type Series 1</t>
  </si>
  <si>
    <t xml:space="preserve">7fa74763-e4cf-510f-bc58-471ccecb86df</t>
  </si>
  <si>
    <t xml:space="preserve">fe6619ad-ca6e-5c51-b2fc-44d458dc9113</t>
  </si>
  <si>
    <t xml:space="preserve">2025-12-18</t>
  </si>
  <si>
    <t xml:space="preserve">98b411ee-b235-5aa0-9f6c-d84a379bf13a</t>
  </si>
  <si>
    <t xml:space="preserve">69d405ac-acd2-5bf9-a260-0f7158456cf2</t>
  </si>
  <si>
    <t xml:space="preserve">2025-12-04</t>
  </si>
  <si>
    <t xml:space="preserve">24e0d200-40bb-513b-b98c-2e124f3217fc</t>
  </si>
  <si>
    <t xml:space="preserve">1e849637-a6d5-55b0-93fe-5980bb0d5e5f</t>
  </si>
  <si>
    <t xml:space="preserve">2025-12-21</t>
  </si>
  <si>
    <t xml:space="preserve">21953bcf-fcba-5cd6-a611-29b150138456</t>
  </si>
  <si>
    <t xml:space="preserve">1982 Singer 911 Reimagined</t>
  </si>
  <si>
    <t xml:space="preserve">bcd52592-6cff-5d53-aab7-8e7b3cba4357</t>
  </si>
  <si>
    <t xml:space="preserve">292fab64-d6f8-5b43-9407-05e69b93a08e</t>
  </si>
  <si>
    <t xml:space="preserve">2025-12-29</t>
  </si>
  <si>
    <t xml:space="preserve">c38ff92f-1e15-56b4-b516-5dd537499455</t>
  </si>
  <si>
    <t xml:space="preserve">55cef096-0673-58d8-9d0b-20a92fd781a5</t>
  </si>
  <si>
    <t xml:space="preserve">8a8b5195-5cb9-56a7-9efc-56a4bbb97c8f</t>
  </si>
  <si>
    <t xml:space="preserve">13e00283-e8c4-5883-ab2f-2a2218ff7a2f</t>
  </si>
  <si>
    <t xml:space="preserve">1970 BMW M8 Competition</t>
  </si>
  <si>
    <t xml:space="preserve">2025-12-30</t>
  </si>
  <si>
    <t xml:space="preserve">0f8e3801-7bb8-5efe-88c9-c22241fa342f</t>
  </si>
  <si>
    <t xml:space="preserve">bb4ad67a-9dc5-58d3-8a75-3538ab62886d</t>
  </si>
  <si>
    <t xml:space="preserve">79cf025b-2370-542c-9889-72d5eeaf34d6</t>
  </si>
  <si>
    <t xml:space="preserve">2025-12-11</t>
  </si>
  <si>
    <t xml:space="preserve">3339ac33-46e4-50ae-955f-b9d6fb5e0501</t>
  </si>
  <si>
    <t xml:space="preserve">1998 Ringbrothers Mustang</t>
  </si>
  <si>
    <t xml:space="preserve">2025-12-20</t>
  </si>
  <si>
    <t xml:space="preserve">dbc8775a-d0f0-5128-95f3-845ad86af068</t>
  </si>
  <si>
    <t xml:space="preserve">39f88dae-ed41-5a09-98e4-603a75c8e1c4</t>
  </si>
  <si>
    <t xml:space="preserve">2025-12-01</t>
  </si>
  <si>
    <t xml:space="preserve">79e8dd3b-1c75-557a-a6b7-aad36d02a7f5</t>
  </si>
  <si>
    <t xml:space="preserve">6e5a253d-8c58-55d5-8884-8578c0139526</t>
  </si>
  <si>
    <t xml:space="preserve">2025-12-31</t>
  </si>
  <si>
    <t xml:space="preserve">d33c964f-7680-5ace-81db-df02dec1a992</t>
  </si>
  <si>
    <t xml:space="preserve">2025-12-16</t>
  </si>
  <si>
    <t xml:space="preserve">6e75b830-d34e-558e-a12f-adb94385887d</t>
  </si>
  <si>
    <t xml:space="preserve">1975 Bentley Continental GT</t>
  </si>
  <si>
    <t xml:space="preserve">2025-12-12</t>
  </si>
  <si>
    <t xml:space="preserve">cb3b9cbd-cc16-5ed5-9ac4-2305a98b261e</t>
  </si>
  <si>
    <t xml:space="preserve">2025-12-05</t>
  </si>
  <si>
    <t xml:space="preserve">17823efb-e155-575e-93eb-9e6748536f25</t>
  </si>
  <si>
    <t xml:space="preserve">2002 Mercedes-Benz AMG GT</t>
  </si>
  <si>
    <t xml:space="preserve">2025-12-19</t>
  </si>
  <si>
    <t xml:space="preserve">74abfbff-a0d3-5bcb-a7f5-27fead730ac4</t>
  </si>
  <si>
    <t xml:space="preserve">1962 Aston Martin DB12</t>
  </si>
  <si>
    <t xml:space="preserve">c43db948-d6bc-5dae-98a8-d5a69f9d41c8</t>
  </si>
  <si>
    <t xml:space="preserve">2019 Alfa Romeo 8C 2900</t>
  </si>
  <si>
    <t xml:space="preserve">2025-12-28</t>
  </si>
  <si>
    <t xml:space="preserve">0890be54-1763-5306-bb3c-040b3d81b899</t>
  </si>
  <si>
    <t xml:space="preserve">027e21fd-3d20-5b0d-829a-fd9f8bd9e6a9</t>
  </si>
  <si>
    <t xml:space="preserve">1bb80898-04ed-5c1b-816b-7990466cf306</t>
  </si>
  <si>
    <t xml:space="preserve">897ea5ce-98c6-5b41-92be-e4709f1c66fa</t>
  </si>
  <si>
    <t xml:space="preserve">190f29a5-c85d-51d4-b838-b0d18e9172d4</t>
  </si>
  <si>
    <t xml:space="preserve">1999 Ferrari 275 GTB/4</t>
  </si>
  <si>
    <t xml:space="preserve">c830df00-a817-576f-a7c3-66f5a2ea12c7</t>
  </si>
  <si>
    <t xml:space="preserve">04feeafe-710d-5ea4-80be-b8995bf76758</t>
  </si>
  <si>
    <t xml:space="preserve">bebef28d-e0d6-53fc-9d42-70185effdf46</t>
  </si>
  <si>
    <t xml:space="preserve">1958 Ringbrothers Mustang</t>
  </si>
  <si>
    <t xml:space="preserve">2ce38d1b-18f2-5b77-847f-7c6a0cf86c03</t>
  </si>
  <si>
    <t xml:space="preserve">1978 Ferrari 296 GTB</t>
  </si>
  <si>
    <t xml:space="preserve">cfb77748-35da-5f18-9b4d-e684fa35ff96</t>
  </si>
  <si>
    <t xml:space="preserve">1987 Lamborghini Huracan EVO</t>
  </si>
  <si>
    <t xml:space="preserve">2025-12-07</t>
  </si>
  <si>
    <t xml:space="preserve">679c86d7-c4e1-5882-8aed-aa0a570e2cc8</t>
  </si>
  <si>
    <t xml:space="preserve">2010 Maserati GranTurismo</t>
  </si>
  <si>
    <t xml:space="preserve">97468595-062a-53da-a339-fd960fef552e</t>
  </si>
  <si>
    <t xml:space="preserve">fd5ae805-61fa-5785-9e52-afe93f2119e1</t>
  </si>
  <si>
    <t xml:space="preserve">cc98887b-1296-51e2-a9fa-29b2914cb1cd</t>
  </si>
  <si>
    <t xml:space="preserve">ac013518-5204-53bb-b212-4e5974dc60cb</t>
  </si>
  <si>
    <t xml:space="preserve">eac23cfa-1a69-56a3-a2c6-d1fe3cccd260</t>
  </si>
  <si>
    <t xml:space="preserve">2004 Aston Martin DB12</t>
  </si>
  <si>
    <t xml:space="preserve">0075acc3-1a9f-55e9-9cbc-40665778cb1b</t>
  </si>
  <si>
    <t xml:space="preserve">f2f6f43b-1973-5e59-b48a-f228144e2db6</t>
  </si>
  <si>
    <t xml:space="preserve">1961 Mercedes-Benz 280SL Pagoda</t>
  </si>
  <si>
    <t xml:space="preserve">2565358b-46f5-5780-9e56-a677df147d40</t>
  </si>
  <si>
    <t xml:space="preserve">0b8724c3-c15e-560f-9186-4643f05cd369</t>
  </si>
  <si>
    <t xml:space="preserve">1979 Maserati GranTurismo</t>
  </si>
  <si>
    <t xml:space="preserve">5fc4c566-2d19-5ce5-ae75-1b52f9a9370e</t>
  </si>
  <si>
    <t xml:space="preserve">45d65593-c67c-55a9-8b09-75ba9320dc8a</t>
  </si>
  <si>
    <t xml:space="preserve">1992 Mercedes-Benz 280SL Pagoda</t>
  </si>
  <si>
    <t xml:space="preserve">2b89399c-0022-5887-9a3e-19d4ea3dd708</t>
  </si>
  <si>
    <t xml:space="preserve">2024 Alfa Romeo 8C 2900</t>
  </si>
  <si>
    <t xml:space="preserve">395eb7cb-5fcc-5579-a9c8-53e90c5bc87f</t>
  </si>
  <si>
    <t xml:space="preserve">2025-12-02</t>
  </si>
  <si>
    <t xml:space="preserve">77253850-aad6-5dc4-aeea-db647b290138</t>
  </si>
  <si>
    <t xml:space="preserve">c96f898e-2a25-5acd-aeb0-38b29c787a30</t>
  </si>
  <si>
    <t xml:space="preserve">f2df97f2-f3d1-59df-9e9f-2b9694f7cc94</t>
  </si>
  <si>
    <t xml:space="preserve">0d0dedb8-40f6-5dbf-a81d-19e407f5189f</t>
  </si>
  <si>
    <t xml:space="preserve">acf9e540-43e8-5e04-95fe-db29082c1d46</t>
  </si>
  <si>
    <t xml:space="preserve">cc0f857e-3b93-5f02-965d-c441bbb89aab</t>
  </si>
  <si>
    <t xml:space="preserve">af3f7e09-609d-51f2-b481-e192b7d3aa7b</t>
  </si>
  <si>
    <t xml:space="preserve">c351a985-de3e-521c-aa99-aaaf928d4b8d</t>
  </si>
  <si>
    <t xml:space="preserve">2001 Mercedes-Benz AMG GT</t>
  </si>
  <si>
    <t xml:space="preserve">335e8b51-5236-52f7-bdcb-813dc75ef9f3</t>
  </si>
  <si>
    <t xml:space="preserve">9761a724-18cf-5788-a1ba-b5bb5f8d8e7d</t>
  </si>
  <si>
    <t xml:space="preserve">04f64d25-ef14-5dc1-a51e-d337e41db012</t>
  </si>
  <si>
    <t xml:space="preserve">1957 Porsche 911 Turbo S</t>
  </si>
  <si>
    <t xml:space="preserve">85870d60-ca27-52a5-af62-85fed26818bf</t>
  </si>
  <si>
    <t xml:space="preserve">702a9965-9654-5bf4-a468-1a73fba10d0d</t>
  </si>
  <si>
    <t xml:space="preserve">2001 Lamborghini Huracan EVO</t>
  </si>
  <si>
    <t xml:space="preserve">2025-12-22</t>
  </si>
  <si>
    <t xml:space="preserve">4aaa572f-3bd8-5809-b5e9-b6401ed5256b</t>
  </si>
  <si>
    <t xml:space="preserve">8439e914-df1d-5ae3-aa1d-9fa20586c6c0</t>
  </si>
  <si>
    <t xml:space="preserve">39068e50-b3f0-51b2-8da6-bd3b0792d49d</t>
  </si>
  <si>
    <t xml:space="preserve">c86841a7-cd5d-58e3-9d1b-f61731d5ea84</t>
  </si>
  <si>
    <t xml:space="preserve">b1954bd7-0cde-527f-8e42-bea35e85c678</t>
  </si>
  <si>
    <t xml:space="preserve">2014 Porsche 911 Turbo S</t>
  </si>
  <si>
    <t xml:space="preserve">868d20ff-6f95-5676-a797-d400cf0deccb</t>
  </si>
  <si>
    <t xml:space="preserve">46d376b0-84c6-53cb-a4d0-ed747d09e409</t>
  </si>
  <si>
    <t xml:space="preserve">2001 Bentley Continental GT</t>
  </si>
  <si>
    <t xml:space="preserve">0f910b90-f3f9-5fea-80b9-08be0293a2b0</t>
  </si>
  <si>
    <t xml:space="preserve">eec38b63-bae1-5848-be85-55ce531fd4c7</t>
  </si>
  <si>
    <t xml:space="preserve">5faf84b1-2189-5ea2-80dc-922d3e2191b8</t>
  </si>
  <si>
    <t xml:space="preserve">5fc544ed-d908-586c-81a2-bcd44b355abb</t>
  </si>
  <si>
    <t xml:space="preserve">2021 Mercedes-Benz 280SL Pagoda</t>
  </si>
  <si>
    <t xml:space="preserve">3ae11889-dd57-51d0-84b6-0b78f8101d5b</t>
  </si>
  <si>
    <t xml:space="preserve">bb6a7a04-bd90-509e-98cb-af6960235454</t>
  </si>
  <si>
    <t xml:space="preserve">1995 Ringbrothers Mustang</t>
  </si>
  <si>
    <t xml:space="preserve">76024d30-c80e-5b52-b891-82c13bd73359</t>
  </si>
  <si>
    <t xml:space="preserve">d1431c85-3aa1-5dae-8276-08281cfadae9</t>
  </si>
  <si>
    <t xml:space="preserve">1985 Aston Martin DB5</t>
  </si>
  <si>
    <t xml:space="preserve">6b9e1ac5-6125-54e4-988b-b245e7ac20ca</t>
  </si>
  <si>
    <t xml:space="preserve">2024 Mercedes-Benz AMG GT</t>
  </si>
  <si>
    <t xml:space="preserve">ba1940b0-d968-5b41-bcee-ef960321117e</t>
  </si>
  <si>
    <t xml:space="preserve">1971 Singer 911 Reimagined</t>
  </si>
  <si>
    <t xml:space="preserve">9569958c-c3b0-5131-851f-2fa6e10a4fa1</t>
  </si>
  <si>
    <t xml:space="preserve">1961 Bentley Continental GT</t>
  </si>
  <si>
    <t xml:space="preserve">a88c69bf-8586-5bb2-8f60-500d974c3523</t>
  </si>
  <si>
    <t xml:space="preserve">172c1b1b-bd6c-59e0-afb9-ba358d591989</t>
  </si>
  <si>
    <t xml:space="preserve">222e0f94-2877-5d10-b312-1ae1662322b3</t>
  </si>
  <si>
    <t xml:space="preserve">be450e29-46cd-53ed-a7ec-db313d35da8e</t>
  </si>
  <si>
    <t xml:space="preserve">154db274-8c8e-56d5-971e-ecc25fecdb2c</t>
  </si>
  <si>
    <t xml:space="preserve">1999 Alfa Romeo 8C 2900</t>
  </si>
  <si>
    <t xml:space="preserve">cd4f63bb-69cc-5048-8104-84ca5a421c7a</t>
  </si>
  <si>
    <t xml:space="preserve">dc5f3e26-995d-5381-9eef-6bfd6b9ce31c</t>
  </si>
  <si>
    <t xml:space="preserve">53b4dcda-8f0b-5751-9afe-4e177efd63db</t>
  </si>
  <si>
    <t xml:space="preserve">1988 Aston Martin DB5</t>
  </si>
  <si>
    <t xml:space="preserve">306863ec-05b7-5616-9807-db40d7d3982f</t>
  </si>
  <si>
    <t xml:space="preserve">c3070d61-8029-5816-baeb-a0c0e065e437</t>
  </si>
  <si>
    <t xml:space="preserve">5a00c5ec-0480-537a-a3bd-a656269412a9</t>
  </si>
  <si>
    <t xml:space="preserve">3db3b659-65de-5d32-938c-e95a3626ad20</t>
  </si>
  <si>
    <t xml:space="preserve">c7df0c68-21b4-536e-a287-822b37570fb3</t>
  </si>
  <si>
    <t xml:space="preserve">8f975057-f99d-540b-b51b-5211eba4b49e</t>
  </si>
  <si>
    <t xml:space="preserve">fca59a0c-b3cf-53d9-ad01-41615eb18856</t>
  </si>
  <si>
    <t xml:space="preserve">0c168d05-b0b7-558a-b5f4-7479db852070</t>
  </si>
  <si>
    <t xml:space="preserve">b1e66628-4c6d-562e-a88f-705215f72b1c</t>
  </si>
  <si>
    <t xml:space="preserve">65fa3843-a1b6-5591-9f42-21bf1b457d29</t>
  </si>
  <si>
    <t xml:space="preserve">2022 Mercedes-Benz 280SL Pagoda</t>
  </si>
  <si>
    <t xml:space="preserve">cad53c49-9b86-5925-a4ea-a87f7956be85</t>
  </si>
  <si>
    <t xml:space="preserve">949762c6-d4a4-50bc-8367-c96a0a1e4151</t>
  </si>
  <si>
    <t xml:space="preserve">9f5c623e-aae5-5893-8f66-57d7ff098f18</t>
  </si>
  <si>
    <t xml:space="preserve">1978 Bugatti Type 57</t>
  </si>
  <si>
    <t xml:space="preserve">db32d522-61dc-5ff3-8da2-e5370042607b</t>
  </si>
  <si>
    <t xml:space="preserve">345e6d5f-faea-5404-95c9-e11b864f37c6</t>
  </si>
  <si>
    <t xml:space="preserve">1988 Bugatti Type 57</t>
  </si>
  <si>
    <t xml:space="preserve">32a709fc-cf2a-5043-97f3-25a29980b4ab</t>
  </si>
  <si>
    <t xml:space="preserve">571bcbe3-d4fd-5533-a7e4-ac06e1719a0a</t>
  </si>
  <si>
    <t xml:space="preserve">d30b8464-929e-5911-ab63-7ae703004e43</t>
  </si>
  <si>
    <t xml:space="preserve">79ec15af-8a8d-5b86-bdf7-9aec1d2340d5</t>
  </si>
  <si>
    <t xml:space="preserve">b4925b3d-43f1-54e6-8b52-98b490ffe732</t>
  </si>
  <si>
    <t xml:space="preserve">335f48db-86d4-5da4-9c0c-11013ac32d0e</t>
  </si>
  <si>
    <t xml:space="preserve">2025-12-08</t>
  </si>
  <si>
    <t xml:space="preserve">4a2c49b4-0304-527b-a5c6-3f66612401ee</t>
  </si>
  <si>
    <t xml:space="preserve">a5a84cb6-5903-51cd-8a98-b6873545b1f0</t>
  </si>
  <si>
    <t xml:space="preserve">2023 Aston Martin DB5</t>
  </si>
  <si>
    <t xml:space="preserve">de3a9b19-4129-57cf-b150-d6778175dfef</t>
  </si>
  <si>
    <t xml:space="preserve">976ae589-ef45-5a41-9bf3-c8197c321550</t>
  </si>
  <si>
    <t xml:space="preserve">f806f52f-fd7c-5a7a-b5b2-a9453b6e361a</t>
  </si>
  <si>
    <t xml:space="preserve">1969 Bugatti Type 57</t>
  </si>
  <si>
    <t xml:space="preserve">2025-12-14</t>
  </si>
  <si>
    <t xml:space="preserve">0feb3dfb-fd2a-5e84-bb86-0ba11d854982</t>
  </si>
  <si>
    <t xml:space="preserve">2004 Maserati GranTurismo</t>
  </si>
  <si>
    <t xml:space="preserve">1303fb73-7ff4-50e9-b181-637270edd58d</t>
  </si>
  <si>
    <t xml:space="preserve">de28b9b7-6f95-59f1-93fd-6c11a023e1d9</t>
  </si>
  <si>
    <t xml:space="preserve">2504adab-c326-5b79-bec1-a3669f259557</t>
  </si>
  <si>
    <t xml:space="preserve">3f96b628-ba0f-5dc3-80aa-ff0a5f4a6a9f</t>
  </si>
  <si>
    <t xml:space="preserve">8759b74a-62d5-56fe-8c88-91d129ebee41</t>
  </si>
  <si>
    <t xml:space="preserve">1987 Jaguar E-Type Series 1</t>
  </si>
  <si>
    <t xml:space="preserve">075613ff-3b81-55a2-a379-8a4642360256</t>
  </si>
  <si>
    <t xml:space="preserve">4a967802-4a2f-50f0-8cd1-8669bb65af57</t>
  </si>
  <si>
    <t xml:space="preserve">51c2caf5-b0b0-5bac-89f3-7162803d9347</t>
  </si>
  <si>
    <t xml:space="preserve">8d945836-b3c9-55ab-b6c2-adc82d67ae69</t>
  </si>
  <si>
    <t xml:space="preserve">cef72380-e013-5ddd-853c-6137596d12eb</t>
  </si>
  <si>
    <t xml:space="preserve">1996 Mercedes-Benz 280SL Pagoda</t>
  </si>
  <si>
    <t xml:space="preserve">00ca20e6-75db-5004-9568-8b46312ed9ed</t>
  </si>
  <si>
    <t xml:space="preserve">2017 BMW M8 Competition</t>
  </si>
  <si>
    <t xml:space="preserve">993cbfaa-efe8-54b0-a45e-85d6202ae302</t>
  </si>
  <si>
    <t xml:space="preserve">05dd5e6d-5ad0-5ecc-bb50-d96ce9dfdaf6</t>
  </si>
  <si>
    <t xml:space="preserve">871c677f-5665-5d07-88e4-722ef8d039f6</t>
  </si>
  <si>
    <t xml:space="preserve">4dccdf4d-0a06-5501-b0e6-87e55cd56a9d</t>
  </si>
  <si>
    <t xml:space="preserve">7a1afad8-67ca-5c39-a26a-414530885794</t>
  </si>
  <si>
    <t xml:space="preserve">2016 Porsche 911 Turbo S</t>
  </si>
  <si>
    <t xml:space="preserve">746e01c0-6df4-5a16-abbb-455ad7c889d7</t>
  </si>
  <si>
    <t xml:space="preserve">1961 Mercedes-Benz AMG GT</t>
  </si>
  <si>
    <t xml:space="preserve">ab691e07-c84e-56fb-ac22-e9335c2466c5</t>
  </si>
  <si>
    <t xml:space="preserve">d6e39c73-bc18-5121-b445-b8fd25099fd5</t>
  </si>
  <si>
    <t xml:space="preserve">1976 Porsche 911 Turbo S</t>
  </si>
  <si>
    <t xml:space="preserve">06c3c838-0e2b-5cd7-823f-6e5aedcb5fff</t>
  </si>
  <si>
    <t xml:space="preserve">06214dc9-712e-5aed-a83d-3a2c1403141f</t>
  </si>
  <si>
    <t xml:space="preserve">2018 Porsche 911 Turbo S</t>
  </si>
  <si>
    <t xml:space="preserve">6d907cc1-73a9-5205-b1b0-fa2a8a9b5312</t>
  </si>
  <si>
    <t xml:space="preserve">1980 Jaguar E-Type Series 1</t>
  </si>
  <si>
    <t xml:space="preserve">4377b7a2-b7e3-585a-80dd-943f9b4ab42b</t>
  </si>
  <si>
    <t xml:space="preserve">275dc641-6bed-536a-a13d-614db4ca264e</t>
  </si>
  <si>
    <t xml:space="preserve">2009 Lamborghini Huracan EVO</t>
  </si>
  <si>
    <t xml:space="preserve">e261bd10-7f36-5d58-93e3-a6f01ffe64d3</t>
  </si>
  <si>
    <t xml:space="preserve">ea7d4155-d897-5e8f-8ba7-a0264b3ac560</t>
  </si>
  <si>
    <t xml:space="preserve">40e6ef1c-2882-565f-b8c7-1fab1ce83b0b</t>
  </si>
  <si>
    <t xml:space="preserve">67714bc5-f226-5757-b00d-e4555d60f7d1</t>
  </si>
  <si>
    <t xml:space="preserve">a6eee11f-07d8-5a61-903f-6f626b44d4ac</t>
  </si>
  <si>
    <t xml:space="preserve">d84374f2-f76a-576d-b767-77779d643e31</t>
  </si>
  <si>
    <t xml:space="preserve">1fbf4f43-df7a-57ae-99a7-7ffcce65846f</t>
  </si>
  <si>
    <t xml:space="preserve">7bc80f7c-bf0b-5eea-bb29-b431002988d9</t>
  </si>
  <si>
    <t xml:space="preserve">d52d744b-d7e7-5ca8-8c05-166089a2112a</t>
  </si>
  <si>
    <t xml:space="preserve">1972 Maserati GranTurismo</t>
  </si>
  <si>
    <t xml:space="preserve">7dd3f413-99e2-5679-a932-25a930030572</t>
  </si>
  <si>
    <t xml:space="preserve">1956 Icon Derelict</t>
  </si>
  <si>
    <t xml:space="preserve">148f9cd9-6c35-5d83-8997-bdcb757bb196</t>
  </si>
  <si>
    <t xml:space="preserve">7961a3b1-629d-5987-b572-5abe238430b7</t>
  </si>
  <si>
    <t xml:space="preserve">1984 Aston Martin DB5</t>
  </si>
  <si>
    <t xml:space="preserve">613f3f98-96ad-5226-95d0-0371e3b6d18f</t>
  </si>
  <si>
    <t xml:space="preserve">1993 Bentley Continental GT</t>
  </si>
  <si>
    <t xml:space="preserve">b6ad6e2f-2eb9-5dfd-85c8-e3ad4462fb0f</t>
  </si>
  <si>
    <t xml:space="preserve">ba2ee51d-abab-5dc2-b7c1-0b2cbe28525c</t>
  </si>
  <si>
    <t xml:space="preserve">3f16059d-d3e9-57cf-82ab-ae29900c2e99</t>
  </si>
  <si>
    <t xml:space="preserve">717bf145-1bd9-5efe-8454-cfc796d1c1ff</t>
  </si>
  <si>
    <t xml:space="preserve">734fb218-ccb0-5022-8f5d-26549a3d3226</t>
  </si>
  <si>
    <t xml:space="preserve">85740a90-92c3-539c-93c7-adeca3d863fa</t>
  </si>
  <si>
    <t xml:space="preserve">65c3545d-67dd-5cdd-bb1d-73151503b8d5</t>
  </si>
  <si>
    <t xml:space="preserve">e66e92eb-5021-558e-9965-96f3d3bea318</t>
  </si>
  <si>
    <t xml:space="preserve">1975 Ferrari SF90 Stradale</t>
  </si>
  <si>
    <t xml:space="preserve">1476fa6d-b27d-5f45-8d3d-1df9dcbf5c21</t>
  </si>
  <si>
    <t xml:space="preserve">1983 Porsche 911 Turbo S</t>
  </si>
  <si>
    <t xml:space="preserve">b3c256c2-0d1c-5472-bcee-ab5caf7a7ef0</t>
  </si>
  <si>
    <t xml:space="preserve">3bef4122-8509-5099-b1b3-4bd5a4f71698</t>
  </si>
  <si>
    <t xml:space="preserve">feecd1b5-532c-565e-a533-b9175f405cce</t>
  </si>
  <si>
    <t xml:space="preserve">b7fef9c9-d653-54e4-8084-07558b93294e</t>
  </si>
  <si>
    <t xml:space="preserve">1973 BMW M8 Competition</t>
  </si>
  <si>
    <t xml:space="preserve">d9fab338-194f-502b-a870-93d86bdfe68d</t>
  </si>
  <si>
    <t xml:space="preserve">63232f11-39ca-55da-882f-c0608eff7bb1</t>
  </si>
  <si>
    <t xml:space="preserve">91dc8901-d73e-5a53-b69c-ee523d7e8676</t>
  </si>
  <si>
    <t xml:space="preserve">13b12381-f28a-54d6-b00b-16561aac6eda</t>
  </si>
  <si>
    <t xml:space="preserve">28447711-755b-52ef-946f-240710348665</t>
  </si>
  <si>
    <t xml:space="preserve">a9000bab-75e0-59ce-8a3e-75a97d04c86b</t>
  </si>
  <si>
    <t xml:space="preserve">1955 BMW M8 Competition</t>
  </si>
  <si>
    <t xml:space="preserve">11eb7d50-41d5-56e6-b5f0-1f83ea92f735</t>
  </si>
  <si>
    <t xml:space="preserve">2000 Maserati GranTurismo</t>
  </si>
  <si>
    <t xml:space="preserve">5d4dfd11-389e-50ca-a994-09cba3d63283</t>
  </si>
  <si>
    <t xml:space="preserve">50f0e2be-8ce1-5842-8d75-ba1ede07321c</t>
  </si>
  <si>
    <t xml:space="preserve">33009f0f-2fcc-59bf-9071-3ce222f58d0a</t>
  </si>
  <si>
    <t xml:space="preserve">bf7b8d79-bda6-5102-b66e-13378bd834d0</t>
  </si>
  <si>
    <t xml:space="preserve">b6758fc9-a29c-5211-a545-a0146e5669b6</t>
  </si>
  <si>
    <t xml:space="preserve">2011 Mercedes-Benz AMG GT</t>
  </si>
  <si>
    <t xml:space="preserve">bae9bb07-01f2-58de-9e6e-2442876d31b3</t>
  </si>
  <si>
    <t xml:space="preserve">1958 Lamborghini Huracan EVO</t>
  </si>
  <si>
    <t xml:space="preserve">61b232b0-a297-5e09-a314-642b43eddae0</t>
  </si>
  <si>
    <t xml:space="preserve">2020 Bentley Continental GT</t>
  </si>
  <si>
    <t xml:space="preserve">77b04ac5-c055-54f4-b91d-c0ce63a0d70c</t>
  </si>
  <si>
    <t xml:space="preserve">fe44bec6-d05d-5075-9923-39f1df9a7edf</t>
  </si>
  <si>
    <t xml:space="preserve">2021 BMW M8 Competition</t>
  </si>
  <si>
    <t xml:space="preserve">8ad1c09f-f006-55f6-ae5d-23c25f2fa4b6</t>
  </si>
  <si>
    <t xml:space="preserve">c54b740c-6c18-522c-81e8-93d633755f7e</t>
  </si>
  <si>
    <t xml:space="preserve">91e5eab7-dd27-508d-9003-1379224cc49d</t>
  </si>
  <si>
    <t xml:space="preserve">3615bed3-669d-50c7-93b8-edba4c737e8b</t>
  </si>
  <si>
    <t xml:space="preserve">1984 Aston Martin DB12</t>
  </si>
  <si>
    <t xml:space="preserve">14516a79-f66b-5dc4-a13d-c5fc1662cae8</t>
  </si>
  <si>
    <t xml:space="preserve">28c7d634-985f-57e1-97f9-a31c978d71f4</t>
  </si>
  <si>
    <t xml:space="preserve">50beb2d3-1fba-5c48-ab28-da82323023e6</t>
  </si>
  <si>
    <t xml:space="preserve">1963 Bentley Continental GT</t>
  </si>
  <si>
    <t xml:space="preserve">dbd641cd-7897-567d-a965-4c462d179ceb</t>
  </si>
  <si>
    <t xml:space="preserve">2021 Bugatti Type 57</t>
  </si>
  <si>
    <t xml:space="preserve">56729442-e68d-593e-b8fd-d1afeb20162c</t>
  </si>
  <si>
    <t xml:space="preserve">78676aa9-acf9-5004-a73a-39f4db79e19e</t>
  </si>
  <si>
    <t xml:space="preserve">e43ded1e-e9b4-5537-bae3-c830c469e744</t>
  </si>
  <si>
    <t xml:space="preserve">ed48b417-5478-51c5-a106-81fedbe4cf96</t>
  </si>
  <si>
    <t xml:space="preserve">1977 Bugatti Type 57</t>
  </si>
  <si>
    <t xml:space="preserve">1cc1ee11-daa0-5b09-bc70-247fbcf51d6e</t>
  </si>
  <si>
    <t xml:space="preserve">6ed41591-89d5-5193-baae-e9e6e443cae4</t>
  </si>
  <si>
    <t xml:space="preserve">a3f893e2-8394-56fe-99e9-419993c9c5af</t>
  </si>
  <si>
    <t xml:space="preserve">f2044398-7a95-553a-89ca-0600be537eeb</t>
  </si>
  <si>
    <t xml:space="preserve">d3c0eed9-c43c-5738-9f38-11bf99f03e34</t>
  </si>
  <si>
    <t xml:space="preserve">0c51a6af-7b0b-50ec-9141-6de311778acc</t>
  </si>
  <si>
    <t xml:space="preserve">ceda205c-b13e-5cfb-8f46-41e6ff7e95a7</t>
  </si>
  <si>
    <t xml:space="preserve">1991 McLaren 750S</t>
  </si>
  <si>
    <t xml:space="preserve">94b3ca4e-023b-5d4b-a9f7-fda8caf03be4</t>
  </si>
  <si>
    <t xml:space="preserve">5318f886-1fd4-5362-b4ea-560b28cc6681</t>
  </si>
  <si>
    <t xml:space="preserve">1989 Ferrari SF90 Stradale</t>
  </si>
  <si>
    <t xml:space="preserve">10b6582d-5fe2-5ec2-b07c-b9a3b6b980ce</t>
  </si>
  <si>
    <t xml:space="preserve">1978 Ferrari SF90 Stradale</t>
  </si>
  <si>
    <t xml:space="preserve">8251aae4-2732-5538-8df7-1118c46129e7</t>
  </si>
  <si>
    <t xml:space="preserve">2003 Ringbrothers Mustang</t>
  </si>
  <si>
    <t xml:space="preserve">9cbeef8d-a525-533e-a0eb-984858926adf</t>
  </si>
  <si>
    <t xml:space="preserve">2009 Mercedes-Benz 280SL Pagoda</t>
  </si>
  <si>
    <t xml:space="preserve">c49c0f89-4726-5380-aa2f-5620789e1617</t>
  </si>
  <si>
    <t xml:space="preserve">7bfb29b5-7c63-50ba-8606-eb467fac37a9</t>
  </si>
  <si>
    <t xml:space="preserve">a32c5ffc-69bd-5419-8f70-5363ebd0478f</t>
  </si>
  <si>
    <t xml:space="preserve">4a72fe61-2b6c-577b-869c-37cfd0093356</t>
  </si>
  <si>
    <t xml:space="preserve">96a79585-a12f-5cf8-981b-a8d2f7cb9057</t>
  </si>
  <si>
    <t xml:space="preserve">9b2e1289-3561-5c00-bf9d-34fa41f276f0</t>
  </si>
  <si>
    <t xml:space="preserve">2002 Aston Martin DB12</t>
  </si>
  <si>
    <t xml:space="preserve">70f2713e-aa4e-503b-b04e-9d495918a8e7</t>
  </si>
  <si>
    <t xml:space="preserve">4812c959-9208-5d41-8dc2-761d158b34e9</t>
  </si>
  <si>
    <t xml:space="preserve">2003 Ferrari 296 GTB</t>
  </si>
  <si>
    <t xml:space="preserve">52882e5e-c157-5dae-9fb7-6d7d94fd51a6</t>
  </si>
  <si>
    <t xml:space="preserve">fc7fcc3f-711d-5a1d-812c-7bc7c1203fca</t>
  </si>
  <si>
    <t xml:space="preserve">1996 Aston Martin DB5</t>
  </si>
  <si>
    <t xml:space="preserve">0463d82a-a7b8-50a0-8412-59a5c6eddc28</t>
  </si>
  <si>
    <t xml:space="preserve">2022 McLaren 750S</t>
  </si>
  <si>
    <t xml:space="preserve">8291b7d7-bde7-58c5-b41d-a0d1c14b2ee3</t>
  </si>
  <si>
    <t xml:space="preserve">1970 Bentley Continental GT</t>
  </si>
  <si>
    <t xml:space="preserve">ee64b696-d88b-57ba-8e75-a69deaf69c93</t>
  </si>
  <si>
    <t xml:space="preserve">1959 Bentley Continental GT</t>
  </si>
  <si>
    <t xml:space="preserve">b5c69e7c-b505-59d4-a46c-79093519c23f</t>
  </si>
  <si>
    <t xml:space="preserve">1959 Porsche 911 Turbo S</t>
  </si>
  <si>
    <t xml:space="preserve">64b1b481-466c-52fd-82fe-ef74f2107b48</t>
  </si>
  <si>
    <t xml:space="preserve">2015 Aston Martin DB12</t>
  </si>
  <si>
    <t xml:space="preserve">233421fc-5116-5b2e-b65a-df47f8d79da6</t>
  </si>
  <si>
    <t xml:space="preserve">1997 Ferrari 275 GTB/4</t>
  </si>
  <si>
    <t xml:space="preserve">708a675a-c875-5468-a3da-b4ce581ad723</t>
  </si>
  <si>
    <t xml:space="preserve">5f6bbda0-2256-5e6c-a166-756e50c52393</t>
  </si>
  <si>
    <t xml:space="preserve">86dba6eb-9bcf-567f-a6a8-7d027b983974</t>
  </si>
  <si>
    <t xml:space="preserve">75fadb8f-553e-5d54-84f5-edd51077d7a7</t>
  </si>
  <si>
    <t xml:space="preserve">1985 Jaguar E-Type Series 1</t>
  </si>
  <si>
    <t xml:space="preserve">cd87bfae-8d3b-5d93-8a3d-1996cb055fef</t>
  </si>
  <si>
    <t xml:space="preserve">2383d148-fc4e-55ed-b538-d6e21c842712</t>
  </si>
  <si>
    <t xml:space="preserve">2017 Porsche 911 Turbo S</t>
  </si>
  <si>
    <t xml:space="preserve">98299023-07f2-5ce2-a7ed-c9c7977ed8d7</t>
  </si>
  <si>
    <t xml:space="preserve">f9074f97-050c-58b2-9a41-48c220207dbe</t>
  </si>
  <si>
    <t xml:space="preserve">2018 Ferrari SF90 Stradale</t>
  </si>
  <si>
    <t xml:space="preserve">3c64fc75-a81d-51f2-ba1c-26485271f501</t>
  </si>
  <si>
    <t xml:space="preserve">0407a0e0-1266-5b1e-b4a0-ab7f4c816a7b</t>
  </si>
  <si>
    <t xml:space="preserve">8720c9ca-a4db-5073-b130-9586916ccd1f</t>
  </si>
  <si>
    <t xml:space="preserve">fc5e3f77-8adf-5bec-b26a-823d83b1a60b</t>
  </si>
  <si>
    <t xml:space="preserve">f7f98299-7d2d-5d3b-adec-e16a421e05af</t>
  </si>
  <si>
    <t xml:space="preserve">fbf66e30-6c53-5b74-bf2c-21a868afa3fb</t>
  </si>
  <si>
    <t xml:space="preserve">492e73e7-edd2-5459-8f63-36c536bb445e</t>
  </si>
  <si>
    <t xml:space="preserve">16d08bdb-8431-58ee-a49f-b5f872ed431b</t>
  </si>
  <si>
    <t xml:space="preserve">1979 Mercedes-Benz AMG GT</t>
  </si>
  <si>
    <t xml:space="preserve">43c3e988-fa4e-53d9-b8b8-dc08d9824fd1</t>
  </si>
  <si>
    <t xml:space="preserve">bae5e194-bae9-5826-b93b-a076c357e1db</t>
  </si>
  <si>
    <t xml:space="preserve">1992 Lamborghini Huracan EVO</t>
  </si>
  <si>
    <t xml:space="preserve">6d083b56-8ba0-5e0c-a791-75f1a9aebe0f</t>
  </si>
  <si>
    <t xml:space="preserve">2016 Bentley 4.5 Litre</t>
  </si>
  <si>
    <t xml:space="preserve">896e21c2-4e0a-5fd6-949f-af964513d729</t>
  </si>
  <si>
    <t xml:space="preserve">be10e364-7d57-5ff2-b2e4-9d018996a022</t>
  </si>
  <si>
    <t xml:space="preserve">7e565d81-8678-5361-b18b-03f49b693976</t>
  </si>
  <si>
    <t xml:space="preserve">8a900ab7-b546-58c2-bf49-0999c8459dd7</t>
  </si>
  <si>
    <t xml:space="preserve">cfe9900c-3461-5472-b5d6-31c19f155b7b</t>
  </si>
  <si>
    <t xml:space="preserve">1960 Porsche 911 Turbo S</t>
  </si>
  <si>
    <t xml:space="preserve">a69e3f59-1b25-50fc-8051-c23074fbd79a</t>
  </si>
  <si>
    <t xml:space="preserve">2017 Icon Derelict</t>
  </si>
  <si>
    <t xml:space="preserve">9881acba-4675-5f40-babe-fa804bd7773e</t>
  </si>
  <si>
    <t xml:space="preserve">0572f64e-48c4-5537-b7be-148fc660c0e1</t>
  </si>
  <si>
    <t xml:space="preserve">dafffd6b-68ac-5f01-9f5a-cd1444a4bc1f</t>
  </si>
  <si>
    <t xml:space="preserve">fdaf90cd-84a7-53f0-8200-edc51cf3eb47</t>
  </si>
  <si>
    <t xml:space="preserve">Monthly Rater — 2026-01  (Month 6 of 12)</t>
  </si>
  <si>
    <t xml:space="preserve">Softening index 0.8972. Rated Premium = ROUND(AgreedValue/100 × BaseRate × Territory × Softening ÷ Gross-Up, 2); ties to artifact premium within $0.01 (generator rounding).</t>
  </si>
  <si>
    <t xml:space="preserve">2026-01-09</t>
  </si>
  <si>
    <t xml:space="preserve">edeae8dd-07ce-580c-9409-f6f581e71e8f</t>
  </si>
  <si>
    <t xml:space="preserve">2026-01-22</t>
  </si>
  <si>
    <t xml:space="preserve">f89c0636-f418-5b49-9963-7955970835c6</t>
  </si>
  <si>
    <t xml:space="preserve">2026-01-27</t>
  </si>
  <si>
    <t xml:space="preserve">ac92613e-aba3-5f30-8607-b201522b6c22</t>
  </si>
  <si>
    <t xml:space="preserve">1990 Ferrari SF90 Stradale</t>
  </si>
  <si>
    <t xml:space="preserve">2026-01-31</t>
  </si>
  <si>
    <t xml:space="preserve">197df7df-d713-5965-b0a9-dbfff41f5627</t>
  </si>
  <si>
    <t xml:space="preserve">2026-01-19</t>
  </si>
  <si>
    <t xml:space="preserve">ed1763bc-21e8-5451-afe5-14340a8163f0</t>
  </si>
  <si>
    <t xml:space="preserve">2026-01-16</t>
  </si>
  <si>
    <t xml:space="preserve">810c0455-4beb-5dde-bbe8-99affe774c05</t>
  </si>
  <si>
    <t xml:space="preserve">2026-01-30</t>
  </si>
  <si>
    <t xml:space="preserve">f1c19cf6-f4c7-5529-abe2-68860c858685</t>
  </si>
  <si>
    <t xml:space="preserve">2026-01-14</t>
  </si>
  <si>
    <t xml:space="preserve">cbe8483d-0577-5cdb-9686-ec70c68124a0</t>
  </si>
  <si>
    <t xml:space="preserve">2026-01-20</t>
  </si>
  <si>
    <t xml:space="preserve">a2fae407-ba9c-5278-b037-d33f7c7b3c0f</t>
  </si>
  <si>
    <t xml:space="preserve">b2dc2ea6-670a-5081-b0a4-7a88dad20859</t>
  </si>
  <si>
    <t xml:space="preserve">2015 Ferrari 296 GTB</t>
  </si>
  <si>
    <t xml:space="preserve">2026-01-11</t>
  </si>
  <si>
    <t xml:space="preserve">a4ed35b8-7b1e-555e-a49e-a926bda47b65</t>
  </si>
  <si>
    <t xml:space="preserve">2026-01-08</t>
  </si>
  <si>
    <t xml:space="preserve">e0b443fd-3375-5554-a59c-a0a4c0cd45f7</t>
  </si>
  <si>
    <t xml:space="preserve">1958 Bugatti Type 57</t>
  </si>
  <si>
    <t xml:space="preserve">75bbbee5-9ddd-5678-88fb-4a372f172711</t>
  </si>
  <si>
    <t xml:space="preserve">1969 Mercedes-Benz 280SL Pagoda</t>
  </si>
  <si>
    <t xml:space="preserve">e935fd8b-a2e2-5bfb-8f4f-2bc6cfc1b7be</t>
  </si>
  <si>
    <t xml:space="preserve">2018 BMW M8 Competition</t>
  </si>
  <si>
    <t xml:space="preserve">2026-01-17</t>
  </si>
  <si>
    <t xml:space="preserve">46ace2c3-feb1-525d-b28c-536edbafad0a</t>
  </si>
  <si>
    <t xml:space="preserve">c370f904-18b5-5a17-ac35-bdb9a611ee03</t>
  </si>
  <si>
    <t xml:space="preserve">61757480-2453-5933-ada1-6d27bcdc5635</t>
  </si>
  <si>
    <t xml:space="preserve">2016 Lamborghini Huracan EVO</t>
  </si>
  <si>
    <t xml:space="preserve">004df246-4942-58a0-b8bb-8bddd774dae8</t>
  </si>
  <si>
    <t xml:space="preserve">2002 Ringbrothers Mustang</t>
  </si>
  <si>
    <t xml:space="preserve">abbf03cc-68f6-530f-86a7-05250988549b</t>
  </si>
  <si>
    <t xml:space="preserve">2018 Aston Martin DB12</t>
  </si>
  <si>
    <t xml:space="preserve">8cf924d0-c363-5949-bb69-7c2e73cd977a</t>
  </si>
  <si>
    <t xml:space="preserve">2026-01-12</t>
  </si>
  <si>
    <t xml:space="preserve">8786b6ed-374f-5b0f-83aa-c886e5376459</t>
  </si>
  <si>
    <t xml:space="preserve">5ed14aee-efa0-5d39-aff3-420159a24a84</t>
  </si>
  <si>
    <t xml:space="preserve">1efdb745-721c-59a5-9ea9-942fa19bb8b6</t>
  </si>
  <si>
    <t xml:space="preserve">2022 Bentley 4.5 Litre</t>
  </si>
  <si>
    <t xml:space="preserve">706f39de-0365-5e08-908b-a940a00ab358</t>
  </si>
  <si>
    <t xml:space="preserve">1956 Mercedes-Benz AMG GT</t>
  </si>
  <si>
    <t xml:space="preserve">9aa41995-902a-5211-8bf4-965360d6a86e</t>
  </si>
  <si>
    <t xml:space="preserve">2000 BMW M8 Competition</t>
  </si>
  <si>
    <t xml:space="preserve">2026-01-13</t>
  </si>
  <si>
    <t xml:space="preserve">509a5c54-5e3d-5824-8b71-3dd54b72334e</t>
  </si>
  <si>
    <t xml:space="preserve">7e23228a-2cfb-52de-9b64-fc08f9388701</t>
  </si>
  <si>
    <t xml:space="preserve">2026-01-02</t>
  </si>
  <si>
    <t xml:space="preserve">21dd9ca7-cdd6-5f7e-a15e-d24bfb969648</t>
  </si>
  <si>
    <t xml:space="preserve">e6f2ceab-7cd1-527b-a579-db47898fff6e</t>
  </si>
  <si>
    <t xml:space="preserve">1974 Maserati GranTurismo</t>
  </si>
  <si>
    <t xml:space="preserve">2026-01-01</t>
  </si>
  <si>
    <t xml:space="preserve">bdfdeffc-a728-5b9c-885b-0b068a98b670</t>
  </si>
  <si>
    <t xml:space="preserve">1984 McLaren 750S</t>
  </si>
  <si>
    <t xml:space="preserve">2453b376-b3ed-5563-836e-e3d871ec5a1b</t>
  </si>
  <si>
    <t xml:space="preserve">2026-01-15</t>
  </si>
  <si>
    <t xml:space="preserve">861930af-ef51-5014-94b9-12e5cba6d8dd</t>
  </si>
  <si>
    <t xml:space="preserve">2007 Mercedes-Benz 280SL Pagoda</t>
  </si>
  <si>
    <t xml:space="preserve">6b490cce-e875-5b1c-a9f3-ac779276447f</t>
  </si>
  <si>
    <t xml:space="preserve">fbe5997c-bc47-54de-b476-b6824a0ed51e</t>
  </si>
  <si>
    <t xml:space="preserve">2026-01-21</t>
  </si>
  <si>
    <t xml:space="preserve">a3fba5a0-e17a-5553-88ce-51ff0951b34c</t>
  </si>
  <si>
    <t xml:space="preserve">f4c7bea2-39e3-56d0-aa5b-4da741b228df</t>
  </si>
  <si>
    <t xml:space="preserve">06c2d764-584f-5149-aca9-a3ba4c86ff90</t>
  </si>
  <si>
    <t xml:space="preserve">368aa656-6c6d-534a-a039-175de55fc2da</t>
  </si>
  <si>
    <t xml:space="preserve">2020 Ferrari SF90 Stradale</t>
  </si>
  <si>
    <t xml:space="preserve">95cd8a22-44b9-5184-b5ad-5652fc656eba</t>
  </si>
  <si>
    <t xml:space="preserve">2b5ff8ad-8649-530f-9f23-99b2285af446</t>
  </si>
  <si>
    <t xml:space="preserve">abf9552b-3784-507c-99d6-19a2658ee7d3</t>
  </si>
  <si>
    <t xml:space="preserve">1883b140-9141-5a8e-8bf1-48e994f0e5af</t>
  </si>
  <si>
    <t xml:space="preserve">2008 Ferrari 296 GTB</t>
  </si>
  <si>
    <t xml:space="preserve">2026-01-25</t>
  </si>
  <si>
    <t xml:space="preserve">796cb312-61fb-5a69-9eb8-4dda1d860266</t>
  </si>
  <si>
    <t xml:space="preserve">2026-01-26</t>
  </si>
  <si>
    <t xml:space="preserve">46ce39f1-d3a4-548c-bbef-3540baa962ec</t>
  </si>
  <si>
    <t xml:space="preserve">f32fddc6-b9eb-5433-b968-eaf640c4c242</t>
  </si>
  <si>
    <t xml:space="preserve">2026-01-18</t>
  </si>
  <si>
    <t xml:space="preserve">ff046021-72ee-5edc-9df5-9f0e5d6f55ce</t>
  </si>
  <si>
    <t xml:space="preserve">0c52f9f0-b0c7-5928-9f7f-56ff37bc874d</t>
  </si>
  <si>
    <t xml:space="preserve">2026-01-10</t>
  </si>
  <si>
    <t xml:space="preserve">b216343f-2a35-5765-a28f-0c28fa9d0b10</t>
  </si>
  <si>
    <t xml:space="preserve">37d87737-cac1-5df1-a54d-42662d769062</t>
  </si>
  <si>
    <t xml:space="preserve">2012 BMW M8 Competition</t>
  </si>
  <si>
    <t xml:space="preserve">241e6221-0c1a-51b0-ac40-5211c6979971</t>
  </si>
  <si>
    <t xml:space="preserve">6cdf57d5-ea1e-5a7d-9461-e0e101382f46</t>
  </si>
  <si>
    <t xml:space="preserve">2007 Porsche 911 Turbo S</t>
  </si>
  <si>
    <t xml:space="preserve">7aa6a1ef-148e-5a5c-b133-8fcf84c4735d</t>
  </si>
  <si>
    <t xml:space="preserve">1970 Mercedes-Benz 280SL Pagoda</t>
  </si>
  <si>
    <t xml:space="preserve">da213d9c-0d5f-5630-9517-eef628a0d83a</t>
  </si>
  <si>
    <t xml:space="preserve">02b47402-a017-5849-84a0-d2ed376a13c3</t>
  </si>
  <si>
    <t xml:space="preserve">2010 Icon Derelict</t>
  </si>
  <si>
    <t xml:space="preserve">08e1de0b-8e8f-53e2-a1be-e89f6cc09d29</t>
  </si>
  <si>
    <t xml:space="preserve">1984 Ferrari 275 GTB/4</t>
  </si>
  <si>
    <t xml:space="preserve">50df8112-01f4-52de-b884-53ea59417737</t>
  </si>
  <si>
    <t xml:space="preserve">048a891b-b62b-5fac-88e6-41773fe22f96</t>
  </si>
  <si>
    <t xml:space="preserve">2010 Mercedes-Benz 280SL Pagoda</t>
  </si>
  <si>
    <t xml:space="preserve">38241b42-35a0-5211-b9a0-f9e34cb19ea9</t>
  </si>
  <si>
    <t xml:space="preserve">2026-01-07</t>
  </si>
  <si>
    <t xml:space="preserve">c77f4c30-31f7-5de0-92b3-b63e000c58f4</t>
  </si>
  <si>
    <t xml:space="preserve">2026-01-24</t>
  </si>
  <si>
    <t xml:space="preserve">4971b308-85d0-5dac-b943-84b29605d095</t>
  </si>
  <si>
    <t xml:space="preserve">63e2b08f-1fbc-5c4a-acb6-ce2649431a36</t>
  </si>
  <si>
    <t xml:space="preserve">2019 Ringbrothers Mustang</t>
  </si>
  <si>
    <t xml:space="preserve">2026-01-29</t>
  </si>
  <si>
    <t xml:space="preserve">063035e6-82cf-54bf-80cd-161800a5bfd9</t>
  </si>
  <si>
    <t xml:space="preserve">5e47d351-6163-5e67-aef7-30764d5c3c18</t>
  </si>
  <si>
    <t xml:space="preserve">1b46f44c-476f-5e9d-ae13-fed0a5366772</t>
  </si>
  <si>
    <t xml:space="preserve">562d9d7f-33fd-50c5-aa18-6021a3b0ae33</t>
  </si>
  <si>
    <t xml:space="preserve">1987 Mercedes-Benz 280SL Pagoda</t>
  </si>
  <si>
    <t xml:space="preserve">2026-01-28</t>
  </si>
  <si>
    <t xml:space="preserve">4634f566-80a4-5827-b33e-4366c3c8436a</t>
  </si>
  <si>
    <t xml:space="preserve">1994 Bentley Continental GT</t>
  </si>
  <si>
    <t xml:space="preserve">3dac0e3b-0614-5bf2-92ce-0eab629c42b1</t>
  </si>
  <si>
    <t xml:space="preserve">1968 Ferrari 296 GTB</t>
  </si>
  <si>
    <t xml:space="preserve">0d786e55-c65f-5692-bfd3-8872b49ede13</t>
  </si>
  <si>
    <t xml:space="preserve">1991 Aston Martin DB5</t>
  </si>
  <si>
    <t xml:space="preserve">e54ca7b5-c0e7-5886-a241-fbd57820b1cd</t>
  </si>
  <si>
    <t xml:space="preserve">2993e848-9dd0-52df-a3eb-30799c3b52a8</t>
  </si>
  <si>
    <t xml:space="preserve">737a91e7-b6cb-5053-a2be-b7e31d4798e8</t>
  </si>
  <si>
    <t xml:space="preserve">2026-01-06</t>
  </si>
  <si>
    <t xml:space="preserve">79e94078-29f5-5356-9773-ab273d74c5ca</t>
  </si>
  <si>
    <t xml:space="preserve">5c5c156c-9995-5c41-91fb-8cc6647215fd</t>
  </si>
  <si>
    <t xml:space="preserve">5cd0634b-635a-558a-afb3-bd5aa8959793</t>
  </si>
  <si>
    <t xml:space="preserve">57e00760-2ef2-5d35-b67d-aac1772c7344</t>
  </si>
  <si>
    <t xml:space="preserve">d4aaa354-4171-50ad-aeb1-10c34f3b1113</t>
  </si>
  <si>
    <t xml:space="preserve">0a1a0eb9-e59b-5d32-bb23-5cf5f330c627</t>
  </si>
  <si>
    <t xml:space="preserve">aba7f08c-76eb-514c-a6be-f414c0458eca</t>
  </si>
  <si>
    <t xml:space="preserve">2014 Mercedes-Benz 280SL Pagoda</t>
  </si>
  <si>
    <t xml:space="preserve">2213d5ce-9964-5415-b6c6-7a5b8960382f</t>
  </si>
  <si>
    <t xml:space="preserve">1996 Icon Derelict</t>
  </si>
  <si>
    <t xml:space="preserve">482c2580-c373-5d34-8408-c0bdb461985b</t>
  </si>
  <si>
    <t xml:space="preserve">be112c40-e6cd-5c4d-9961-298aade46f54</t>
  </si>
  <si>
    <t xml:space="preserve">f4144c78-ec66-5684-b292-5861fdd31d65</t>
  </si>
  <si>
    <t xml:space="preserve">1961 Aston Martin DB5</t>
  </si>
  <si>
    <t xml:space="preserve">622d8b73-80f8-5486-815c-6c0ba842153f</t>
  </si>
  <si>
    <t xml:space="preserve">d23e4e59-0c04-50fd-9763-d75737de4ce7</t>
  </si>
  <si>
    <t xml:space="preserve">1993 Mercedes-Benz AMG GT</t>
  </si>
  <si>
    <t xml:space="preserve">d377e413-268e-59ec-8d8c-fcba3f36f4e3</t>
  </si>
  <si>
    <t xml:space="preserve">e78da0e8-7a41-528b-97a4-3b2e1d910e10</t>
  </si>
  <si>
    <t xml:space="preserve">c5fae725-4747-5895-a84c-2338da68fcee</t>
  </si>
  <si>
    <t xml:space="preserve">1985 Icon Derelict</t>
  </si>
  <si>
    <t xml:space="preserve">6f5bb430-585f-5fff-b872-e31cdde63c80</t>
  </si>
  <si>
    <t xml:space="preserve">81c62c67-4665-58e7-92af-2815d459d266</t>
  </si>
  <si>
    <t xml:space="preserve">1985 Lamborghini Huracan EVO</t>
  </si>
  <si>
    <t xml:space="preserve">aeb95ea4-96df-52c0-84b0-ddc917428fdb</t>
  </si>
  <si>
    <t xml:space="preserve">1986 Ferrari SF90 Stradale</t>
  </si>
  <si>
    <t xml:space="preserve">b43e86c2-8069-535b-b99c-9cf16a97129c</t>
  </si>
  <si>
    <t xml:space="preserve">51700c7a-d6e2-589d-a212-f0a917b2539a</t>
  </si>
  <si>
    <t xml:space="preserve">bd3a927d-07c5-537f-9419-4c901f2ecda2</t>
  </si>
  <si>
    <t xml:space="preserve">695e285d-ec72-5f70-9d71-ce5e8c3b9353</t>
  </si>
  <si>
    <t xml:space="preserve">1980 Aston Martin DB5</t>
  </si>
  <si>
    <t xml:space="preserve">fb786f97-a39d-5a7b-ac48-f1628b939254</t>
  </si>
  <si>
    <t xml:space="preserve">c3f13d99-ac9b-5a5a-9b0e-c896f7a4f796</t>
  </si>
  <si>
    <t xml:space="preserve">adf20108-5a12-5674-b3b9-f90269b5f18a</t>
  </si>
  <si>
    <t xml:space="preserve">55091ec7-e890-597a-9b3e-7a78c67f4868</t>
  </si>
  <si>
    <t xml:space="preserve">ad551ec4-dc38-5ca7-8ad1-072cad893254</t>
  </si>
  <si>
    <t xml:space="preserve">1992 Bugatti Type 57</t>
  </si>
  <si>
    <t xml:space="preserve">836eb1c2-ab89-50dd-980a-fefdd7a81e23</t>
  </si>
  <si>
    <t xml:space="preserve">1970 Ferrari 275 GTB/4</t>
  </si>
  <si>
    <t xml:space="preserve">3c582117-f877-5599-8b97-336299b734a6</t>
  </si>
  <si>
    <t xml:space="preserve">d7fa8e48-4063-582c-a4a5-251cdba2e11f</t>
  </si>
  <si>
    <t xml:space="preserve">3dfca8cb-70af-5384-bd4e-d1f10b1dbb0b</t>
  </si>
  <si>
    <t xml:space="preserve">1991 Singer 911 Reimagined</t>
  </si>
  <si>
    <t xml:space="preserve">80aadfb0-f3fe-5a27-b6ff-3da2b303c4ad</t>
  </si>
  <si>
    <t xml:space="preserve">d53661bf-2423-5021-be15-24e039593d4f</t>
  </si>
  <si>
    <t xml:space="preserve">1985 Bugatti Type 57</t>
  </si>
  <si>
    <t xml:space="preserve">2026-01-03</t>
  </si>
  <si>
    <t xml:space="preserve">ac3dd897-9560-5866-bc62-5ab771570e50</t>
  </si>
  <si>
    <t xml:space="preserve">dd6c942c-2116-5dd2-8348-01de75f55cb2</t>
  </si>
  <si>
    <t xml:space="preserve">01455bd7-8e1e-5281-a5f3-1167f58ec261</t>
  </si>
  <si>
    <t xml:space="preserve">68294597-3dd3-5d0d-b0fb-c78b3235952b</t>
  </si>
  <si>
    <t xml:space="preserve">1986 McLaren 750S</t>
  </si>
  <si>
    <t xml:space="preserve">3f2c0eac-2721-5e28-9d57-65961466c68b</t>
  </si>
  <si>
    <t xml:space="preserve">0f50008a-e725-5f92-a629-3058a0982742</t>
  </si>
  <si>
    <t xml:space="preserve">2008 Bugatti Type 57</t>
  </si>
  <si>
    <t xml:space="preserve">e9067063-bc06-5764-af77-77db9c7107eb</t>
  </si>
  <si>
    <t xml:space="preserve">de1a8e48-8f14-5237-b01e-09d6beeed5a5</t>
  </si>
  <si>
    <t xml:space="preserve">cdbc707e-f9df-5966-b91c-57f1140e3520</t>
  </si>
  <si>
    <t xml:space="preserve">90cc083f-c48e-5fd7-9b5a-1eb00bd49470</t>
  </si>
  <si>
    <t xml:space="preserve">1966 Mercedes-Benz AMG GT</t>
  </si>
  <si>
    <t xml:space="preserve">d27e98c0-6406-5679-bf71-bbea44e5a30a</t>
  </si>
  <si>
    <t xml:space="preserve">2010 Jaguar E-Type Series 1</t>
  </si>
  <si>
    <t xml:space="preserve">2f0d1429-b595-5251-83a5-e7b93e62c305</t>
  </si>
  <si>
    <t xml:space="preserve">1958 Icon Derelict</t>
  </si>
  <si>
    <t xml:space="preserve">020ce9fd-6cce-5a36-abd1-5bb76efb377c</t>
  </si>
  <si>
    <t xml:space="preserve">3003cb2f-60b4-5441-826d-288275cc7d55</t>
  </si>
  <si>
    <t xml:space="preserve">2026-01-04</t>
  </si>
  <si>
    <t xml:space="preserve">dd02281b-77b2-51b7-99f6-9837ea8ef5b1</t>
  </si>
  <si>
    <t xml:space="preserve">c0f97680-0570-5718-b21f-7dc61589d984</t>
  </si>
  <si>
    <t xml:space="preserve">a309e4ee-9b02-54ca-8586-690efadc9e11</t>
  </si>
  <si>
    <t xml:space="preserve">57939f89-cc32-5b18-ab5e-89e0b5a559a3</t>
  </si>
  <si>
    <t xml:space="preserve">1955 Ferrari SF90 Stradale</t>
  </si>
  <si>
    <t xml:space="preserve">67734c61-0910-5803-bb79-6259ccd77863</t>
  </si>
  <si>
    <t xml:space="preserve">2009 Bentley Continental GT</t>
  </si>
  <si>
    <t xml:space="preserve">a7cff5bb-2858-5432-89a4-4c8690f725b8</t>
  </si>
  <si>
    <t xml:space="preserve">b1aaef3a-1db3-5dfd-948e-91ced92283c0</t>
  </si>
  <si>
    <t xml:space="preserve">1972 Mercedes-Benz 280SL Pagoda</t>
  </si>
  <si>
    <t xml:space="preserve">745e95a7-62cc-564e-8fc3-3605e8c833c3</t>
  </si>
  <si>
    <t xml:space="preserve">0b6e9425-5caf-5cae-b55e-9170c884ed47</t>
  </si>
  <si>
    <t xml:space="preserve">2026-01-23</t>
  </si>
  <si>
    <t xml:space="preserve">d5564e9a-9950-59c3-9e44-1eedc5e8da6f</t>
  </si>
  <si>
    <t xml:space="preserve">b08b24c4-1709-570a-9f7b-9b40777f880e</t>
  </si>
  <si>
    <t xml:space="preserve">6125637c-aec3-5fc1-8c73-27f3d03f0200</t>
  </si>
  <si>
    <t xml:space="preserve">a3ec0175-3eb2-56c0-babb-2a70a3df34d3</t>
  </si>
  <si>
    <t xml:space="preserve">7c544e47-a916-564c-b575-d2a75bf43741</t>
  </si>
  <si>
    <t xml:space="preserve">1978 Aston Martin DB12</t>
  </si>
  <si>
    <t xml:space="preserve">8f8fae22-e303-5544-9695-5ba567e4dccc</t>
  </si>
  <si>
    <t xml:space="preserve">36b09420-17dc-5ce0-bd5e-65d013926f62</t>
  </si>
  <si>
    <t xml:space="preserve">1981 Mercedes-Benz AMG GT</t>
  </si>
  <si>
    <t xml:space="preserve">1f1d78c9-66bd-506b-b8b9-888a1c07c0a7</t>
  </si>
  <si>
    <t xml:space="preserve">1960 Ferrari SF90 Stradale</t>
  </si>
  <si>
    <t xml:space="preserve">fe3e99b8-09fa-5f52-b376-36b6fab43a8b</t>
  </si>
  <si>
    <t xml:space="preserve">de13582b-68bf-5665-80ad-375c75b1a1ec</t>
  </si>
  <si>
    <t xml:space="preserve">5ed0b111-5c17-503d-88cc-bbb9825a6577</t>
  </si>
  <si>
    <t xml:space="preserve">82b3e728-e279-50b2-8f59-395d5a8600ef</t>
  </si>
  <si>
    <t xml:space="preserve">b1193e25-6fd0-5a8a-a9cf-6e2ecdf349e5</t>
  </si>
  <si>
    <t xml:space="preserve">1962 Ferrari SF90 Stradale</t>
  </si>
  <si>
    <t xml:space="preserve">803ac42e-7e5a-5aa2-9a15-e8c2361495b9</t>
  </si>
  <si>
    <t xml:space="preserve">c4833307-01b0-5853-a97a-7f7170fee507</t>
  </si>
  <si>
    <t xml:space="preserve">2002 Aston Martin DB5</t>
  </si>
  <si>
    <t xml:space="preserve">b5fb0120-8813-5d3d-9d3b-521ec75776bc</t>
  </si>
  <si>
    <t xml:space="preserve">2024 Porsche 911 Turbo S</t>
  </si>
  <si>
    <t xml:space="preserve">1d6a745b-3c94-5180-946e-a8bf97288715</t>
  </si>
  <si>
    <t xml:space="preserve">1997 Ferrari SF90 Stradale</t>
  </si>
  <si>
    <t xml:space="preserve">1a1a7a33-9d55-5c7e-8c76-94a04982d686</t>
  </si>
  <si>
    <t xml:space="preserve">14f442b7-4cfb-5d7d-990f-0d084e8baaea</t>
  </si>
  <si>
    <t xml:space="preserve">94db4ec7-2554-5038-b4b9-1f54797e6cae</t>
  </si>
  <si>
    <t xml:space="preserve">2023 Ferrari SF90 Stradale</t>
  </si>
  <si>
    <t xml:space="preserve">640c5481-6e81-5c5b-934e-e5180a0783da</t>
  </si>
  <si>
    <t xml:space="preserve">2001 Icon Derelict</t>
  </si>
  <si>
    <t xml:space="preserve">b8958b01-0095-511d-992d-0229684e916e</t>
  </si>
  <si>
    <t xml:space="preserve">90f9a40c-e468-5601-a116-768a0ac6e67e</t>
  </si>
  <si>
    <t xml:space="preserve">1c27bf5a-019c-5551-ad86-01213ac2e017</t>
  </si>
  <si>
    <t xml:space="preserve">aaf1b451-4f17-5af4-84e6-a6fb08edcbf4</t>
  </si>
  <si>
    <t xml:space="preserve">7a7beb10-7f82-50c7-ac49-1be80bf97b4b</t>
  </si>
  <si>
    <t xml:space="preserve">128f2169-c5b5-5bdf-8906-391aef8c2284</t>
  </si>
  <si>
    <t xml:space="preserve">2019 Mercedes-Benz AMG GT</t>
  </si>
  <si>
    <t xml:space="preserve">73f19009-1040-5e67-aa7e-484d1e1f5933</t>
  </si>
  <si>
    <t xml:space="preserve">2024 Lamborghini Huracan EVO</t>
  </si>
  <si>
    <t xml:space="preserve">3708559d-0e94-52e0-88b7-14bc01664fa2</t>
  </si>
  <si>
    <t xml:space="preserve">242da130-5b57-5b55-a4c6-f0b00caf5721</t>
  </si>
  <si>
    <t xml:space="preserve">1965 Aston Martin DB5</t>
  </si>
  <si>
    <t xml:space="preserve">25ffdb09-285b-578e-be09-5f91ea9fcebd</t>
  </si>
  <si>
    <t xml:space="preserve">2014 Bentley 4.5 Litre</t>
  </si>
  <si>
    <t xml:space="preserve">b392976f-9ee0-5c22-b86c-9e64449d01a7</t>
  </si>
  <si>
    <t xml:space="preserve">1970 Ferrari SF90 Stradale</t>
  </si>
  <si>
    <t xml:space="preserve">8f6cf631-80f0-5474-9ff1-5bc6a183e8e8</t>
  </si>
  <si>
    <t xml:space="preserve">fb0f9177-d794-5513-9300-89ca57a4e204</t>
  </si>
  <si>
    <t xml:space="preserve">f79bd092-ef70-59bf-b32b-0c3c30ef9bae</t>
  </si>
  <si>
    <t xml:space="preserve">bf775988-323a-5468-9e4d-0b965f65b1d9</t>
  </si>
  <si>
    <t xml:space="preserve">15da2a72-8432-5dcc-9090-2c57bb137382</t>
  </si>
  <si>
    <t xml:space="preserve">44cedf60-933c-5436-a012-8ebb79200ab9</t>
  </si>
  <si>
    <t xml:space="preserve">1959 Jaguar E-Type Series 1</t>
  </si>
  <si>
    <t xml:space="preserve">06c0a952-6920-5371-8be9-5e9f96adc4a3</t>
  </si>
  <si>
    <t xml:space="preserve">f35ac2f6-c692-549c-a16c-dd8c777a4301</t>
  </si>
  <si>
    <t xml:space="preserve">1963 Icon Derelict</t>
  </si>
  <si>
    <t xml:space="preserve">f7f9d1e7-d901-5ff7-a976-cf1eb7b199da</t>
  </si>
  <si>
    <t xml:space="preserve">2007 Aston Martin DB5</t>
  </si>
  <si>
    <t xml:space="preserve">b036dd91-34ee-5b8a-943e-8c0319a1ab95</t>
  </si>
  <si>
    <t xml:space="preserve">7dde2c58-61ee-5369-a3c1-c942aa537b1e</t>
  </si>
  <si>
    <t xml:space="preserve">2024 Mercedes-Benz 280SL Pagoda</t>
  </si>
  <si>
    <t xml:space="preserve">2026-01-05</t>
  </si>
  <si>
    <t xml:space="preserve">769b7f2e-8afe-5631-acdf-74de7bd7d4b2</t>
  </si>
  <si>
    <t xml:space="preserve">4e06613c-8003-5623-9115-50c7f9884fb0</t>
  </si>
  <si>
    <t xml:space="preserve">cf4c354e-22a0-50d7-80f0-f6f3601f571f</t>
  </si>
  <si>
    <t xml:space="preserve">46c09e2f-a53a-536b-aaa2-a76e004f2de8</t>
  </si>
  <si>
    <t xml:space="preserve">cbec3527-0dda-5b10-af97-33d6d593102b</t>
  </si>
  <si>
    <t xml:space="preserve">d44af89a-6685-5513-902d-4f428d77ab0e</t>
  </si>
  <si>
    <t xml:space="preserve">1969 Singer 911 Reimagined</t>
  </si>
  <si>
    <t xml:space="preserve">b720b31d-d433-555c-834f-3842cd3a7729</t>
  </si>
  <si>
    <t xml:space="preserve">2007 Ferrari SF90 Stradale</t>
  </si>
  <si>
    <t xml:space="preserve">8043a5f0-6244-5baa-83a9-d1beb98d0b9b</t>
  </si>
  <si>
    <t xml:space="preserve">f93b5de2-d856-576a-8421-6fd6bfb96bb5</t>
  </si>
  <si>
    <t xml:space="preserve">9e77f498-88e9-5f0b-bfd6-6422eec1cbfe</t>
  </si>
  <si>
    <t xml:space="preserve">91056a93-4321-588b-9b57-edfb66cb98ce</t>
  </si>
  <si>
    <t xml:space="preserve">e7b3a9bc-377f-5074-82cc-928314213873</t>
  </si>
  <si>
    <t xml:space="preserve">0fb7b78f-4338-5736-9d0d-46a4155d9472</t>
  </si>
  <si>
    <t xml:space="preserve">b642223f-4c3b-5805-b67c-fbb360cae4fd</t>
  </si>
  <si>
    <t xml:space="preserve">a8ec32b7-0449-5dc1-970f-07be24bac185</t>
  </si>
  <si>
    <t xml:space="preserve">2cfbda7b-d015-5669-93a2-87eb246c01b5</t>
  </si>
  <si>
    <t xml:space="preserve">1985 Aston Martin DB12</t>
  </si>
  <si>
    <t xml:space="preserve">f9fe118c-08b0-5888-a39d-8f3d1116115e</t>
  </si>
  <si>
    <t xml:space="preserve">1961 Icon Derelict</t>
  </si>
  <si>
    <t xml:space="preserve">77d2fb9e-bc06-5702-9046-17ed495e1c2b</t>
  </si>
  <si>
    <t xml:space="preserve">a684632f-aacf-5a7f-932a-91b453d60995</t>
  </si>
  <si>
    <t xml:space="preserve">98e80da0-f51d-5eb9-9218-67368a101343</t>
  </si>
  <si>
    <t xml:space="preserve">1964 Bugatti Type 57</t>
  </si>
  <si>
    <t xml:space="preserve">a065df57-874e-5f0c-9782-73c139f24474</t>
  </si>
  <si>
    <t xml:space="preserve">f2b0eca0-6f71-5e91-93d1-c11b93359472</t>
  </si>
  <si>
    <t xml:space="preserve">79fa809f-9572-5b5c-88be-0e898cdf2116</t>
  </si>
  <si>
    <t xml:space="preserve">1966 Singer 911 Reimagined</t>
  </si>
  <si>
    <t xml:space="preserve">409e26ae-0310-524b-8360-7e3f312b91c1</t>
  </si>
  <si>
    <t xml:space="preserve">465fca62-3a09-520f-851b-4e28f95fb565</t>
  </si>
  <si>
    <t xml:space="preserve">b2fe8aad-c4df-5773-8079-a6ebe4ad2c06</t>
  </si>
  <si>
    <t xml:space="preserve">72aea984-6556-5ac1-81bf-4a14b99ab357</t>
  </si>
  <si>
    <t xml:space="preserve">2023 Ferrari 296 GTB</t>
  </si>
  <si>
    <t xml:space="preserve">51292a2f-df20-54f4-b17e-e0c144be7cb3</t>
  </si>
  <si>
    <t xml:space="preserve">f2669f53-169d-51fd-b157-740da20b8f63</t>
  </si>
  <si>
    <t xml:space="preserve">893a6e75-b21b-5c73-a298-c57e2447d595</t>
  </si>
  <si>
    <t xml:space="preserve">2014 Alfa Romeo 8C 2900</t>
  </si>
  <si>
    <t xml:space="preserve">de4e9af6-1d06-5925-884e-f37bc8a3858c</t>
  </si>
  <si>
    <t xml:space="preserve">5dd6011a-db65-5ad1-910e-3d9f5ee955ba</t>
  </si>
  <si>
    <t xml:space="preserve">e8a2f9fa-7ced-5475-9113-80152dfa0172</t>
  </si>
  <si>
    <t xml:space="preserve">fdc59eb0-feb9-5a5b-a3b6-5bc5cf35086e</t>
  </si>
  <si>
    <t xml:space="preserve">cc960160-c3fd-5bb7-a672-5cbeae3b666b</t>
  </si>
  <si>
    <t xml:space="preserve">9282e9f1-f3f8-5642-a21f-f93ea7cabed8</t>
  </si>
  <si>
    <t xml:space="preserve">1c4ac913-be2b-5001-bed3-b2460273abd2</t>
  </si>
  <si>
    <t xml:space="preserve">0338816c-efc8-54c4-a565-2ed5f125c044</t>
  </si>
  <si>
    <t xml:space="preserve">1980 Bentley Continental GT</t>
  </si>
  <si>
    <t xml:space="preserve">5a025032-7478-5a16-9876-f18c790ecbc7</t>
  </si>
  <si>
    <t xml:space="preserve">cb299328-5e49-5014-9231-547ce8ddada4</t>
  </si>
  <si>
    <t xml:space="preserve">1979 Bentley Continental GT</t>
  </si>
  <si>
    <t xml:space="preserve">c17dac9f-be23-586f-8b7f-3b8bb23af305</t>
  </si>
  <si>
    <t xml:space="preserve">2009 Bugatti Type 57</t>
  </si>
  <si>
    <t xml:space="preserve">7a8f17c1-6959-564d-8ed3-7b1087e4b99a</t>
  </si>
  <si>
    <t xml:space="preserve">8f590a77-2025-5e59-9442-23c5191f995d</t>
  </si>
  <si>
    <t xml:space="preserve">b5ab2799-1f5c-5eb8-b83e-189c2f055b7d</t>
  </si>
  <si>
    <t xml:space="preserve">1976 Aston Martin DB12</t>
  </si>
  <si>
    <t xml:space="preserve">fd0f3827-1ffa-5790-a4d5-dc326fe6eb12</t>
  </si>
  <si>
    <t xml:space="preserve">d4a52660-6ac8-58f7-8a17-ddea5667e11d</t>
  </si>
  <si>
    <t xml:space="preserve">46102ad1-e9f1-59fa-99c8-0c18a6b7c02a</t>
  </si>
  <si>
    <t xml:space="preserve">8e4a1f8e-1ece-5403-bd87-bd4d33c148de</t>
  </si>
  <si>
    <t xml:space="preserve">421bb6ac-97f2-5e34-816c-0c64449c6056</t>
  </si>
  <si>
    <t xml:space="preserve">ecff8b38-9eee-5712-a720-4bb1d21b0290</t>
  </si>
  <si>
    <t xml:space="preserve">1988 Ferrari 275 GTB/4</t>
  </si>
  <si>
    <t xml:space="preserve">51c6d6b5-a22b-5870-977d-137d49679418</t>
  </si>
  <si>
    <t xml:space="preserve">5e02c8b0-cab4-5c5f-af96-d69fb50e968f</t>
  </si>
  <si>
    <t xml:space="preserve">677cc49d-8327-5f0c-bca4-aed1c8b172a1</t>
  </si>
  <si>
    <t xml:space="preserve">12c7eb2e-9272-500f-9b96-2a7baa0a5f5a</t>
  </si>
  <si>
    <t xml:space="preserve">cf262e28-3e69-59c5-aad0-616af5605b68</t>
  </si>
  <si>
    <t xml:space="preserve">b3b6f67e-4f9a-5595-b018-a4a85e21f24b</t>
  </si>
  <si>
    <t xml:space="preserve">2e835851-e044-57d6-93c9-07b01e01f469</t>
  </si>
  <si>
    <t xml:space="preserve">1971 Jaguar E-Type Series 1</t>
  </si>
  <si>
    <t xml:space="preserve">f9bac0e6-9735-58a6-a1ff-1e8bdd550ca9</t>
  </si>
  <si>
    <t xml:space="preserve">2000 Ferrari 296 GTB</t>
  </si>
  <si>
    <t xml:space="preserve">84439f8e-ae6a-5940-96a6-78e987cef0d7</t>
  </si>
  <si>
    <t xml:space="preserve">1966 BMW M8 Competition</t>
  </si>
  <si>
    <t xml:space="preserve">ee382683-f628-5122-842a-0b6a448f464f</t>
  </si>
  <si>
    <t xml:space="preserve">ad0dd480-c4e4-5ce6-bbf1-51ea80139556</t>
  </si>
  <si>
    <t xml:space="preserve">e97b695d-7b1b-5432-8477-18b7dfebdb13</t>
  </si>
  <si>
    <t xml:space="preserve">1960 Jaguar E-Type Series 1</t>
  </si>
  <si>
    <t xml:space="preserve">3f87500d-16bc-54f9-8fa4-aa90dfa217f4</t>
  </si>
  <si>
    <t xml:space="preserve">f7cc9125-80ab-5773-8121-deb8eee53e00</t>
  </si>
  <si>
    <t xml:space="preserve">f615714c-3b09-5aee-9cb5-c515f035c929</t>
  </si>
  <si>
    <t xml:space="preserve">1dbb54c6-7f23-5b12-87f7-c3212fd336eb</t>
  </si>
  <si>
    <t xml:space="preserve">e1af44ba-bddd-5c4f-b364-8487dffe983f</t>
  </si>
  <si>
    <t xml:space="preserve">0c5b23df-44ee-57a1-9578-bc89e11d0543</t>
  </si>
  <si>
    <t xml:space="preserve">1a31dae9-c92e-520f-810d-fec444fcc698</t>
  </si>
  <si>
    <t xml:space="preserve">4f018a64-e475-5c8b-801e-a7ed14544f21</t>
  </si>
  <si>
    <t xml:space="preserve">faa359dc-8048-5d50-afc9-808271278b55</t>
  </si>
  <si>
    <t xml:space="preserve">8cfb9f8a-2635-5bb3-9017-4acd9c4f7b35</t>
  </si>
  <si>
    <t xml:space="preserve">1995 Jaguar E-Type Series 1</t>
  </si>
  <si>
    <t xml:space="preserve">46811721-90b2-549f-ae03-7aeb5449a797</t>
  </si>
  <si>
    <t xml:space="preserve">6f857948-5524-5ef7-a7c0-5f812bed3df3</t>
  </si>
  <si>
    <t xml:space="preserve">92ba7869-e16a-57da-b3b5-1708fe55e77e</t>
  </si>
  <si>
    <t xml:space="preserve">2024 Jaguar E-Type Series 1</t>
  </si>
  <si>
    <t xml:space="preserve">ecb56c2f-2b80-501b-99ea-5ac5c138730c</t>
  </si>
  <si>
    <t xml:space="preserve">803a722a-6857-559e-8408-63335ef66ce6</t>
  </si>
  <si>
    <t xml:space="preserve">2494af9f-28ad-539a-b013-1a13f31a0fde</t>
  </si>
  <si>
    <t xml:space="preserve">53881cfd-b79b-5b14-9f50-d92c7d3d35c5</t>
  </si>
  <si>
    <t xml:space="preserve">1896e338-4d67-51df-be98-8f2b4f5fe35e</t>
  </si>
  <si>
    <t xml:space="preserve">4b7fff70-594f-5ff2-a8bb-6ed30cc31811</t>
  </si>
  <si>
    <t xml:space="preserve">8cd9ac2b-da4b-5ebe-967b-6a5ba5d7b60f</t>
  </si>
  <si>
    <t xml:space="preserve">91e5aa81-ef11-50ec-8acf-3b2165fc8785</t>
  </si>
  <si>
    <t xml:space="preserve">1997 McLaren 750S</t>
  </si>
  <si>
    <t xml:space="preserve">d8bb97cd-234e-5b7b-a35e-77fff5d6f287</t>
  </si>
  <si>
    <t xml:space="preserve">ec3ad82d-677d-549d-a512-c55404057bcf</t>
  </si>
  <si>
    <t xml:space="preserve">a65477b0-babf-5567-ae9a-e6217762eb4b</t>
  </si>
  <si>
    <t xml:space="preserve">57e803c4-8b81-57c4-addd-271f19231257</t>
  </si>
  <si>
    <t xml:space="preserve">8c164f31-9da1-5b72-987a-edb0dfd1ff86</t>
  </si>
  <si>
    <t xml:space="preserve">a63aabfe-a35e-5e74-9d58-453c87763c12</t>
  </si>
  <si>
    <t xml:space="preserve">6d23a67c-b52c-5b6a-81a7-c6d1e5560a06</t>
  </si>
  <si>
    <t xml:space="preserve">e5ac4eec-0d75-5829-a7e1-5cbc42e9c5b9</t>
  </si>
  <si>
    <t xml:space="preserve">621a3834-58f0-516c-ab18-d706c28c43aa</t>
  </si>
  <si>
    <t xml:space="preserve">917a4bb4-8aed-58b7-a65e-16c36ad3c556</t>
  </si>
  <si>
    <t xml:space="preserve">07397f35-6756-5a5a-aa80-c228b43844be</t>
  </si>
  <si>
    <t xml:space="preserve">a7e8b3da-ecf8-55e8-9389-6b871817f20d</t>
  </si>
  <si>
    <t xml:space="preserve">a83ccf69-74c0-5819-b787-c35e4d6be46c</t>
  </si>
  <si>
    <t xml:space="preserve">c9628d4c-c4d6-5d8b-ab7e-0beed8cf694e</t>
  </si>
  <si>
    <t xml:space="preserve">539c330f-f0e3-5ea0-92ed-227952b2c67a</t>
  </si>
  <si>
    <t xml:space="preserve">Monthly Rater — 2026-02  (Month 7 of 12)</t>
  </si>
  <si>
    <t xml:space="preserve">Softening index 0.8792. Rated Premium = ROUND(AgreedValue/100 × BaseRate × Territory × Softening ÷ Gross-Up, 2); ties to artifact premium within $0.01 (generator rounding).</t>
  </si>
  <si>
    <t xml:space="preserve">2026-02-17</t>
  </si>
  <si>
    <t xml:space="preserve">31fdf499-c934-59d6-b6ec-a460dc98fec5</t>
  </si>
  <si>
    <t xml:space="preserve">2026-02-11</t>
  </si>
  <si>
    <t xml:space="preserve">8cf336b7-7b11-5618-b33d-04267bbfc00f</t>
  </si>
  <si>
    <t xml:space="preserve">2026-02-23</t>
  </si>
  <si>
    <t xml:space="preserve">54ab6720-2d1b-5fcf-af52-2685bb98ec9d</t>
  </si>
  <si>
    <t xml:space="preserve">2026-02-19</t>
  </si>
  <si>
    <t xml:space="preserve">f35a172f-a45a-51bb-9d4b-46d4645df068</t>
  </si>
  <si>
    <t xml:space="preserve">2026-02-28</t>
  </si>
  <si>
    <t xml:space="preserve">ff61cb8e-6f2d-57ca-994f-7bde6cfc4a5c</t>
  </si>
  <si>
    <t xml:space="preserve">2026-02-24</t>
  </si>
  <si>
    <t xml:space="preserve">9fa13a6b-0dff-50b1-97bb-a6c9cca34e9c</t>
  </si>
  <si>
    <t xml:space="preserve">946eeba3-25c3-538e-911d-be3fcd0e0d0b</t>
  </si>
  <si>
    <t xml:space="preserve">3d749332-392d-5cb1-b3cd-70f0c23fd6ff</t>
  </si>
  <si>
    <t xml:space="preserve">2026-02-03</t>
  </si>
  <si>
    <t xml:space="preserve">94df35b7-b398-5988-8d58-ab0e2c1566e2</t>
  </si>
  <si>
    <t xml:space="preserve">8e561a76-b2f2-51ee-92de-99b6bada33d5</t>
  </si>
  <si>
    <t xml:space="preserve">a925e863-e10c-5928-af4b-27055ceafb2c</t>
  </si>
  <si>
    <t xml:space="preserve">1973 Ferrari SF90 Stradale</t>
  </si>
  <si>
    <t xml:space="preserve">d72da8f3-1411-5c30-b6c8-7ed18c0ca0d7</t>
  </si>
  <si>
    <t xml:space="preserve">1966 Mercedes-Benz 280SL Pagoda</t>
  </si>
  <si>
    <t xml:space="preserve">2026-02-21</t>
  </si>
  <si>
    <t xml:space="preserve">9d692ec3-0f44-55f8-9a72-6261c6dd13c4</t>
  </si>
  <si>
    <t xml:space="preserve">2011 Ferrari 296 GTB</t>
  </si>
  <si>
    <t xml:space="preserve">d10efc5a-d319-522b-9bd7-d0a2d91e070e</t>
  </si>
  <si>
    <t xml:space="preserve">2026-02-26</t>
  </si>
  <si>
    <t xml:space="preserve">c6aa000a-338e-5085-a705-dc70c653bc7a</t>
  </si>
  <si>
    <t xml:space="preserve">ae7c931e-d939-5db9-b6de-b683ac21affc</t>
  </si>
  <si>
    <t xml:space="preserve">1966 Jaguar E-Type Series 1</t>
  </si>
  <si>
    <t xml:space="preserve">2026-02-10</t>
  </si>
  <si>
    <t xml:space="preserve">a2af63db-6bcf-5e14-94e5-2b1ad1f0cd38</t>
  </si>
  <si>
    <t xml:space="preserve">2026-02-09</t>
  </si>
  <si>
    <t xml:space="preserve">e2d7aae8-0e74-5b8c-a5ec-4f94947e826f</t>
  </si>
  <si>
    <t xml:space="preserve">2396f50b-15fe-5e2f-83ad-f73d20433616</t>
  </si>
  <si>
    <t xml:space="preserve">e5afa345-625a-55fd-88b5-f59632537c15</t>
  </si>
  <si>
    <t xml:space="preserve">2026-02-15</t>
  </si>
  <si>
    <t xml:space="preserve">bbd59028-5775-54b0-9985-0a3c447666b4</t>
  </si>
  <si>
    <t xml:space="preserve">1974 Porsche 911 Turbo S</t>
  </si>
  <si>
    <t xml:space="preserve">fb0d35c5-6ae8-59a9-a907-8eb29e2c6662</t>
  </si>
  <si>
    <t xml:space="preserve">1975 Aston Martin DB5</t>
  </si>
  <si>
    <t xml:space="preserve">f3008602-02c3-59c0-a2d9-65c9c378f1ff</t>
  </si>
  <si>
    <t xml:space="preserve">610ce2c4-92b7-50a6-aa0f-0f020a049767</t>
  </si>
  <si>
    <t xml:space="preserve">2026-02-25</t>
  </si>
  <si>
    <t xml:space="preserve">edd9d459-50f5-5d6c-9b81-3f31daca7252</t>
  </si>
  <si>
    <t xml:space="preserve">4b9f2e32-f140-5142-98ef-3c2efd6f7f68</t>
  </si>
  <si>
    <t xml:space="preserve">2026-02-05</t>
  </si>
  <si>
    <t xml:space="preserve">02b0cfd7-fd94-5d8b-ade1-2b96df4f01ac</t>
  </si>
  <si>
    <t xml:space="preserve">2026-02-04</t>
  </si>
  <si>
    <t xml:space="preserve">94746198-edd6-5a52-84e2-31d342134d89</t>
  </si>
  <si>
    <t xml:space="preserve">02f20ff3-f5eb-50f2-8352-c62c14df26d4</t>
  </si>
  <si>
    <t xml:space="preserve">95b0ad0e-3af4-5ac4-86d8-5a2f8fa42307</t>
  </si>
  <si>
    <t xml:space="preserve">2026-02-02</t>
  </si>
  <si>
    <t xml:space="preserve">ba3b6f34-5d4c-5bdc-a045-c8120076faab</t>
  </si>
  <si>
    <t xml:space="preserve">2026-02-13</t>
  </si>
  <si>
    <t xml:space="preserve">34748ada-1236-5505-b873-a0ca19d7d29f</t>
  </si>
  <si>
    <t xml:space="preserve">680f2871-1883-540a-9af7-2c32b509ee08</t>
  </si>
  <si>
    <t xml:space="preserve">2026-02-01</t>
  </si>
  <si>
    <t xml:space="preserve">587f14d8-2530-5c83-8e24-48c39fbcec71</t>
  </si>
  <si>
    <t xml:space="preserve">e04e0fa4-e1c4-5fe4-ab7c-6a2f51052435</t>
  </si>
  <si>
    <t xml:space="preserve">2026-02-08</t>
  </si>
  <si>
    <t xml:space="preserve">7c1aa322-7e05-5170-b92f-aad4635ad5ab</t>
  </si>
  <si>
    <t xml:space="preserve">1989 Ferrari 296 GTB</t>
  </si>
  <si>
    <t xml:space="preserve">6d429e07-477a-582f-a0c6-a88151daa391</t>
  </si>
  <si>
    <t xml:space="preserve">1956 Lamborghini Huracan EVO</t>
  </si>
  <si>
    <t xml:space="preserve">175c2ebb-ed51-5535-9b9d-c42f3ad480de</t>
  </si>
  <si>
    <t xml:space="preserve">51ee4b88-4e9f-53c6-b806-2b7d3a3ec572</t>
  </si>
  <si>
    <t xml:space="preserve">751535f2-14bc-5d9d-a212-dd7e8a170428</t>
  </si>
  <si>
    <t xml:space="preserve">2009 Ferrari 296 GTB</t>
  </si>
  <si>
    <t xml:space="preserve">16a7c3bb-551e-5f58-93cd-0e051e8beb29</t>
  </si>
  <si>
    <t xml:space="preserve">2026-02-18</t>
  </si>
  <si>
    <t xml:space="preserve">c8ae8ac5-7049-5b38-8bf7-fec728dc2532</t>
  </si>
  <si>
    <t xml:space="preserve">1962 Maserati GranTurismo</t>
  </si>
  <si>
    <t xml:space="preserve">7cabc0c4-e0eb-5dc9-86db-38a77678de48</t>
  </si>
  <si>
    <t xml:space="preserve">2006 Ferrari SF90 Stradale</t>
  </si>
  <si>
    <t xml:space="preserve">2026-02-14</t>
  </si>
  <si>
    <t xml:space="preserve">72af995d-dba4-59ce-9336-990b0959085b</t>
  </si>
  <si>
    <t xml:space="preserve">2026-02-12</t>
  </si>
  <si>
    <t xml:space="preserve">4425eaad-fa7c-5004-b9cd-7698553b1393</t>
  </si>
  <si>
    <t xml:space="preserve">a41ecc62-fb52-5a3d-b031-d36816f8119f</t>
  </si>
  <si>
    <t xml:space="preserve">8fa89eaf-f48b-530e-be84-d69b7d030b53</t>
  </si>
  <si>
    <t xml:space="preserve">1975 Bentley 4.5 Litre</t>
  </si>
  <si>
    <t xml:space="preserve">50df014c-7bdb-5336-b5ff-b620f13adc36</t>
  </si>
  <si>
    <t xml:space="preserve">cce72082-cd1b-5d30-93c6-45fa9d0bb192</t>
  </si>
  <si>
    <t xml:space="preserve">180f0c5b-0f25-5be7-82fa-801894a6c0e8</t>
  </si>
  <si>
    <t xml:space="preserve">aaeac954-786f-573a-9f83-7260c092c6a6</t>
  </si>
  <si>
    <t xml:space="preserve">2026-02-07</t>
  </si>
  <si>
    <t xml:space="preserve">207f5544-f271-54ff-ab6e-55eb38230ddd</t>
  </si>
  <si>
    <t xml:space="preserve">2767dd0c-4275-5139-8b6f-88223ca81d45</t>
  </si>
  <si>
    <t xml:space="preserve">b2384beb-290e-5b11-8753-99276e112191</t>
  </si>
  <si>
    <t xml:space="preserve">5004ff81-c605-55e3-973b-73ccd146da58</t>
  </si>
  <si>
    <t xml:space="preserve">ee835889-1e17-518c-9535-cb0ef56c2b80</t>
  </si>
  <si>
    <t xml:space="preserve">1966 Icon Derelict</t>
  </si>
  <si>
    <t xml:space="preserve">b02b6365-034e-50b3-b959-180369ed85f1</t>
  </si>
  <si>
    <t xml:space="preserve">1987 McLaren 750S</t>
  </si>
  <si>
    <t xml:space="preserve">88cedf2c-400b-5f32-8450-f21ab6174d55</t>
  </si>
  <si>
    <t xml:space="preserve">bfdb419a-f7a9-5063-b68b-40c47bf1a7f5</t>
  </si>
  <si>
    <t xml:space="preserve">2009 Aston Martin DB12</t>
  </si>
  <si>
    <t xml:space="preserve">9cdc1796-e50d-53d2-b168-093d7165f87f</t>
  </si>
  <si>
    <t xml:space="preserve">9e73079b-f21f-5781-b717-cd6f86790a6c</t>
  </si>
  <si>
    <t xml:space="preserve">c2cac85c-6426-5f2c-b36b-c1afe497a47f</t>
  </si>
  <si>
    <t xml:space="preserve">c6141293-918f-5499-a25a-d38abac29b2f</t>
  </si>
  <si>
    <t xml:space="preserve">5dc89412-a6cc-5d05-866f-79a39ebfbc3d</t>
  </si>
  <si>
    <t xml:space="preserve">260d23d9-b993-54aa-b004-cdd8a74b91af</t>
  </si>
  <si>
    <t xml:space="preserve">0d8c3795-eba3-56b3-8543-0e6a0521ba00</t>
  </si>
  <si>
    <t xml:space="preserve">d39470f6-a934-5c59-b811-19502dcc8a9d</t>
  </si>
  <si>
    <t xml:space="preserve">8d4d3f1d-fc75-58db-a0e4-e5d7978f51f3</t>
  </si>
  <si>
    <t xml:space="preserve">eb2ae678-6c31-5edf-b9f3-da737e69dcdd</t>
  </si>
  <si>
    <t xml:space="preserve">c3081745-1172-5d73-b36e-1fdecb963e1c</t>
  </si>
  <si>
    <t xml:space="preserve">89f2f70e-d575-50dd-9c42-1fe671287392</t>
  </si>
  <si>
    <t xml:space="preserve">c32e565e-51bf-5c5a-a44e-aab3bb1ed2c8</t>
  </si>
  <si>
    <t xml:space="preserve">ba73caf0-9fb8-5420-af84-dcac0913e91c</t>
  </si>
  <si>
    <t xml:space="preserve">62b9ea61-46d7-5c06-b29b-1f3f5deef80a</t>
  </si>
  <si>
    <t xml:space="preserve">005ce3ee-033e-50a8-ace7-6ce4ce5c0745</t>
  </si>
  <si>
    <t xml:space="preserve">1963 Lamborghini Huracan EVO</t>
  </si>
  <si>
    <t xml:space="preserve">58a34cba-8bc5-5f45-ad64-20f4b7acc05f</t>
  </si>
  <si>
    <t xml:space="preserve">2026-02-06</t>
  </si>
  <si>
    <t xml:space="preserve">124bffcb-c1a8-511d-9583-9f717c40a094</t>
  </si>
  <si>
    <t xml:space="preserve">609a230b-60ea-5071-90c5-14c6a4358916</t>
  </si>
  <si>
    <t xml:space="preserve">78ee3e04-c389-5838-933e-da8688672610</t>
  </si>
  <si>
    <t xml:space="preserve">df42770c-5e05-5e54-8305-7f8612e964a7</t>
  </si>
  <si>
    <t xml:space="preserve">d50372ef-e98a-5265-9337-dc583df2a7f3</t>
  </si>
  <si>
    <t xml:space="preserve">db3a30d7-8103-540f-bf00-c66241db09dc</t>
  </si>
  <si>
    <t xml:space="preserve">2014 Bentley Continental GT</t>
  </si>
  <si>
    <t xml:space="preserve">dce373a4-9a74-52aa-9554-a58ab294ba52</t>
  </si>
  <si>
    <t xml:space="preserve">a640bce5-1439-5698-ac10-b9e0cb74538e</t>
  </si>
  <si>
    <t xml:space="preserve">5a03648c-1920-5a87-acf5-66036ce2e4fd</t>
  </si>
  <si>
    <t xml:space="preserve">af370f69-a1a3-573f-b28b-fe984e113c6c</t>
  </si>
  <si>
    <t xml:space="preserve">2026-02-27</t>
  </si>
  <si>
    <t xml:space="preserve">16ac899a-2aab-5f56-bf8c-b16b24ce853d</t>
  </si>
  <si>
    <t xml:space="preserve">1960 Aston Martin DB5</t>
  </si>
  <si>
    <t xml:space="preserve">2026-02-22</t>
  </si>
  <si>
    <t xml:space="preserve">d0215978-b295-50b5-b73c-595db54efc8d</t>
  </si>
  <si>
    <t xml:space="preserve">f105301a-32ef-59fb-b5c0-99db37ed9858</t>
  </si>
  <si>
    <t xml:space="preserve">6170e556-3c2d-5a49-8d42-674071abaf55</t>
  </si>
  <si>
    <t xml:space="preserve">20f23506-b1b1-5560-a277-764f20c163c4</t>
  </si>
  <si>
    <t xml:space="preserve">69a3e778-a257-5713-aa66-6f39c717d137</t>
  </si>
  <si>
    <t xml:space="preserve">5bb9ad63-2c91-57f3-a570-fe573a895a2f</t>
  </si>
  <si>
    <t xml:space="preserve">4df96ad5-3958-5b7e-b05d-c54e4d2a589f</t>
  </si>
  <si>
    <t xml:space="preserve">adea69e6-de1a-589f-bd05-a50204c825fe</t>
  </si>
  <si>
    <t xml:space="preserve">e61b3c2a-2a72-571d-b13e-5a40835423a6</t>
  </si>
  <si>
    <t xml:space="preserve">61d5f51d-a436-53f6-a907-5226f6d5f5b3</t>
  </si>
  <si>
    <t xml:space="preserve">2024 Ferrari SF90 Stradale</t>
  </si>
  <si>
    <t xml:space="preserve">0895371d-bef3-5ed3-8046-50a7ae0ebc5e</t>
  </si>
  <si>
    <t xml:space="preserve">1971 Maserati GranTurismo</t>
  </si>
  <si>
    <t xml:space="preserve">dea3b7f8-300e-5b0b-aacc-1d8be279cb8c</t>
  </si>
  <si>
    <t xml:space="preserve">d78b3fd1-364d-57c6-b25c-8dc1bdbb0b65</t>
  </si>
  <si>
    <t xml:space="preserve">73b01e40-7477-5551-8a9c-7603f17f0610</t>
  </si>
  <si>
    <t xml:space="preserve">378bb469-dbee-5b54-b77f-3e54edfd34cb</t>
  </si>
  <si>
    <t xml:space="preserve">f136773e-e344-5e93-9fa8-70066d92e8d9</t>
  </si>
  <si>
    <t xml:space="preserve">ce66468c-86e2-519e-a5e8-8f39303777ae</t>
  </si>
  <si>
    <t xml:space="preserve">984c7293-2b46-5c9c-8525-d178af6b9f8b</t>
  </si>
  <si>
    <t xml:space="preserve">1997 Mercedes-Benz AMG GT</t>
  </si>
  <si>
    <t xml:space="preserve">8cedf65f-57f4-5781-9c33-bdd44cbaa50a</t>
  </si>
  <si>
    <t xml:space="preserve">1968 Bentley 4.5 Litre</t>
  </si>
  <si>
    <t xml:space="preserve">74c45528-bc02-571d-9394-82d63f1cba5d</t>
  </si>
  <si>
    <t xml:space="preserve">f5fb06f0-cbad-5fac-8713-ff5abf41b58a</t>
  </si>
  <si>
    <t xml:space="preserve">1996 BMW M8 Competition</t>
  </si>
  <si>
    <t xml:space="preserve">9404d791-3318-5d15-b9c1-fe9e8cd83c69</t>
  </si>
  <si>
    <t xml:space="preserve">2026-02-16</t>
  </si>
  <si>
    <t xml:space="preserve">cf437852-de44-52e3-a85a-927ba5fe0934</t>
  </si>
  <si>
    <t xml:space="preserve">1264deff-4c82-55e8-8a88-e03860d49881</t>
  </si>
  <si>
    <t xml:space="preserve">d89b89ee-8f20-5695-83b8-1fef8ac4ffbc</t>
  </si>
  <si>
    <t xml:space="preserve">1996 Ferrari SF90 Stradale</t>
  </si>
  <si>
    <t xml:space="preserve">55087d56-ab84-5da3-a3e0-6d69323e39f2</t>
  </si>
  <si>
    <t xml:space="preserve">1968 McLaren 750S</t>
  </si>
  <si>
    <t xml:space="preserve">4886b2a6-6820-5019-a92d-69bdb09f81b1</t>
  </si>
  <si>
    <t xml:space="preserve">39a2147d-ceef-52d2-83d3-929ace30596f</t>
  </si>
  <si>
    <t xml:space="preserve">6b63bc26-981d-5ed3-a1d7-7d6a40b03a71</t>
  </si>
  <si>
    <t xml:space="preserve">2019 Ferrari SF90 Stradale</t>
  </si>
  <si>
    <t xml:space="preserve">4f89f2cb-816f-5870-86ca-fc2ff10e3d84</t>
  </si>
  <si>
    <t xml:space="preserve">1976 BMW M8 Competition</t>
  </si>
  <si>
    <t xml:space="preserve">9b84bea7-8871-5844-8f03-fd5fe59feb0d</t>
  </si>
  <si>
    <t xml:space="preserve">f846a5c7-13f0-5202-a18b-7ec48a925c9c</t>
  </si>
  <si>
    <t xml:space="preserve">a2280de9-456c-5f19-a513-7b5e1cd7a9b7</t>
  </si>
  <si>
    <t xml:space="preserve">a819e888-5f24-5ee2-8cf6-5edc8e82753d</t>
  </si>
  <si>
    <t xml:space="preserve">4ff94cfa-96f4-5ccd-a26a-eacb347e81b7</t>
  </si>
  <si>
    <t xml:space="preserve">c02b47b0-5df6-5bbf-8fc1-82a1fc699a54</t>
  </si>
  <si>
    <t xml:space="preserve">c7b817b0-8df0-532f-82d2-94cb47a9b813</t>
  </si>
  <si>
    <t xml:space="preserve">344f4a03-eb17-5261-9d0a-319c80a14f34</t>
  </si>
  <si>
    <t xml:space="preserve">c9b0cf4d-0939-5915-b2f8-142a2db2f37a</t>
  </si>
  <si>
    <t xml:space="preserve">63c35db2-02d9-5a0e-865a-50e76c4e774f</t>
  </si>
  <si>
    <t xml:space="preserve">2006 Mercedes-Benz AMG GT</t>
  </si>
  <si>
    <t xml:space="preserve">16e1e232-c0b9-53c4-8ae6-bdd4a98d84a8</t>
  </si>
  <si>
    <t xml:space="preserve">608baf4f-48a1-5ebc-90a4-36b14578f4e7</t>
  </si>
  <si>
    <t xml:space="preserve">e63d60d4-0ea2-51a7-aa99-a32594fd1d77</t>
  </si>
  <si>
    <t xml:space="preserve">b10c9ddc-0050-551f-a596-5d3d0199cae9</t>
  </si>
  <si>
    <t xml:space="preserve">89ec6831-6637-54a4-92b7-ec32d9586739</t>
  </si>
  <si>
    <t xml:space="preserve">99b11eed-76b7-5528-8a82-a8ed21e885fe</t>
  </si>
  <si>
    <t xml:space="preserve">c77c1db2-0bcf-5958-a4b6-15efe2f402a3</t>
  </si>
  <si>
    <t xml:space="preserve">94abc9ec-bcf3-5a64-af0c-745639ec3805</t>
  </si>
  <si>
    <t xml:space="preserve">cd2ad4c4-7b2e-599b-b878-9b060b2664c2</t>
  </si>
  <si>
    <t xml:space="preserve">3ce0cd8b-1801-5ada-bb8b-3282ba46cc83</t>
  </si>
  <si>
    <t xml:space="preserve">07d833dc-2bf7-5476-9f65-50a4a5d89b5d</t>
  </si>
  <si>
    <t xml:space="preserve">3117b0fd-3864-5e39-9a29-91d87649f97d</t>
  </si>
  <si>
    <t xml:space="preserve">886b367e-8e3d-5a0d-ac54-1e1e3db34fd5</t>
  </si>
  <si>
    <t xml:space="preserve">ffbb4a60-c551-56ee-bc2f-5b8bc06e91c3</t>
  </si>
  <si>
    <t xml:space="preserve">5b8bfa22-d660-5011-8e82-5c5539f3bb81</t>
  </si>
  <si>
    <t xml:space="preserve">271878dc-8754-5d0a-a160-4fa99eeec436</t>
  </si>
  <si>
    <t xml:space="preserve">e5050869-cfe6-59c4-ab32-14a1829869ac</t>
  </si>
  <si>
    <t xml:space="preserve">6596d6dd-5e45-564e-a526-cca47f1da7c2</t>
  </si>
  <si>
    <t xml:space="preserve">2001 Porsche 911 Turbo S</t>
  </si>
  <si>
    <t xml:space="preserve">b82233fe-a3ef-5c08-bfed-04aef1547c8d</t>
  </si>
  <si>
    <t xml:space="preserve">2013 Bentley 4.5 Litre</t>
  </si>
  <si>
    <t xml:space="preserve">0805612b-21ec-5cbe-8f29-e22736683ce7</t>
  </si>
  <si>
    <t xml:space="preserve">4068491a-2708-5d40-ae63-78a8cad1344c</t>
  </si>
  <si>
    <t xml:space="preserve">1986 Mercedes-Benz 280SL Pagoda</t>
  </si>
  <si>
    <t xml:space="preserve">ddc6d7a9-0c70-5510-bc61-acad14d5ddb5</t>
  </si>
  <si>
    <t xml:space="preserve">1957 Mercedes-Benz AMG GT</t>
  </si>
  <si>
    <t xml:space="preserve">9929fceb-f427-543b-b356-640d65ce4a80</t>
  </si>
  <si>
    <t xml:space="preserve">740aaebf-baf3-5882-a4d8-d919fa420d55</t>
  </si>
  <si>
    <t xml:space="preserve">2032d4c3-7ea5-512d-ad0f-f7210c8a594b</t>
  </si>
  <si>
    <t xml:space="preserve">7ca55aea-c170-5cda-a500-812509e42bdc</t>
  </si>
  <si>
    <t xml:space="preserve">1955 Aston Martin DB5</t>
  </si>
  <si>
    <t xml:space="preserve">12d55d8b-0467-5a57-b20f-1e4e30cc38c3</t>
  </si>
  <si>
    <t xml:space="preserve">b13bcf10-79e8-53f8-9f85-6d3e59eb6e05</t>
  </si>
  <si>
    <t xml:space="preserve">1968 Aston Martin DB5</t>
  </si>
  <si>
    <t xml:space="preserve">3a3bc600-7e7f-5516-8b8e-3762d632defa</t>
  </si>
  <si>
    <t xml:space="preserve">ce207c05-579c-50b8-b552-b5b67ec26161</t>
  </si>
  <si>
    <t xml:space="preserve">af014acb-9e21-5190-b630-877aa5c22baf</t>
  </si>
  <si>
    <t xml:space="preserve">87600580-3f2b-5ebb-bd0e-bb0db45e3e0e</t>
  </si>
  <si>
    <t xml:space="preserve">9122e36c-a7a7-5f69-98fe-e73916baa73c</t>
  </si>
  <si>
    <t xml:space="preserve">9f2ff39c-326c-5272-bfdf-68f0fe08a3a1</t>
  </si>
  <si>
    <t xml:space="preserve">64391e48-7436-547d-8958-775d35ab9aef</t>
  </si>
  <si>
    <t xml:space="preserve">45a1986c-50c6-54a6-a550-88e0582d7333</t>
  </si>
  <si>
    <t xml:space="preserve">2ec30649-c01a-57d2-879c-ec8d9ea0583c</t>
  </si>
  <si>
    <t xml:space="preserve">884ecc85-b55d-59ba-aa49-77b36d5d454e</t>
  </si>
  <si>
    <t xml:space="preserve">9535c088-2872-596e-961d-7c8b19bfb868</t>
  </si>
  <si>
    <t xml:space="preserve">63c0af25-acd0-56a3-8501-de903a3f05e6</t>
  </si>
  <si>
    <t xml:space="preserve">1977 Bentley Continental GT</t>
  </si>
  <si>
    <t xml:space="preserve">2026-02-20</t>
  </si>
  <si>
    <t xml:space="preserve">f557ad7e-bc7f-5c04-a417-a56f781ef864</t>
  </si>
  <si>
    <t xml:space="preserve">476b1a1b-6827-580d-91e2-71f2faba7c12</t>
  </si>
  <si>
    <t xml:space="preserve">fd1f29e4-9843-5738-93b7-587e4da60f83</t>
  </si>
  <si>
    <t xml:space="preserve">6667fbf3-d6df-519f-a78d-8beb018c7515</t>
  </si>
  <si>
    <t xml:space="preserve">cc0c40b3-4086-5e9f-9799-2d055c55e1ee</t>
  </si>
  <si>
    <t xml:space="preserve">194d8267-95b1-5640-827d-ab5d1a93f41f</t>
  </si>
  <si>
    <t xml:space="preserve">3357933f-b306-5331-8115-c37416e3d422</t>
  </si>
  <si>
    <t xml:space="preserve">faab0727-4dd1-50d6-b091-9d52bfe1284a</t>
  </si>
  <si>
    <t xml:space="preserve">516738c3-ceda-5f71-acec-cfceb4a5d930</t>
  </si>
  <si>
    <t xml:space="preserve">1968 Alfa Romeo 8C 2900</t>
  </si>
  <si>
    <t xml:space="preserve">8c3a4f9d-3466-56e4-a6cb-cabcf18b04a5</t>
  </si>
  <si>
    <t xml:space="preserve">aa5f5849-9834-555b-8080-c27c6e9baeaf</t>
  </si>
  <si>
    <t xml:space="preserve">f11357ba-7f96-5f47-95d8-bbf44df193fb</t>
  </si>
  <si>
    <t xml:space="preserve">beebc706-f539-5fee-a8d2-b2bde0b2f562</t>
  </si>
  <si>
    <t xml:space="preserve">c389927e-f4c6-5387-9aea-7b8fed521fbf</t>
  </si>
  <si>
    <t xml:space="preserve">1974 McLaren 750S</t>
  </si>
  <si>
    <t xml:space="preserve">93ac7d45-5340-5fcd-92fb-7336cd0dc176</t>
  </si>
  <si>
    <t xml:space="preserve">1974 Ferrari 296 GTB</t>
  </si>
  <si>
    <t xml:space="preserve">885dc4e3-5f1d-5ba8-8d95-c9b6f7ee4e51</t>
  </si>
  <si>
    <t xml:space="preserve">26e532f6-df2a-51da-ac14-74f84a8f768b</t>
  </si>
  <si>
    <t xml:space="preserve">851a1758-78b2-5ca5-b869-066fe6a6ca87</t>
  </si>
  <si>
    <t xml:space="preserve">ced2bb64-050e-5380-a58d-172362175006</t>
  </si>
  <si>
    <t xml:space="preserve">07bbc8ff-da4c-5af9-bf13-2c2b235b1884</t>
  </si>
  <si>
    <t xml:space="preserve">ddea4f51-5f6e-595a-ae3c-289ed5578338</t>
  </si>
  <si>
    <t xml:space="preserve">b120a338-d94e-5250-8150-abd64b64bda6</t>
  </si>
  <si>
    <t xml:space="preserve">753decc3-01aa-5596-97c3-64c829030153</t>
  </si>
  <si>
    <t xml:space="preserve">597c7e23-9c8b-5b63-ad34-1e9a2b1fc9f2</t>
  </si>
  <si>
    <t xml:space="preserve">2006 Ringbrothers Mustang</t>
  </si>
  <si>
    <t xml:space="preserve">1579a3ac-3fb3-57f7-b729-9c9a278af953</t>
  </si>
  <si>
    <t xml:space="preserve">b73253af-a052-5049-afef-e269d79f523f</t>
  </si>
  <si>
    <t xml:space="preserve">de12303d-c773-5693-9c31-56bc649076cd</t>
  </si>
  <si>
    <t xml:space="preserve">02df24e0-bf5d-51e2-9f9c-f07eb84ed218</t>
  </si>
  <si>
    <t xml:space="preserve">1984 Mercedes-Benz 280SL Pagoda</t>
  </si>
  <si>
    <t xml:space="preserve">8ba13095-72e6-5cd3-a38a-7a2de39f78f2</t>
  </si>
  <si>
    <t xml:space="preserve">250262e8-8cc0-5359-8bd7-25610fa7affc</t>
  </si>
  <si>
    <t xml:space="preserve">1988 BMW M8 Competition</t>
  </si>
  <si>
    <t xml:space="preserve">578f326a-212a-5263-b96a-98462127cb35</t>
  </si>
  <si>
    <t xml:space="preserve">1982 Lamborghini Huracan EVO</t>
  </si>
  <si>
    <t xml:space="preserve">ed55ef02-854b-55cf-9f19-319381901688</t>
  </si>
  <si>
    <t xml:space="preserve">7c6e55f3-f1f0-5bd4-8bea-0212485c49d1</t>
  </si>
  <si>
    <t xml:space="preserve">1990 Bentley 4.5 Litre</t>
  </si>
  <si>
    <t xml:space="preserve">80576b13-6188-5f6a-b47e-830600ad1bb5</t>
  </si>
  <si>
    <t xml:space="preserve">f39a9eae-b575-5b80-8d34-d73e4f8cc8af</t>
  </si>
  <si>
    <t xml:space="preserve">2db62e92-3760-5dbd-97e6-9781c38d0a3c</t>
  </si>
  <si>
    <t xml:space="preserve">5c3d16b7-8f9e-5bfd-8a2e-6c9bfda1a3d6</t>
  </si>
  <si>
    <t xml:space="preserve">1973 McLaren 750S</t>
  </si>
  <si>
    <t xml:space="preserve">e26184f4-6b80-5338-b671-684fafa21cf7</t>
  </si>
  <si>
    <t xml:space="preserve">e1c76944-5412-5595-b759-0935e78193df</t>
  </si>
  <si>
    <t xml:space="preserve">b4a74603-c6f4-55fd-848e-b16fd1ac1730</t>
  </si>
  <si>
    <t xml:space="preserve">e113e59b-be3e-500d-a9d8-74aafeb26cfe</t>
  </si>
  <si>
    <t xml:space="preserve">6384bd56-ab81-5b52-b2b7-1f8aed23fd7b</t>
  </si>
  <si>
    <t xml:space="preserve">1f8e0262-923c-54d7-8b90-b5e24fc10164</t>
  </si>
  <si>
    <t xml:space="preserve">ba2d12d6-51a3-56db-99ec-4c39129a6b9a</t>
  </si>
  <si>
    <t xml:space="preserve">1962 Mercedes-Benz AMG GT</t>
  </si>
  <si>
    <t xml:space="preserve">0ccbf3a4-d78a-5f51-a93d-3ce3959bb765</t>
  </si>
  <si>
    <t xml:space="preserve">d3ea7725-f8a7-5b44-9e2e-e41578e3e019</t>
  </si>
  <si>
    <t xml:space="preserve">1996 Ferrari 296 GTB</t>
  </si>
  <si>
    <t xml:space="preserve">01e1d9c4-0002-52dc-9c82-fcdc5daa0369</t>
  </si>
  <si>
    <t xml:space="preserve">2011 Jaguar E-Type Series 1</t>
  </si>
  <si>
    <t xml:space="preserve">e5cbebea-e8d5-5357-a5c7-9f8d0628bfd4</t>
  </si>
  <si>
    <t xml:space="preserve">372dd1ab-e1d0-5463-9fec-a4215ac5b886</t>
  </si>
  <si>
    <t xml:space="preserve">22c0d79c-47e2-55ac-b632-9b49856c5814</t>
  </si>
  <si>
    <t xml:space="preserve">68e35368-86b2-5bde-ae10-21d2ae0f9f58</t>
  </si>
  <si>
    <t xml:space="preserve">1988 Ferrari SF90 Stradale</t>
  </si>
  <si>
    <t xml:space="preserve">b56056f8-be68-5d93-99d6-8f843c91260c</t>
  </si>
  <si>
    <t xml:space="preserve">1974 BMW M8 Competition</t>
  </si>
  <si>
    <t xml:space="preserve">d140bd51-d6e6-5c0d-9825-03396bd13f90</t>
  </si>
  <si>
    <t xml:space="preserve">196efb56-67e3-5b5e-875f-4e82ef40aa8f</t>
  </si>
  <si>
    <t xml:space="preserve">1992 Aston Martin DB5</t>
  </si>
  <si>
    <t xml:space="preserve">eef46740-92b5-53e6-bed4-3183ed0359c1</t>
  </si>
  <si>
    <t xml:space="preserve">fb24b160-5a33-5cb8-b7f8-4328cfd9af9c</t>
  </si>
  <si>
    <t xml:space="preserve">3bb8bf1e-f161-5acc-bd0b-a39b5a1ece4b</t>
  </si>
  <si>
    <t xml:space="preserve">1993 Bugatti Type 57</t>
  </si>
  <si>
    <t xml:space="preserve">aa710862-6388-5bdb-ad49-88decd98d02b</t>
  </si>
  <si>
    <t xml:space="preserve">a55ed6b2-fe16-5343-95f3-cde463d1a039</t>
  </si>
  <si>
    <t xml:space="preserve">cb21e9c5-fd3a-5909-8796-4a3c3665a406</t>
  </si>
  <si>
    <t xml:space="preserve">1e479bfc-dc16-51b3-a098-9bed1be5b85c</t>
  </si>
  <si>
    <t xml:space="preserve">b3504f70-28b8-598a-8370-faefabc7c816</t>
  </si>
  <si>
    <t xml:space="preserve">998c2f18-2180-5b47-afa4-3d6301e9d6d5</t>
  </si>
  <si>
    <t xml:space="preserve">b367865d-896a-5ab0-9fff-77cf7f5b0603</t>
  </si>
  <si>
    <t xml:space="preserve">3025ef79-e4ef-52e9-abc8-5be68cd80b20</t>
  </si>
  <si>
    <t xml:space="preserve">a07de294-fb55-596d-9368-8604e3b5c8f0</t>
  </si>
  <si>
    <t xml:space="preserve">8d81eafd-7c18-5611-abae-958f20a5a6be</t>
  </si>
  <si>
    <t xml:space="preserve">b0a22110-c026-59b4-bf1d-f245ee5ddc37</t>
  </si>
  <si>
    <t xml:space="preserve">4b0f41e2-2c4e-5e18-aa03-5aed9994db3a</t>
  </si>
  <si>
    <t xml:space="preserve">1982 Aston Martin DB12</t>
  </si>
  <si>
    <t xml:space="preserve">ed7f6661-e60d-5ca3-a72f-0cdf68466285</t>
  </si>
  <si>
    <t xml:space="preserve">db2213c7-0514-5b3a-8a6e-eccae5054793</t>
  </si>
  <si>
    <t xml:space="preserve">0cd78158-e2b9-5f83-80bf-64f09e55a2e6</t>
  </si>
  <si>
    <t xml:space="preserve">0b0b6573-fc0c-5038-8bd8-b06f14331a15</t>
  </si>
  <si>
    <t xml:space="preserve">2e44cd7f-3d00-5661-814e-408b808cfdb5</t>
  </si>
  <si>
    <t xml:space="preserve">1987 Ferrari 296 GTB</t>
  </si>
  <si>
    <t xml:space="preserve">003692dd-7f84-5039-ae00-f4b5983dd7e6</t>
  </si>
  <si>
    <t xml:space="preserve">bcddb610-c780-582c-8c32-19858b4be61d</t>
  </si>
  <si>
    <t xml:space="preserve">1956 Bugatti Type 57</t>
  </si>
  <si>
    <t xml:space="preserve">6ad93b37-fe4e-5680-8f68-64a02a4f4f15</t>
  </si>
  <si>
    <t xml:space="preserve">2014 Ferrari 275 GTB/4</t>
  </si>
  <si>
    <t xml:space="preserve">b6fbd82a-7326-5ff6-b75f-e7bc0b31323e</t>
  </si>
  <si>
    <t xml:space="preserve">7daf5821-ee8d-5391-97bf-722bc4d717e1</t>
  </si>
  <si>
    <t xml:space="preserve">bc818b99-a6e3-5775-8a1d-c3821a17edfc</t>
  </si>
  <si>
    <t xml:space="preserve">16c92f4f-a270-5094-8dc1-bf369fdad9e0</t>
  </si>
  <si>
    <t xml:space="preserve">72d880d2-5356-5112-bdbe-c4303ddd8d68</t>
  </si>
  <si>
    <t xml:space="preserve">0ac7192c-35b9-54bb-b4fa-6628d180fe99</t>
  </si>
  <si>
    <t xml:space="preserve">eb6245a6-ee59-5677-bcf3-d4e9b82b49fc</t>
  </si>
  <si>
    <t xml:space="preserve">126a39c8-cf8c-5e31-93f8-4bb01d18f4b5</t>
  </si>
  <si>
    <t xml:space="preserve">83ee960a-85a1-5617-8817-7175215a8dd4</t>
  </si>
  <si>
    <t xml:space="preserve">dc7e966b-f7ae-59b3-9872-19404b9d3524</t>
  </si>
  <si>
    <t xml:space="preserve">bfaa9f0b-91bc-5101-b34f-b2df58afa3d5</t>
  </si>
  <si>
    <t xml:space="preserve">cb6c3fb7-43b8-5b3e-9753-c21014d6cd9a</t>
  </si>
  <si>
    <t xml:space="preserve">247f9019-4a58-5779-a5ee-24dff35112c4</t>
  </si>
  <si>
    <t xml:space="preserve">2004 Bugatti Type 57</t>
  </si>
  <si>
    <t xml:space="preserve">da8bd6d6-2f00-523c-8677-accc1704ac9f</t>
  </si>
  <si>
    <t xml:space="preserve">4f6669e7-89ec-5eca-a0a6-4e9c878f756f</t>
  </si>
  <si>
    <t xml:space="preserve">59d196dc-dd6c-5b59-ad34-22f07ad975a1</t>
  </si>
  <si>
    <t xml:space="preserve">2013 BMW M8 Competition</t>
  </si>
  <si>
    <t xml:space="preserve">104a9961-fbfc-551e-ad6a-ee69004abfac</t>
  </si>
  <si>
    <t xml:space="preserve">9941819f-ffef-5812-b0bc-c489c3696108</t>
  </si>
  <si>
    <t xml:space="preserve">1986 BMW M8 Competition</t>
  </si>
  <si>
    <t xml:space="preserve">89342de7-1189-5ce7-a1f8-5a27a97656e4</t>
  </si>
  <si>
    <t xml:space="preserve">1990 Ferrari 275 GTB/4</t>
  </si>
  <si>
    <t xml:space="preserve">ba8344cf-d40f-512d-804a-30a934920b9d</t>
  </si>
  <si>
    <t xml:space="preserve">33bc2e98-0375-568e-8c6b-22dbfc36346e</t>
  </si>
  <si>
    <t xml:space="preserve">87fc7e7a-8b63-5fde-bcd0-3b5253289bcf</t>
  </si>
  <si>
    <t xml:space="preserve">1968 Maserati GranTurismo</t>
  </si>
  <si>
    <t xml:space="preserve">f1ba8cac-08dd-5e20-8a58-de6d8f498341</t>
  </si>
  <si>
    <t xml:space="preserve">2002 Bentley 4.5 Litre</t>
  </si>
  <si>
    <t xml:space="preserve">3d1488cd-d77b-5161-ae67-8887d66228e3</t>
  </si>
  <si>
    <t xml:space="preserve">cd0031cd-57b1-5031-af7c-5fba6de02e8a</t>
  </si>
  <si>
    <t xml:space="preserve">0b853dc3-8b65-5621-ae2b-8f146f32e9b6</t>
  </si>
  <si>
    <t xml:space="preserve">7170def0-1fd0-5df8-a7af-75d67d605fb1</t>
  </si>
  <si>
    <t xml:space="preserve">b53326ec-f0da-5c53-9ba6-080ed8492a50</t>
  </si>
  <si>
    <t xml:space="preserve">c3c8d850-295b-53d8-9b1c-ce7a4a2a6c25</t>
  </si>
  <si>
    <t xml:space="preserve">fbe03d23-8532-5fec-8187-e6d53788385f</t>
  </si>
  <si>
    <t xml:space="preserve">a0c1e882-5df6-5d56-b1e2-e184c040d758</t>
  </si>
  <si>
    <t xml:space="preserve">2020 Lamborghini Huracan EVO</t>
  </si>
  <si>
    <t xml:space="preserve">9167d22e-7425-500d-8898-7102392e03b2</t>
  </si>
  <si>
    <t xml:space="preserve">3db2bf7f-b0b6-5a15-9f87-156547613706</t>
  </si>
  <si>
    <t xml:space="preserve">7f079f78-3065-5062-a37a-a18c77e2e1e8</t>
  </si>
  <si>
    <t xml:space="preserve">1996 Lamborghini Huracan EVO</t>
  </si>
  <si>
    <t xml:space="preserve">1f8f3457-ad50-5243-8eff-733e726ebe7d</t>
  </si>
  <si>
    <t xml:space="preserve">7f581160-7d1f-5822-bfb6-b9ce026c7c0f</t>
  </si>
  <si>
    <t xml:space="preserve">ca944336-1432-559a-9610-ad8766f122d1</t>
  </si>
  <si>
    <t xml:space="preserve">1971 BMW M8 Competition</t>
  </si>
  <si>
    <t xml:space="preserve">2eb300c4-4bc2-551f-ba5a-3b90f9f63963</t>
  </si>
  <si>
    <t xml:space="preserve">2023 Icon Derelict</t>
  </si>
  <si>
    <t xml:space="preserve">2a5eee0c-0f30-574f-94a5-6dbe1f7d636b</t>
  </si>
  <si>
    <t xml:space="preserve">Monthly Rater — 2026-03  (Month 8 of 12)</t>
  </si>
  <si>
    <t xml:space="preserve">Softening index 0.8467. Rated Premium = ROUND(AgreedValue/100 × BaseRate × Territory × Softening ÷ Gross-Up, 2); ties to artifact premium within $0.01 (generator rounding).</t>
  </si>
  <si>
    <t xml:space="preserve">2026-03-09</t>
  </si>
  <si>
    <t xml:space="preserve">8fde05a5-6008-5c18-b0bf-71e194336c1f</t>
  </si>
  <si>
    <t xml:space="preserve">6ce7867f-5b67-5733-93b4-ad2c6346178e</t>
  </si>
  <si>
    <t xml:space="preserve">2026-03-14</t>
  </si>
  <si>
    <t xml:space="preserve">2d380e0f-8d20-59fc-8808-1df820fd2e5d</t>
  </si>
  <si>
    <t xml:space="preserve">2026-03-26</t>
  </si>
  <si>
    <t xml:space="preserve">a02bbd17-edd7-5a3b-bbd8-0dc3554399fa</t>
  </si>
  <si>
    <t xml:space="preserve">2026-03-28</t>
  </si>
  <si>
    <t xml:space="preserve">dca3b992-71bd-5432-ba60-e51a1d67efe3</t>
  </si>
  <si>
    <t xml:space="preserve">2008 Bentley 4.5 Litre</t>
  </si>
  <si>
    <t xml:space="preserve">f9f0e2cd-8a02-5cd8-bc3c-72bfaff52121</t>
  </si>
  <si>
    <t xml:space="preserve">1998 Ferrari 275 GTB/4</t>
  </si>
  <si>
    <t xml:space="preserve">2026-03-20</t>
  </si>
  <si>
    <t xml:space="preserve">338da4f6-7b7f-5aad-b1ef-1012c70ff540</t>
  </si>
  <si>
    <t xml:space="preserve">1987 Aston Martin DB5</t>
  </si>
  <si>
    <t xml:space="preserve">2026-03-19</t>
  </si>
  <si>
    <t xml:space="preserve">980072f2-beea-58a1-b2bd-da9d8350ba58</t>
  </si>
  <si>
    <t xml:space="preserve">2026-03-24</t>
  </si>
  <si>
    <t xml:space="preserve">b186c8e6-5607-568f-a4ce-943da695dae6</t>
  </si>
  <si>
    <t xml:space="preserve">2008 Ferrari SF90 Stradale</t>
  </si>
  <si>
    <t xml:space="preserve">2026-03-29</t>
  </si>
  <si>
    <t xml:space="preserve">b6765c08-5f3f-54ce-923b-cb213d791753</t>
  </si>
  <si>
    <t xml:space="preserve">2026-03-10</t>
  </si>
  <si>
    <t xml:space="preserve">2a6b35ad-7a00-516b-9151-eab64d08f8b2</t>
  </si>
  <si>
    <t xml:space="preserve">2026-03-08</t>
  </si>
  <si>
    <t xml:space="preserve">a4ade369-bfa3-5aca-9840-07bd8b0a7172</t>
  </si>
  <si>
    <t xml:space="preserve">2026-03-30</t>
  </si>
  <si>
    <t xml:space="preserve">a1ec640d-f10b-5743-973c-f46d1dd01387</t>
  </si>
  <si>
    <t xml:space="preserve">1955 Lamborghini Huracan EVO</t>
  </si>
  <si>
    <t xml:space="preserve">6586904a-163e-5a11-a76e-e32e09ec875e</t>
  </si>
  <si>
    <t xml:space="preserve">2026-03-15</t>
  </si>
  <si>
    <t xml:space="preserve">c433b45a-aad2-5595-a212-53dc3ddd1ff5</t>
  </si>
  <si>
    <t xml:space="preserve">2026-03-17</t>
  </si>
  <si>
    <t xml:space="preserve">f593f1ab-5467-5dfb-a588-a61a776fd882</t>
  </si>
  <si>
    <t xml:space="preserve">2026-03-04</t>
  </si>
  <si>
    <t xml:space="preserve">626c107e-7698-5ab2-a5b4-526e4e977a36</t>
  </si>
  <si>
    <t xml:space="preserve">1994 Lamborghini Huracan EVO</t>
  </si>
  <si>
    <t xml:space="preserve">2026-03-25</t>
  </si>
  <si>
    <t xml:space="preserve">81d81a8a-cfb9-5149-87e1-b497f5497366</t>
  </si>
  <si>
    <t xml:space="preserve">2026-03-22</t>
  </si>
  <si>
    <t xml:space="preserve">cdba2e5f-921a-591b-9ec0-86303f6decf2</t>
  </si>
  <si>
    <t xml:space="preserve">2026-03-01</t>
  </si>
  <si>
    <t xml:space="preserve">cf36c897-047f-519c-9176-b7673d13d6e0</t>
  </si>
  <si>
    <t xml:space="preserve">afd6b53c-d984-5e9a-a6eb-042c16669837</t>
  </si>
  <si>
    <t xml:space="preserve">fe5b3039-6efd-51dd-a52c-50efce8eeb35</t>
  </si>
  <si>
    <t xml:space="preserve">ec6aeeec-a39d-554b-86a9-b24b00b89921</t>
  </si>
  <si>
    <t xml:space="preserve">26802d6e-675a-5aba-99bd-20208998e407</t>
  </si>
  <si>
    <t xml:space="preserve">979cd601-080e-5f2a-b1cc-df0c4f18d9b3</t>
  </si>
  <si>
    <t xml:space="preserve">d9ead0e9-7389-50d2-baba-b55f6d602102</t>
  </si>
  <si>
    <t xml:space="preserve">1967 Aston Martin DB5</t>
  </si>
  <si>
    <t xml:space="preserve">2026-03-07</t>
  </si>
  <si>
    <t xml:space="preserve">0c045e80-de77-59fb-816a-6e0fdba52bed</t>
  </si>
  <si>
    <t xml:space="preserve">1988 Lamborghini Huracan EVO</t>
  </si>
  <si>
    <t xml:space="preserve">2026-03-12</t>
  </si>
  <si>
    <t xml:space="preserve">bbf3714c-2f20-5685-89b0-1937ad24e9c8</t>
  </si>
  <si>
    <t xml:space="preserve">ecf4ecb5-75ea-5240-867c-f484dc8583a8</t>
  </si>
  <si>
    <t xml:space="preserve">dc70691d-867e-57c1-868d-9b17d0503423</t>
  </si>
  <si>
    <t xml:space="preserve">91e78a89-f42d-506c-ac1d-c6424cf399b2</t>
  </si>
  <si>
    <t xml:space="preserve">2026-03-11</t>
  </si>
  <si>
    <t xml:space="preserve">6a6c56d6-a975-57a5-bc78-abb23e67bf15</t>
  </si>
  <si>
    <t xml:space="preserve">80acd57c-2a06-5802-af0a-079c068b662b</t>
  </si>
  <si>
    <t xml:space="preserve">1957 Jaguar E-Type Series 1</t>
  </si>
  <si>
    <t xml:space="preserve">2026-03-31</t>
  </si>
  <si>
    <t xml:space="preserve">94f5c6e0-a327-5c73-ba8a-353919779438</t>
  </si>
  <si>
    <t xml:space="preserve">917a3e38-0a67-5a2d-8b49-d0e0bc55471f</t>
  </si>
  <si>
    <t xml:space="preserve">86217f5e-3fe2-5cda-91a5-02e46d25584d</t>
  </si>
  <si>
    <t xml:space="preserve">2026-03-13</t>
  </si>
  <si>
    <t xml:space="preserve">35004c5c-b795-5803-9e05-16c6f8bf1f0d</t>
  </si>
  <si>
    <t xml:space="preserve">22064aff-056d-56df-8bdd-57451a4d6a3d</t>
  </si>
  <si>
    <t xml:space="preserve">2005 Bentley Continental GT</t>
  </si>
  <si>
    <t xml:space="preserve">2026-03-16</t>
  </si>
  <si>
    <t xml:space="preserve">e7e6ae1f-c150-529f-9581-4091d0275fbf</t>
  </si>
  <si>
    <t xml:space="preserve">1978 Icon Derelict</t>
  </si>
  <si>
    <t xml:space="preserve">45d8bc06-df83-5bc7-9884-13b1158498fe</t>
  </si>
  <si>
    <t xml:space="preserve">2026-03-18</t>
  </si>
  <si>
    <t xml:space="preserve">390ccbfa-eb01-571c-ae34-8fec69093241</t>
  </si>
  <si>
    <t xml:space="preserve">2026-03-03</t>
  </si>
  <si>
    <t xml:space="preserve">9436f48c-3ccb-5f78-82c6-89d9dc5cf3b9</t>
  </si>
  <si>
    <t xml:space="preserve">2026-03-23</t>
  </si>
  <si>
    <t xml:space="preserve">47483761-b870-5737-9584-855d8da4b056</t>
  </si>
  <si>
    <t xml:space="preserve">c02818fd-335d-552f-9315-25c67edf48b1</t>
  </si>
  <si>
    <t xml:space="preserve">ccb3cdef-4627-5588-b0f0-c2108cf5ed7f</t>
  </si>
  <si>
    <t xml:space="preserve">cf9d9f5d-5455-5733-9acd-d0b182e66815</t>
  </si>
  <si>
    <t xml:space="preserve">b8ac02fa-207c-50d7-86e7-e9ae6c7470e3</t>
  </si>
  <si>
    <t xml:space="preserve">d9dc02a3-0b68-5cfe-bb23-b5f05d1eff29</t>
  </si>
  <si>
    <t xml:space="preserve">caa92dec-9f4f-5235-962e-759b5229f4be</t>
  </si>
  <si>
    <t xml:space="preserve">94d4a763-d626-50c1-b6e0-dee95a9156d1</t>
  </si>
  <si>
    <t xml:space="preserve">d9ac7048-3176-592a-b9e3-f3cbc837e3c5</t>
  </si>
  <si>
    <t xml:space="preserve">68eebf0d-4803-5432-a610-20945e755634</t>
  </si>
  <si>
    <t xml:space="preserve">2026-03-21</t>
  </si>
  <si>
    <t xml:space="preserve">08e13b89-6770-5067-b9a5-e8e32de027d5</t>
  </si>
  <si>
    <t xml:space="preserve">2003 Porsche 911 Turbo S</t>
  </si>
  <si>
    <t xml:space="preserve">49c5c529-0104-585f-b19c-1e8d52ad87f7</t>
  </si>
  <si>
    <t xml:space="preserve">2026-03-06</t>
  </si>
  <si>
    <t xml:space="preserve">ae8b7ce2-f471-5e14-a59c-c73da9c84d33</t>
  </si>
  <si>
    <t xml:space="preserve">782016af-8ee7-5152-8682-4a2fd796a7ff</t>
  </si>
  <si>
    <t xml:space="preserve">50763f0a-049e-51ba-91b8-b6052b254deb</t>
  </si>
  <si>
    <t xml:space="preserve">6a6e5cda-67c6-531a-b6cf-6757b6accfac</t>
  </si>
  <si>
    <t xml:space="preserve">1962 Jaguar E-Type Series 1</t>
  </si>
  <si>
    <t xml:space="preserve">c1100e93-880b-52c8-a168-b85fe42504cf</t>
  </si>
  <si>
    <t xml:space="preserve">2026-03-02</t>
  </si>
  <si>
    <t xml:space="preserve">eaad37ac-185e-5dd4-a8c4-c2d977d262df</t>
  </si>
  <si>
    <t xml:space="preserve">99df750d-5a48-5836-827b-be41eb755424</t>
  </si>
  <si>
    <t xml:space="preserve">1997 Singer 911 Reimagined</t>
  </si>
  <si>
    <t xml:space="preserve">ec26358e-2926-5843-b3bf-0ae870020762</t>
  </si>
  <si>
    <t xml:space="preserve">01681834-63e7-51f1-87ff-ceffaae248c7</t>
  </si>
  <si>
    <t xml:space="preserve">189ddd03-4df2-56ed-91ec-0a79129d2486</t>
  </si>
  <si>
    <t xml:space="preserve">4595ea48-07ee-55f9-8a79-fb8b9533970a</t>
  </si>
  <si>
    <t xml:space="preserve">233bdb38-3621-51ba-a209-4d5785b4bd14</t>
  </si>
  <si>
    <t xml:space="preserve">fa0c047d-03be-5b7d-9acd-f6488ecb4ba8</t>
  </si>
  <si>
    <t xml:space="preserve">1a948dfa-30bf-5285-831f-56eb1d146aca</t>
  </si>
  <si>
    <t xml:space="preserve">f0bfbd4c-1d5b-55c5-b992-3b2d8ae300ac</t>
  </si>
  <si>
    <t xml:space="preserve">18c2eec9-4266-5306-9b73-4f77f3e29bd5</t>
  </si>
  <si>
    <t xml:space="preserve">87374f36-3450-54da-9d70-9eb8f8ff59ff</t>
  </si>
  <si>
    <t xml:space="preserve">2026-03-05</t>
  </si>
  <si>
    <t xml:space="preserve">24d02409-79f9-5bf2-b5c8-3ae85b10de7c</t>
  </si>
  <si>
    <t xml:space="preserve">1991 Bentley Continental GT</t>
  </si>
  <si>
    <t xml:space="preserve">f3c811a6-6314-5cb2-8291-b655558daf23</t>
  </si>
  <si>
    <t xml:space="preserve">208d2ce8-5327-52bd-b8b9-2cbc3d1a3329</t>
  </si>
  <si>
    <t xml:space="preserve">3e4355e0-0ab7-57f9-9cf3-db17ec627df0</t>
  </si>
  <si>
    <t xml:space="preserve">2006 Jaguar E-Type Series 1</t>
  </si>
  <si>
    <t xml:space="preserve">fe98875c-7dd5-51dd-b200-8ffe59302622</t>
  </si>
  <si>
    <t xml:space="preserve">afc14551-03ed-5cd9-bb06-718ba3a44e8e</t>
  </si>
  <si>
    <t xml:space="preserve">2df6da53-8f62-5b3b-b05c-e081b6215115</t>
  </si>
  <si>
    <t xml:space="preserve">9f7ea18f-bbdf-53fc-9166-265d0a5c1b78</t>
  </si>
  <si>
    <t xml:space="preserve">2010 BMW M8 Competition</t>
  </si>
  <si>
    <t xml:space="preserve">27a25b20-84ac-5d00-abb1-a1f05b0c55b1</t>
  </si>
  <si>
    <t xml:space="preserve">4d0a865b-1a81-5dae-a8ea-51526de4aef3</t>
  </si>
  <si>
    <t xml:space="preserve">1987 Bentley Continental GT</t>
  </si>
  <si>
    <t xml:space="preserve">63a2c082-4a90-5099-8367-f901a748ec89</t>
  </si>
  <si>
    <t xml:space="preserve">2010 Lamborghini Huracan EVO</t>
  </si>
  <si>
    <t xml:space="preserve">be789bcb-c4f2-5074-9757-5694c4f2f315</t>
  </si>
  <si>
    <t xml:space="preserve">aa967318-6506-52e7-b307-c344c9005739</t>
  </si>
  <si>
    <t xml:space="preserve">2026-03-27</t>
  </si>
  <si>
    <t xml:space="preserve">365fa1ae-e441-58e2-807a-d59e3ded259e</t>
  </si>
  <si>
    <t xml:space="preserve">9167d4a6-765a-5976-8438-e9d2f2cb30ea</t>
  </si>
  <si>
    <t xml:space="preserve">c4132531-2f95-5c19-b0d5-d336904db3f3</t>
  </si>
  <si>
    <t xml:space="preserve">ef70df16-6251-5c1c-910d-1a28b1470507</t>
  </si>
  <si>
    <t xml:space="preserve">1964 Jaguar E-Type Series 1</t>
  </si>
  <si>
    <t xml:space="preserve">95c09a21-3e6a-5fbb-bffb-9198e7b29680</t>
  </si>
  <si>
    <t xml:space="preserve">01340133-e442-519c-b18c-55a8a2ab8bb7</t>
  </si>
  <si>
    <t xml:space="preserve">8116fd16-194e-5494-8546-215a6e45aa6f</t>
  </si>
  <si>
    <t xml:space="preserve">b3f41213-63a0-5641-b490-894dad69909b</t>
  </si>
  <si>
    <t xml:space="preserve">e851bf43-527a-54fc-a645-5a5b7bf232dc</t>
  </si>
  <si>
    <t xml:space="preserve">fd7626d7-0038-5172-8a8a-ee17dd02d297</t>
  </si>
  <si>
    <t xml:space="preserve">33b7f04a-cc24-5add-855e-5e91ca8742fa</t>
  </si>
  <si>
    <t xml:space="preserve">8aab798c-2aa1-581a-b42a-064d420609a0</t>
  </si>
  <si>
    <t xml:space="preserve">ea4d19d9-be41-5cae-afd1-ad11be160c5b</t>
  </si>
  <si>
    <t xml:space="preserve">6124fe1e-bddc-593e-b548-759d25607eec</t>
  </si>
  <si>
    <t xml:space="preserve">8749b726-fa94-5297-b5e3-2bd7580a185b</t>
  </si>
  <si>
    <t xml:space="preserve">431cef20-66d2-5ca6-ba47-a1de57471bce</t>
  </si>
  <si>
    <t xml:space="preserve">fc2e9ea2-6e47-5527-9d92-3bfa76064476</t>
  </si>
  <si>
    <t xml:space="preserve">97bfbae7-1f2f-5f51-a54e-2bc2ed6beacd</t>
  </si>
  <si>
    <t xml:space="preserve">96859992-5519-50d2-bd24-8f3da7e4649d</t>
  </si>
  <si>
    <t xml:space="preserve">c995dedd-61e7-5238-a8f0-996269cd6daa</t>
  </si>
  <si>
    <t xml:space="preserve">b008778a-6e5e-5e08-a854-eed3b3e802c5</t>
  </si>
  <si>
    <t xml:space="preserve">2fc36825-a54e-5402-bdb9-71418b78f0cc</t>
  </si>
  <si>
    <t xml:space="preserve">af5bed07-ed14-5c10-bf13-7c21ce7da6d4</t>
  </si>
  <si>
    <t xml:space="preserve">2017 Ferrari SF90 Stradale</t>
  </si>
  <si>
    <t xml:space="preserve">b2125e0c-3f8f-5d45-9a64-4c0b4b3068c8</t>
  </si>
  <si>
    <t xml:space="preserve">1962 Icon Derelict</t>
  </si>
  <si>
    <t xml:space="preserve">f0012ece-1402-5328-8f6b-a5bd7b11ef72</t>
  </si>
  <si>
    <t xml:space="preserve">520b8651-f8f4-544e-859e-f2794539c002</t>
  </si>
  <si>
    <t xml:space="preserve">2001 Jaguar E-Type Series 1</t>
  </si>
  <si>
    <t xml:space="preserve">47437bab-dcdf-577b-9cf1-4e23934f257f</t>
  </si>
  <si>
    <t xml:space="preserve">1988 Icon Derelict</t>
  </si>
  <si>
    <t xml:space="preserve">90ac8636-b1a0-51a9-83ab-db3ac9dfd9d8</t>
  </si>
  <si>
    <t xml:space="preserve">1976 Ferrari 275 GTB/4</t>
  </si>
  <si>
    <t xml:space="preserve">8f3bdcd1-8a06-5521-8379-5d8d8b13355b</t>
  </si>
  <si>
    <t xml:space="preserve">f72f42c0-8236-5856-9dba-acd6de55995b</t>
  </si>
  <si>
    <t xml:space="preserve">f6ff0351-ba4e-5a9a-bf37-ebfeb9d4eaa0</t>
  </si>
  <si>
    <t xml:space="preserve">1d3fa2ca-50cb-571f-8eb0-956ec39003b7</t>
  </si>
  <si>
    <t xml:space="preserve">2019 BMW M8 Competition</t>
  </si>
  <si>
    <t xml:space="preserve">292bed58-56e3-58d6-80c1-0c2fe4d7e494</t>
  </si>
  <si>
    <t xml:space="preserve">1880dedf-56fe-586b-b351-8fb61fbecaf3</t>
  </si>
  <si>
    <t xml:space="preserve">1965 Porsche 911 Turbo S</t>
  </si>
  <si>
    <t xml:space="preserve">dc65b00e-27fb-5d74-8d7d-187483f34b65</t>
  </si>
  <si>
    <t xml:space="preserve">6180032b-95b4-5677-b7ab-c57b3fa9825b</t>
  </si>
  <si>
    <t xml:space="preserve">8a336f86-becc-581c-8c40-b5d5ecd5424e</t>
  </si>
  <si>
    <t xml:space="preserve">c3a872e5-d70e-593d-b42b-f474556f2093</t>
  </si>
  <si>
    <t xml:space="preserve">1972 Ringbrothers Mustang</t>
  </si>
  <si>
    <t xml:space="preserve">28d2906d-9484-5f5f-95c4-c8b3e4c6809c</t>
  </si>
  <si>
    <t xml:space="preserve">0ecb960b-bfce-59cf-b38c-7191ba2c4cec</t>
  </si>
  <si>
    <t xml:space="preserve">6191e574-28c7-538f-9427-47f09df55a8d</t>
  </si>
  <si>
    <t xml:space="preserve">29adffc0-d473-512f-b260-d5ad70bdbc60</t>
  </si>
  <si>
    <t xml:space="preserve">c6845246-c0cd-5d60-bc28-231387701474</t>
  </si>
  <si>
    <t xml:space="preserve">9586300f-546a-5b76-9f0d-7877cdaf73df</t>
  </si>
  <si>
    <t xml:space="preserve">c0157d03-a710-5543-ac88-12671516c4c1</t>
  </si>
  <si>
    <t xml:space="preserve">0af07fd1-a2d2-5a03-bf85-3ab5330868ea</t>
  </si>
  <si>
    <t xml:space="preserve">e771b8e7-8e5a-5ccc-b71c-43fdceed66ec</t>
  </si>
  <si>
    <t xml:space="preserve">1145d36d-b84e-58c4-8f56-e0ca270dc607</t>
  </si>
  <si>
    <t xml:space="preserve">6035855a-9f6c-5c16-a77e-db04c24cc82f</t>
  </si>
  <si>
    <t xml:space="preserve">1986 Aston Martin DB12</t>
  </si>
  <si>
    <t xml:space="preserve">1de683a6-3dac-5abd-9c56-ab1475707af0</t>
  </si>
  <si>
    <t xml:space="preserve">c70be3d2-2979-59ae-b362-2b08a3b42752</t>
  </si>
  <si>
    <t xml:space="preserve">2006 Singer 911 Reimagined</t>
  </si>
  <si>
    <t xml:space="preserve">4205d08b-a30c-5908-9e7c-2f722a8a7ebb</t>
  </si>
  <si>
    <t xml:space="preserve">9c531edd-f152-5728-9e7c-1cd690041ee8</t>
  </si>
  <si>
    <t xml:space="preserve">4f7e21ec-e879-59c9-80ae-07d9eeda85f3</t>
  </si>
  <si>
    <t xml:space="preserve">1963 Maserati GranTurismo</t>
  </si>
  <si>
    <t xml:space="preserve">bb68d679-5567-5325-bd06-ed25b9aa3773</t>
  </si>
  <si>
    <t xml:space="preserve">32baae7b-93fc-54e0-9982-b1dbb8b0966b</t>
  </si>
  <si>
    <t xml:space="preserve">b59d0c1d-c937-5903-a8c2-5846dc31fd4d</t>
  </si>
  <si>
    <t xml:space="preserve">6c7ebc6b-7f1a-53c1-af99-43f4af979297</t>
  </si>
  <si>
    <t xml:space="preserve">2018 Ringbrothers Mustang</t>
  </si>
  <si>
    <t xml:space="preserve">208a8fc8-df36-5a49-9416-9d9c808f71bc</t>
  </si>
  <si>
    <t xml:space="preserve">bf4030fd-1567-5e4d-80ff-b50708baf1d2</t>
  </si>
  <si>
    <t xml:space="preserve">b967c0ff-885a-5c09-99e3-827184f25134</t>
  </si>
  <si>
    <t xml:space="preserve">f244ae99-e278-5548-90a5-f32dbe423b65</t>
  </si>
  <si>
    <t xml:space="preserve">2008 Porsche 911 Turbo S</t>
  </si>
  <si>
    <t xml:space="preserve">23e09d50-b5c1-585f-ae35-bee1f529ce0b</t>
  </si>
  <si>
    <t xml:space="preserve">a55bc1a9-f26d-5fff-8c7f-2656b84e4e62</t>
  </si>
  <si>
    <t xml:space="preserve">242edbcb-d405-581f-9c95-73e60f190dec</t>
  </si>
  <si>
    <t xml:space="preserve">2013 Mercedes-Benz AMG GT</t>
  </si>
  <si>
    <t xml:space="preserve">6bdf3218-c183-5422-b2de-b251af032aa3</t>
  </si>
  <si>
    <t xml:space="preserve">79eb5cf9-ea4f-5c4b-a0e9-63e8c43421c4</t>
  </si>
  <si>
    <t xml:space="preserve">511b7270-8546-5c76-a0ab-e8fc24afde3f</t>
  </si>
  <si>
    <t xml:space="preserve">06b0e314-60c4-5bc3-9c6d-6402e2f07fd6</t>
  </si>
  <si>
    <t xml:space="preserve">db9a5de6-d932-5cb6-a4d6-e69019d8ebc1</t>
  </si>
  <si>
    <t xml:space="preserve">5a0f847a-8ce0-5e00-83b1-b8e4e2c802c9</t>
  </si>
  <si>
    <t xml:space="preserve">393dd780-2721-5891-bc99-93358da3693d</t>
  </si>
  <si>
    <t xml:space="preserve">2008 Mercedes-Benz AMG GT</t>
  </si>
  <si>
    <t xml:space="preserve">567b5549-620a-59d2-af09-3bce44ba350d</t>
  </si>
  <si>
    <t xml:space="preserve">1983 Bentley 4.5 Litre</t>
  </si>
  <si>
    <t xml:space="preserve">63b7f783-b775-56a9-b9a7-93f93aef4634</t>
  </si>
  <si>
    <t xml:space="preserve">ca9a5767-a100-5639-b595-0df84cb4fde4</t>
  </si>
  <si>
    <t xml:space="preserve">cfc4a6f3-f0ab-50cd-be1c-fc67b9352226</t>
  </si>
  <si>
    <t xml:space="preserve">c76a7885-a394-50f6-801d-6455c8c68159</t>
  </si>
  <si>
    <t xml:space="preserve">798eabfd-6921-53c9-b8f2-b249c5c7f649</t>
  </si>
  <si>
    <t xml:space="preserve">0216071b-cfb5-52f2-ae38-ace38e6a27e4</t>
  </si>
  <si>
    <t xml:space="preserve">0cd71c30-7f15-5d87-8d14-1870da592f35</t>
  </si>
  <si>
    <t xml:space="preserve">1968 Jaguar E-Type Series 1</t>
  </si>
  <si>
    <t xml:space="preserve">8f2c9618-5da1-52a8-b494-2eebc813c3ea</t>
  </si>
  <si>
    <t xml:space="preserve">7603a319-71f0-5fe4-80c4-d0c1c5d48770</t>
  </si>
  <si>
    <t xml:space="preserve">2019 Ferrari 275 GTB/4</t>
  </si>
  <si>
    <t xml:space="preserve">92de8eb0-223d-52e5-b4ba-cf0d291718f7</t>
  </si>
  <si>
    <t xml:space="preserve">2012 Singer 911 Reimagined</t>
  </si>
  <si>
    <t xml:space="preserve">37d1c839-2d37-5d49-8717-657957698449</t>
  </si>
  <si>
    <t xml:space="preserve">3faef869-eb2c-5574-ac2e-68bbe6f2f746</t>
  </si>
  <si>
    <t xml:space="preserve">1981 Ferrari SF90 Stradale</t>
  </si>
  <si>
    <t xml:space="preserve">deaff4d7-6add-5791-9151-18a10a47ee49</t>
  </si>
  <si>
    <t xml:space="preserve">67b4b624-967f-53b9-b702-3e19b6452ebe</t>
  </si>
  <si>
    <t xml:space="preserve">2008 Jaguar E-Type Series 1</t>
  </si>
  <si>
    <t xml:space="preserve">a6f7958d-6496-5fa6-a663-662d119eb8d5</t>
  </si>
  <si>
    <t xml:space="preserve">1972 BMW M8 Competition</t>
  </si>
  <si>
    <t xml:space="preserve">e58cc457-c247-5858-9ea7-94bd65c7aafe</t>
  </si>
  <si>
    <t xml:space="preserve">b7e00daa-4bd6-56c9-a4f9-fd40053abd7d</t>
  </si>
  <si>
    <t xml:space="preserve">480f78b4-3f0d-52c1-9a8b-9565d34bc72d</t>
  </si>
  <si>
    <t xml:space="preserve">4ccc2bb8-57bd-50ba-abde-793e675ed12c</t>
  </si>
  <si>
    <t xml:space="preserve">9eccd2ac-1eb1-550d-bb91-3411c8cc00e0</t>
  </si>
  <si>
    <t xml:space="preserve">fc8339fe-59e5-541a-9790-825a8304c486</t>
  </si>
  <si>
    <t xml:space="preserve">81a5f18c-be6a-549c-afea-4db994adf158</t>
  </si>
  <si>
    <t xml:space="preserve">7397e5ed-52f6-5fa3-877e-9f52abfdd011</t>
  </si>
  <si>
    <t xml:space="preserve">1963 Bugatti Type 57</t>
  </si>
  <si>
    <t xml:space="preserve">9ad25e32-0856-538d-b26a-76e058307533</t>
  </si>
  <si>
    <t xml:space="preserve">e762af23-f9fd-5175-9cf9-66af03a99fed</t>
  </si>
  <si>
    <t xml:space="preserve">5d46ca07-ffef-59bf-bbc1-8556454832ae</t>
  </si>
  <si>
    <t xml:space="preserve">93c0094b-a42c-51a6-a92a-46bdb5c705d5</t>
  </si>
  <si>
    <t xml:space="preserve">e3d5c8fa-f32a-5667-ab06-afacd73be30c</t>
  </si>
  <si>
    <t xml:space="preserve">0eb9660d-0e33-506a-a278-082e2a9aa0c3</t>
  </si>
  <si>
    <t xml:space="preserve">76080154-7c07-56b9-a6d3-80eab575e804</t>
  </si>
  <si>
    <t xml:space="preserve">d0071116-e14f-5a7c-b77a-de3156ef59af</t>
  </si>
  <si>
    <t xml:space="preserve">739a1a55-bab3-552e-a425-af67e8832e58</t>
  </si>
  <si>
    <t xml:space="preserve">adcccc12-2760-5e2c-9033-fdea4a7ffb94</t>
  </si>
  <si>
    <t xml:space="preserve">6ce0d570-9ea9-5484-916a-990ffc6c8c1c</t>
  </si>
  <si>
    <t xml:space="preserve">7eb124d3-5dd1-54ae-9a08-5af777d7a091</t>
  </si>
  <si>
    <t xml:space="preserve">456ce6be-b263-50c4-be68-75067139937f</t>
  </si>
  <si>
    <t xml:space="preserve">a6d8fbcc-f35b-5c2b-a4da-3b747926f79e</t>
  </si>
  <si>
    <t xml:space="preserve">1957 Aston Martin DB5</t>
  </si>
  <si>
    <t xml:space="preserve">a40fb5b3-5da9-5275-841b-b71a1ef5ea72</t>
  </si>
  <si>
    <t xml:space="preserve">f067fd1e-394b-56f7-b644-95343de5e827</t>
  </si>
  <si>
    <t xml:space="preserve">aa36e5a8-ff02-561e-ade9-809285bb18fe</t>
  </si>
  <si>
    <t xml:space="preserve">084d29d1-8988-595f-b8dd-7ab782b1811f</t>
  </si>
  <si>
    <t xml:space="preserve">2018 Ferrari 275 GTB/4</t>
  </si>
  <si>
    <t xml:space="preserve">453c1736-10fb-58df-a4d1-dffd3bf28f30</t>
  </si>
  <si>
    <t xml:space="preserve">b9b2d0e1-041b-5fb7-8452-10739124d853</t>
  </si>
  <si>
    <t xml:space="preserve">277fa01f-8070-517b-a8e0-dfaa7a636dab</t>
  </si>
  <si>
    <t xml:space="preserve">399e622e-c879-5941-95bd-ab44b1937f94</t>
  </si>
  <si>
    <t xml:space="preserve">297c2edc-59f9-5001-af9e-54b05cdd4f6b</t>
  </si>
  <si>
    <t xml:space="preserve">51e70dd6-70c5-54ce-8636-1573b25add64</t>
  </si>
  <si>
    <t xml:space="preserve">225b4ab4-2a78-585e-97ad-b36640fa495d</t>
  </si>
  <si>
    <t xml:space="preserve">1977 Ferrari 296 GTB</t>
  </si>
  <si>
    <t xml:space="preserve">75e985f4-b8cc-58aa-914a-8e652c74e5a3</t>
  </si>
  <si>
    <t xml:space="preserve">48edc5ed-52b7-5b77-b4ea-b3597afc3583</t>
  </si>
  <si>
    <t xml:space="preserve">adddf508-67a6-522a-970f-ceb0e4c8345c</t>
  </si>
  <si>
    <t xml:space="preserve">9fffee7e-387d-564c-8311-d94d8cde3680</t>
  </si>
  <si>
    <t xml:space="preserve">e863e213-0f33-5613-9c9e-ba3fe19e53f2</t>
  </si>
  <si>
    <t xml:space="preserve">4ad7e611-394e-5407-b59c-9b94e9b79018</t>
  </si>
  <si>
    <t xml:space="preserve">e5b33761-123f-509b-8c2b-3736c5874466</t>
  </si>
  <si>
    <t xml:space="preserve">2ced7719-d1d3-56f9-b69b-ece9a802038d</t>
  </si>
  <si>
    <t xml:space="preserve">1985 Ferrari 296 GTB</t>
  </si>
  <si>
    <t xml:space="preserve">ffd87596-e729-57ff-9a7d-c7d8447a8252</t>
  </si>
  <si>
    <t xml:space="preserve">1972 Aston Martin DB12</t>
  </si>
  <si>
    <t xml:space="preserve">c52838fb-75f3-56b9-b81e-b77ab8045470</t>
  </si>
  <si>
    <t xml:space="preserve">65dc46e7-2b6a-5102-b6d0-1ee72cfb76c8</t>
  </si>
  <si>
    <t xml:space="preserve">64cb7d54-3624-5a1f-864e-8bba5584ffd6</t>
  </si>
  <si>
    <t xml:space="preserve">26737b64-7e6c-5ab1-8ac9-856b64b6bb59</t>
  </si>
  <si>
    <t xml:space="preserve">f2ddd240-3e26-5b23-84a8-295be9128c3d</t>
  </si>
  <si>
    <t xml:space="preserve">1985 Singer 911 Reimagined</t>
  </si>
  <si>
    <t xml:space="preserve">905f2cd7-18d3-569b-8d7b-e7ab4903bd24</t>
  </si>
  <si>
    <t xml:space="preserve">6c927408-1bbf-5b98-acb6-0d6f3a2ea6a7</t>
  </si>
  <si>
    <t xml:space="preserve">385e46c4-22d9-582e-9049-6ba63afab61a</t>
  </si>
  <si>
    <t xml:space="preserve">a3180039-b3fe-537c-97dd-d92c694565da</t>
  </si>
  <si>
    <t xml:space="preserve">2015 Mercedes-Benz AMG GT</t>
  </si>
  <si>
    <t xml:space="preserve">b027e4ce-d41f-5add-80f5-109fb0a93937</t>
  </si>
  <si>
    <t xml:space="preserve">500128ba-0de7-5967-bee6-12547ec1c945</t>
  </si>
  <si>
    <t xml:space="preserve">123b1b4e-6163-5760-a59b-823c9e5ec05d</t>
  </si>
  <si>
    <t xml:space="preserve">2007 BMW M8 Competition</t>
  </si>
  <si>
    <t xml:space="preserve">e303f8d3-29ec-5ffc-9717-53fb655a5c04</t>
  </si>
  <si>
    <t xml:space="preserve">1982 Ferrari SF90 Stradale</t>
  </si>
  <si>
    <t xml:space="preserve">d75f58fa-19bd-55e8-b0a7-5214c863bcea</t>
  </si>
  <si>
    <t xml:space="preserve">2008 Ferrari 275 GTB/4</t>
  </si>
  <si>
    <t xml:space="preserve">5e6fec9b-d98a-545c-92aa-02f295a7b138</t>
  </si>
  <si>
    <t xml:space="preserve">d51dd49e-169e-581b-b19a-518a9150a8bc</t>
  </si>
  <si>
    <t xml:space="preserve">406b2f38-ac18-57ea-b506-b17df709671e</t>
  </si>
  <si>
    <t xml:space="preserve">0493ef5a-c226-5a51-954e-a6235feec41f</t>
  </si>
  <si>
    <t xml:space="preserve">1982 Maserati GranTurismo</t>
  </si>
  <si>
    <t xml:space="preserve">b1501f3a-0395-5508-a65c-88e5eba81060</t>
  </si>
  <si>
    <t xml:space="preserve">4e8879de-cb7c-5776-b69f-39e1e643a6be</t>
  </si>
  <si>
    <t xml:space="preserve">82923ca3-25ad-56e1-b43e-339862c35fc8</t>
  </si>
  <si>
    <t xml:space="preserve">9a44ec40-49df-5431-8270-8ab781347eb9</t>
  </si>
  <si>
    <t xml:space="preserve">f7ad5452-09d1-582c-8ec5-0add02d1361d</t>
  </si>
  <si>
    <t xml:space="preserve">8e451f2a-3d48-5dbe-8685-8e9e460f67a3</t>
  </si>
  <si>
    <t xml:space="preserve">c5ce7b25-92dc-5ac1-871c-67bc43c0d5a9</t>
  </si>
  <si>
    <t xml:space="preserve">2014 Singer 911 Reimagined</t>
  </si>
  <si>
    <t xml:space="preserve">d1566ce1-5484-5d90-a2e7-197db3998066</t>
  </si>
  <si>
    <t xml:space="preserve">ccaa88d1-d42f-5578-a231-dd96fab8d023</t>
  </si>
  <si>
    <t xml:space="preserve">2006 Aston Martin DB5</t>
  </si>
  <si>
    <t xml:space="preserve">b926274c-57ab-5352-965b-24bbf297208b</t>
  </si>
  <si>
    <t xml:space="preserve">1997 Aston Martin DB5</t>
  </si>
  <si>
    <t xml:space="preserve">2628d293-9d62-5c4f-9431-151119799f5e</t>
  </si>
  <si>
    <t xml:space="preserve">2a5382a4-a5f4-5013-bfcf-baca7c6dbf19</t>
  </si>
  <si>
    <t xml:space="preserve">748784ba-fdb9-5dfd-83db-17af488acf81</t>
  </si>
  <si>
    <t xml:space="preserve">2529cb4b-df9a-5770-917a-61eb324e7835</t>
  </si>
  <si>
    <t xml:space="preserve">31b7c9ff-818b-5056-9ba0-97ff9f271b10</t>
  </si>
  <si>
    <t xml:space="preserve">e932767c-99a3-5b7c-b329-0cf4e331d7bd</t>
  </si>
  <si>
    <t xml:space="preserve">db7a6aff-d3e8-555d-884b-efcb740651ac</t>
  </si>
  <si>
    <t xml:space="preserve">8c84ccfd-c400-5a29-a01f-6075842b6111</t>
  </si>
  <si>
    <t xml:space="preserve">a6bd5ee7-c07e-5c1b-b120-88d136dfc5e3</t>
  </si>
  <si>
    <t xml:space="preserve">3496cd0f-ea2e-5b3d-bd08-a69810cc53f4</t>
  </si>
  <si>
    <t xml:space="preserve">1e437a75-d1bb-561b-9b49-91638ad0d623</t>
  </si>
  <si>
    <t xml:space="preserve">1330bf33-cd2c-59de-828d-050147b82ba6</t>
  </si>
  <si>
    <t xml:space="preserve">9685c23e-d476-5dd1-b6d6-46be40c8b951</t>
  </si>
  <si>
    <t xml:space="preserve">56a4acc3-f7de-5e1b-afac-f18cfdfb8501</t>
  </si>
  <si>
    <t xml:space="preserve">84fdfa5b-4439-50e7-9ec3-06d125342ec8</t>
  </si>
  <si>
    <t xml:space="preserve">1998 Bentley Continental GT</t>
  </si>
  <si>
    <t xml:space="preserve">3d4db581-48c8-5b64-8a34-e12033e317dc</t>
  </si>
  <si>
    <t xml:space="preserve">93d90547-f0c1-590c-b042-901abff48c77</t>
  </si>
  <si>
    <t xml:space="preserve">cb6b60e8-26e7-5691-ad55-f83ed8d66d62</t>
  </si>
  <si>
    <t xml:space="preserve">2a0b39aa-a5d5-59ed-8432-24473f859b26</t>
  </si>
  <si>
    <t xml:space="preserve">8e50332e-5bbf-5c79-9f7a-46e010f34ec8</t>
  </si>
  <si>
    <t xml:space="preserve">35b12f51-6d9a-5ff1-93de-7825773b8cda</t>
  </si>
  <si>
    <t xml:space="preserve">8692972c-86c5-580a-8aff-fb82ecfd9659</t>
  </si>
  <si>
    <t xml:space="preserve">acdd40b5-e746-59cb-a772-39ad9640ba54</t>
  </si>
  <si>
    <t xml:space="preserve">e93df5e5-edfb-5e51-9855-3f1a982f8485</t>
  </si>
  <si>
    <t xml:space="preserve">cded0e3c-2b54-5670-b075-4e6dfd1e3e02</t>
  </si>
  <si>
    <t xml:space="preserve">04088c85-e12e-5931-93a3-29c58c41fc80</t>
  </si>
  <si>
    <t xml:space="preserve">ed56723d-d4a9-56e0-b84e-b9a9026dd261</t>
  </si>
  <si>
    <t xml:space="preserve">6b7929cf-7425-545b-8ccd-1630644b7971</t>
  </si>
  <si>
    <t xml:space="preserve">4601a1e1-aebc-5990-964e-0eb05b00c3fb</t>
  </si>
  <si>
    <t xml:space="preserve">2003 Singer 911 Reimagined</t>
  </si>
  <si>
    <t xml:space="preserve">490ac3e4-a0b5-5ed6-9533-d58ab203269a</t>
  </si>
  <si>
    <t xml:space="preserve">31bf7f52-13ed-54e2-9078-759a19889913</t>
  </si>
  <si>
    <t xml:space="preserve">0a254726-3d7c-558c-8736-bb3afb463cd5</t>
  </si>
  <si>
    <t xml:space="preserve">b281d589-8556-5bb6-8d68-6f9bdffac18e</t>
  </si>
  <si>
    <t xml:space="preserve">1c4b29ec-1646-57f9-9f32-2ce7c5550493</t>
  </si>
  <si>
    <t xml:space="preserve">2004 McLaren 750S</t>
  </si>
  <si>
    <t xml:space="preserve">d72bee41-a9ec-5441-9438-59ee0be72f98</t>
  </si>
  <si>
    <t xml:space="preserve">2015 Lamborghini Huracan EVO</t>
  </si>
  <si>
    <t xml:space="preserve">aa788b10-743a-5d53-893f-07d0b3805771</t>
  </si>
  <si>
    <t xml:space="preserve">1975 Ferrari 296 GTB</t>
  </si>
  <si>
    <t xml:space="preserve">2e02d902-7136-5562-9b95-f9f5dddf1dfa</t>
  </si>
  <si>
    <t xml:space="preserve">b54396df-4a5c-5970-8fb1-a5fa37f3a959</t>
  </si>
  <si>
    <t xml:space="preserve">33346fef-7609-5c81-8203-1147973f8763</t>
  </si>
  <si>
    <t xml:space="preserve">c9624721-b397-555a-ae98-ea66dcb4f79c</t>
  </si>
  <si>
    <t xml:space="preserve">3397610f-1115-5048-86b3-f2fbbd1ee708</t>
  </si>
  <si>
    <t xml:space="preserve">1980 Ringbrothers Mustang</t>
  </si>
  <si>
    <t xml:space="preserve">80d2ba78-2efd-55a2-b2aa-d9bad976d18f</t>
  </si>
  <si>
    <t xml:space="preserve">9bc1fc3a-f698-56cf-bc41-6e9e3cc049f8</t>
  </si>
  <si>
    <t xml:space="preserve">1e9de4dd-e4dd-54db-88e5-f8579a160635</t>
  </si>
  <si>
    <t xml:space="preserve">e04dc07b-527b-5b6e-ab6a-84a0cbb10546</t>
  </si>
  <si>
    <t xml:space="preserve">83b22381-cc30-5c48-8ae3-356e684eb495</t>
  </si>
  <si>
    <t xml:space="preserve">5b6c6f80-d722-5bf5-8c0c-ebb2c2a2ed5d</t>
  </si>
  <si>
    <t xml:space="preserve">d0563bf2-db26-5ee0-a73c-cb937eac9980</t>
  </si>
  <si>
    <t xml:space="preserve">85488929-417d-5065-9aec-4ac966a1f607</t>
  </si>
  <si>
    <t xml:space="preserve">df511c43-8437-5dbf-95aa-5a0a6cc96462</t>
  </si>
  <si>
    <t xml:space="preserve">2e72452d-5e4c-5bcc-88a1-2192aa12edb1</t>
  </si>
  <si>
    <t xml:space="preserve">112ea572-88bd-59b2-9f67-10dee8b85ac5</t>
  </si>
  <si>
    <t xml:space="preserve">84890bf4-3e16-5e88-a29d-6fc1535da7a9</t>
  </si>
  <si>
    <t xml:space="preserve">4f954018-6940-5c55-9b44-d836d502c2f6</t>
  </si>
  <si>
    <t xml:space="preserve">a4fe02e0-e528-5aa1-8aac-c52af71f4728</t>
  </si>
  <si>
    <t xml:space="preserve">c5a29f4f-1f28-544c-8886-c6825210759c</t>
  </si>
  <si>
    <t xml:space="preserve">9181dfbf-de43-50bf-bd46-e65a60b61e74</t>
  </si>
  <si>
    <t xml:space="preserve">2001 Ferrari 275 GTB/4</t>
  </si>
  <si>
    <t xml:space="preserve">07656f6f-a7c4-5cc2-a03b-5951b2afef4b</t>
  </si>
  <si>
    <t xml:space="preserve">b76ab178-b4b7-5283-b193-63089fc77090</t>
  </si>
  <si>
    <t xml:space="preserve">23c7250e-a7fa-5732-bfd4-86907d39c6ce</t>
  </si>
  <si>
    <t xml:space="preserve">5bf4648f-6da7-5f4f-9823-898aaa977a5d</t>
  </si>
  <si>
    <t xml:space="preserve">24ee4d6a-b19d-54ea-a844-47bfc49fa17d</t>
  </si>
  <si>
    <t xml:space="preserve">b806a016-155f-5eab-a2c4-61266057a53e</t>
  </si>
  <si>
    <t xml:space="preserve">1977 Aston Martin DB5</t>
  </si>
  <si>
    <t xml:space="preserve">bb71aa08-1ca9-5340-90e3-bad83508af05</t>
  </si>
  <si>
    <t xml:space="preserve">651675d6-3588-51b9-ad6a-d9738e76be3b</t>
  </si>
  <si>
    <t xml:space="preserve">d868c55b-5571-5d93-b1d0-fb06fd6f228d</t>
  </si>
  <si>
    <t xml:space="preserve">1992 Ferrari 275 GTB/4</t>
  </si>
  <si>
    <t xml:space="preserve">83e02452-83d9-5de1-a974-af0417bd6668</t>
  </si>
  <si>
    <t xml:space="preserve">24516985-7b29-5c0e-bc9b-748ab55083de</t>
  </si>
  <si>
    <t xml:space="preserve">2014 BMW M8 Competition</t>
  </si>
  <si>
    <t xml:space="preserve">a74840d9-98a5-5bc0-a236-4225f4c4ae9c</t>
  </si>
  <si>
    <t xml:space="preserve">2009 Aston Martin DB5</t>
  </si>
  <si>
    <t xml:space="preserve">c159114c-9d54-5a4b-9272-910cf07b19d0</t>
  </si>
  <si>
    <t xml:space="preserve">b1581714-9b68-5a61-a621-879e772a1995</t>
  </si>
  <si>
    <t xml:space="preserve">b8aaa730-95db-5d49-9e33-5bf0c6791072</t>
  </si>
  <si>
    <t xml:space="preserve">13a8901c-5324-58c9-b276-702b2d112bac</t>
  </si>
  <si>
    <t xml:space="preserve">Monthly Rater — 2026-04  (Month 9 of 12)</t>
  </si>
  <si>
    <t xml:space="preserve">Softening index 0.8305. Rated Premium = ROUND(AgreedValue/100 × BaseRate × Territory × Softening ÷ Gross-Up, 2); ties to artifact premium within $0.01 (generator rounding).</t>
  </si>
  <si>
    <t xml:space="preserve">2026-04-09</t>
  </si>
  <si>
    <t xml:space="preserve">b5ba2a73-64cf-537e-a903-bce9a3b474de</t>
  </si>
  <si>
    <t xml:space="preserve">2026-04-12</t>
  </si>
  <si>
    <t xml:space="preserve">27c59d1a-5a07-55d9-b7b8-31d78581118f</t>
  </si>
  <si>
    <t xml:space="preserve">2026-04-11</t>
  </si>
  <si>
    <t xml:space="preserve">c9535b15-ce7c-54ff-a59c-f5a0409ee148</t>
  </si>
  <si>
    <t xml:space="preserve">2026-04-23</t>
  </si>
  <si>
    <t xml:space="preserve">bafdd654-8bea-53f7-bd66-84b1a19fa3a8</t>
  </si>
  <si>
    <t xml:space="preserve">2026-04-10</t>
  </si>
  <si>
    <t xml:space="preserve">4a046414-0878-553a-ad10-ec2b44a69ff5</t>
  </si>
  <si>
    <t xml:space="preserve">2026-04-30</t>
  </si>
  <si>
    <t xml:space="preserve">6f51d9db-f95c-59a5-a509-b311a220c2e8</t>
  </si>
  <si>
    <t xml:space="preserve">2026-04-26</t>
  </si>
  <si>
    <t xml:space="preserve">c44d0eb2-4a55-5b67-9f2d-e9b2df88e367</t>
  </si>
  <si>
    <t xml:space="preserve">2026-04-07</t>
  </si>
  <si>
    <t xml:space="preserve">decfbf35-f9d8-558d-9234-e2bb73e480a0</t>
  </si>
  <si>
    <t xml:space="preserve">1973 Aston Martin DB5</t>
  </si>
  <si>
    <t xml:space="preserve">2026-04-04</t>
  </si>
  <si>
    <t xml:space="preserve">6f36f1be-e483-56ad-a141-8600e15cc575</t>
  </si>
  <si>
    <t xml:space="preserve">2026-04-22</t>
  </si>
  <si>
    <t xml:space="preserve">90cf3256-ca49-5ac2-9562-1381aa46586c</t>
  </si>
  <si>
    <t xml:space="preserve">2026-04-20</t>
  </si>
  <si>
    <t xml:space="preserve">3d5b3825-6f55-5e45-af5a-3605f2271cae</t>
  </si>
  <si>
    <t xml:space="preserve">2013 Lamborghini Huracan EVO</t>
  </si>
  <si>
    <t xml:space="preserve">3893cfd6-aeff-5348-b4cc-cf08f0d30e2a</t>
  </si>
  <si>
    <t xml:space="preserve">e8c32e5f-819b-58d3-abb6-28d34e73dbad</t>
  </si>
  <si>
    <t xml:space="preserve">4059798d-3339-55be-8160-21910dd6d7af</t>
  </si>
  <si>
    <t xml:space="preserve">2026-04-03</t>
  </si>
  <si>
    <t xml:space="preserve">287566b7-988d-5d17-b3cd-46ee988b325a</t>
  </si>
  <si>
    <t xml:space="preserve">2026-04-29</t>
  </si>
  <si>
    <t xml:space="preserve">568fc01c-a391-5d4a-99cc-8ee383985bf7</t>
  </si>
  <si>
    <t xml:space="preserve">1998 McLaren 750S</t>
  </si>
  <si>
    <t xml:space="preserve">19f999dd-2360-54ff-9fc7-e77376750822</t>
  </si>
  <si>
    <t xml:space="preserve">2026-04-17</t>
  </si>
  <si>
    <t xml:space="preserve">c19dcc27-beb7-50f9-85b1-0ee45a245a5b</t>
  </si>
  <si>
    <t xml:space="preserve">4e44f13d-9a3b-5256-8953-e94a5facadec</t>
  </si>
  <si>
    <t xml:space="preserve">95214aed-cbb5-5e09-a909-0f8838232793</t>
  </si>
  <si>
    <t xml:space="preserve">2026-04-02</t>
  </si>
  <si>
    <t xml:space="preserve">54a8edb6-5084-5e96-a2e8-10fb26575a9b</t>
  </si>
  <si>
    <t xml:space="preserve">2016 Ferrari SF90 Stradale</t>
  </si>
  <si>
    <t xml:space="preserve">2026-04-18</t>
  </si>
  <si>
    <t xml:space="preserve">dca4f2eb-50ca-5378-827a-dc84002d7dfa</t>
  </si>
  <si>
    <t xml:space="preserve">2026-04-16</t>
  </si>
  <si>
    <t xml:space="preserve">81eb2ad4-0842-5cdc-b642-8f0ae5c8afb7</t>
  </si>
  <si>
    <t xml:space="preserve">fa6ea922-73c5-5075-a055-c5ec0ab3af7f</t>
  </si>
  <si>
    <t xml:space="preserve">2016 Singer 911 Reimagined</t>
  </si>
  <si>
    <t xml:space="preserve">62ae5bc9-e8c5-57bb-9ffb-4eb5d75c809c</t>
  </si>
  <si>
    <t xml:space="preserve">1982 Mercedes-Benz AMG GT</t>
  </si>
  <si>
    <t xml:space="preserve">8bc94ce8-7b01-536a-b9e6-ca29c0587062</t>
  </si>
  <si>
    <t xml:space="preserve">d9ece35c-67ca-5f79-a3b0-669ff79bcc58</t>
  </si>
  <si>
    <t xml:space="preserve">2026-04-19</t>
  </si>
  <si>
    <t xml:space="preserve">c1c75c92-1cae-597a-9a10-5958e3888a0f</t>
  </si>
  <si>
    <t xml:space="preserve">51f0d1c3-c4d8-54c1-958c-55230c183e1b</t>
  </si>
  <si>
    <t xml:space="preserve">2026-04-01</t>
  </si>
  <si>
    <t xml:space="preserve">030d30fd-8eb2-53c4-a101-53d0496994ab</t>
  </si>
  <si>
    <t xml:space="preserve">2026-04-27</t>
  </si>
  <si>
    <t xml:space="preserve">04a6f23e-302c-547c-984d-6f599d7ed99a</t>
  </si>
  <si>
    <t xml:space="preserve">2026-04-15</t>
  </si>
  <si>
    <t xml:space="preserve">55d9e09c-f564-56b3-b367-eb35737caf98</t>
  </si>
  <si>
    <t xml:space="preserve">4c2f65e8-0d97-5e18-94db-d874aaeb0a7f</t>
  </si>
  <si>
    <t xml:space="preserve">2026-04-05</t>
  </si>
  <si>
    <t xml:space="preserve">5374488b-0dfa-52db-a1d3-656b11b145e1</t>
  </si>
  <si>
    <t xml:space="preserve">2011 Bentley 4.5 Litre</t>
  </si>
  <si>
    <t xml:space="preserve">f265f8a6-6f04-588e-8ed8-2246d472d31b</t>
  </si>
  <si>
    <t xml:space="preserve">fba17682-cacb-542c-8d51-856e310c49e8</t>
  </si>
  <si>
    <t xml:space="preserve">2026-04-06</t>
  </si>
  <si>
    <t xml:space="preserve">14d80b86-82ff-59fd-b6c3-782489b953b8</t>
  </si>
  <si>
    <t xml:space="preserve">c48d8bc6-efd4-58ef-8dc5-3c5b44293cba</t>
  </si>
  <si>
    <t xml:space="preserve">6655f339-85c5-5642-9139-824751b90d4d</t>
  </si>
  <si>
    <t xml:space="preserve">1973 Icon Derelict</t>
  </si>
  <si>
    <t xml:space="preserve">2026-04-24</t>
  </si>
  <si>
    <t xml:space="preserve">005590d0-29aa-5d6b-933b-27a1811cf91e</t>
  </si>
  <si>
    <t xml:space="preserve">2026-04-08</t>
  </si>
  <si>
    <t xml:space="preserve">434d19bb-5f17-5f42-8029-3533e00b598c</t>
  </si>
  <si>
    <t xml:space="preserve">2026-04-28</t>
  </si>
  <si>
    <t xml:space="preserve">2bfab6c2-9667-5a36-896b-480e867c265e</t>
  </si>
  <si>
    <t xml:space="preserve">1961 Bentley 4.5 Litre</t>
  </si>
  <si>
    <t xml:space="preserve">d07a65aa-ce23-520a-b376-c81e8afa7931</t>
  </si>
  <si>
    <t xml:space="preserve">27116c18-b26f-57b2-aa35-c8889e96150a</t>
  </si>
  <si>
    <t xml:space="preserve">3d5db955-630a-5fd0-b116-c70a8bd29eaa</t>
  </si>
  <si>
    <t xml:space="preserve">19f3dabe-a027-5a00-902e-66fa456c9810</t>
  </si>
  <si>
    <t xml:space="preserve">2026-04-25</t>
  </si>
  <si>
    <t xml:space="preserve">8ab36094-28c3-5a17-a8d5-6d6c33d84dbf</t>
  </si>
  <si>
    <t xml:space="preserve">0109e7e4-744d-5a9d-b122-d717c74f0465</t>
  </si>
  <si>
    <t xml:space="preserve">2013 Ferrari 275 GTB/4</t>
  </si>
  <si>
    <t xml:space="preserve">b85d9d44-d7d5-5645-a8bd-c554308e6012</t>
  </si>
  <si>
    <t xml:space="preserve">2026-04-13</t>
  </si>
  <si>
    <t xml:space="preserve">6d5f5502-7e71-5c5c-856e-44cd5582732b</t>
  </si>
  <si>
    <t xml:space="preserve">1955 Ferrari 275 GTB/4</t>
  </si>
  <si>
    <t xml:space="preserve">742339ce-4e24-5f6a-8667-a3bcea00b0ce</t>
  </si>
  <si>
    <t xml:space="preserve">1958 Singer 911 Reimagined</t>
  </si>
  <si>
    <t xml:space="preserve">ce42aaa7-505d-5805-8b9e-3c5892bd9273</t>
  </si>
  <si>
    <t xml:space="preserve">3dc66e38-8fb4-5843-a7c2-d69ecc04c0ab</t>
  </si>
  <si>
    <t xml:space="preserve">b3f3586f-7b83-5602-b9ca-6d7a16210a39</t>
  </si>
  <si>
    <t xml:space="preserve">1981 Lamborghini Huracan EVO</t>
  </si>
  <si>
    <t xml:space="preserve">c9e3455b-7545-526e-8fa4-8a230da5d2aa</t>
  </si>
  <si>
    <t xml:space="preserve">ce6cef5f-b216-50e9-b8c7-9891277f80f3</t>
  </si>
  <si>
    <t xml:space="preserve">cf124abd-51de-5b7d-81d2-67e43434f5fd</t>
  </si>
  <si>
    <t xml:space="preserve">383ae927-2bdd-51a0-9a0e-8f1e96ebbe0a</t>
  </si>
  <si>
    <t xml:space="preserve">3c6c9f45-9f6b-5a6e-af94-f109820d5502</t>
  </si>
  <si>
    <t xml:space="preserve">0c0aa109-21a6-5ddc-81c0-c204f90a1049</t>
  </si>
  <si>
    <t xml:space="preserve">de6356e7-bcac-5784-a3f3-55f6b4c75e36</t>
  </si>
  <si>
    <t xml:space="preserve">251e8e97-f4d2-5b9b-998f-12f756c93494</t>
  </si>
  <si>
    <t xml:space="preserve">8c94a9c6-f1f7-5764-8346-1861ea099173</t>
  </si>
  <si>
    <t xml:space="preserve">2026-04-21</t>
  </si>
  <si>
    <t xml:space="preserve">0fa6c8c0-4347-51eb-b1fa-696efd073c83</t>
  </si>
  <si>
    <t xml:space="preserve">a54bd203-be80-5617-8ff2-4c22482339d1</t>
  </si>
  <si>
    <t xml:space="preserve">1976 Aston Martin DB5</t>
  </si>
  <si>
    <t xml:space="preserve">d398da8c-a6fd-5df8-8404-62c802bcdb86</t>
  </si>
  <si>
    <t xml:space="preserve">ac89d097-c766-50aa-af5c-a02445695864</t>
  </si>
  <si>
    <t xml:space="preserve">76bfd1c3-aabd-5899-9c76-702533f82fcb</t>
  </si>
  <si>
    <t xml:space="preserve">6211b478-be06-552b-8b57-60b91d995a34</t>
  </si>
  <si>
    <t xml:space="preserve">9ed865d2-3474-5468-88f0-5d378e8080ca</t>
  </si>
  <si>
    <t xml:space="preserve">51e0ab4c-a308-5e34-a410-bdd997974f0b</t>
  </si>
  <si>
    <t xml:space="preserve">2489d480-8a8f-5d90-8c81-00bb67db9a0e</t>
  </si>
  <si>
    <t xml:space="preserve">491d7155-4dc7-564f-bfab-d78c627a34b8</t>
  </si>
  <si>
    <t xml:space="preserve">8abaf841-792e-5830-8b7e-12a0cde05ff0</t>
  </si>
  <si>
    <t xml:space="preserve">bb59cb71-dd0d-5ade-bf74-74086e01566b</t>
  </si>
  <si>
    <t xml:space="preserve">000929db-0f23-5a3f-a5da-23e409de3499</t>
  </si>
  <si>
    <t xml:space="preserve">363ba26e-d35e-511b-9fd4-7c655e17525e</t>
  </si>
  <si>
    <t xml:space="preserve">1987 Porsche 911 Turbo S</t>
  </si>
  <si>
    <t xml:space="preserve">9a438c36-811d-561b-bd66-c4c1797900fc</t>
  </si>
  <si>
    <t xml:space="preserve">8cc655a3-8b77-517d-8677-a7646bb2d005</t>
  </si>
  <si>
    <t xml:space="preserve">2003 Aston Martin DB5</t>
  </si>
  <si>
    <t xml:space="preserve">425bf969-98e7-55d7-aa63-ac78c70b1074</t>
  </si>
  <si>
    <t xml:space="preserve">0a1b3ea9-b05b-5c95-8d62-7545986386a7</t>
  </si>
  <si>
    <t xml:space="preserve">2007 Icon Derelict</t>
  </si>
  <si>
    <t xml:space="preserve">89e8e63d-2477-5718-a239-b56dcb984c71</t>
  </si>
  <si>
    <t xml:space="preserve">baf9e7f2-51d3-5cd1-9fe7-0238a372b4ef</t>
  </si>
  <si>
    <t xml:space="preserve">4937580e-143d-5730-8345-9a72671c6e5f</t>
  </si>
  <si>
    <t xml:space="preserve">1964 Ferrari 296 GTB</t>
  </si>
  <si>
    <t xml:space="preserve">0aa7d4b6-5bb1-51c6-839b-62c6ae6d079a</t>
  </si>
  <si>
    <t xml:space="preserve">a5951ef9-b9cd-5475-a2bb-d8ae5f4b6e8b</t>
  </si>
  <si>
    <t xml:space="preserve">4a91edda-9139-5d73-88a7-3e5280b09126</t>
  </si>
  <si>
    <t xml:space="preserve">d0b271d2-ef87-525f-ab52-e09edecdbf40</t>
  </si>
  <si>
    <t xml:space="preserve">ecb06042-6058-5ad7-9ec3-8ef3ee9684c8</t>
  </si>
  <si>
    <t xml:space="preserve">0e97c9ec-9935-5da2-8c68-1c400aba122d</t>
  </si>
  <si>
    <t xml:space="preserve">10fa6358-6ac1-532e-960f-249feedb7441</t>
  </si>
  <si>
    <t xml:space="preserve">2026-04-14</t>
  </si>
  <si>
    <t xml:space="preserve">2acc0b0b-ae39-540d-8189-4f4f970e4a01</t>
  </si>
  <si>
    <t xml:space="preserve">b40d6de9-83df-5848-94c5-08e80923d50d</t>
  </si>
  <si>
    <t xml:space="preserve">df3a4c19-54c0-5143-bbd2-0b99225b6a52</t>
  </si>
  <si>
    <t xml:space="preserve">f2fa8eb3-1908-5ffd-a870-e1741020c22d</t>
  </si>
  <si>
    <t xml:space="preserve">a0775726-d9ae-56c0-9899-19716e360385</t>
  </si>
  <si>
    <t xml:space="preserve">59d32f87-662f-5074-90aa-885edd7b7021</t>
  </si>
  <si>
    <t xml:space="preserve">cd002ceb-0d36-5e89-97f5-381f396dc29e</t>
  </si>
  <si>
    <t xml:space="preserve">1da0d996-ef7f-5260-ae2a-6bfaed11b233</t>
  </si>
  <si>
    <t xml:space="preserve">024e2a04-99b5-5821-801c-4914f42790ff</t>
  </si>
  <si>
    <t xml:space="preserve">8d642e92-6138-5bb2-83ff-14261e28fa85</t>
  </si>
  <si>
    <t xml:space="preserve">1988 Alfa Romeo 8C 2900</t>
  </si>
  <si>
    <t xml:space="preserve">69b69278-c932-5bb4-93e5-ec4a6f47afbc</t>
  </si>
  <si>
    <t xml:space="preserve">5c1a1a7e-35eb-562e-9249-cfd3384efb16</t>
  </si>
  <si>
    <t xml:space="preserve">2b10292a-378a-5ba0-bfd7-335cf5282849</t>
  </si>
  <si>
    <t xml:space="preserve">2011 Aston Martin DB5</t>
  </si>
  <si>
    <t xml:space="preserve">f40f7acf-0948-5010-a611-2926638c749b</t>
  </si>
  <si>
    <t xml:space="preserve">11320089-6993-50a9-81e2-1218c5412367</t>
  </si>
  <si>
    <t xml:space="preserve">1228c46c-3fc9-5baa-a3ca-7d1856cd684d</t>
  </si>
  <si>
    <t xml:space="preserve">b984fcf4-f9a5-5b4a-b8b3-cf969f6e68a8</t>
  </si>
  <si>
    <t xml:space="preserve">adef8971-f487-57e6-87be-25440e51c439</t>
  </si>
  <si>
    <t xml:space="preserve">7d6825a6-b1b0-57df-a4c9-3818a34699a1</t>
  </si>
  <si>
    <t xml:space="preserve">87c51d6b-4522-5eed-8816-0b909e823bd3</t>
  </si>
  <si>
    <t xml:space="preserve">1964 Aston Martin DB5</t>
  </si>
  <si>
    <t xml:space="preserve">caa5d1b2-b791-5078-b129-d1ba58f16352</t>
  </si>
  <si>
    <t xml:space="preserve">95c71970-2d83-51f7-b6d0-bd63cc725bd1</t>
  </si>
  <si>
    <t xml:space="preserve">f81d3666-a66b-56d9-a13c-24b6ef7b7207</t>
  </si>
  <si>
    <t xml:space="preserve">2002 Lamborghini Huracan EVO</t>
  </si>
  <si>
    <t xml:space="preserve">36df41dc-28f9-5152-988b-db480687c1e7</t>
  </si>
  <si>
    <t xml:space="preserve">1980 Aston Martin DB12</t>
  </si>
  <si>
    <t xml:space="preserve">3af6ba3c-e0bb-5870-8434-bdcf356fd6bb</t>
  </si>
  <si>
    <t xml:space="preserve">bd10f5af-0185-5061-869a-250f89229eb7</t>
  </si>
  <si>
    <t xml:space="preserve">18b95f4c-bf59-5cf7-8149-c2ffb6baddcc</t>
  </si>
  <si>
    <t xml:space="preserve">419cc11f-31bc-5662-b85a-44e32a550a87</t>
  </si>
  <si>
    <t xml:space="preserve">50f886bc-f15a-50e8-8ac9-68f133fc6001</t>
  </si>
  <si>
    <t xml:space="preserve">7270fe66-d8e1-59e5-b492-6a28c595ffce</t>
  </si>
  <si>
    <t xml:space="preserve">30f9f1da-9bf2-5d5a-9d3a-ff0a0bf09bf1</t>
  </si>
  <si>
    <t xml:space="preserve">80e0406b-fcac-5a50-bc2e-d8c697d05120</t>
  </si>
  <si>
    <t xml:space="preserve">218a567d-fc3f-5023-8b81-4000a0729f23</t>
  </si>
  <si>
    <t xml:space="preserve">2023 Mercedes-Benz AMG GT</t>
  </si>
  <si>
    <t xml:space="preserve">d11196c1-bc23-5b10-b867-a35749a3dc4a</t>
  </si>
  <si>
    <t xml:space="preserve">f169f933-171e-5308-b241-9764440846b1</t>
  </si>
  <si>
    <t xml:space="preserve">f2bae525-7895-53a1-9e47-d3c95b1f9f6c</t>
  </si>
  <si>
    <t xml:space="preserve">696c48bb-1400-5eec-9e83-4c35cbff156c</t>
  </si>
  <si>
    <t xml:space="preserve">6cbea985-ae93-5174-842a-8d3af99d53fc</t>
  </si>
  <si>
    <t xml:space="preserve">f16b6fba-6682-5e75-b37d-236ad283145e</t>
  </si>
  <si>
    <t xml:space="preserve">0e971efc-5aaa-5f08-ab6e-6f94d08dde14</t>
  </si>
  <si>
    <t xml:space="preserve">02013658-ad34-5712-aeb1-3ed294f1b1bd</t>
  </si>
  <si>
    <t xml:space="preserve">8c10d9d7-195a-5fee-8991-f9cd65c00bdb</t>
  </si>
  <si>
    <t xml:space="preserve">76e8892a-8f8d-5d5b-aa4e-1884d6b6cced</t>
  </si>
  <si>
    <t xml:space="preserve">800bda7b-adfb-59b4-bb91-fba5333d7aed</t>
  </si>
  <si>
    <t xml:space="preserve">37d6e7ed-0b3a-5d9b-b2fd-2859c118769c</t>
  </si>
  <si>
    <t xml:space="preserve">1985 Maserati GranTurismo</t>
  </si>
  <si>
    <t xml:space="preserve">cce1bc0c-0a3c-577e-a177-54d301f4f031</t>
  </si>
  <si>
    <t xml:space="preserve">9eae6524-555a-5858-b3fd-5e213da1681b</t>
  </si>
  <si>
    <t xml:space="preserve">bc327003-d159-5910-9a22-0e3e57a0322f</t>
  </si>
  <si>
    <t xml:space="preserve">d7845985-aac6-58e3-9cd2-61845cb2d8f0</t>
  </si>
  <si>
    <t xml:space="preserve">fe1f08ad-03ce-515b-bc7f-df56e5da207a</t>
  </si>
  <si>
    <t xml:space="preserve">293ff6b3-4983-5e22-a378-e4fbe1b57023</t>
  </si>
  <si>
    <t xml:space="preserve">2a337880-a9bd-518e-9b19-9c2385bfb191</t>
  </si>
  <si>
    <t xml:space="preserve">4d432698-a9a2-51b6-9544-93e85f3eddc5</t>
  </si>
  <si>
    <t xml:space="preserve">2012 Aston Martin DB5</t>
  </si>
  <si>
    <t xml:space="preserve">536fc873-9f94-5438-a2fb-d7bd12868b87</t>
  </si>
  <si>
    <t xml:space="preserve">1963 Porsche 911 Turbo S</t>
  </si>
  <si>
    <t xml:space="preserve">93c949c8-1c1a-5c86-ba11-f7ce92c13161</t>
  </si>
  <si>
    <t xml:space="preserve">4d9915a5-c76e-544f-bcbf-186052d753cb</t>
  </si>
  <si>
    <t xml:space="preserve">de2e6ef3-2584-5c80-b7b3-3136aa1bf5f4</t>
  </si>
  <si>
    <t xml:space="preserve">1977 McLaren 750S</t>
  </si>
  <si>
    <t xml:space="preserve">7093b387-c8bb-5f2d-acd2-f7c429522795</t>
  </si>
  <si>
    <t xml:space="preserve">d7d6f90a-b0a7-5ec8-a639-dae22689aaa4</t>
  </si>
  <si>
    <t xml:space="preserve">e089bbe6-2a11-57b4-8fb9-ea07cd33d7e4</t>
  </si>
  <si>
    <t xml:space="preserve">fa99239b-0698-5527-9f4c-e32c1d5a8261</t>
  </si>
  <si>
    <t xml:space="preserve">44949216-84a4-57c3-af63-fbd53c8c5a17</t>
  </si>
  <si>
    <t xml:space="preserve">750d49df-9b64-5950-8412-c57f70e7cdfe</t>
  </si>
  <si>
    <t xml:space="preserve">ab80b921-8ff7-5d27-8869-04045f20224c</t>
  </si>
  <si>
    <t xml:space="preserve">9004874d-0229-5e54-8000-6bdd9249c8dd</t>
  </si>
  <si>
    <t xml:space="preserve">f5b6e8dc-0f34-5a13-8624-ca0e17d5e866</t>
  </si>
  <si>
    <t xml:space="preserve">6fbc03ba-e501-5e39-af5d-b530f81684cc</t>
  </si>
  <si>
    <t xml:space="preserve">d7ba1bbc-2209-5669-897e-08bf62d9517f</t>
  </si>
  <si>
    <t xml:space="preserve">9b8e9a04-b533-5e05-b8e3-1c78705a2c73</t>
  </si>
  <si>
    <t xml:space="preserve">8051b68d-80e2-5c0f-a173-5aed17334413</t>
  </si>
  <si>
    <t xml:space="preserve">0f751821-40a0-599d-91c8-5ac1d8f8049f</t>
  </si>
  <si>
    <t xml:space="preserve">2018 Jaguar E-Type Series 1</t>
  </si>
  <si>
    <t xml:space="preserve">859c7b96-e9fc-59cb-aada-d369434de126</t>
  </si>
  <si>
    <t xml:space="preserve">b3716415-7f86-5c97-b9f9-6d435c6dd1ac</t>
  </si>
  <si>
    <t xml:space="preserve">0bb399d9-becd-502d-ac1a-a84d0b1f229f</t>
  </si>
  <si>
    <t xml:space="preserve">07806216-81ad-58e4-b09b-81fc25c548a5</t>
  </si>
  <si>
    <t xml:space="preserve">579e48d0-0454-5093-9441-81025736b8ae</t>
  </si>
  <si>
    <t xml:space="preserve">1958 Ferrari 275 GTB/4</t>
  </si>
  <si>
    <t xml:space="preserve">e1355b0a-f7bf-5dda-8eed-b77391afa92c</t>
  </si>
  <si>
    <t xml:space="preserve">526cc3be-5252-533c-8958-cb1a8528b719</t>
  </si>
  <si>
    <t xml:space="preserve">c7900541-1604-50f0-afba-038c20bd2356</t>
  </si>
  <si>
    <t xml:space="preserve">896cec74-052f-5fa4-982e-ea7727fcf012</t>
  </si>
  <si>
    <t xml:space="preserve">c0212d60-d492-5637-9ce2-869228c3da33</t>
  </si>
  <si>
    <t xml:space="preserve">f7d7c131-5dbf-563f-8633-9519b44897fb</t>
  </si>
  <si>
    <t xml:space="preserve">f9ef86c7-eb9f-59ad-9d79-2dbe728ead95</t>
  </si>
  <si>
    <t xml:space="preserve">1981 Porsche 911 Turbo S</t>
  </si>
  <si>
    <t xml:space="preserve">b871c54a-1ae6-51ce-8d4a-ca34af220152</t>
  </si>
  <si>
    <t xml:space="preserve">2017 Aston Martin DB5</t>
  </si>
  <si>
    <t xml:space="preserve">885e1407-7242-550e-bb94-c23e34b5b1dd</t>
  </si>
  <si>
    <t xml:space="preserve">caa0c3fe-cdff-5244-be83-3bf63247fa53</t>
  </si>
  <si>
    <t xml:space="preserve">1980 Bugatti Type 57</t>
  </si>
  <si>
    <t xml:space="preserve">9c1992a1-d5bb-52f6-8314-fa1587c8e947</t>
  </si>
  <si>
    <t xml:space="preserve">aa95ab87-4172-5eb1-a4c1-d91c435b03a6</t>
  </si>
  <si>
    <t xml:space="preserve">cb0015ab-a4e6-5c16-8afe-7aa7d884b109</t>
  </si>
  <si>
    <t xml:space="preserve">1958 Ferrari 296 GTB</t>
  </si>
  <si>
    <t xml:space="preserve">f270e043-8bc2-5099-815a-3d4b3e8f44ff</t>
  </si>
  <si>
    <t xml:space="preserve">b2b849f5-fe23-5349-933e-fc938776341f</t>
  </si>
  <si>
    <t xml:space="preserve">9b178bf7-ce13-5f2e-981a-c1ebf5b3a72a</t>
  </si>
  <si>
    <t xml:space="preserve">51c34837-46c6-5869-b3eb-350f13b34505</t>
  </si>
  <si>
    <t xml:space="preserve">bc4f5029-e7cb-5546-b5a8-e83402abd9e5</t>
  </si>
  <si>
    <t xml:space="preserve">6c32c132-9ddb-5197-8128-7115e5c2a147</t>
  </si>
  <si>
    <t xml:space="preserve">d35d5499-2af6-564a-b55d-c767631633b5</t>
  </si>
  <si>
    <t xml:space="preserve">8eb5e1d9-bf3b-5254-a7e6-4ad1150846c9</t>
  </si>
  <si>
    <t xml:space="preserve">b86c7f55-834d-5613-a6d2-c5bc519d566d</t>
  </si>
  <si>
    <t xml:space="preserve">732813bb-dfc2-507b-962a-cd223ae83422</t>
  </si>
  <si>
    <t xml:space="preserve">4e65664f-52c0-51f5-86cf-bdd65640f240</t>
  </si>
  <si>
    <t xml:space="preserve">a095eaf2-314b-591f-a3d3-a9eee2659d55</t>
  </si>
  <si>
    <t xml:space="preserve">346f1ac3-5b5e-5a05-baf7-8aff8be3df03</t>
  </si>
  <si>
    <t xml:space="preserve">3d800675-bdc0-5e8e-b05e-fc76fb42ec14</t>
  </si>
  <si>
    <t xml:space="preserve">33f21414-ab42-52dc-a27a-5b605de06341</t>
  </si>
  <si>
    <t xml:space="preserve">40f52772-bf0b-5bf4-9270-285ac3556467</t>
  </si>
  <si>
    <t xml:space="preserve">e1211b01-349c-5b88-a9b1-8a51a13a7056</t>
  </si>
  <si>
    <t xml:space="preserve">ff0176a8-8578-5c19-92d5-de2d2a4499a4</t>
  </si>
  <si>
    <t xml:space="preserve">49d5b3d0-cd8d-5388-835b-ae6332830b97</t>
  </si>
  <si>
    <t xml:space="preserve">cc0eea18-b5b5-59ad-9f4b-db49578866ec</t>
  </si>
  <si>
    <t xml:space="preserve">27190c56-ee86-580c-a7f5-7bd0141db0e3</t>
  </si>
  <si>
    <t xml:space="preserve">9c306332-c29e-572a-9035-442a47309357</t>
  </si>
  <si>
    <t xml:space="preserve">6332bc12-5ad0-5baa-a450-56abed1cef6d</t>
  </si>
  <si>
    <t xml:space="preserve">dc755422-ce46-5605-94a5-07b81d105812</t>
  </si>
  <si>
    <t xml:space="preserve">f1443faf-11b4-52e2-abfa-775aedf13c6a</t>
  </si>
  <si>
    <t xml:space="preserve">3f3245f3-ccc0-560e-8442-a20d0437896a</t>
  </si>
  <si>
    <t xml:space="preserve">b1887880-a720-5183-8e47-3a743d2c6f71</t>
  </si>
  <si>
    <t xml:space="preserve">a4635751-762c-5048-a92d-10b1c8a70595</t>
  </si>
  <si>
    <t xml:space="preserve">e33f7405-6e53-5ac0-abcc-103df41199f8</t>
  </si>
  <si>
    <t xml:space="preserve">1991 Ferrari SF90 Stradale</t>
  </si>
  <si>
    <t xml:space="preserve">0cc0ff45-5669-5e50-b6a6-c0c399c482d1</t>
  </si>
  <si>
    <t xml:space="preserve">87659cfa-e650-56b0-89f1-68e704af70fd</t>
  </si>
  <si>
    <t xml:space="preserve">7eacd384-e8e6-51e6-933f-4f81870cfe13</t>
  </si>
  <si>
    <t xml:space="preserve">e574f3bb-a921-583f-943d-7d92339780b5</t>
  </si>
  <si>
    <t xml:space="preserve">0c0904aa-9705-524f-88b9-7fa861cdc9eb</t>
  </si>
  <si>
    <t xml:space="preserve">1995 Singer 911 Reimagined</t>
  </si>
  <si>
    <t xml:space="preserve">0c3e24f3-5101-5f93-b4e0-39e2a322d864</t>
  </si>
  <si>
    <t xml:space="preserve">2004 Icon Derelict</t>
  </si>
  <si>
    <t xml:space="preserve">bc6f1dba-d9e0-5de9-aef5-876b7769e66d</t>
  </si>
  <si>
    <t xml:space="preserve">262c3b96-45ec-5ade-aa12-2c4b5a06efbd</t>
  </si>
  <si>
    <t xml:space="preserve">1960 Bentley 4.5 Litre</t>
  </si>
  <si>
    <t xml:space="preserve">67f1a040-2b1d-5a74-b015-dafab0001b65</t>
  </si>
  <si>
    <t xml:space="preserve">d242b29d-f265-55a9-9ec8-c3542f8611b8</t>
  </si>
  <si>
    <t xml:space="preserve">1ac0893a-6de3-5ec8-851a-59e219e6f065</t>
  </si>
  <si>
    <t xml:space="preserve">e08369a0-2709-5cf6-aae2-1df485af8a30</t>
  </si>
  <si>
    <t xml:space="preserve">962de72c-1ff7-5fa1-88f6-07ca821bf86b</t>
  </si>
  <si>
    <t xml:space="preserve">bf260f99-6622-5c04-a829-176a6c5d82a4</t>
  </si>
  <si>
    <t xml:space="preserve">1db9be9a-f648-590d-b2af-732f9b3b2f03</t>
  </si>
  <si>
    <t xml:space="preserve">30f711c1-ba57-5852-8734-add409114be9</t>
  </si>
  <si>
    <t xml:space="preserve">2004 Alfa Romeo 8C 2900</t>
  </si>
  <si>
    <t xml:space="preserve">6e825df0-dda2-560a-b7f9-1648fcd9581a</t>
  </si>
  <si>
    <t xml:space="preserve">b8fe9ba1-2a2b-5854-8faa-4c9b64b44b72</t>
  </si>
  <si>
    <t xml:space="preserve">50a0ecb4-816f-5268-83c0-a8ec1ccb630f</t>
  </si>
  <si>
    <t xml:space="preserve">5dbdaad8-e161-506a-a33f-950f33044f7b</t>
  </si>
  <si>
    <t xml:space="preserve">af1c4f15-ca29-58e4-a038-94ab59ef7ac1</t>
  </si>
  <si>
    <t xml:space="preserve">97e55efa-cf8d-5dd4-969d-826a2af1a6b3</t>
  </si>
  <si>
    <t xml:space="preserve">ba09093d-a7ed-5f6b-9be9-ae6ff0a05fad</t>
  </si>
  <si>
    <t xml:space="preserve">f2dd0143-94f0-5df0-9506-2badb3c6cd0c</t>
  </si>
  <si>
    <t xml:space="preserve">1838904b-b76f-5103-b6e8-e55cdc0408bf</t>
  </si>
  <si>
    <t xml:space="preserve">1961 Ringbrothers Mustang</t>
  </si>
  <si>
    <t xml:space="preserve">f2940237-8857-5645-8643-816c4d806bc1</t>
  </si>
  <si>
    <t xml:space="preserve">2009 Singer 911 Reimagined</t>
  </si>
  <si>
    <t xml:space="preserve">e7114cbe-2786-5bbc-aef8-44d95766921a</t>
  </si>
  <si>
    <t xml:space="preserve">1980 Maserati GranTurismo</t>
  </si>
  <si>
    <t xml:space="preserve">aeecf0ca-9b99-530b-9f04-8577ee77e9a5</t>
  </si>
  <si>
    <t xml:space="preserve">3efb21ff-dd75-58c3-8c06-465fb3d99983</t>
  </si>
  <si>
    <t xml:space="preserve">f5a800d7-1dbc-5ae3-ba37-d75dcaf7293d</t>
  </si>
  <si>
    <t xml:space="preserve">22684651-d628-59e7-baa3-1b237d8203ea</t>
  </si>
  <si>
    <t xml:space="preserve">b09ee08b-e45f-5c17-9912-154d3b553676</t>
  </si>
  <si>
    <t xml:space="preserve">32ab7090-540e-5661-8087-55d531d8898f</t>
  </si>
  <si>
    <t xml:space="preserve">ec01b299-49df-5272-92cc-9b941dc82692</t>
  </si>
  <si>
    <t xml:space="preserve">c6424d80-045a-509e-b5f6-0269a578b0f6</t>
  </si>
  <si>
    <t xml:space="preserve">84af3f4b-7ae1-5178-b70a-507f50c82e7f</t>
  </si>
  <si>
    <t xml:space="preserve">cee24c2a-67ee-570a-a1c2-8981dbe5c08d</t>
  </si>
  <si>
    <t xml:space="preserve">ad763d14-2860-5c7c-9ff0-714f46835763</t>
  </si>
  <si>
    <t xml:space="preserve">e78dc9a8-c4a2-5c8e-8b66-dcba348532f1</t>
  </si>
  <si>
    <t xml:space="preserve">4641acf4-a79d-5244-9f51-1d6622396c76</t>
  </si>
  <si>
    <t xml:space="preserve">ae779a44-0b10-5ac1-b553-d8d6627225a0</t>
  </si>
  <si>
    <t xml:space="preserve">bf227530-87af-50ba-aaf1-eb98c2de283f</t>
  </si>
  <si>
    <t xml:space="preserve">62f3b360-c0aa-534c-ade4-947f2f30543a</t>
  </si>
  <si>
    <t xml:space="preserve">f6d98438-a5cd-5738-a0f5-d943208fefae</t>
  </si>
  <si>
    <t xml:space="preserve">c5c25ab8-4f32-5ee3-b369-493ee24cdef7</t>
  </si>
  <si>
    <t xml:space="preserve">2d10e306-e318-50ef-a421-e202a36398f1</t>
  </si>
  <si>
    <t xml:space="preserve">4e0c5d63-69da-531c-8b4d-de9a0cf2ca6b</t>
  </si>
  <si>
    <t xml:space="preserve">ec3689b6-835a-5042-bfa3-8987b8caf82c</t>
  </si>
  <si>
    <t xml:space="preserve">4da4bce7-54ed-5f3d-9386-d9863acebd0e</t>
  </si>
  <si>
    <t xml:space="preserve">69a5f827-765e-5638-a336-9fd4b648a154</t>
  </si>
  <si>
    <t xml:space="preserve">0624deb2-39ef-5b5e-8251-a494fddaf08a</t>
  </si>
  <si>
    <t xml:space="preserve">d0b80e1c-0628-55fe-899a-2b7a7414ac54</t>
  </si>
  <si>
    <t xml:space="preserve">24e57718-30b4-55dd-829b-2fd67fccaea9</t>
  </si>
  <si>
    <t xml:space="preserve">654926f9-7b0c-597d-b52c-e82fab723c66</t>
  </si>
  <si>
    <t xml:space="preserve">1b192e39-e483-50a1-a39e-0e9e0da516dc</t>
  </si>
  <si>
    <t xml:space="preserve">8a8db9b1-3e07-5ba8-8045-95c0a64e34fe</t>
  </si>
  <si>
    <t xml:space="preserve">41ddb887-42cb-50f5-aa2f-b790b75a06ed</t>
  </si>
  <si>
    <t xml:space="preserve">c12008a9-472f-5243-a3a1-91b4ffec3b99</t>
  </si>
  <si>
    <t xml:space="preserve">1971 Ferrari 275 GTB/4</t>
  </si>
  <si>
    <t xml:space="preserve">6d462e12-b6d3-571f-9c75-945b0a26497c</t>
  </si>
  <si>
    <t xml:space="preserve">d000e8e7-bf54-5b37-85d0-b192dfe8edf3</t>
  </si>
  <si>
    <t xml:space="preserve">ba164403-60c6-5899-87d3-75d95f35bb4d</t>
  </si>
  <si>
    <t xml:space="preserve">f62e552c-61d3-5480-b773-5f9886c63e87</t>
  </si>
  <si>
    <t xml:space="preserve">1994 Aston Martin DB5</t>
  </si>
  <si>
    <t xml:space="preserve">4c1e1563-be9f-5036-a535-028ed3ddce4d</t>
  </si>
  <si>
    <t xml:space="preserve">e8790f9f-5942-5382-bfb8-275dbac9688b</t>
  </si>
  <si>
    <t xml:space="preserve">2000 Singer 911 Reimagined</t>
  </si>
  <si>
    <t xml:space="preserve">33f46fce-8cbe-5859-ad28-77317f29d523</t>
  </si>
  <si>
    <t xml:space="preserve">1963 McLaren 750S</t>
  </si>
  <si>
    <t xml:space="preserve">6b9946ff-de66-55a7-b14c-7714e71e4769</t>
  </si>
  <si>
    <t xml:space="preserve">45952174-c036-52a6-9965-e6f4addbf3d0</t>
  </si>
  <si>
    <t xml:space="preserve">cedb583b-a5e9-5abf-8271-3cffe8d9a919</t>
  </si>
  <si>
    <t xml:space="preserve">3a7a29d3-4e92-5c76-bf9c-23721fe0b02b</t>
  </si>
  <si>
    <t xml:space="preserve">144bc1f8-147a-5114-8629-c06f62511706</t>
  </si>
  <si>
    <t xml:space="preserve">e6999ce4-dc8e-567a-855b-aede1b106b15</t>
  </si>
  <si>
    <t xml:space="preserve">fbf47ef6-8907-5784-abae-c628df463f72</t>
  </si>
  <si>
    <t xml:space="preserve">0a8efcf1-32ac-5f2a-8ef9-8b77bbb6173e</t>
  </si>
  <si>
    <t xml:space="preserve">799ff6d4-81fc-5664-a080-b786a096e4e7</t>
  </si>
  <si>
    <t xml:space="preserve">1962 Bentley 4.5 Litre</t>
  </si>
  <si>
    <t xml:space="preserve">40b9f609-aa7a-5fec-a7a7-3608f02d18cd</t>
  </si>
  <si>
    <t xml:space="preserve">9ed11fc0-a414-5bb9-84f4-23dabe7913c9</t>
  </si>
  <si>
    <t xml:space="preserve">Monthly Rater — 2026-05  (Month 10 of 12)</t>
  </si>
  <si>
    <t xml:space="preserve">Softening index 0.7772. Rated Premium = ROUND(AgreedValue/100 × BaseRate × Territory × Softening ÷ Gross-Up, 2); ties to artifact premium within $0.01 (generator rounding).</t>
  </si>
  <si>
    <t xml:space="preserve">2026-05-04</t>
  </si>
  <si>
    <t xml:space="preserve">4db1a9ce-1cc0-5b65-8de2-7f0eeb824801</t>
  </si>
  <si>
    <t xml:space="preserve">2026-05-08</t>
  </si>
  <si>
    <t xml:space="preserve">e6f8906e-bfc9-54ec-897b-f2997dcbfdf3</t>
  </si>
  <si>
    <t xml:space="preserve">22579884-7e78-528c-a8d2-df8fc6218213</t>
  </si>
  <si>
    <t xml:space="preserve">22015931-1d19-5a1f-b7d1-1234f7ce971a</t>
  </si>
  <si>
    <t xml:space="preserve">2026-05-28</t>
  </si>
  <si>
    <t xml:space="preserve">d7f94498-8cbf-5522-9fb0-232291d9b3da</t>
  </si>
  <si>
    <t xml:space="preserve">2026-05-24</t>
  </si>
  <si>
    <t xml:space="preserve">dccc0558-7892-5dfb-a016-80a815363245</t>
  </si>
  <si>
    <t xml:space="preserve">2026-05-09</t>
  </si>
  <si>
    <t xml:space="preserve">9c091543-f20f-534c-992c-1a685b4be57f</t>
  </si>
  <si>
    <t xml:space="preserve">2026-05-14</t>
  </si>
  <si>
    <t xml:space="preserve">d83b6906-c66f-5e6f-b58e-48f0e90687ac</t>
  </si>
  <si>
    <t xml:space="preserve">2026-05-01</t>
  </si>
  <si>
    <t xml:space="preserve">e7378606-61f3-5591-bc7a-10121a7c4a56</t>
  </si>
  <si>
    <t xml:space="preserve">2026-05-03</t>
  </si>
  <si>
    <t xml:space="preserve">6b48d859-d28f-58b6-bcf6-245c07c370b3</t>
  </si>
  <si>
    <t xml:space="preserve">1985 Mercedes-Benz AMG GT</t>
  </si>
  <si>
    <t xml:space="preserve">2026-05-05</t>
  </si>
  <si>
    <t xml:space="preserve">ff0bfdb8-d429-533b-8fd2-2ccdbca14918</t>
  </si>
  <si>
    <t xml:space="preserve">2026-05-12</t>
  </si>
  <si>
    <t xml:space="preserve">66f80f89-f3a5-5741-8896-f2c026ba99e6</t>
  </si>
  <si>
    <t xml:space="preserve">2011 Icon Derelict</t>
  </si>
  <si>
    <t xml:space="preserve">2026-05-23</t>
  </si>
  <si>
    <t xml:space="preserve">ac4823f6-2b2f-5170-8798-b2fb8b0fedf4</t>
  </si>
  <si>
    <t xml:space="preserve">2026-05-26</t>
  </si>
  <si>
    <t xml:space="preserve">82ebc3d8-fecc-5c52-9035-f2c254318a66</t>
  </si>
  <si>
    <t xml:space="preserve">1956 Alfa Romeo 8C 2900</t>
  </si>
  <si>
    <t xml:space="preserve">828b7ecb-abcb-5216-afec-2b12e9a6f5d2</t>
  </si>
  <si>
    <t xml:space="preserve">2026-05-31</t>
  </si>
  <si>
    <t xml:space="preserve">a6af7b74-48b3-572a-9b0b-ff2a15b1cbbb</t>
  </si>
  <si>
    <t xml:space="preserve">ec03f307-9a60-590c-b66f-cd3482f0c057</t>
  </si>
  <si>
    <t xml:space="preserve">5dbbba6c-4ff1-5ddf-8c0d-eac50678a662</t>
  </si>
  <si>
    <t xml:space="preserve">2026-05-18</t>
  </si>
  <si>
    <t xml:space="preserve">3e334368-9fb9-5f0e-90c3-cd9afbe19001</t>
  </si>
  <si>
    <t xml:space="preserve">0709a352-52e5-52b2-bf9c-729e2a6a2a72</t>
  </si>
  <si>
    <t xml:space="preserve">2026-05-29</t>
  </si>
  <si>
    <t xml:space="preserve">46b1d0b8-b07c-547b-b283-d7958ed85bb6</t>
  </si>
  <si>
    <t xml:space="preserve">c929bd97-c419-5c62-acd2-79d9e0e88401</t>
  </si>
  <si>
    <t xml:space="preserve">5ea140a9-29f4-545c-9cef-7b3d9e477bb3</t>
  </si>
  <si>
    <t xml:space="preserve">1e3a22e7-5d70-5dc5-8b91-985189ba325e</t>
  </si>
  <si>
    <t xml:space="preserve">2026-05-02</t>
  </si>
  <si>
    <t xml:space="preserve">ace2d65f-ae10-5bfb-a671-933c09ad37a8</t>
  </si>
  <si>
    <t xml:space="preserve">2026-05-15</t>
  </si>
  <si>
    <t xml:space="preserve">2cf1a9d6-a6f3-528b-843c-c9b243af9aa6</t>
  </si>
  <si>
    <t xml:space="preserve">335587d9-b0d8-529e-8439-cf2752e57e31</t>
  </si>
  <si>
    <t xml:space="preserve">2026-05-16</t>
  </si>
  <si>
    <t xml:space="preserve">61f8d53d-cb11-5039-b8ec-b39cb1d1adce</t>
  </si>
  <si>
    <t xml:space="preserve">2010 Ferrari 296 GTB</t>
  </si>
  <si>
    <t xml:space="preserve">ea1eb153-0818-589a-b603-fab853a96635</t>
  </si>
  <si>
    <t xml:space="preserve">1956 Aston Martin DB12</t>
  </si>
  <si>
    <t xml:space="preserve">d8a5e6f4-bab5-5049-a940-5491ab83edf3</t>
  </si>
  <si>
    <t xml:space="preserve">1973 Ferrari 275 GTB/4</t>
  </si>
  <si>
    <t xml:space="preserve">2026-05-27</t>
  </si>
  <si>
    <t xml:space="preserve">d91b5819-8b63-59ca-ab0c-f9142877b70a</t>
  </si>
  <si>
    <t xml:space="preserve">2018 Icon Derelict</t>
  </si>
  <si>
    <t xml:space="preserve">98f0e675-391d-57db-aea0-9e53dc60124a</t>
  </si>
  <si>
    <t xml:space="preserve">2026-05-07</t>
  </si>
  <si>
    <t xml:space="preserve">31cfead6-a051-5a85-be61-7bf96de0bb0a</t>
  </si>
  <si>
    <t xml:space="preserve">2026-05-17</t>
  </si>
  <si>
    <t xml:space="preserve">f7801064-552e-521f-95b4-51e6ae5dd427</t>
  </si>
  <si>
    <t xml:space="preserve">da4c747a-d094-5a80-a30e-4d46d6efc7e5</t>
  </si>
  <si>
    <t xml:space="preserve">1969 Icon Derelict</t>
  </si>
  <si>
    <t xml:space="preserve">730a5b5a-4d1a-5812-81cc-e72c2c3180b0</t>
  </si>
  <si>
    <t xml:space="preserve">0aec1029-dd32-5b96-8392-0dc0ad7a419e</t>
  </si>
  <si>
    <t xml:space="preserve">2026-05-22</t>
  </si>
  <si>
    <t xml:space="preserve">101900ff-34dd-5599-9c7d-eea7d1eb7098</t>
  </si>
  <si>
    <t xml:space="preserve">2026-05-25</t>
  </si>
  <si>
    <t xml:space="preserve">6fa9a37b-ed1f-57d0-aafb-e3ae4461398a</t>
  </si>
  <si>
    <t xml:space="preserve">ffc27de2-1e3c-52e8-9701-e2a366e7fbb2</t>
  </si>
  <si>
    <t xml:space="preserve">1975 Bugatti Type 57</t>
  </si>
  <si>
    <t xml:space="preserve">6127d92c-6e97-5249-9f56-85e4e38cb820</t>
  </si>
  <si>
    <t xml:space="preserve">72af138d-028e-519d-9ac5-35ea6a949a96</t>
  </si>
  <si>
    <t xml:space="preserve">917685cc-7916-58d6-b77d-e86176f125fa</t>
  </si>
  <si>
    <t xml:space="preserve">620a8110-ffd1-53d3-b6ea-32a9aa454baa</t>
  </si>
  <si>
    <t xml:space="preserve">2026-05-13</t>
  </si>
  <si>
    <t xml:space="preserve">83a085c9-9015-5ac0-8587-703dfec02691</t>
  </si>
  <si>
    <t xml:space="preserve">18efdf3a-b64b-5798-840c-eebdde3a01cb</t>
  </si>
  <si>
    <t xml:space="preserve">2026-05-30</t>
  </si>
  <si>
    <t xml:space="preserve">b1e9192a-240a-5b09-877c-d57a51dedd13</t>
  </si>
  <si>
    <t xml:space="preserve">74f45dcd-ada4-5f24-b4c1-56ca9c518f34</t>
  </si>
  <si>
    <t xml:space="preserve">93a0674e-70ab-535a-a1fe-4ad31e6e24f8</t>
  </si>
  <si>
    <t xml:space="preserve">1980 Alfa Romeo 8C 2900</t>
  </si>
  <si>
    <t xml:space="preserve">2026-05-21</t>
  </si>
  <si>
    <t xml:space="preserve">6b48f64f-eccb-5ba8-9960-3195e3fc0ae8</t>
  </si>
  <si>
    <t xml:space="preserve">21269a54-6f13-5a38-a668-c3f489a7ae87</t>
  </si>
  <si>
    <t xml:space="preserve">2026-05-20</t>
  </si>
  <si>
    <t xml:space="preserve">2293bad7-2c16-5cd3-9938-17ac6d87b97d</t>
  </si>
  <si>
    <t xml:space="preserve">e79235ae-a385-5d8f-9989-6567685dda3f</t>
  </si>
  <si>
    <t xml:space="preserve">4b41f70d-dc5d-5b9d-9d6a-ffa3ebb634d3</t>
  </si>
  <si>
    <t xml:space="preserve">9230a720-5d70-5216-bbb4-0747ac9fe41e</t>
  </si>
  <si>
    <t xml:space="preserve">1967 Alfa Romeo 8C 2900</t>
  </si>
  <si>
    <t xml:space="preserve">1ce0f464-b04e-56a7-93a8-73d451ba9ec6</t>
  </si>
  <si>
    <t xml:space="preserve">ef1c25ec-07f2-5813-989d-e2720919f5df</t>
  </si>
  <si>
    <t xml:space="preserve">1e28d092-2b64-54dc-858c-89af15670751</t>
  </si>
  <si>
    <t xml:space="preserve">e61a0cbb-cbd7-5762-bd29-3cb1a57c2bbb</t>
  </si>
  <si>
    <t xml:space="preserve">36cef885-2b69-575f-9191-69e8bf794504</t>
  </si>
  <si>
    <t xml:space="preserve">387a326b-f6c2-591d-b488-63b59c4174e3</t>
  </si>
  <si>
    <t xml:space="preserve">0501f9fb-65f1-5b1c-8a41-8d261153979a</t>
  </si>
  <si>
    <t xml:space="preserve">1994 Ringbrothers Mustang</t>
  </si>
  <si>
    <t xml:space="preserve">45defffa-55fb-55be-9b35-d1ca66b27652</t>
  </si>
  <si>
    <t xml:space="preserve">3892512c-496d-537d-98fe-dc48eba5a297</t>
  </si>
  <si>
    <t xml:space="preserve">3dcfc7a3-c348-5cfa-91e3-ea007b8068d3</t>
  </si>
  <si>
    <t xml:space="preserve">f2223e7e-e156-500c-94d2-f54fe4505822</t>
  </si>
  <si>
    <t xml:space="preserve">2ed0a817-2908-523a-a550-1c2171a99019</t>
  </si>
  <si>
    <t xml:space="preserve">2004 Aston Martin DB5</t>
  </si>
  <si>
    <t xml:space="preserve">44ddc4a2-5464-5025-aca6-85abab0151b7</t>
  </si>
  <si>
    <t xml:space="preserve">a2529b3d-f0a0-59d7-95d3-21ba27a7b5b0</t>
  </si>
  <si>
    <t xml:space="preserve">058e50ae-7bec-5ba6-af98-4fad77afb971</t>
  </si>
  <si>
    <t xml:space="preserve">2026-05-10</t>
  </si>
  <si>
    <t xml:space="preserve">d46245b6-5c93-5b14-afb0-850f4533587a</t>
  </si>
  <si>
    <t xml:space="preserve">0258b4d2-8faf-5b75-95e5-ae5a18b96f20</t>
  </si>
  <si>
    <t xml:space="preserve">2003 Alfa Romeo 8C 2900</t>
  </si>
  <si>
    <t xml:space="preserve">ad615bb7-3ed8-5140-b8fa-40a487b40959</t>
  </si>
  <si>
    <t xml:space="preserve">8a8bf0b5-91de-5f3c-a42a-b45f8e5b282c</t>
  </si>
  <si>
    <t xml:space="preserve">61f91565-6ae8-557e-9cab-c9f8db97d8c9</t>
  </si>
  <si>
    <t xml:space="preserve">02614054-3872-5429-be61-a0624a84225d</t>
  </si>
  <si>
    <t xml:space="preserve">ce241386-018c-5d4c-9139-c843a99c81b3</t>
  </si>
  <si>
    <t xml:space="preserve">2986e5fd-1844-5d01-b915-59e4253dc64e</t>
  </si>
  <si>
    <t xml:space="preserve">c1062be5-0acd-5c4a-9a7f-dd4da52d72d7</t>
  </si>
  <si>
    <t xml:space="preserve">07ca3969-e934-5736-baf5-9bcc118e990c</t>
  </si>
  <si>
    <t xml:space="preserve">866301cf-b98c-557e-b3d4-8762a4329c6f</t>
  </si>
  <si>
    <t xml:space="preserve">c0e77754-14c5-5e84-b839-60c2570e85be</t>
  </si>
  <si>
    <t xml:space="preserve">1c64d132-f9ad-501c-9bbc-f12f60cdf3e3</t>
  </si>
  <si>
    <t xml:space="preserve">36c0d020-cbba-574e-9b0c-27887b1f062a</t>
  </si>
  <si>
    <t xml:space="preserve">1969 Jaguar E-Type Series 1</t>
  </si>
  <si>
    <t xml:space="preserve">2c5e1d45-fbc6-5816-af42-e705947e9176</t>
  </si>
  <si>
    <t xml:space="preserve">84e6253c-97d4-5893-922e-57371cf22d81</t>
  </si>
  <si>
    <t xml:space="preserve">d306ab96-9f53-5095-add8-bbf966c14e11</t>
  </si>
  <si>
    <t xml:space="preserve">1986 Lamborghini Huracan EVO</t>
  </si>
  <si>
    <t xml:space="preserve">8ff31f70-003d-5657-b906-31d04ed3c091</t>
  </si>
  <si>
    <t xml:space="preserve">f49a90b4-f6ea-5946-9139-03ad23391352</t>
  </si>
  <si>
    <t xml:space="preserve">c1d0fa2f-3d3a-544d-8eae-90e06a995401</t>
  </si>
  <si>
    <t xml:space="preserve">54422090-7dcc-55f2-8b5e-b629dd6df867</t>
  </si>
  <si>
    <t xml:space="preserve">1956 Mercedes-Benz 280SL Pagoda</t>
  </si>
  <si>
    <t xml:space="preserve">a31acf56-3962-55d9-a260-9fa67c552476</t>
  </si>
  <si>
    <t xml:space="preserve">c30e1ba5-3066-5417-a793-81695850ad57</t>
  </si>
  <si>
    <t xml:space="preserve">ac3eb279-61a5-57c0-b3f3-d59a564d3cba</t>
  </si>
  <si>
    <t xml:space="preserve">a2ae5e42-a824-517e-9452-7bed9bd6e843</t>
  </si>
  <si>
    <t xml:space="preserve">1971 Ferrari 296 GTB</t>
  </si>
  <si>
    <t xml:space="preserve">2026-05-19</t>
  </si>
  <si>
    <t xml:space="preserve">38d87911-d845-542a-aeb4-ba358bb9a4e2</t>
  </si>
  <si>
    <t xml:space="preserve">9ec2b120-7c64-5bad-b106-14a518d9b31b</t>
  </si>
  <si>
    <t xml:space="preserve">c76ef3b0-2cd9-5c90-8e14-833852346966</t>
  </si>
  <si>
    <t xml:space="preserve">23f0c6fc-0313-5a0f-b24b-705f3969e0e2</t>
  </si>
  <si>
    <t xml:space="preserve">982d3334-12f6-5c94-9197-44ab645282f0</t>
  </si>
  <si>
    <t xml:space="preserve">b37556d0-138c-5cd1-a076-bd27e459d582</t>
  </si>
  <si>
    <t xml:space="preserve">58deb1ff-e90d-5c95-b3e4-cf4b65a6e337</t>
  </si>
  <si>
    <t xml:space="preserve">97651bec-1eb5-5443-befd-9dac54646bee</t>
  </si>
  <si>
    <t xml:space="preserve">48dcd1a5-0fe2-5fec-ae95-0bc492030f98</t>
  </si>
  <si>
    <t xml:space="preserve">4a967696-f8ba-511e-b285-f707bb449918</t>
  </si>
  <si>
    <t xml:space="preserve">dddcba9c-83ae-5b69-beab-24ceb9e633f6</t>
  </si>
  <si>
    <t xml:space="preserve">6d2c8644-21ce-584c-9897-388df376fde2</t>
  </si>
  <si>
    <t xml:space="preserve">0f53b0d0-ac31-5fa9-a9aa-6c5a2a944493</t>
  </si>
  <si>
    <t xml:space="preserve">b7458d38-243f-53c3-a7c6-d579749807af</t>
  </si>
  <si>
    <t xml:space="preserve">2a7feff5-f838-58e7-9908-2850a1fafef2</t>
  </si>
  <si>
    <t xml:space="preserve">f4aecc71-07a4-5235-90a9-b67429632636</t>
  </si>
  <si>
    <t xml:space="preserve">8e868204-7404-510d-a871-c4b88115a3e9</t>
  </si>
  <si>
    <t xml:space="preserve">284a6588-0ca0-50f6-97cb-d3307fc48a21</t>
  </si>
  <si>
    <t xml:space="preserve">2022 Singer 911 Reimagined</t>
  </si>
  <si>
    <t xml:space="preserve">c29918ff-65b6-530b-b8ac-fe1971570281</t>
  </si>
  <si>
    <t xml:space="preserve">1999 Aston Martin DB5</t>
  </si>
  <si>
    <t xml:space="preserve">61495cd7-c204-50ab-a106-bf0b593f686a</t>
  </si>
  <si>
    <t xml:space="preserve">2012 Icon Derelict</t>
  </si>
  <si>
    <t xml:space="preserve">894e828c-1bf1-5002-9f59-ed185fa71fcd</t>
  </si>
  <si>
    <t xml:space="preserve">2026-05-11</t>
  </si>
  <si>
    <t xml:space="preserve">ff16f1e2-bb98-5bfc-89e1-70b2d52d8ff3</t>
  </si>
  <si>
    <t xml:space="preserve">cb65b70f-5473-5bf1-95f8-ed9d9d59c021</t>
  </si>
  <si>
    <t xml:space="preserve">504614dc-d1ec-57f4-8f75-fa8e4e57e6f8</t>
  </si>
  <si>
    <t xml:space="preserve">fce1a3a1-d92d-59ff-8d9f-204cc1ac68e8</t>
  </si>
  <si>
    <t xml:space="preserve">34f3d0b5-f4d1-5fe2-b6e0-e893c47b9a0a</t>
  </si>
  <si>
    <t xml:space="preserve">cb44335a-fad5-52fb-9c5c-5138de88198f</t>
  </si>
  <si>
    <t xml:space="preserve">5dcb26dc-d441-5fcc-bddd-ea85fb26acc4</t>
  </si>
  <si>
    <t xml:space="preserve">cc4d4286-6be3-5054-9507-e4433a608b85</t>
  </si>
  <si>
    <t xml:space="preserve">9d9b7b14-9c8a-5ef0-9f34-9b01d5b63d86</t>
  </si>
  <si>
    <t xml:space="preserve">999fed77-b994-5f3e-9e54-44776e064266</t>
  </si>
  <si>
    <t xml:space="preserve">428d090e-afc8-518f-a189-6edcb824f351</t>
  </si>
  <si>
    <t xml:space="preserve">a9a7f60a-6784-5175-bf57-6f258a514a6a</t>
  </si>
  <si>
    <t xml:space="preserve">ea78c4ce-bcde-505d-8eac-26e54f5eac16</t>
  </si>
  <si>
    <t xml:space="preserve">9a32e299-3bd7-5a6e-87ee-d5471dd4bd15</t>
  </si>
  <si>
    <t xml:space="preserve">4cb83ba7-dfb7-545f-b65d-8d42f10014b2</t>
  </si>
  <si>
    <t xml:space="preserve">2017 Ferrari 275 GTB/4</t>
  </si>
  <si>
    <t xml:space="preserve">8c395709-d3de-59b5-bbc9-44e0a7d93869</t>
  </si>
  <si>
    <t xml:space="preserve">d3848f2f-e87f-5abe-b855-ff303e60d6fb</t>
  </si>
  <si>
    <t xml:space="preserve">ac8a1e8d-4959-5775-a16f-8ec390040795</t>
  </si>
  <si>
    <t xml:space="preserve">b14412a2-aaa6-5344-b132-0c0537a076d4</t>
  </si>
  <si>
    <t xml:space="preserve">54fd8482-b091-5410-aa9b-ba603a0fede8</t>
  </si>
  <si>
    <t xml:space="preserve">1996 Jaguar E-Type Series 1</t>
  </si>
  <si>
    <t xml:space="preserve">e7ff730b-c034-5b43-8a70-889d626ebb9a</t>
  </si>
  <si>
    <t xml:space="preserve">2197063d-efb2-57d3-bd10-fae6e827a992</t>
  </si>
  <si>
    <t xml:space="preserve">ae6d8412-d056-5021-9a06-ec0af05a218d</t>
  </si>
  <si>
    <t xml:space="preserve">f4392234-552e-5b45-af3a-9d187d98ad5f</t>
  </si>
  <si>
    <t xml:space="preserve">3e2c3a36-9c88-57f5-8c91-3626f1c870dd</t>
  </si>
  <si>
    <t xml:space="preserve">f31fbc80-ca02-553c-b195-5fdb195cd242</t>
  </si>
  <si>
    <t xml:space="preserve">e897f023-5537-5c71-b7c4-8014d2483474</t>
  </si>
  <si>
    <t xml:space="preserve">1966 Maserati GranTurismo</t>
  </si>
  <si>
    <t xml:space="preserve">1dae565b-1823-5661-bfe8-7595f03fc223</t>
  </si>
  <si>
    <t xml:space="preserve">f3c3c6bf-7c28-5b77-ab96-64d1e1465a21</t>
  </si>
  <si>
    <t xml:space="preserve">20c0b0a1-8556-59fc-be0d-ce0f95b5b65b</t>
  </si>
  <si>
    <t xml:space="preserve">0248c074-e4b2-51fc-8af3-23058d3ce968</t>
  </si>
  <si>
    <t xml:space="preserve">209a6865-9071-5bc9-824a-f5fe6ca35420</t>
  </si>
  <si>
    <t xml:space="preserve">254f6074-7787-57ef-83bd-9a5677ac89c2</t>
  </si>
  <si>
    <t xml:space="preserve">76134535-74fa-5186-97d3-6932ff5d0705</t>
  </si>
  <si>
    <t xml:space="preserve">656f8b7d-79d5-5085-8837-741d32934cdd</t>
  </si>
  <si>
    <t xml:space="preserve">a6d47fbc-d038-53e1-8064-4e764a8bb892</t>
  </si>
  <si>
    <t xml:space="preserve">2006 Mercedes-Benz 280SL Pagoda</t>
  </si>
  <si>
    <t xml:space="preserve">53a0037f-690e-5de1-bacf-19f2906440f1</t>
  </si>
  <si>
    <t xml:space="preserve">e497a2fa-9e04-5501-b798-8a2c9c0f1b1a</t>
  </si>
  <si>
    <t xml:space="preserve">0f0a5804-f3c8-5611-be7b-9ab886372af8</t>
  </si>
  <si>
    <t xml:space="preserve">c6447a27-668a-5770-b9bd-2a5fb73bb3dc</t>
  </si>
  <si>
    <t xml:space="preserve">8e36fdba-1a17-585d-83d9-f72ef1e780cc</t>
  </si>
  <si>
    <t xml:space="preserve">7040b01b-1b7f-589c-aa6e-ffd46796320b</t>
  </si>
  <si>
    <t xml:space="preserve">5ba34b0a-7c1b-589a-89a1-a19bc907f601</t>
  </si>
  <si>
    <t xml:space="preserve">44515129-2f3d-562d-b895-24b9b80861c9</t>
  </si>
  <si>
    <t xml:space="preserve">749840ad-0e04-5637-99c8-837fa1eee5c7</t>
  </si>
  <si>
    <t xml:space="preserve">b69fe603-4e91-5ad0-b74a-8f5af48d4b63</t>
  </si>
  <si>
    <t xml:space="preserve">1984 Alfa Romeo 8C 2900</t>
  </si>
  <si>
    <t xml:space="preserve">1be6917b-8261-51c0-9a14-aa0830491f5f</t>
  </si>
  <si>
    <t xml:space="preserve">5e7e5b12-2deb-5d31-ad1d-c82796a3b93f</t>
  </si>
  <si>
    <t xml:space="preserve">b59d975b-e67b-5c8a-bafe-000001ae3aec</t>
  </si>
  <si>
    <t xml:space="preserve">11f37d42-52b5-5a49-b1e0-d6bfd6d195b8</t>
  </si>
  <si>
    <t xml:space="preserve">84b69d3d-033d-51a4-b41d-8a913199695d</t>
  </si>
  <si>
    <t xml:space="preserve">22414f6d-7a12-54f9-be45-c735ac4b9ec1</t>
  </si>
  <si>
    <t xml:space="preserve">e7f41af9-ad93-560b-85c3-9219916049fe</t>
  </si>
  <si>
    <t xml:space="preserve">1977 Ferrari 275 GTB/4</t>
  </si>
  <si>
    <t xml:space="preserve">e8126305-ff58-5fd4-8772-d6f06ecf0158</t>
  </si>
  <si>
    <t xml:space="preserve">5635a3f7-e31d-5620-86ad-b124ddfb9e13</t>
  </si>
  <si>
    <t xml:space="preserve">5d735673-c193-5f08-a31a-571706db97ba</t>
  </si>
  <si>
    <t xml:space="preserve">e8d5f5d6-c77c-5ac8-b60d-a5652869efe5</t>
  </si>
  <si>
    <t xml:space="preserve">1992 Ferrari SF90 Stradale</t>
  </si>
  <si>
    <t xml:space="preserve">54e30564-39b1-5887-a687-431b2e9b938d</t>
  </si>
  <si>
    <t xml:space="preserve">0b9fcf59-3a50-5444-ab54-5a7bf435d748</t>
  </si>
  <si>
    <t xml:space="preserve">54a83fb8-2cb0-5d47-bdbe-61ccc83cf938</t>
  </si>
  <si>
    <t xml:space="preserve">9ee66daa-dd29-5b8e-a921-44ada08027ae</t>
  </si>
  <si>
    <t xml:space="preserve">243694a9-590e-522b-a7cd-47b5f343e911</t>
  </si>
  <si>
    <t xml:space="preserve">cb1cc4d7-a96e-5f66-a841-037bd15b04d6</t>
  </si>
  <si>
    <t xml:space="preserve">058f1daa-c02c-5e59-a3bb-92d735b8e8fd</t>
  </si>
  <si>
    <t xml:space="preserve">9a1029e1-9490-530d-ad62-cc5d51f39b8b</t>
  </si>
  <si>
    <t xml:space="preserve">f985d927-2f9e-5a1e-967f-e66d993fa02c</t>
  </si>
  <si>
    <t xml:space="preserve">448b8d1e-defb-57cb-8a94-1ccc94cc44a8</t>
  </si>
  <si>
    <t xml:space="preserve">095f7c85-bd83-5919-95a7-1d481d4eedfe</t>
  </si>
  <si>
    <t xml:space="preserve">325f3678-484b-5bae-9023-fa0abdace0a7</t>
  </si>
  <si>
    <t xml:space="preserve">88d44712-a138-5f5b-b27c-e30867ba153b</t>
  </si>
  <si>
    <t xml:space="preserve">6c1c8df7-eaca-5880-9531-ab0a912243fd</t>
  </si>
  <si>
    <t xml:space="preserve">86e42bfc-3b5e-55d4-b519-ade2acc59d7d</t>
  </si>
  <si>
    <t xml:space="preserve">a4102f49-b650-5a61-9150-8f6f2d8f1150</t>
  </si>
  <si>
    <t xml:space="preserve">5b762048-feb9-5e1b-a18d-a4bc7e334dbb</t>
  </si>
  <si>
    <t xml:space="preserve">1f053d3b-c606-52cf-b14c-e797db1dbc5d</t>
  </si>
  <si>
    <t xml:space="preserve">1973 Ferrari 296 GTB</t>
  </si>
  <si>
    <t xml:space="preserve">1ea55893-5951-5804-be81-1b5078611df0</t>
  </si>
  <si>
    <t xml:space="preserve">acb0a339-1c5e-5049-9397-2b90643a0d44</t>
  </si>
  <si>
    <t xml:space="preserve">b28a12b5-d122-5273-a0be-ce8a36ac9c51</t>
  </si>
  <si>
    <t xml:space="preserve">3d258510-1ee4-58bb-91d3-25126ad2264e</t>
  </si>
  <si>
    <t xml:space="preserve">dadcd031-445c-5142-9fce-b1cc08ea6a13</t>
  </si>
  <si>
    <t xml:space="preserve">c7c0d2a7-4648-5bce-b43b-e3a50d9b4636</t>
  </si>
  <si>
    <t xml:space="preserve">c36ea6bb-b130-5963-90df-c918ecdd3955</t>
  </si>
  <si>
    <t xml:space="preserve">bc9b45b5-7ac8-5d60-9699-d90673e44c0a</t>
  </si>
  <si>
    <t xml:space="preserve">0a0c4ad0-8aa6-505b-b16f-cab08df3bc07</t>
  </si>
  <si>
    <t xml:space="preserve">cf9f4f69-3d24-5200-8519-ae60a608bd6a</t>
  </si>
  <si>
    <t xml:space="preserve">1af2d4e3-8524-5d94-9826-bf4e3ae1b2d9</t>
  </si>
  <si>
    <t xml:space="preserve">6914c8b5-1f39-5a02-a0ec-d5facc55c277</t>
  </si>
  <si>
    <t xml:space="preserve">7de86d8a-72d3-519d-a359-a141a85dd25c</t>
  </si>
  <si>
    <t xml:space="preserve">77b113a4-4057-5412-bb84-b9813cef06c6</t>
  </si>
  <si>
    <t xml:space="preserve">9d669eb7-c42a-5eaa-892f-d73b54d12eb9</t>
  </si>
  <si>
    <t xml:space="preserve">5ce93345-20f6-55ca-9738-ba16e5c2d782</t>
  </si>
  <si>
    <t xml:space="preserve">2e20703d-8b73-55bf-8e6c-49a6c420bfb2</t>
  </si>
  <si>
    <t xml:space="preserve">46fda0bc-b0bf-5736-81b2-7ebd6231e4e7</t>
  </si>
  <si>
    <t xml:space="preserve">2026-05-06</t>
  </si>
  <si>
    <t xml:space="preserve">bf8a7c03-2418-5c10-bfb8-d9cdd339caaa</t>
  </si>
  <si>
    <t xml:space="preserve">8ea64888-0cba-5334-80a2-25bbc1afcb49</t>
  </si>
  <si>
    <t xml:space="preserve">4c2803c5-08a8-5a01-9320-4c34dea03574</t>
  </si>
  <si>
    <t xml:space="preserve">13a71f98-77a1-51b4-9ab8-0b1b178c5984</t>
  </si>
  <si>
    <t xml:space="preserve">1978 Jaguar E-Type Series 1</t>
  </si>
  <si>
    <t xml:space="preserve">ca4b3382-213e-5a0e-a672-a2d0a4ab4479</t>
  </si>
  <si>
    <t xml:space="preserve">a0addfe0-b194-5fdb-b448-c492ae8b5dce</t>
  </si>
  <si>
    <t xml:space="preserve">89eb52eb-9bff-5f81-9e13-6bbf055fb24f</t>
  </si>
  <si>
    <t xml:space="preserve">43a85941-d966-599f-aa88-ba93bf386b41</t>
  </si>
  <si>
    <t xml:space="preserve">9124bf3a-f811-50d5-ad7b-33148f68a3b2</t>
  </si>
  <si>
    <t xml:space="preserve">1990 Ringbrothers Mustang</t>
  </si>
  <si>
    <t xml:space="preserve">f91cfaeb-bcfc-5df8-93a7-68d5176f7a62</t>
  </si>
  <si>
    <t xml:space="preserve">43918b51-3f20-524f-9131-1fcd29620ce9</t>
  </si>
  <si>
    <t xml:space="preserve">c487c766-84ad-5d30-9165-9311751f3b05</t>
  </si>
  <si>
    <t xml:space="preserve">03fa68d2-c4b8-5932-93c1-8388ddf463d7</t>
  </si>
  <si>
    <t xml:space="preserve">b8514bea-0e74-5837-adb3-b404a91d80a8</t>
  </si>
  <si>
    <t xml:space="preserve">370cc381-0e40-5b4c-a3ec-88f2fdd5e6c4</t>
  </si>
  <si>
    <t xml:space="preserve">77edbe7e-2729-5756-b93a-2fc75f0ae509</t>
  </si>
  <si>
    <t xml:space="preserve">984afd4a-3841-5b1e-975d-e698f504df65</t>
  </si>
  <si>
    <t xml:space="preserve">968732ad-af8b-5d27-8ebc-b6fd01958267</t>
  </si>
  <si>
    <t xml:space="preserve">0b966aaf-0439-5d2e-bab3-68bf8cc88465</t>
  </si>
  <si>
    <t xml:space="preserve">1961 Ferrari SF90 Stradale</t>
  </si>
  <si>
    <t xml:space="preserve">f9fd8e1c-f024-5ed0-bb38-03b6553fc1b3</t>
  </si>
  <si>
    <t xml:space="preserve">693ad44a-0049-55a1-b589-d13382b92d7b</t>
  </si>
  <si>
    <t xml:space="preserve">fa819191-6d42-545e-8260-27590083c2c0</t>
  </si>
  <si>
    <t xml:space="preserve">6f9fba02-1439-56bb-855a-a181735201ff</t>
  </si>
  <si>
    <t xml:space="preserve">4fcb35d1-322f-5915-b5d3-c88e29e8ca36</t>
  </si>
  <si>
    <t xml:space="preserve">fc03c542-fe28-5534-a65f-48896dad65f5</t>
  </si>
  <si>
    <t xml:space="preserve">be1dcc44-49c9-5a00-bbb0-4aa6f59d2f87</t>
  </si>
  <si>
    <t xml:space="preserve">78add8e5-e630-58f8-9a51-d3703ba55ba1</t>
  </si>
  <si>
    <t xml:space="preserve">b17930be-1cb8-53bb-8912-00542339998b</t>
  </si>
  <si>
    <t xml:space="preserve">0c4d4bc3-63aa-5b70-bf5d-04f6bf9f96b1</t>
  </si>
  <si>
    <t xml:space="preserve">2007 Lamborghini Huracan EVO</t>
  </si>
  <si>
    <t xml:space="preserve">e4a5ace3-e2e7-5843-a8ec-be0b563d80df</t>
  </si>
  <si>
    <t xml:space="preserve">c68afa85-bcae-5ef1-a177-ab5c536060c1</t>
  </si>
  <si>
    <t xml:space="preserve">110a5760-97ad-5c9f-962d-e3db0c2853f9</t>
  </si>
  <si>
    <t xml:space="preserve">e1c2fc22-0c34-5c76-bf25-a0cccb65f949</t>
  </si>
  <si>
    <t xml:space="preserve">73b04639-8aed-57c1-b346-12c1408b359d</t>
  </si>
  <si>
    <t xml:space="preserve">eee65e85-e00f-5bf0-8789-1a8ea8ac3d80</t>
  </si>
  <si>
    <t xml:space="preserve">ae134593-ca76-503e-a9e7-966ff19c0c26</t>
  </si>
  <si>
    <t xml:space="preserve">f733c5c1-35ef-5601-9b9d-132bf91f2106</t>
  </si>
  <si>
    <t xml:space="preserve">a9afba8a-e5d6-5754-a9c7-72567e40f9e4</t>
  </si>
  <si>
    <t xml:space="preserve">2a65f0c4-39d4-581c-9cdb-3f9977125552</t>
  </si>
  <si>
    <t xml:space="preserve">0cb44888-e860-5618-ad1e-64c454ee1475</t>
  </si>
  <si>
    <t xml:space="preserve">316da06b-3c8f-505c-9f2d-982243521021</t>
  </si>
  <si>
    <t xml:space="preserve">6ff27c5f-2880-52fd-aee9-41a79c8d0e00</t>
  </si>
  <si>
    <t xml:space="preserve">4fcf76ba-7c5e-5b33-8699-6aa9364d9c64</t>
  </si>
  <si>
    <t xml:space="preserve">6ef7455d-2150-582d-bd03-b1171ae1d9aa</t>
  </si>
  <si>
    <t xml:space="preserve">a947b7dd-a9fc-58a8-bd8f-0baab4832c24</t>
  </si>
  <si>
    <t xml:space="preserve">0493439d-10cc-5ade-b9ea-4b9e617f54b0</t>
  </si>
  <si>
    <t xml:space="preserve">4bb2ff24-9285-52c2-b67a-13e8705b415f</t>
  </si>
  <si>
    <t xml:space="preserve">f437acc8-dc63-5086-a8fe-00987f47132b</t>
  </si>
  <si>
    <t xml:space="preserve">ff4746cb-6c55-50db-9509-bd7737f1fe27</t>
  </si>
  <si>
    <t xml:space="preserve">5730f537-cfb0-56ed-bbca-bfd5fba0e0ff</t>
  </si>
  <si>
    <t xml:space="preserve">2821b7bd-7103-581a-abf7-301303c5c439</t>
  </si>
  <si>
    <t xml:space="preserve">dd38289c-12ed-5582-a869-e383f04b8ef9</t>
  </si>
  <si>
    <t xml:space="preserve">c197d880-04d1-5332-83d1-55f9ddefa319</t>
  </si>
  <si>
    <t xml:space="preserve">c9e7a542-6842-572e-95dc-6d068576e529</t>
  </si>
  <si>
    <t xml:space="preserve">1ff77149-9807-571d-b498-940bf0905eb3</t>
  </si>
  <si>
    <t xml:space="preserve">5336bb6d-ba7c-553a-be55-e2393b7717e1</t>
  </si>
  <si>
    <t xml:space="preserve">b0db02c9-7e60-5890-8994-5d4f620074e2</t>
  </si>
  <si>
    <t xml:space="preserve">c284991f-e5f2-53e9-9af6-a01ee2ea233f</t>
  </si>
  <si>
    <t xml:space="preserve">3ee66e3c-12fd-5330-adcc-8837c64b30eb</t>
  </si>
  <si>
    <t xml:space="preserve">1989 Aston Martin DB5</t>
  </si>
  <si>
    <t xml:space="preserve">7b095d5f-b94d-5a3c-8958-91a45172f920</t>
  </si>
  <si>
    <t xml:space="preserve">d7928d74-4713-516f-9978-4814574bf83c</t>
  </si>
  <si>
    <t xml:space="preserve">37a9cf40-35f7-5174-a5ad-744165f7a54e</t>
  </si>
  <si>
    <t xml:space="preserve">7fe06ddb-7c85-575c-942f-0557f505bde2</t>
  </si>
  <si>
    <t xml:space="preserve">cb9c4f3a-1d4f-5274-8968-22cf15aeee93</t>
  </si>
  <si>
    <t xml:space="preserve">229a07f3-a749-5196-aea7-477932cef999</t>
  </si>
  <si>
    <t xml:space="preserve">539e88c7-7b43-5700-8727-e05c3bf8bc74</t>
  </si>
  <si>
    <t xml:space="preserve">9cd78925-5ed4-586f-afac-be1fb101a0ee</t>
  </si>
  <si>
    <t xml:space="preserve">d1ae7698-2c9d-5c71-ba9d-75850a397f0e</t>
  </si>
  <si>
    <t xml:space="preserve">fa1e3586-a4e5-58a4-88dc-691a67857bea</t>
  </si>
  <si>
    <t xml:space="preserve">d3f90d82-9fca-5f65-aa57-73475ba707ce</t>
  </si>
  <si>
    <t xml:space="preserve">805e8e98-9355-5391-96f1-e2d15aa55d4c</t>
  </si>
  <si>
    <t xml:space="preserve">018f0581-cb33-5d0d-a88a-11166d4f9a7b</t>
  </si>
  <si>
    <t xml:space="preserve">3761fe21-6ac1-50de-ad5d-9bd3e474b1ad</t>
  </si>
  <si>
    <t xml:space="preserve">c6542460-2f96-5ef7-a41c-8133548c7fe6</t>
  </si>
  <si>
    <t xml:space="preserve">0ff9c044-e3bd-5899-be71-d4edea93b618</t>
  </si>
  <si>
    <t xml:space="preserve">07dc0d04-c4ab-547f-a3f5-7de53e655a5c</t>
  </si>
  <si>
    <t xml:space="preserve">5f99b3ca-045e-5e98-bcb9-23784fb67164</t>
  </si>
  <si>
    <t xml:space="preserve">2886da73-a581-5a78-8941-70cefe4df062</t>
  </si>
  <si>
    <t xml:space="preserve">6bcc96e1-4cb2-5baa-9fb8-5b711fe89c82</t>
  </si>
  <si>
    <t xml:space="preserve">2015 McLaren 750S</t>
  </si>
  <si>
    <t xml:space="preserve">aea755be-453c-539c-8329-d5badd63382f</t>
  </si>
  <si>
    <t xml:space="preserve">64b043e3-3000-561d-8593-85bc98bfb9c0</t>
  </si>
  <si>
    <t xml:space="preserve">52fbb0b6-7cfc-5c13-af28-e00c2e0fa47d</t>
  </si>
  <si>
    <t xml:space="preserve">56c19115-c8af-50bb-bd53-5e2ef64f6427</t>
  </si>
  <si>
    <t xml:space="preserve">e6497d76-32dc-5a11-9a78-7bc66b196290</t>
  </si>
  <si>
    <t xml:space="preserve">2017 McLaren 750S</t>
  </si>
  <si>
    <t xml:space="preserve">8ff65c44-6a0a-5895-bba6-9db8ee1a92de</t>
  </si>
  <si>
    <t xml:space="preserve">1db8b10e-8a38-5554-92b1-da2badfca1c5</t>
  </si>
  <si>
    <t xml:space="preserve">Monthly Rater — 2026-06  (Month 11 of 12)</t>
  </si>
  <si>
    <t xml:space="preserve">Softening index 0.7648. Rated Premium = ROUND(AgreedValue/100 × BaseRate × Territory × Softening ÷ Gross-Up, 2); ties to artifact premium within $0.01 (generator rounding).</t>
  </si>
  <si>
    <t xml:space="preserve">2026-06-03</t>
  </si>
  <si>
    <t xml:space="preserve">99357988-5930-5a5f-b5c8-86ff55de14a4</t>
  </si>
  <si>
    <t xml:space="preserve">2026-06-01</t>
  </si>
  <si>
    <t xml:space="preserve">a35b961d-ce09-540f-b6f0-6883824fcf25</t>
  </si>
  <si>
    <t xml:space="preserve">2026-06-28</t>
  </si>
  <si>
    <t xml:space="preserve">909485f9-d23c-5605-a333-eb9751a97bc3</t>
  </si>
  <si>
    <t xml:space="preserve">bd6a8511-03a1-53e3-be71-9befd04f2488</t>
  </si>
  <si>
    <t xml:space="preserve">2026-06-15</t>
  </si>
  <si>
    <t xml:space="preserve">260a3fdd-bd6b-5985-b676-43bb8e6ec54a</t>
  </si>
  <si>
    <t xml:space="preserve">2026-06-04</t>
  </si>
  <si>
    <t xml:space="preserve">4d958ac9-edf7-5769-9c5a-9de04a1b6f21</t>
  </si>
  <si>
    <t xml:space="preserve">2014 Ferrari SF90 Stradale</t>
  </si>
  <si>
    <t xml:space="preserve">26cea87a-c9df-5a51-bb9d-e0a846063769</t>
  </si>
  <si>
    <t xml:space="preserve">17df9b94-8e03-55b6-a33c-5f57b11da539</t>
  </si>
  <si>
    <t xml:space="preserve">2026-06-02</t>
  </si>
  <si>
    <t xml:space="preserve">7af60d20-80f8-53c0-b8a0-8701e87f2e99</t>
  </si>
  <si>
    <t xml:space="preserve">2026-06-20</t>
  </si>
  <si>
    <t xml:space="preserve">9cce3ed8-0746-531e-945b-c427f16ffd15</t>
  </si>
  <si>
    <t xml:space="preserve">1956 Jaguar E-Type Series 1</t>
  </si>
  <si>
    <t xml:space="preserve">2026-06-27</t>
  </si>
  <si>
    <t xml:space="preserve">275b9b67-895d-52ac-bcbf-c9fe5b4622ec</t>
  </si>
  <si>
    <t xml:space="preserve">2026-06-29</t>
  </si>
  <si>
    <t xml:space="preserve">3900b55b-0859-538a-a040-b2676b397641</t>
  </si>
  <si>
    <t xml:space="preserve">68863e54-3bb1-56cc-85f3-b721b148c41c</t>
  </si>
  <si>
    <t xml:space="preserve">1999 Lamborghini Huracan EVO</t>
  </si>
  <si>
    <t xml:space="preserve">9e843900-94d7-575c-a862-c675e4a4b4e6</t>
  </si>
  <si>
    <t xml:space="preserve">2026-06-06</t>
  </si>
  <si>
    <t xml:space="preserve">d47176ca-2cea-56dc-86b0-f405820f04ab</t>
  </si>
  <si>
    <t xml:space="preserve">2008 Ringbrothers Mustang</t>
  </si>
  <si>
    <t xml:space="preserve">2026-06-25</t>
  </si>
  <si>
    <t xml:space="preserve">d61bead7-ff04-5c12-b96c-b47516f31857</t>
  </si>
  <si>
    <t xml:space="preserve">2026-06-10</t>
  </si>
  <si>
    <t xml:space="preserve">cc8a6ec3-62d2-5de9-ab11-972da329c602</t>
  </si>
  <si>
    <t xml:space="preserve">2026-06-18</t>
  </si>
  <si>
    <t xml:space="preserve">5feff22c-44b9-5e81-8cc2-355a22959258</t>
  </si>
  <si>
    <t xml:space="preserve">1984 Ringbrothers Mustang</t>
  </si>
  <si>
    <t xml:space="preserve">2026-06-23</t>
  </si>
  <si>
    <t xml:space="preserve">124f66a5-f4cf-5ae5-856f-4eecca9a20cc</t>
  </si>
  <si>
    <t xml:space="preserve">204ecf80-a0ed-5e54-8861-6a81760e6393</t>
  </si>
  <si>
    <t xml:space="preserve">2026-06-12</t>
  </si>
  <si>
    <t xml:space="preserve">5abac76a-d1f5-5fa1-8c91-f3c32cb1a29b</t>
  </si>
  <si>
    <t xml:space="preserve">94603b15-cf0c-5de2-91f0-80fa03e481e1</t>
  </si>
  <si>
    <t xml:space="preserve">8f7d5072-8eb1-5fcf-bed4-9f280d839eb6</t>
  </si>
  <si>
    <t xml:space="preserve">2026-06-24</t>
  </si>
  <si>
    <t xml:space="preserve">95f56bf7-2f6a-5d1c-bd48-535ed62bbe76</t>
  </si>
  <si>
    <t xml:space="preserve">2026-06-09</t>
  </si>
  <si>
    <t xml:space="preserve">09c00847-2855-5784-ad95-2e3a94b393a3</t>
  </si>
  <si>
    <t xml:space="preserve">1a87facf-841e-5a23-ad2c-346720748189</t>
  </si>
  <si>
    <t xml:space="preserve">2026-06-16</t>
  </si>
  <si>
    <t xml:space="preserve">6464f109-c291-5c8f-a07c-3a0a147c9145</t>
  </si>
  <si>
    <t xml:space="preserve">2026-06-21</t>
  </si>
  <si>
    <t xml:space="preserve">b514a646-6c64-588c-93e5-6fc906cf1c0e</t>
  </si>
  <si>
    <t xml:space="preserve">2026-06-22</t>
  </si>
  <si>
    <t xml:space="preserve">c775ecca-8669-5957-addb-fb4815a2a654</t>
  </si>
  <si>
    <t xml:space="preserve">a701d020-6bfc-5305-89ff-c463be5d4944</t>
  </si>
  <si>
    <t xml:space="preserve">2026-06-14</t>
  </si>
  <si>
    <t xml:space="preserve">b20dc5f9-b811-58a1-81a8-1b4088a39992</t>
  </si>
  <si>
    <t xml:space="preserve">2026-06-17</t>
  </si>
  <si>
    <t xml:space="preserve">16376fe9-7236-5231-b448-f570febddd1d</t>
  </si>
  <si>
    <t xml:space="preserve">2026-06-07</t>
  </si>
  <si>
    <t xml:space="preserve">818f0157-7760-5b18-b536-e7efed499482</t>
  </si>
  <si>
    <t xml:space="preserve">36510b56-5cd7-56a3-a0e4-eca5caa3459f</t>
  </si>
  <si>
    <t xml:space="preserve">fc4b89db-e9a4-517e-8a7a-df39c926bec4</t>
  </si>
  <si>
    <t xml:space="preserve">1987 Ringbrothers Mustang</t>
  </si>
  <si>
    <t xml:space="preserve">0c6fcc32-66c1-5d72-8897-238bc553b482</t>
  </si>
  <si>
    <t xml:space="preserve">20a92a27-b650-55a3-95b8-4861b50199f7</t>
  </si>
  <si>
    <t xml:space="preserve">2026-06-08</t>
  </si>
  <si>
    <t xml:space="preserve">3b7ce08d-705c-5740-a06f-f0bbbd450e2a</t>
  </si>
  <si>
    <t xml:space="preserve">1963 Ferrari SF90 Stradale</t>
  </si>
  <si>
    <t xml:space="preserve">2026-06-19</t>
  </si>
  <si>
    <t xml:space="preserve">63e1ad4d-4e95-5747-b5ed-ee908a102cb1</t>
  </si>
  <si>
    <t xml:space="preserve">02c1c0f1-b389-5240-b488-d894c6051629</t>
  </si>
  <si>
    <t xml:space="preserve">2026-06-30</t>
  </si>
  <si>
    <t xml:space="preserve">906b4bda-9c1d-501b-bb66-d3527ef2ef9a</t>
  </si>
  <si>
    <t xml:space="preserve">3b283b58-2e3b-52d4-b52a-112790dcd3b1</t>
  </si>
  <si>
    <t xml:space="preserve">2010 Singer 911 Reimagined</t>
  </si>
  <si>
    <t xml:space="preserve">44000127-75d2-5eda-a1dd-db4841459cf1</t>
  </si>
  <si>
    <t xml:space="preserve">8cda420c-3191-5fe8-aaad-52d028fd9f2e</t>
  </si>
  <si>
    <t xml:space="preserve">3194df27-03ae-5b2f-a45d-c56a6c3b41d9</t>
  </si>
  <si>
    <t xml:space="preserve">f772320d-b10f-5d56-a1b0-d97015d9292c</t>
  </si>
  <si>
    <t xml:space="preserve">2026-06-13</t>
  </si>
  <si>
    <t xml:space="preserve">dc7d9cb6-a0e8-5c93-bcdf-42120c56e6ad</t>
  </si>
  <si>
    <t xml:space="preserve">cbdd4546-73ee-5b9e-8e75-60c53ed4a950</t>
  </si>
  <si>
    <t xml:space="preserve">2020 Mercedes-Benz AMG GT</t>
  </si>
  <si>
    <t xml:space="preserve">116028b2-b4d0-59a4-942c-9d7155b50088</t>
  </si>
  <si>
    <t xml:space="preserve">1955 Bentley 4.5 Litre</t>
  </si>
  <si>
    <t xml:space="preserve">4f51727b-7ed9-5830-acaf-e0b3f6e1bd59</t>
  </si>
  <si>
    <t xml:space="preserve">b99bd875-cf9d-5472-9e90-38cfd1f4a333</t>
  </si>
  <si>
    <t xml:space="preserve">c047d437-b038-5915-9151-18dc853b1994</t>
  </si>
  <si>
    <t xml:space="preserve">2026-06-26</t>
  </si>
  <si>
    <t xml:space="preserve">5b608ab9-a121-55f9-a4e4-edf2870039dd</t>
  </si>
  <si>
    <t xml:space="preserve">126fb50a-4e42-5580-8864-395ac496daf6</t>
  </si>
  <si>
    <t xml:space="preserve">ef86e73f-3d85-50ee-a7e7-523edfb4c347</t>
  </si>
  <si>
    <t xml:space="preserve">1982 Aston Martin DB5</t>
  </si>
  <si>
    <t xml:space="preserve">dd9aeb9c-0bf5-5196-abeb-f6d4a3a7e0ce</t>
  </si>
  <si>
    <t xml:space="preserve">68dc0b1f-9702-5c4f-8c39-2eb97e41805a</t>
  </si>
  <si>
    <t xml:space="preserve">7804d08e-7a4b-55dc-bbc2-fdcd954d40a0</t>
  </si>
  <si>
    <t xml:space="preserve">a093a613-777e-5db8-832b-5f927735071b</t>
  </si>
  <si>
    <t xml:space="preserve">7b062609-5660-5753-a384-7e332c78771b</t>
  </si>
  <si>
    <t xml:space="preserve">5e2e4208-9da9-5524-b03e-e8c75921cd54</t>
  </si>
  <si>
    <t xml:space="preserve">87419edd-c325-5cce-a277-1186b3818921</t>
  </si>
  <si>
    <t xml:space="preserve">1995 Mercedes-Benz AMG GT</t>
  </si>
  <si>
    <t xml:space="preserve">397b42c0-9905-5fc1-9423-249c46b85bf5</t>
  </si>
  <si>
    <t xml:space="preserve">1959 Mercedes-Benz 280SL Pagoda</t>
  </si>
  <si>
    <t xml:space="preserve">8ee4db29-3617-5d98-bfda-1c8200024cc0</t>
  </si>
  <si>
    <t xml:space="preserve">0e93e78f-360e-5968-8111-697ed36f66bf</t>
  </si>
  <si>
    <t xml:space="preserve">d0a3efaf-3acc-5198-ac5c-012bb9a2462d</t>
  </si>
  <si>
    <t xml:space="preserve">11b7f24b-5e66-5214-9d14-86f606d3f848</t>
  </si>
  <si>
    <t xml:space="preserve">71d00a3e-ef8e-538e-a1d4-03926242e752</t>
  </si>
  <si>
    <t xml:space="preserve">2026-06-11</t>
  </si>
  <si>
    <t xml:space="preserve">a6a940f1-803d-5474-8dd0-2e2c709eed54</t>
  </si>
  <si>
    <t xml:space="preserve">37fdd1d2-f152-57ee-aed8-4184ec753700</t>
  </si>
  <si>
    <t xml:space="preserve">a66bcec8-11f5-5c39-9529-1219582e45e8</t>
  </si>
  <si>
    <t xml:space="preserve">70731904-a49c-5551-80ba-9ae8853ee401</t>
  </si>
  <si>
    <t xml:space="preserve">5faa2a23-786c-5580-afb2-9fb7751765bc</t>
  </si>
  <si>
    <t xml:space="preserve">298c95fc-b509-5751-a7fc-631a2a58a440</t>
  </si>
  <si>
    <t xml:space="preserve">e7a89910-bc2a-5465-9e0d-de698ed9b2b3</t>
  </si>
  <si>
    <t xml:space="preserve">1969 Alfa Romeo 8C 2900</t>
  </si>
  <si>
    <t xml:space="preserve">15d3d958-68a9-5b44-a17b-7c8b69b2658a</t>
  </si>
  <si>
    <t xml:space="preserve">f9320f53-75d1-531e-bb0e-30eb4bdd4a6c</t>
  </si>
  <si>
    <t xml:space="preserve">5f031285-d618-51aa-af5a-05acb13bc10b</t>
  </si>
  <si>
    <t xml:space="preserve">b3d9b572-4bb8-5ce6-a52b-7a5c738043a4</t>
  </si>
  <si>
    <t xml:space="preserve">fed890d2-6045-52ea-940b-ccd264053639</t>
  </si>
  <si>
    <t xml:space="preserve">7c59fa19-ae45-5126-a1e5-c9b047670b55</t>
  </si>
  <si>
    <t xml:space="preserve">828d2a13-49e7-5753-868f-b17f742e72c5</t>
  </si>
  <si>
    <t xml:space="preserve">2026-06-05</t>
  </si>
  <si>
    <t xml:space="preserve">4d3c00f2-f349-51ea-9f5c-e69176699287</t>
  </si>
  <si>
    <t xml:space="preserve">1975 Mercedes-Benz 280SL Pagoda</t>
  </si>
  <si>
    <t xml:space="preserve">2fa30070-8106-5fc0-b669-ca1bc69b2d85</t>
  </si>
  <si>
    <t xml:space="preserve">5e4d6c54-a3fd-5576-87d7-5757df4ccb89</t>
  </si>
  <si>
    <t xml:space="preserve">1973 Bugatti Type 57</t>
  </si>
  <si>
    <t xml:space="preserve">c8c2f868-812b-5bb6-b20c-2f052a5e7d59</t>
  </si>
  <si>
    <t xml:space="preserve">cc41e640-2322-5031-a0a7-b1a728dbc28c</t>
  </si>
  <si>
    <t xml:space="preserve">ad0e1a0e-24ef-56fe-9308-9cf7dd2a2232</t>
  </si>
  <si>
    <t xml:space="preserve">6b5200d8-2627-53d0-9b02-4e600d3bda80</t>
  </si>
  <si>
    <t xml:space="preserve">bb3bf8c2-101d-553a-b9e8-ab1c00c02392</t>
  </si>
  <si>
    <t xml:space="preserve">559bf168-a493-53f3-bdfd-dcb6c5e23d16</t>
  </si>
  <si>
    <t xml:space="preserve">6a88453b-c61a-5766-bf15-b1e63657a212</t>
  </si>
  <si>
    <t xml:space="preserve">2023 Jaguar E-Type Series 1</t>
  </si>
  <si>
    <t xml:space="preserve">002b7c87-748f-5a2d-87a5-000d3aea8341</t>
  </si>
  <si>
    <t xml:space="preserve">5aab0410-498f-5856-9dcd-4bcf73560063</t>
  </si>
  <si>
    <t xml:space="preserve">fae35297-18e6-5b08-b926-df33ede85a8a</t>
  </si>
  <si>
    <t xml:space="preserve">5735b309-ae2c-5b1d-9a0e-b2c3aa0be5d8</t>
  </si>
  <si>
    <t xml:space="preserve">9be172b4-7a3d-5546-b293-c748a0997d15</t>
  </si>
  <si>
    <t xml:space="preserve">b9d2be62-197f-54d7-bc96-3f455610ec62</t>
  </si>
  <si>
    <t xml:space="preserve">1966 Aston Martin DB5</t>
  </si>
  <si>
    <t xml:space="preserve">8153f120-d132-5340-ac87-9b925e4668f7</t>
  </si>
  <si>
    <t xml:space="preserve">b235de17-bc39-5876-a16c-6e594f8d5b99</t>
  </si>
  <si>
    <t xml:space="preserve">1991 Mercedes-Benz 280SL Pagoda</t>
  </si>
  <si>
    <t xml:space="preserve">85d3434f-9d02-5048-9d7f-226642c74c5a</t>
  </si>
  <si>
    <t xml:space="preserve">099c7ed2-ce1d-547f-aed6-588d7c2e08b8</t>
  </si>
  <si>
    <t xml:space="preserve">1984 Bugatti Type 57</t>
  </si>
  <si>
    <t xml:space="preserve">172f34c0-a035-5b84-8659-264931b57541</t>
  </si>
  <si>
    <t xml:space="preserve">3be3a2a3-a896-588a-be6e-4d06677f7cd2</t>
  </si>
  <si>
    <t xml:space="preserve">14187b08-78dd-528e-bc13-993cb2abb062</t>
  </si>
  <si>
    <t xml:space="preserve">96ae2994-0ce6-5cc1-b90d-cb4c13550788</t>
  </si>
  <si>
    <t xml:space="preserve">b31bdcfe-a296-5933-b95b-eab5dd9ab487</t>
  </si>
  <si>
    <t xml:space="preserve">0fcea32d-ca4b-5538-a9be-c944077cf3fc</t>
  </si>
  <si>
    <t xml:space="preserve">2fa87cf4-655b-55ea-b410-5c1e2e2e95c2</t>
  </si>
  <si>
    <t xml:space="preserve">636627b0-7b39-5d73-96db-36f6e6e115ab</t>
  </si>
  <si>
    <t xml:space="preserve">1990 Mercedes-Benz 280SL Pagoda</t>
  </si>
  <si>
    <t xml:space="preserve">69b179a8-137b-5d43-b085-508248048b45</t>
  </si>
  <si>
    <t xml:space="preserve">f4ac6026-4ffd-5d56-b42a-0a6403212c09</t>
  </si>
  <si>
    <t xml:space="preserve">1969 Lamborghini Huracan EVO</t>
  </si>
  <si>
    <t xml:space="preserve">b7a65a35-fa8d-5c07-99e0-abd311a9f8fb</t>
  </si>
  <si>
    <t xml:space="preserve">d8a76695-04f3-5924-8429-a2ac524de980</t>
  </si>
  <si>
    <t xml:space="preserve">bb0cc3f4-8426-53a6-b2ca-dded4a83b54a</t>
  </si>
  <si>
    <t xml:space="preserve">5eec35e3-9247-543a-9329-e05b322213e1</t>
  </si>
  <si>
    <t xml:space="preserve">62ac516e-b5ae-52f5-a2f9-7d638d2d8b3b</t>
  </si>
  <si>
    <t xml:space="preserve">81969188-19ed-59bd-a771-c839352b3750</t>
  </si>
  <si>
    <t xml:space="preserve">fcbf01db-0e55-5622-8ffe-24c3a198f0b1</t>
  </si>
  <si>
    <t xml:space="preserve">82ff90b7-602f-54bd-8a4d-cc0bcf826967</t>
  </si>
  <si>
    <t xml:space="preserve">51a8bf21-2774-509d-8a56-6cc3fd55966b</t>
  </si>
  <si>
    <t xml:space="preserve">79fc53b5-69d8-5457-b552-27e1b4764784</t>
  </si>
  <si>
    <t xml:space="preserve">7a7607da-8494-5823-b794-35b2b4579efa</t>
  </si>
  <si>
    <t xml:space="preserve">2baf671d-9f91-520e-8ea1-548ae560e185</t>
  </si>
  <si>
    <t xml:space="preserve">2b4be144-995c-5c78-ae5b-33fda8004b14</t>
  </si>
  <si>
    <t xml:space="preserve">5e80f756-7342-51e6-809b-49ca71d591fe</t>
  </si>
  <si>
    <t xml:space="preserve">114021e8-ccc6-5739-bc32-57bc14335eda</t>
  </si>
  <si>
    <t xml:space="preserve">14cc4852-2051-52aa-b678-92435a3dde7a</t>
  </si>
  <si>
    <t xml:space="preserve">b10810fd-8e76-5a79-97d1-af51b1565d3c</t>
  </si>
  <si>
    <t xml:space="preserve">8807a141-d2b7-5795-935b-29eab45e2a57</t>
  </si>
  <si>
    <t xml:space="preserve">0a4a7eba-5a9b-5338-b873-0d1319772034</t>
  </si>
  <si>
    <t xml:space="preserve">28b68b83-1038-5580-a197-732e5fbf5fc4</t>
  </si>
  <si>
    <t xml:space="preserve">e728c514-6f98-5515-aeb3-de310c903b7e</t>
  </si>
  <si>
    <t xml:space="preserve">dc84f36e-bc32-5a44-8d85-b836a8363159</t>
  </si>
  <si>
    <t xml:space="preserve">c86bdf07-7a42-5b41-b50e-ca400b6f426a</t>
  </si>
  <si>
    <t xml:space="preserve">811150e4-53da-584e-8bde-a91f44853373</t>
  </si>
  <si>
    <t xml:space="preserve">9717c96c-2709-51fe-b31a-2979bc59117e</t>
  </si>
  <si>
    <t xml:space="preserve">71017d53-cdee-5a8d-8417-cbaa7fb0bd86</t>
  </si>
  <si>
    <t xml:space="preserve">4e953831-4317-5e28-801f-d948805cf74e</t>
  </si>
  <si>
    <t xml:space="preserve">d00f8a95-feb7-5250-836d-226a575d3e9b</t>
  </si>
  <si>
    <t xml:space="preserve">3bd3fda1-4ed4-5ac5-9227-61e5bf23c8fc</t>
  </si>
  <si>
    <t xml:space="preserve">c77b7a99-9529-50bf-b474-c793c516469c</t>
  </si>
  <si>
    <t xml:space="preserve">03555e65-f9f7-5d96-a7ce-020f16d2a367</t>
  </si>
  <si>
    <t xml:space="preserve">fa3eb44a-bbaf-597a-adff-62fc9659a8af</t>
  </si>
  <si>
    <t xml:space="preserve">5c8532f9-d57b-51a6-9b35-44ab625ef343</t>
  </si>
  <si>
    <t xml:space="preserve">a6f024e6-cfe5-5694-9e6c-ab9d48660b4c</t>
  </si>
  <si>
    <t xml:space="preserve">68244983-f1ca-5e61-9c2d-ada4dbf05086</t>
  </si>
  <si>
    <t xml:space="preserve">6123af97-e067-5f91-9137-b8f6ddfb8291</t>
  </si>
  <si>
    <t xml:space="preserve">12d64d23-4296-5764-a774-138ed9d032ff</t>
  </si>
  <si>
    <t xml:space="preserve">5a996232-9a1d-56b4-b944-5d78a947beae</t>
  </si>
  <si>
    <t xml:space="preserve">f2d86711-868f-5d62-8293-e625d8323483</t>
  </si>
  <si>
    <t xml:space="preserve">704d4350-de4c-5244-b4f0-93d5f7568bed</t>
  </si>
  <si>
    <t xml:space="preserve">2006 Ferrari 275 GTB/4</t>
  </si>
  <si>
    <t xml:space="preserve">907d83d7-cf4f-5b78-b32c-6163c9da40f6</t>
  </si>
  <si>
    <t xml:space="preserve">2011 Ferrari 275 GTB/4</t>
  </si>
  <si>
    <t xml:space="preserve">5ff9b886-fc87-50ea-8038-b5ffb49b3205</t>
  </si>
  <si>
    <t xml:space="preserve">1984 Ferrari 296 GTB</t>
  </si>
  <si>
    <t xml:space="preserve">bd5f3e50-9478-5054-a882-eac682d9a956</t>
  </si>
  <si>
    <t xml:space="preserve">1965 Singer 911 Reimagined</t>
  </si>
  <si>
    <t xml:space="preserve">c6342cde-fcdf-505d-ad6c-5b27ebcdcd99</t>
  </si>
  <si>
    <t xml:space="preserve">ed43678b-6bc1-5dd7-ab3c-cc399d1f9571</t>
  </si>
  <si>
    <t xml:space="preserve">d67c1666-e060-5093-838a-15d35cf50df0</t>
  </si>
  <si>
    <t xml:space="preserve">4485f115-ff14-5fc2-ac0b-bb93ca6ed213</t>
  </si>
  <si>
    <t xml:space="preserve">b9949212-49f5-58c0-836e-8ba923a70441</t>
  </si>
  <si>
    <t xml:space="preserve">8cdaa0f6-c7f3-5c2d-b2d5-aadce839fa32</t>
  </si>
  <si>
    <t xml:space="preserve">dcb43552-ba59-5664-9eb8-51a9829ef17f</t>
  </si>
  <si>
    <t xml:space="preserve">1980 Icon Derelict</t>
  </si>
  <si>
    <t xml:space="preserve">f0a7677e-8478-5767-a6b5-1061595ec752</t>
  </si>
  <si>
    <t xml:space="preserve">44a235eb-0e0f-5551-92c0-531b0d5584fe</t>
  </si>
  <si>
    <t xml:space="preserve">f32128dc-ef43-52e8-9ca0-a00001e4d103</t>
  </si>
  <si>
    <t xml:space="preserve">ab30b73d-c8f0-5e42-a304-8125721fd4bb</t>
  </si>
  <si>
    <t xml:space="preserve">2014 Aston Martin DB5</t>
  </si>
  <si>
    <t xml:space="preserve">9b4e8a42-27c3-571a-b467-3e954fea8493</t>
  </si>
  <si>
    <t xml:space="preserve">35fe7d33-6bfe-5dc2-9be3-30dcdfe8ed7f</t>
  </si>
  <si>
    <t xml:space="preserve">3a1eaa28-e9fb-5c8a-964e-8d63622410da</t>
  </si>
  <si>
    <t xml:space="preserve">1972 Lamborghini Huracan EVO</t>
  </si>
  <si>
    <t xml:space="preserve">b4cec8c3-d8c7-5628-a212-2ddee1154d89</t>
  </si>
  <si>
    <t xml:space="preserve">5528bf28-5ea5-5f59-b0d3-bc21761d0ffd</t>
  </si>
  <si>
    <t xml:space="preserve">28fe63ea-d99d-5144-b8aa-0c384a9b91e7</t>
  </si>
  <si>
    <t xml:space="preserve">70070096-e70a-56be-854e-895c11cdf721</t>
  </si>
  <si>
    <t xml:space="preserve">4ab36d3e-2505-5901-a295-bffdac354df6</t>
  </si>
  <si>
    <t xml:space="preserve">6b97def7-9245-5d33-8100-84e247804d97</t>
  </si>
  <si>
    <t xml:space="preserve">1c76d3cc-4e35-5af0-8c4a-deff3984bdeb</t>
  </si>
  <si>
    <t xml:space="preserve">4b0600d0-c3bf-5314-a7fb-708936e06858</t>
  </si>
  <si>
    <t xml:space="preserve">51962fcf-956a-5d36-844c-5fcc8a4036ce</t>
  </si>
  <si>
    <t xml:space="preserve">1da76401-6d9f-56f5-8f2f-4f69634c765b</t>
  </si>
  <si>
    <t xml:space="preserve">6c82d179-ac04-5d19-a756-88bbdee2dc2e</t>
  </si>
  <si>
    <t xml:space="preserve">2020 Bentley 4.5 Litre</t>
  </si>
  <si>
    <t xml:space="preserve">a71a9072-1c90-5568-8c27-23f469fd4882</t>
  </si>
  <si>
    <t xml:space="preserve">25f5310d-98c5-55db-8429-bf7185797f05</t>
  </si>
  <si>
    <t xml:space="preserve">833e8f44-e563-5810-becb-7fb314fe7cde</t>
  </si>
  <si>
    <t xml:space="preserve">ca61e449-f7e7-5aa3-a5da-304968eaa564</t>
  </si>
  <si>
    <t xml:space="preserve">d2651e9e-204e-5a2f-98a8-b47e83c61517</t>
  </si>
  <si>
    <t xml:space="preserve">3822eb0f-224b-5d98-879c-dfc8a10b63a3</t>
  </si>
  <si>
    <t xml:space="preserve">6f58ae07-09e6-5f11-ad7a-52a6086729b1</t>
  </si>
  <si>
    <t xml:space="preserve">4eb3e399-ea2d-5ca8-984f-e3642e73f6e8</t>
  </si>
  <si>
    <t xml:space="preserve">1999 Icon Derelict</t>
  </si>
  <si>
    <t xml:space="preserve">f2ecb0a7-cc83-53f8-ae49-2cb9f9062352</t>
  </si>
  <si>
    <t xml:space="preserve">6fc93074-333b-592b-b135-06da3b01d333</t>
  </si>
  <si>
    <t xml:space="preserve">1972 Bugatti Type 57</t>
  </si>
  <si>
    <t xml:space="preserve">1a540836-1420-5235-91c3-2e8d122b5f4b</t>
  </si>
  <si>
    <t xml:space="preserve">e642ea82-1713-584d-95cc-67463dfc6673</t>
  </si>
  <si>
    <t xml:space="preserve">bc518843-c181-50c3-80b8-38ec03a1d951</t>
  </si>
  <si>
    <t xml:space="preserve">f646b6d8-6137-566f-955f-78aff58d79ad</t>
  </si>
  <si>
    <t xml:space="preserve">b1eba5bc-e5b7-5a48-ae3c-032e73f05ebf</t>
  </si>
  <si>
    <t xml:space="preserve">69ed031d-0f7e-5339-b61c-9f7d3c60b5b0</t>
  </si>
  <si>
    <t xml:space="preserve">00069834-3091-5f64-90bb-23eaec9d8a2e</t>
  </si>
  <si>
    <t xml:space="preserve">d819652d-1224-551d-9cdd-d1fb1862daeb</t>
  </si>
  <si>
    <t xml:space="preserve">7dd6821d-c865-58e1-b271-993c267e7034</t>
  </si>
  <si>
    <t xml:space="preserve">afffc2a3-f994-56ef-91c8-98ca8cd841a5</t>
  </si>
  <si>
    <t xml:space="preserve">0e977f90-77b5-5704-bed3-aa70cf4b3567</t>
  </si>
  <si>
    <t xml:space="preserve">7e5a6961-3902-5eb7-a905-a61c2b7c394e</t>
  </si>
  <si>
    <t xml:space="preserve">1c1749e4-89a2-5710-9395-36086bbaacd6</t>
  </si>
  <si>
    <t xml:space="preserve">d1722505-0258-5d1d-a726-c9e7cb019bd6</t>
  </si>
  <si>
    <t xml:space="preserve">5a0f3ccf-c188-5a85-ac6c-a9b92a69b695</t>
  </si>
  <si>
    <t xml:space="preserve">f9b5d68b-dd87-52a8-a1a5-7af2d87d2205</t>
  </si>
  <si>
    <t xml:space="preserve">63389afe-1a66-5567-8832-aa6195cdcbe8</t>
  </si>
  <si>
    <t xml:space="preserve">2c3c3c9a-832c-589d-8857-2ea861ea92a0</t>
  </si>
  <si>
    <t xml:space="preserve">f19722b4-e7fd-5336-9572-bb16a2f162aa</t>
  </si>
  <si>
    <t xml:space="preserve">17d42ce0-0b80-5db1-a8d6-fa39b0368edf</t>
  </si>
  <si>
    <t xml:space="preserve">a6311b07-e289-598a-994e-cbf5eea87461</t>
  </si>
  <si>
    <t xml:space="preserve">b3545299-67ae-5805-b1de-a42c71cf69b2</t>
  </si>
  <si>
    <t xml:space="preserve">3fc0bee9-12f9-5f32-8dab-94f906280e04</t>
  </si>
  <si>
    <t xml:space="preserve">1b53f379-7091-5eae-b79c-dd6b303511e2</t>
  </si>
  <si>
    <t xml:space="preserve">b30cc201-01ca-5138-8b29-a9b9f39ed871</t>
  </si>
  <si>
    <t xml:space="preserve">921fa973-4b32-55e9-a848-d04f1277f4c1</t>
  </si>
  <si>
    <t xml:space="preserve">fba4dace-779d-527d-ba7e-ebc0c6355d5f</t>
  </si>
  <si>
    <t xml:space="preserve">a7ebd7e6-4281-5af7-b38a-84c3c78987b9</t>
  </si>
  <si>
    <t xml:space="preserve">355d1065-2d48-59d7-8243-b09642e3d38c</t>
  </si>
  <si>
    <t xml:space="preserve">cdc25d45-4204-5bfd-88ba-82b9aca50570</t>
  </si>
  <si>
    <t xml:space="preserve">8a4b98e2-d801-581a-bd1a-35b682a78f73</t>
  </si>
  <si>
    <t xml:space="preserve">8281da91-d13c-5034-8aae-3a424ae5431c</t>
  </si>
  <si>
    <t xml:space="preserve">406dab48-0129-56e5-8432-eca07cf92809</t>
  </si>
  <si>
    <t xml:space="preserve">96e5bd9f-aa20-554c-ba7d-4a867dfe9fce</t>
  </si>
  <si>
    <t xml:space="preserve">a5acfd5a-9d24-532c-a1aa-185ff4c94599</t>
  </si>
  <si>
    <t xml:space="preserve">69b35eb7-d239-57df-b375-1d55c29e3522</t>
  </si>
  <si>
    <t xml:space="preserve">d4eb2924-a04b-5965-af51-fb418381bc52</t>
  </si>
  <si>
    <t xml:space="preserve">d96bc96b-80d5-5fad-8284-f40068c19f09</t>
  </si>
  <si>
    <t xml:space="preserve">2ae544ee-5185-5d3e-9fbf-fd549b28670a</t>
  </si>
  <si>
    <t xml:space="preserve">1988 Ferrari 296 GTB</t>
  </si>
  <si>
    <t xml:space="preserve">56d2b593-22d5-50cd-a0db-acfc6bd8dcb0</t>
  </si>
  <si>
    <t xml:space="preserve">8f2e0361-ef9a-576d-83ac-12b895a5bf31</t>
  </si>
  <si>
    <t xml:space="preserve">7dc933a0-628d-54b2-9967-46dabfe6d84a</t>
  </si>
  <si>
    <t xml:space="preserve">5773af8c-7136-54d8-8dcc-f6cc2b9ec3dd</t>
  </si>
  <si>
    <t xml:space="preserve">50e88ea6-7bdf-59a7-9ee5-bb94c7a3365c</t>
  </si>
  <si>
    <t xml:space="preserve">1977 Maserati GranTurismo</t>
  </si>
  <si>
    <t xml:space="preserve">1b7e2834-b3e4-5aab-b200-fc5ceab077c7</t>
  </si>
  <si>
    <t xml:space="preserve">86113d13-c257-5aaf-a2a7-7ef09a8bdec9</t>
  </si>
  <si>
    <t xml:space="preserve">f7464410-561c-597a-9304-3ded2595369d</t>
  </si>
  <si>
    <t xml:space="preserve">d05063a7-20ad-5207-829b-61169281ac64</t>
  </si>
  <si>
    <t xml:space="preserve">0b0068cc-f598-5e8e-b5d2-2e891357af78</t>
  </si>
  <si>
    <t xml:space="preserve">1972 Aston Martin DB5</t>
  </si>
  <si>
    <t xml:space="preserve">98bfafd8-9684-58bf-9777-4d3713bc966e</t>
  </si>
  <si>
    <t xml:space="preserve">fc64e2c4-2fa2-52d6-8d69-6ac0d249203b</t>
  </si>
  <si>
    <t xml:space="preserve">2003 Icon Derelict</t>
  </si>
  <si>
    <t xml:space="preserve">56a5cd0b-d1e4-5adf-a96c-cd7d5a77d651</t>
  </si>
  <si>
    <t xml:space="preserve">78aa4654-c727-55e0-9496-46224326501b</t>
  </si>
  <si>
    <t xml:space="preserve">e1600143-a541-5772-ac20-4335f1e2c679</t>
  </si>
  <si>
    <t xml:space="preserve">b1ec4b18-b9a0-543a-bedf-6698e4e42938</t>
  </si>
  <si>
    <t xml:space="preserve">f2131a9a-d3fb-5569-9434-7acfd90aba11</t>
  </si>
  <si>
    <t xml:space="preserve">9c30a3dc-8b41-539f-9e83-81610fd5555f</t>
  </si>
  <si>
    <t xml:space="preserve">d4b0f4b4-d8e9-5290-a3b6-cb8c46b69d96</t>
  </si>
  <si>
    <t xml:space="preserve">bb388d79-ec92-5eb6-a38a-6f2d09eb65f4</t>
  </si>
  <si>
    <t xml:space="preserve">857a5f4f-851f-5e1c-b888-c5fb87aef08a</t>
  </si>
  <si>
    <t xml:space="preserve">27c61b25-9cb7-584f-9540-a11f407f1eed</t>
  </si>
  <si>
    <t xml:space="preserve">24d3aeef-8eac-524d-aa99-558d33157e45</t>
  </si>
  <si>
    <t xml:space="preserve">2016 BMW M8 Competition</t>
  </si>
  <si>
    <t xml:space="preserve">884ff17b-42de-57cd-addf-976285b4304f</t>
  </si>
  <si>
    <t xml:space="preserve">b9869b30-4a7f-57c3-9ebb-f479c17a0a56</t>
  </si>
  <si>
    <t xml:space="preserve">93a53f99-7d4b-518e-8b4c-3ab19bfcedf1</t>
  </si>
  <si>
    <t xml:space="preserve">dceb74d0-bbf2-5509-9718-f57940cb8fc9</t>
  </si>
  <si>
    <t xml:space="preserve">3371a3c5-ff1e-5ea7-86d6-c7fbba9f5c33</t>
  </si>
  <si>
    <t xml:space="preserve">1996 McLaren 750S</t>
  </si>
  <si>
    <t xml:space="preserve">e972f6bf-b201-5831-b6d5-bff234dd3b4e</t>
  </si>
  <si>
    <t xml:space="preserve">1968 Ferrari 275 GTB/4</t>
  </si>
  <si>
    <t xml:space="preserve">c661a1c8-f1e0-5902-8ba5-0a18edbdeba5</t>
  </si>
  <si>
    <t xml:space="preserve">01653f31-556a-5333-97d3-e8ea9ea8be1b</t>
  </si>
  <si>
    <t xml:space="preserve">93a57a54-3d75-5552-b17d-6b3d22a73df6</t>
  </si>
  <si>
    <t xml:space="preserve">2af50716-d480-5caf-ac0c-768e4868dd99</t>
  </si>
  <si>
    <t xml:space="preserve">053f333f-295a-5977-a082-8a035e5f1925</t>
  </si>
  <si>
    <t xml:space="preserve">3ee03dff-2ec7-566b-8606-686317d1c883</t>
  </si>
  <si>
    <t xml:space="preserve">2018 Mercedes-Benz 280SL Pagoda</t>
  </si>
  <si>
    <t xml:space="preserve">f4ace214-c902-5c4c-97f4-f45bc26c7663</t>
  </si>
  <si>
    <t xml:space="preserve">ec8f2266-6451-5090-96fd-0486909cbe04</t>
  </si>
  <si>
    <t xml:space="preserve">1635948c-b237-5994-a950-79da800f0726</t>
  </si>
  <si>
    <t xml:space="preserve">bee0edb9-4fbe-51b6-ad12-db84a6d75c6b</t>
  </si>
  <si>
    <t xml:space="preserve">2e632dee-0968-57cd-bb72-735d4648c21b</t>
  </si>
  <si>
    <t xml:space="preserve">8722de71-8bd5-5150-9b95-46d7d83f6daf</t>
  </si>
  <si>
    <t xml:space="preserve">69f1056d-e73b-5862-98f6-ad694ebda199</t>
  </si>
  <si>
    <t xml:space="preserve">ee6472a0-7a93-5248-b41e-96f8e8c5d65d</t>
  </si>
  <si>
    <t xml:space="preserve">24e88e1e-4944-5585-ab08-d89eec86392e</t>
  </si>
  <si>
    <t xml:space="preserve">01f3e4f2-e239-54ce-bb94-ccfd8238e2cb</t>
  </si>
  <si>
    <t xml:space="preserve">1963 Singer 911 Reimagined</t>
  </si>
  <si>
    <t xml:space="preserve">6464f988-40b6-57d7-82d7-b5a0a9baebfc</t>
  </si>
  <si>
    <t xml:space="preserve">06ac504a-6681-58d7-8a6c-b06635b2f6da</t>
  </si>
  <si>
    <t xml:space="preserve">3e7baf2c-be04-51d3-a203-77a7f72b6d09</t>
  </si>
  <si>
    <t xml:space="preserve">dc37c06b-d86f-58fc-a5b9-9da8b8418004</t>
  </si>
  <si>
    <t xml:space="preserve">3c49076e-0629-5fb8-917c-b3e168e27b13</t>
  </si>
  <si>
    <t xml:space="preserve">8a263b25-c8b5-5b36-b039-d4ffc23502ff</t>
  </si>
  <si>
    <t xml:space="preserve">cb97f3da-858e-5449-b150-98f6c449b45b</t>
  </si>
  <si>
    <t xml:space="preserve">39cef2ad-ed53-5f9f-953d-4ad81f013155</t>
  </si>
  <si>
    <t xml:space="preserve">fef91020-f4fb-502b-a800-7c73710a972f</t>
  </si>
  <si>
    <t xml:space="preserve">1979 Bentley 4.5 Litre</t>
  </si>
  <si>
    <t xml:space="preserve">288bc53e-9f15-543e-855d-6b2b439fe815</t>
  </si>
  <si>
    <t xml:space="preserve">b93cc51b-7ca5-5f7a-8be4-a96a4cdbe38e</t>
  </si>
  <si>
    <t xml:space="preserve">368f3b91-ccca-555a-ae5a-d3ab04dabc47</t>
  </si>
  <si>
    <t xml:space="preserve">2012 Ferrari 296 GTB</t>
  </si>
  <si>
    <t xml:space="preserve">6b7eaaa1-93cd-519b-880c-8802a360ac74</t>
  </si>
  <si>
    <t xml:space="preserve">b1e0fb6e-e20b-5f3a-a58f-3e50aeb5235b</t>
  </si>
  <si>
    <t xml:space="preserve">df10618e-8c61-5470-a8e6-763c6a31dba8</t>
  </si>
  <si>
    <t xml:space="preserve">255c454e-2dee-5e35-aa68-120b44acc472</t>
  </si>
  <si>
    <t xml:space="preserve">35a7cee9-b22b-56ba-a8d9-0983ad0fc1eb</t>
  </si>
  <si>
    <t xml:space="preserve">2005 Jaguar E-Type Series 1</t>
  </si>
  <si>
    <t xml:space="preserve">2860f836-bafc-5169-bb61-cd9f8202fc20</t>
  </si>
  <si>
    <t xml:space="preserve">03b48c0d-d914-59b4-a3fc-bd0281610da0</t>
  </si>
  <si>
    <t xml:space="preserve">431b6b44-2ddf-5204-894e-2f69389370d5</t>
  </si>
  <si>
    <t xml:space="preserve">4940c5c8-9ff1-5af4-a5c5-5254c0698237</t>
  </si>
  <si>
    <t xml:space="preserve">af025ce7-117f-54b1-9cf9-81de8e21c069</t>
  </si>
  <si>
    <t xml:space="preserve">e11c3239-ad86-564a-be13-e434db2feb15</t>
  </si>
  <si>
    <t xml:space="preserve">a8439cff-824c-5773-8f3b-990c1dab44aa</t>
  </si>
  <si>
    <t xml:space="preserve">31a0cb1c-e1a5-58c2-970f-fd8da4a03520</t>
  </si>
  <si>
    <t xml:space="preserve">1970 Alfa Romeo 8C 2900</t>
  </si>
  <si>
    <t xml:space="preserve">c23a2c63-22ea-59e4-8847-1e04a08e91f7</t>
  </si>
  <si>
    <t xml:space="preserve">ef253bcd-91bc-5674-8a4f-3004f9b32595</t>
  </si>
  <si>
    <t xml:space="preserve">91ff6d02-a1c4-5fd8-86ec-66692796da15</t>
  </si>
  <si>
    <t xml:space="preserve">a8d75bfe-75f3-5ad6-b497-ea359db346cc</t>
  </si>
  <si>
    <t xml:space="preserve">50afcc78-bf14-5fbe-9388-6c67ccbc6caf</t>
  </si>
  <si>
    <t xml:space="preserve">a297ec30-856b-5392-8803-5144819cb4fc</t>
  </si>
  <si>
    <t xml:space="preserve">af2af802-cb11-5561-8b32-b348cf18ad90</t>
  </si>
  <si>
    <t xml:space="preserve">1957 Ferrari SF90 Stradale</t>
  </si>
  <si>
    <t xml:space="preserve">538ee295-e718-535b-ba5c-b35e6ab6242d</t>
  </si>
  <si>
    <t xml:space="preserve">1967 Ferrari SF90 Stradale</t>
  </si>
  <si>
    <t xml:space="preserve">bb726bec-331b-53a4-a1c7-b292a40361f3</t>
  </si>
  <si>
    <t xml:space="preserve">a89691c8-b84d-5b0b-b01b-384a4c6d643d</t>
  </si>
  <si>
    <t xml:space="preserve">8329f737-514a-518a-806e-0e9c868e931f</t>
  </si>
  <si>
    <t xml:space="preserve">6570ad90-eaa4-596a-8ff9-d50634b34535</t>
  </si>
  <si>
    <t xml:space="preserve">dafd38e5-f414-5ff8-8c7d-cf1e86b7d1bc</t>
  </si>
  <si>
    <t xml:space="preserve">1992 Singer 911 Reimagined</t>
  </si>
  <si>
    <t xml:space="preserve">26f332bf-ae1a-50a0-9e8d-6bb088c204e2</t>
  </si>
  <si>
    <t xml:space="preserve">a2cd2650-2634-51c8-be37-d6822ba78e1a</t>
  </si>
  <si>
    <t xml:space="preserve">77be709c-0e20-5e7a-9485-c19a3a663ec9</t>
  </si>
  <si>
    <t xml:space="preserve">54865327-62b5-5b7f-ba23-d45d968dc5e2</t>
  </si>
  <si>
    <t xml:space="preserve">070ec35e-e82b-5306-b44c-d6bc55f6b904</t>
  </si>
  <si>
    <t xml:space="preserve">f9997b6f-b2a7-5995-b28e-7176523cb582</t>
  </si>
  <si>
    <t xml:space="preserve">ee51ff42-398b-5fe5-b233-715cd3dba51e</t>
  </si>
  <si>
    <t xml:space="preserve">ec0f5f41-1929-512f-9f0a-cc37461344af</t>
  </si>
  <si>
    <t xml:space="preserve">74300f2f-4744-5a85-abd0-354eb82a8823</t>
  </si>
  <si>
    <t xml:space="preserve">5eda670b-2078-53d2-9eab-52c902cd71c9</t>
  </si>
  <si>
    <t xml:space="preserve">49838ddd-c6f6-5529-9011-e83728fe3d63</t>
  </si>
  <si>
    <t xml:space="preserve">2008 BMW M8 Competition</t>
  </si>
  <si>
    <t xml:space="preserve">bae1da33-e779-5ba3-abfa-c9c62295ae84</t>
  </si>
  <si>
    <t xml:space="preserve">a00b74a0-656a-5c8f-b6f4-68e29ba1a15c</t>
  </si>
  <si>
    <t xml:space="preserve">8ce94650-72b0-5d0c-8634-6488dddee0ca</t>
  </si>
  <si>
    <t xml:space="preserve">6a088d09-36b2-55bf-82da-7b12be2a7df8</t>
  </si>
  <si>
    <t xml:space="preserve">98f19ef9-b26f-5abe-9b8e-ad0d0ec309d7</t>
  </si>
  <si>
    <t xml:space="preserve">1984 Jaguar E-Type Series 1</t>
  </si>
  <si>
    <t xml:space="preserve">b5651a04-6a24-5afc-9fd2-70ba015ce45b</t>
  </si>
  <si>
    <t xml:space="preserve">a207677c-d7f5-5180-accb-74c35c3cb85a</t>
  </si>
  <si>
    <t xml:space="preserve">2011 McLaren 750S</t>
  </si>
  <si>
    <t xml:space="preserve">9d711648-7fe0-579f-9485-910b0692ce9f</t>
  </si>
  <si>
    <t xml:space="preserve">60d2e437-6faf-5427-90bd-679a27b61bf2</t>
  </si>
  <si>
    <t xml:space="preserve">ea003da4-0c85-57a5-81f4-60f61b535b2d</t>
  </si>
  <si>
    <t xml:space="preserve">ba28c4e3-8959-575b-b877-0ab6fbf8a7f3</t>
  </si>
  <si>
    <t xml:space="preserve">51912358-501e-5402-92cc-c2d6926587d7</t>
  </si>
  <si>
    <t xml:space="preserve">05782a1b-d394-50fa-a9f2-5b0b87085ec6</t>
  </si>
  <si>
    <t xml:space="preserve">19722893-0102-51a4-a610-307aa8fba57c</t>
  </si>
  <si>
    <t xml:space="preserve">5e2fbd84-3c04-5424-91ad-b98983b99b9a</t>
  </si>
  <si>
    <t xml:space="preserve">c368a2e3-bc9f-50f7-9cde-b5b831701424</t>
  </si>
  <si>
    <t xml:space="preserve">7bd0cb5f-a923-5233-9c02-0eae635dbb59</t>
  </si>
  <si>
    <t xml:space="preserve">1995 Bugatti Type 57</t>
  </si>
  <si>
    <t xml:space="preserve">e7d8abdf-4bb7-5688-85cf-76cd11099006</t>
  </si>
  <si>
    <t xml:space="preserve">1814603c-a284-5747-bcda-c486435edaa2</t>
  </si>
  <si>
    <t xml:space="preserve">84e1407a-43a9-5859-8174-8912620cf6fb</t>
  </si>
  <si>
    <t xml:space="preserve">2bed9918-2545-52e8-85f1-4221836f6b90</t>
  </si>
  <si>
    <t xml:space="preserve">be39a3d3-b392-50ae-930d-663647b4ef8f</t>
  </si>
  <si>
    <t xml:space="preserve">620ba12e-9cfe-5ab2-a8ee-6edfd52119a3</t>
  </si>
  <si>
    <t xml:space="preserve">bd7d20b5-bcc6-5dee-b013-03260979df1c</t>
  </si>
  <si>
    <t xml:space="preserve">3f3a525c-a078-5265-94e5-586305ae006e</t>
  </si>
  <si>
    <t xml:space="preserve">889c3b9d-0924-5726-b7e3-2128d047e0d1</t>
  </si>
  <si>
    <t xml:space="preserve">d785dea9-ec43-5abd-9c8a-c7e1c77c1822</t>
  </si>
  <si>
    <t xml:space="preserve">5fb268df-b118-5f86-a204-6d6405c3c642</t>
  </si>
  <si>
    <t xml:space="preserve">1f19cf89-4fef-5eba-a7de-5fcbf6e64cdb</t>
  </si>
  <si>
    <t xml:space="preserve">b431bf80-fe3d-5a64-8c1b-a251447dd70f</t>
  </si>
  <si>
    <t xml:space="preserve">bf31f056-89ee-5874-96c9-7026c0d88f8f</t>
  </si>
  <si>
    <t xml:space="preserve">a864c8b9-e784-51a4-a81f-51cf26c5281d</t>
  </si>
  <si>
    <t xml:space="preserve">e33f37ae-74e2-53a2-bbdb-89461e0b61a8</t>
  </si>
  <si>
    <t xml:space="preserve">Monthly Rater — 2026-07  (Month 12 of 12)</t>
  </si>
  <si>
    <t xml:space="preserve">Softening index 0.7610. Rated Premium = ROUND(AgreedValue/100 × BaseRate × Territory × Softening ÷ Gross-Up, 2); ties to artifact premium within $0.01 (generator rounding).</t>
  </si>
  <si>
    <t xml:space="preserve">2026-07-12</t>
  </si>
  <si>
    <t xml:space="preserve">b7ad9ff3-e9bb-5054-acba-a7031808b3f4</t>
  </si>
  <si>
    <t xml:space="preserve">2026-07-25</t>
  </si>
  <si>
    <t xml:space="preserve">4bf877a0-28d7-5376-b5ac-08ee5b67b2b0</t>
  </si>
  <si>
    <t xml:space="preserve">2026-07-22</t>
  </si>
  <si>
    <t xml:space="preserve">931584dd-784b-595b-816a-6df0af59f72a</t>
  </si>
  <si>
    <t xml:space="preserve">2026-07-04</t>
  </si>
  <si>
    <t xml:space="preserve">bd50ba16-83ac-59bb-966a-e3b997d1fb90</t>
  </si>
  <si>
    <t xml:space="preserve">2026-07-18</t>
  </si>
  <si>
    <t xml:space="preserve">4ae87321-82f9-5686-8ae2-560777480d79</t>
  </si>
  <si>
    <t xml:space="preserve">2026-07-09</t>
  </si>
  <si>
    <t xml:space="preserve">437bff0c-4bce-5b3d-a039-e5f50173602d</t>
  </si>
  <si>
    <t xml:space="preserve">2026-07-21</t>
  </si>
  <si>
    <t xml:space="preserve">1c8f5271-abba-5d6a-82a6-8f7ff33c6dad</t>
  </si>
  <si>
    <t xml:space="preserve">075307a6-84a8-5beb-990a-2b9439144e73</t>
  </si>
  <si>
    <t xml:space="preserve">2026-07-28</t>
  </si>
  <si>
    <t xml:space="preserve">a5ba05a3-78d0-593c-8000-081d4e384c2a</t>
  </si>
  <si>
    <t xml:space="preserve">2026-07-10</t>
  </si>
  <si>
    <t xml:space="preserve">ca20442e-fbd4-5bd2-afe2-97953c39524b</t>
  </si>
  <si>
    <t xml:space="preserve">2026-07-15</t>
  </si>
  <si>
    <t xml:space="preserve">f7fc4243-6205-5ffc-b32f-78b6bf6665f7</t>
  </si>
  <si>
    <t xml:space="preserve">2026-07-03</t>
  </si>
  <si>
    <t xml:space="preserve">e4e10918-7793-56b9-92bb-7848ceb65dcd</t>
  </si>
  <si>
    <t xml:space="preserve">2026-07-20</t>
  </si>
  <si>
    <t xml:space="preserve">38e32e9f-ff7e-5687-9053-dd1d715ee0bb</t>
  </si>
  <si>
    <t xml:space="preserve">ef8a1ea7-a969-56f5-b6c1-b8e975fadf20</t>
  </si>
  <si>
    <t xml:space="preserve">1981 Aston Martin DB5</t>
  </si>
  <si>
    <t xml:space="preserve">6deb1661-b439-5eac-b873-5594903609b7</t>
  </si>
  <si>
    <t xml:space="preserve">2026-07-30</t>
  </si>
  <si>
    <t xml:space="preserve">2fc5a222-a3a4-5a12-b551-49f0f2634fe7</t>
  </si>
  <si>
    <t xml:space="preserve">9177d4ce-cc18-54f9-bdcf-db8ea9f751c2</t>
  </si>
  <si>
    <t xml:space="preserve">1978 Ferrari 275 GTB/4</t>
  </si>
  <si>
    <t xml:space="preserve">2026-07-02</t>
  </si>
  <si>
    <t xml:space="preserve">d9df6d0b-4afb-50c0-8846-ff43ea06e644</t>
  </si>
  <si>
    <t xml:space="preserve">2026-07-11</t>
  </si>
  <si>
    <t xml:space="preserve">d608e9e3-939b-5203-8d6c-f6feb6e2d831</t>
  </si>
  <si>
    <t xml:space="preserve">4f1705c8-5ed2-5779-b26b-fbe6f851a9a6</t>
  </si>
  <si>
    <t xml:space="preserve">fe1dd811-039c-590a-adf9-f6be7fc10a71</t>
  </si>
  <si>
    <t xml:space="preserve">2026-07-08</t>
  </si>
  <si>
    <t xml:space="preserve">fb766491-bc83-5f1e-be0f-412e82e85ca8</t>
  </si>
  <si>
    <t xml:space="preserve">9f64454e-61bb-5408-81e2-7ee420aa9401</t>
  </si>
  <si>
    <t xml:space="preserve">1978 Alfa Romeo 8C 2900</t>
  </si>
  <si>
    <t xml:space="preserve">0f1f435c-4840-53a6-9061-e4c2ff2cf1fe</t>
  </si>
  <si>
    <t xml:space="preserve">2004 Ferrari SF90 Stradale</t>
  </si>
  <si>
    <t xml:space="preserve">2026-07-01</t>
  </si>
  <si>
    <t xml:space="preserve">f6525afd-f4b8-501e-88b6-860566cdb9e6</t>
  </si>
  <si>
    <t xml:space="preserve">2026-07-26</t>
  </si>
  <si>
    <t xml:space="preserve">3420e1ee-31aa-5bf2-a886-0d2cd95878a1</t>
  </si>
  <si>
    <t xml:space="preserve">2026-07-14</t>
  </si>
  <si>
    <t xml:space="preserve">03a86fc4-d387-581a-ae5f-403fe9432cad</t>
  </si>
  <si>
    <t xml:space="preserve">98e0d11b-ad71-5220-b0c5-bcaf41251f25</t>
  </si>
  <si>
    <t xml:space="preserve">00f609b7-dae7-5726-ac58-ae2f7fb65a1c</t>
  </si>
  <si>
    <t xml:space="preserve">2026-07-17</t>
  </si>
  <si>
    <t xml:space="preserve">0b8a0b74-3424-563f-983c-8692227c175c</t>
  </si>
  <si>
    <t xml:space="preserve">cc1957a1-d1e3-5251-b270-f3a290edf0c9</t>
  </si>
  <si>
    <t xml:space="preserve">2020 Jaguar E-Type Series 1</t>
  </si>
  <si>
    <t xml:space="preserve">57581d13-5cf6-517e-a269-f0949ea61a76</t>
  </si>
  <si>
    <t xml:space="preserve">3d128ce0-ba1b-531c-94f0-f0c000e6a813</t>
  </si>
  <si>
    <t xml:space="preserve">1959 Bentley 4.5 Litre</t>
  </si>
  <si>
    <t xml:space="preserve">2026-07-05</t>
  </si>
  <si>
    <t xml:space="preserve">d68dd783-ba5e-5573-b8c5-f091cb1148b2</t>
  </si>
  <si>
    <t xml:space="preserve">2026-07-27</t>
  </si>
  <si>
    <t xml:space="preserve">4289145b-ff5f-5e51-b506-598fdf9582c0</t>
  </si>
  <si>
    <t xml:space="preserve">2026-07-31</t>
  </si>
  <si>
    <t xml:space="preserve">565c5add-8937-502b-915b-6883ba31fd3b</t>
  </si>
  <si>
    <t xml:space="preserve">c48dc512-35c2-5db3-8dd9-b0b192df62ac</t>
  </si>
  <si>
    <t xml:space="preserve">1969 Ferrari 275 GTB/4</t>
  </si>
  <si>
    <t xml:space="preserve">85dd7acc-b479-5f81-8ad0-284fc8b34391</t>
  </si>
  <si>
    <t xml:space="preserve">cd8ba3ba-0d61-56b9-8579-300f630e4c7d</t>
  </si>
  <si>
    <t xml:space="preserve">21b6989c-6342-5531-bda2-1808d89d4e5a</t>
  </si>
  <si>
    <t xml:space="preserve">2026-07-29</t>
  </si>
  <si>
    <t xml:space="preserve">d36f1729-19e3-52ca-badd-baaf11a18184</t>
  </si>
  <si>
    <t xml:space="preserve">03bf3635-ed2b-52e7-aea0-66d35f34072d</t>
  </si>
  <si>
    <t xml:space="preserve">2026-07-19</t>
  </si>
  <si>
    <t xml:space="preserve">c86c84b8-8a6d-510d-affb-448bfb8f2f16</t>
  </si>
  <si>
    <t xml:space="preserve">23b568e1-fe0f-5b30-b78d-177daccfc07f</t>
  </si>
  <si>
    <t xml:space="preserve">74d13cd0-8cd8-5957-a7cc-bc6662157d31</t>
  </si>
  <si>
    <t xml:space="preserve">3d45db9d-2d60-5315-9d23-9c73d17bb221</t>
  </si>
  <si>
    <t xml:space="preserve">03fd3c15-0493-5f45-87d9-093331fba039</t>
  </si>
  <si>
    <t xml:space="preserve">0a894786-99df-57e2-98c7-9c8442f7f0be</t>
  </si>
  <si>
    <t xml:space="preserve">5721e452-d6dd-563d-a735-b2eb77a99328</t>
  </si>
  <si>
    <t xml:space="preserve">e6904e47-b071-5315-a810-e8e4713110d5</t>
  </si>
  <si>
    <t xml:space="preserve">b2a83b88-7406-5e92-abaa-54e4d71a7979</t>
  </si>
  <si>
    <t xml:space="preserve">be2ab259-d09e-5326-94ea-4eaa150e5249</t>
  </si>
  <si>
    <t xml:space="preserve">ff57c5fd-a4cc-53c9-a0a8-98f6f82bac3b</t>
  </si>
  <si>
    <t xml:space="preserve">0f1ed644-7e82-5ef8-9182-9ca5dd32a1b6</t>
  </si>
  <si>
    <t xml:space="preserve">1965 Ferrari 296 GTB</t>
  </si>
  <si>
    <t xml:space="preserve">1d112bbb-a90d-5bbf-8212-3f70478eba4b</t>
  </si>
  <si>
    <t xml:space="preserve">4e40b635-d3c3-5104-b13e-bfe0810e21eb</t>
  </si>
  <si>
    <t xml:space="preserve">621fa043-bfc3-5c82-a895-72cbe814b65a</t>
  </si>
  <si>
    <t xml:space="preserve">8fcf0e62-34f6-5034-b3db-c672cef01771</t>
  </si>
  <si>
    <t xml:space="preserve">bac0919c-cb65-5fa7-bcb0-11091e8bd0f0</t>
  </si>
  <si>
    <t xml:space="preserve">1978 Aston Martin DB5</t>
  </si>
  <si>
    <t xml:space="preserve">3025f4b3-e39d-5f9c-afda-cc50be7b5a16</t>
  </si>
  <si>
    <t xml:space="preserve">042163f0-c125-5a8e-a66c-621fb02a225e</t>
  </si>
  <si>
    <t xml:space="preserve">22e69e2c-84eb-57dd-aa50-d3121df8965a</t>
  </si>
  <si>
    <t xml:space="preserve">2026-07-13</t>
  </si>
  <si>
    <t xml:space="preserve">3ebd360b-1708-56df-8797-ecace8b90144</t>
  </si>
  <si>
    <t xml:space="preserve">2026-07-23</t>
  </si>
  <si>
    <t xml:space="preserve">376394b9-f5ad-5d41-874d-f9b848ef9adc</t>
  </si>
  <si>
    <t xml:space="preserve">2026-07-16</t>
  </si>
  <si>
    <t xml:space="preserve">f61cef32-65ab-57a9-a392-9cdcdc0a201f</t>
  </si>
  <si>
    <t xml:space="preserve">636d2b09-b5f7-58b6-a2ed-ae563f1b3895</t>
  </si>
  <si>
    <t xml:space="preserve">71e153f8-baa5-5993-baed-4180d5d79cf7</t>
  </si>
  <si>
    <t xml:space="preserve">6473c0cc-132e-5fbd-836e-663d13707899</t>
  </si>
  <si>
    <t xml:space="preserve">f8b59182-5273-530e-9a94-d44f3295c688</t>
  </si>
  <si>
    <t xml:space="preserve">afa14b4c-b436-50c7-bdd7-57a7ac97142f</t>
  </si>
  <si>
    <t xml:space="preserve">e60956fe-219a-57f1-be90-bf4030f52494</t>
  </si>
  <si>
    <t xml:space="preserve">2e51c1fb-00f9-5ee2-8a83-2320cdad99dd</t>
  </si>
  <si>
    <t xml:space="preserve">1dd2a9dd-a714-5f38-8001-048d3d8f2222</t>
  </si>
  <si>
    <t xml:space="preserve">e014f3d8-7947-55a2-95ac-96b9301dce69</t>
  </si>
  <si>
    <t xml:space="preserve">92ef7fab-2977-59a6-bd7c-b31b8b4eb58d</t>
  </si>
  <si>
    <t xml:space="preserve">6140e06d-db31-548e-b51b-a0e0ad1676fe</t>
  </si>
  <si>
    <t xml:space="preserve">f8834eab-e8c5-596d-b58e-9e0cf842612e</t>
  </si>
  <si>
    <t xml:space="preserve">d2017214-d4ec-56ed-9641-7d54884a5209</t>
  </si>
  <si>
    <t xml:space="preserve">fa9cf765-2cb9-53f8-ba1f-2896f5dced0e</t>
  </si>
  <si>
    <t xml:space="preserve">7c99198e-9a23-5df5-9986-9645457799f3</t>
  </si>
  <si>
    <t xml:space="preserve">82e6160b-29bf-54bf-9ce6-362086499041</t>
  </si>
  <si>
    <t xml:space="preserve">22a97b86-da9d-58e2-9b64-19348dc3b414</t>
  </si>
  <si>
    <t xml:space="preserve">39c52755-1d2f-5ccb-8024-a1c8e082dbfa</t>
  </si>
  <si>
    <t xml:space="preserve">af3b5d6a-498e-5bfc-b79d-9e7c4bb07a13</t>
  </si>
  <si>
    <t xml:space="preserve">2019 Lamborghini Huracan EVO</t>
  </si>
  <si>
    <t xml:space="preserve">4909dca4-a5c6-5720-9ce8-30d957779856</t>
  </si>
  <si>
    <t xml:space="preserve">0b8cdaab-f62f-5de7-9217-c327c4df38ca</t>
  </si>
  <si>
    <t xml:space="preserve">c02d44a2-4e57-5bb6-af9c-4edecdaa9c64</t>
  </si>
  <si>
    <t xml:space="preserve">2026-07-24</t>
  </si>
  <si>
    <t xml:space="preserve">be7dce0a-71ad-54a6-8fbc-25498784c1cb</t>
  </si>
  <si>
    <t xml:space="preserve">ff1772bf-8c67-5b51-94eb-894f6cb9083c</t>
  </si>
  <si>
    <t xml:space="preserve">88b6b78b-e0db-5caa-9c52-aa9b7b6c2683</t>
  </si>
  <si>
    <t xml:space="preserve">6bf5ad47-b33f-5331-bc04-2b5b4b90cb9e</t>
  </si>
  <si>
    <t xml:space="preserve">639b6564-7a44-5317-aaab-6d37be4ed881</t>
  </si>
  <si>
    <t xml:space="preserve">60ee3658-1b88-5f9c-95b7-8afe0e4d7781</t>
  </si>
  <si>
    <t xml:space="preserve">c3dddce4-29f8-5f2f-b384-cee8fc5aae6d</t>
  </si>
  <si>
    <t xml:space="preserve">6157c53b-3b7c-5452-93cb-2b51c4ec5662</t>
  </si>
  <si>
    <t xml:space="preserve">5b544515-bd18-55a1-93be-031b4c67aa6c</t>
  </si>
  <si>
    <t xml:space="preserve">2672481b-e982-50ff-9ef3-7ea5ba4c8b38</t>
  </si>
  <si>
    <t xml:space="preserve">08b4b71e-e60c-5e09-a16f-4fcd2cd1aa77</t>
  </si>
  <si>
    <t xml:space="preserve">5d478997-7581-5f53-9a51-16daff08ddc7</t>
  </si>
  <si>
    <t xml:space="preserve">0c77ac80-8ec0-556a-8b10-ec4e4d577dd5</t>
  </si>
  <si>
    <t xml:space="preserve">2026-07-06</t>
  </si>
  <si>
    <t xml:space="preserve">00302090-c7b8-5f67-a97c-6f2803e11151</t>
  </si>
  <si>
    <t xml:space="preserve">0765308f-a934-5493-ae1e-0d548485c4f4</t>
  </si>
  <si>
    <t xml:space="preserve">510dbee2-0de8-559b-a1e2-f7f19a882ab2</t>
  </si>
  <si>
    <t xml:space="preserve">c3cc0fe1-6d71-50ea-8a46-4534d2cbae57</t>
  </si>
  <si>
    <t xml:space="preserve">124d8527-2669-5f11-b357-4493a041759e</t>
  </si>
  <si>
    <t xml:space="preserve">08d54dee-276a-5ba7-a6ba-ef1772521345</t>
  </si>
  <si>
    <t xml:space="preserve">ecfaadac-088a-5b75-a0e3-78d81505c7ef</t>
  </si>
  <si>
    <t xml:space="preserve">4ea5bfb6-bd37-5cfb-ae40-ecd80780065c</t>
  </si>
  <si>
    <t xml:space="preserve">8126d5fd-b2f8-5a03-804c-e8a866b9b56e</t>
  </si>
  <si>
    <t xml:space="preserve">1955 Ferrari 296 GTB</t>
  </si>
  <si>
    <t xml:space="preserve">85c032f7-400d-5077-8f58-cc95c3471b63</t>
  </si>
  <si>
    <t xml:space="preserve">2004 Singer 911 Reimagined</t>
  </si>
  <si>
    <t xml:space="preserve">72a9d3c2-cf29-5e33-9db8-e2721d2237de</t>
  </si>
  <si>
    <t xml:space="preserve">5dd49bf3-15a0-50db-b511-4267e269543a</t>
  </si>
  <si>
    <t xml:space="preserve">b6c633cd-2888-5561-86ba-3e7b245b4e6f</t>
  </si>
  <si>
    <t xml:space="preserve">ed8ef060-edeb-5566-a4e7-7781b3015059</t>
  </si>
  <si>
    <t xml:space="preserve">aac4322a-c86d-580e-a82b-dbacdac51a14</t>
  </si>
  <si>
    <t xml:space="preserve">a196bd7e-b66a-597e-b9d1-1af313d29acc</t>
  </si>
  <si>
    <t xml:space="preserve">81ea812e-b72d-554d-80f0-4d45da8c80df</t>
  </si>
  <si>
    <t xml:space="preserve">81e6b132-813e-5c57-9088-7303b30c3c78</t>
  </si>
  <si>
    <t xml:space="preserve">76a624da-7303-5dda-98ac-b288f86eae3c</t>
  </si>
  <si>
    <t xml:space="preserve">a96ab6e3-b2a0-5998-8f67-f04965ffe73b</t>
  </si>
  <si>
    <t xml:space="preserve">7b859010-c37e-567d-81cf-6d3f83cfadc3</t>
  </si>
  <si>
    <t xml:space="preserve">ff821cac-c5ce-5693-8da9-7b5f9f8a61d9</t>
  </si>
  <si>
    <t xml:space="preserve">959a40e2-ec3b-509c-a36a-4b177806ee74</t>
  </si>
  <si>
    <t xml:space="preserve">3556f6c2-ddb6-53c0-8c94-8a1320e89d14</t>
  </si>
  <si>
    <t xml:space="preserve">0cd54e85-06e5-5076-a1de-0c003a91f76c</t>
  </si>
  <si>
    <t xml:space="preserve">a8b3983d-d871-56f5-aeac-726c9b24ae4e</t>
  </si>
  <si>
    <t xml:space="preserve">f5957460-e06d-5107-a9f5-e678e4d714e1</t>
  </si>
  <si>
    <t xml:space="preserve">b15f32cb-24ff-50fc-ae25-f36c23cc25b2</t>
  </si>
  <si>
    <t xml:space="preserve">3fc56127-26d0-5154-bd84-b64d613fd97f</t>
  </si>
  <si>
    <t xml:space="preserve">9f37ad58-5d0d-5f94-baeb-1732e4f78a93</t>
  </si>
  <si>
    <t xml:space="preserve">bd2a8bca-072b-5c7e-b3b4-ab670711fb34</t>
  </si>
  <si>
    <t xml:space="preserve">b2d26f11-c6db-5064-b57e-047d95573fbc</t>
  </si>
  <si>
    <t xml:space="preserve">2026-07-07</t>
  </si>
  <si>
    <t xml:space="preserve">f1bef85e-3cff-575b-a836-cf9ce5093c77</t>
  </si>
  <si>
    <t xml:space="preserve">e1813aa8-0d6b-56ef-b8e0-55c6adfa42da</t>
  </si>
  <si>
    <t xml:space="preserve">43a7f994-01ae-5bf8-9ac5-3ff5076eeab7</t>
  </si>
  <si>
    <t xml:space="preserve">1e6f9477-814a-57d4-ba9b-9362f1b23cc4</t>
  </si>
  <si>
    <t xml:space="preserve">ef6b5bf3-a157-5a37-84f6-9d1f25eb0edd</t>
  </si>
  <si>
    <t xml:space="preserve">1973 Singer 911 Reimagined</t>
  </si>
  <si>
    <t xml:space="preserve">84513c43-b7d3-50e6-8093-3bb9432d03a1</t>
  </si>
  <si>
    <t xml:space="preserve">19f3bc1e-b62b-5aca-80d8-eb018805aeb7</t>
  </si>
  <si>
    <t xml:space="preserve">12e684b4-4249-5e02-b168-f00ce5ba5c9e</t>
  </si>
  <si>
    <t xml:space="preserve">3c7e6143-deff-5c96-bf2e-0df264a28a86</t>
  </si>
  <si>
    <t xml:space="preserve">115ffeae-fc9e-5389-93d6-f7c088f8922a</t>
  </si>
  <si>
    <t xml:space="preserve">3b4db6aa-9eac-533f-92f5-f219e0644bb2</t>
  </si>
  <si>
    <t xml:space="preserve">3189213f-328b-5a85-b353-f27161ba8a52</t>
  </si>
  <si>
    <t xml:space="preserve">5d6b6b74-b7e3-5861-9143-fe981ada462a</t>
  </si>
  <si>
    <t xml:space="preserve">98829305-0f6e-55b6-a224-3271ca3701e1</t>
  </si>
  <si>
    <t xml:space="preserve">f686eb7c-5432-5f49-a651-9c8387b5696b</t>
  </si>
  <si>
    <t xml:space="preserve">03f34d07-23be-55ed-8a00-8d445a9a3204</t>
  </si>
  <si>
    <t xml:space="preserve">3f0f1c7b-ca06-5b2f-8f38-215572e36f31</t>
  </si>
  <si>
    <t xml:space="preserve">23ae9ebf-789a-5e23-ac77-0ccd5ae69fc0</t>
  </si>
  <si>
    <t xml:space="preserve">3ebcba21-c481-5c55-b06a-d6db10708652</t>
  </si>
  <si>
    <t xml:space="preserve">6871421c-7885-564f-a623-ede520d32812</t>
  </si>
  <si>
    <t xml:space="preserve">2019 Icon Derelict</t>
  </si>
  <si>
    <t xml:space="preserve">88b68ba2-1593-5675-a689-3b7331e3f0bb</t>
  </si>
  <si>
    <t xml:space="preserve">1974 Lamborghini Huracan EVO</t>
  </si>
  <si>
    <t xml:space="preserve">96da12a5-b693-5ede-8ef2-69d37c957f0e</t>
  </si>
  <si>
    <t xml:space="preserve">8b9b9d3f-8c9d-5587-b035-17482253b888</t>
  </si>
  <si>
    <t xml:space="preserve">770cf35f-2d73-5de0-b112-095ebfaa2a46</t>
  </si>
  <si>
    <t xml:space="preserve">2fefc053-5190-56af-a2ef-247580af41df</t>
  </si>
  <si>
    <t xml:space="preserve">4ed434fb-4d2f-5b15-95b8-1918b9cb3a7e</t>
  </si>
  <si>
    <t xml:space="preserve">9c083c01-0924-5b2e-b5c1-f6bdbb8f5640</t>
  </si>
  <si>
    <t xml:space="preserve">2cd59b2b-0ef4-55dc-b5cd-f25a0b33d515</t>
  </si>
  <si>
    <t xml:space="preserve">cd77ddd4-4e3f-5c23-bcaa-081a064e8947</t>
  </si>
  <si>
    <t xml:space="preserve">ad39a628-ac33-5f5f-99bc-2e6076c126c2</t>
  </si>
  <si>
    <t xml:space="preserve">0fc21f18-5d7d-5600-bf91-ba7d426db301</t>
  </si>
  <si>
    <t xml:space="preserve">3e4e6a0a-305e-54bb-b2b1-c9a40b4727ee</t>
  </si>
  <si>
    <t xml:space="preserve">11051ec8-e45e-5e22-b2ee-a2ef728b9406</t>
  </si>
  <si>
    <t xml:space="preserve">3857ef93-65a3-52f5-b29e-18d27f91ccad</t>
  </si>
  <si>
    <t xml:space="preserve">1974 Bentley 4.5 Litre</t>
  </si>
  <si>
    <t xml:space="preserve">cfb46525-06d3-5b67-a028-44351c0c47cb</t>
  </si>
  <si>
    <t xml:space="preserve">dc339f1a-0991-5007-bcea-8d23fd1e56f1</t>
  </si>
  <si>
    <t xml:space="preserve">19f10ab8-7ec3-5a4a-8566-4e37aef7f141</t>
  </si>
  <si>
    <t xml:space="preserve">f52c90e2-7798-5cd9-964b-99ea806204b2</t>
  </si>
  <si>
    <t xml:space="preserve">11d7591a-c013-5d8f-af45-63e877030947</t>
  </si>
  <si>
    <t xml:space="preserve">e290bcf6-79e4-51c8-952b-6c760b942c22</t>
  </si>
  <si>
    <t xml:space="preserve">1976 Ferrari SF90 Stradale</t>
  </si>
  <si>
    <t xml:space="preserve">f98e2ca3-6115-517e-bb00-8501b1221ec0</t>
  </si>
  <si>
    <t xml:space="preserve">79b01b70-2543-5432-82f7-19562c1e5376</t>
  </si>
  <si>
    <t xml:space="preserve">9aa1f9ff-ff81-51c6-bf75-d507dad08ef6</t>
  </si>
  <si>
    <t xml:space="preserve">2a8767d9-22bf-56d4-8900-7e4841578139</t>
  </si>
  <si>
    <t xml:space="preserve">2009 McLaren 750S</t>
  </si>
  <si>
    <t xml:space="preserve">d4a55d8b-9db5-5d99-bd18-6c3d8901161c</t>
  </si>
  <si>
    <t xml:space="preserve">27e19c2a-50c5-5928-9662-e64adce1a6fb</t>
  </si>
  <si>
    <t xml:space="preserve">1982 Bentley 4.5 Litre</t>
  </si>
  <si>
    <t xml:space="preserve">a8211ad4-0ec8-5f08-96e5-2d8d56f6c0fe</t>
  </si>
  <si>
    <t xml:space="preserve">577b903b-68c7-5966-804a-001ed6770635</t>
  </si>
  <si>
    <t xml:space="preserve">4f3a85e3-d8e9-5542-8aa5-4e8d801481d9</t>
  </si>
  <si>
    <t xml:space="preserve">cf61d3ae-6e65-59da-a18e-3d04949b6348</t>
  </si>
  <si>
    <t xml:space="preserve">f56fd8bd-45c9-5669-bfda-dc5f5b901544</t>
  </si>
  <si>
    <t xml:space="preserve">23ae819d-3d30-5188-9bbb-4ead1156da9e</t>
  </si>
  <si>
    <t xml:space="preserve">11473d6a-147f-5227-85fa-ca81b6c871cb</t>
  </si>
  <si>
    <t xml:space="preserve">e0cb6115-09fd-51ab-a98e-6a9884595b44</t>
  </si>
  <si>
    <t xml:space="preserve">d3dce06c-86ad-587d-b348-14b4e8ee8785</t>
  </si>
  <si>
    <t xml:space="preserve">e796e2fd-0d60-5200-a39c-c3d6ab2ad0ef</t>
  </si>
  <si>
    <t xml:space="preserve">0f01fcc7-3985-5ac6-8889-331b89e79f88</t>
  </si>
  <si>
    <t xml:space="preserve">59e2f16c-c2fd-5985-847a-f35fa4818b90</t>
  </si>
  <si>
    <t xml:space="preserve">c6457c88-fec3-5190-b5cf-69ef1da23513</t>
  </si>
  <si>
    <t xml:space="preserve">99d88533-3964-5d36-8f99-7cc10ada12ca</t>
  </si>
  <si>
    <t xml:space="preserve">dd8044b3-955d-51de-93f6-ee77a1721620</t>
  </si>
  <si>
    <t xml:space="preserve">463e2915-ab4c-5915-b3ba-9673c2f170dd</t>
  </si>
  <si>
    <t xml:space="preserve">48cd5a85-e159-5ccf-bd15-c7ee5806bd9f</t>
  </si>
  <si>
    <t xml:space="preserve">619b32f6-f816-50c1-a80f-40337fb736af</t>
  </si>
  <si>
    <t xml:space="preserve">0bc00829-bba6-5626-aef7-fce10f65fdf5</t>
  </si>
  <si>
    <t xml:space="preserve">9ada43ae-b4b1-5e58-859e-475b72d1bd39</t>
  </si>
  <si>
    <t xml:space="preserve">c8ce3539-3608-5eed-8219-bcb48fa51624</t>
  </si>
  <si>
    <t xml:space="preserve">1980 Lamborghini Huracan EVO</t>
  </si>
  <si>
    <t xml:space="preserve">cca470a9-4a23-5da5-97b7-b4df8134e02b</t>
  </si>
  <si>
    <t xml:space="preserve">2001 Ringbrothers Mustang</t>
  </si>
  <si>
    <t xml:space="preserve">00b59400-7342-556f-8c2b-dfa205537a70</t>
  </si>
  <si>
    <t xml:space="preserve">8b77359f-0b2a-54d6-a33c-e5b320381959</t>
  </si>
  <si>
    <t xml:space="preserve">a5dd3e0a-a496-5eb7-99dc-45495aca5299</t>
  </si>
  <si>
    <t xml:space="preserve">31aed171-dfec-587e-9b78-bc8b53db3ce4</t>
  </si>
  <si>
    <t xml:space="preserve">a2a40fc7-da1c-5cad-8d2a-cfd778729468</t>
  </si>
  <si>
    <t xml:space="preserve">2024 McLaren 750S</t>
  </si>
  <si>
    <t xml:space="preserve">d3981cad-84ce-53a7-bf7f-0d25b462bf45</t>
  </si>
  <si>
    <t xml:space="preserve">5aa4c528-2ce5-5bd3-93da-881d7ecbdc91</t>
  </si>
  <si>
    <t xml:space="preserve">44168395-2d9e-5098-acdb-6f00a6c744d6</t>
  </si>
  <si>
    <t xml:space="preserve">ccf5b360-358d-5223-955d-7de9739899a0</t>
  </si>
  <si>
    <t xml:space="preserve">d28f0871-671a-52fa-81cf-1c4b90c4a374</t>
  </si>
  <si>
    <t xml:space="preserve">5b82039e-2da8-5106-be0c-eebfe4da4232</t>
  </si>
  <si>
    <t xml:space="preserve">3b7a4bcd-5dc8-516c-8767-69181767dd2c</t>
  </si>
  <si>
    <t xml:space="preserve">c18d8bbb-5038-589d-8907-d8e6eda4cf1d</t>
  </si>
  <si>
    <t xml:space="preserve">64e6f645-be6c-5cee-aea8-0e88149c3808</t>
  </si>
  <si>
    <t xml:space="preserve">b3a19e2d-e55f-594b-aaad-5b637b7bb053</t>
  </si>
  <si>
    <t xml:space="preserve">f28c5b82-de98-54b1-a62d-86b0ab85ad37</t>
  </si>
  <si>
    <t xml:space="preserve">fb2f09b3-a74e-56e2-b027-6ec767dc7821</t>
  </si>
  <si>
    <t xml:space="preserve">1cd5ca65-7d60-55f0-83b3-f30735ac234f</t>
  </si>
  <si>
    <t xml:space="preserve">dd5804a8-8596-51e2-9e56-fbfaedd21d60</t>
  </si>
  <si>
    <t xml:space="preserve">2003 Ferrari SF90 Stradale</t>
  </si>
  <si>
    <t xml:space="preserve">f05e60bd-b8e7-5d0d-8975-e155b6f46064</t>
  </si>
  <si>
    <t xml:space="preserve">4568bd93-3097-5f11-8b99-ee057676faed</t>
  </si>
  <si>
    <t xml:space="preserve">74c1ba3c-c0aa-53f6-a8b6-bf9dd2cfc268</t>
  </si>
  <si>
    <t xml:space="preserve">a212bc84-93cf-5fc6-919b-cbd2f5b787cc</t>
  </si>
  <si>
    <t xml:space="preserve">7284537c-82a9-5360-a58e-97c3dde33f7e</t>
  </si>
  <si>
    <t xml:space="preserve">a10c5c4c-2188-53c1-b307-d5675771b23b</t>
  </si>
  <si>
    <t xml:space="preserve">282dee70-8744-561b-a701-5de4f45b9718</t>
  </si>
  <si>
    <t xml:space="preserve">1978 McLaren 750S</t>
  </si>
  <si>
    <t xml:space="preserve">c7508420-0532-5267-8b00-31ec853ef8be</t>
  </si>
  <si>
    <t xml:space="preserve">978f0125-0d0d-5c18-b2d0-d44075ac8071</t>
  </si>
  <si>
    <t xml:space="preserve">bb7e7e27-b3d4-543a-b799-2d4593bb77ed</t>
  </si>
  <si>
    <t xml:space="preserve">1989 Lamborghini Huracan EVO</t>
  </si>
  <si>
    <t xml:space="preserve">8cb728ea-8b67-53fb-8d7e-ffb877c8410e</t>
  </si>
  <si>
    <t xml:space="preserve">49f25e54-a0d2-5751-9dba-9dab514830b2</t>
  </si>
  <si>
    <t xml:space="preserve">e2c6634b-d82c-5959-908e-6a299aedd0d7</t>
  </si>
  <si>
    <t xml:space="preserve">5db47f58-78c1-501d-bdfe-b8ab192e0d18</t>
  </si>
  <si>
    <t xml:space="preserve">92411948-4cb3-5975-88cc-f7e78a0dd909</t>
  </si>
  <si>
    <t xml:space="preserve">8a9b607a-8e22-5a08-9364-924f59867905</t>
  </si>
  <si>
    <t xml:space="preserve">c2c41fb5-e00d-53fb-8cce-afc0781df23e</t>
  </si>
  <si>
    <t xml:space="preserve">22b5b2a9-a2a5-54bc-8eda-04e7b07d6561</t>
  </si>
  <si>
    <t xml:space="preserve">91b88e5e-e04a-5e54-ae22-eb24ead850a2</t>
  </si>
  <si>
    <t xml:space="preserve">8602c284-aa63-568d-936a-a8c6c75c68ba</t>
  </si>
  <si>
    <t xml:space="preserve">f83634ae-9c87-5d19-a347-78a90bbcca45</t>
  </si>
  <si>
    <t xml:space="preserve">afe055df-c34a-54ba-b312-bc9fe1e9819d</t>
  </si>
  <si>
    <t xml:space="preserve">1ef51056-8ed1-5d46-acf0-3fc3cf8c00df</t>
  </si>
  <si>
    <t xml:space="preserve">c105e73e-b19b-5f7a-9f73-c0175f1955ee</t>
  </si>
  <si>
    <t xml:space="preserve">15f88cb8-a09a-5d04-a09d-ee860d13e295</t>
  </si>
  <si>
    <t xml:space="preserve">f0cdba5e-63f9-5d91-8718-e044bc151ccf</t>
  </si>
  <si>
    <t xml:space="preserve">2f718d4c-a77f-50c1-a395-04ca4569b2fc</t>
  </si>
  <si>
    <t xml:space="preserve">53aa4e77-6d95-5d7e-8f34-ca09bc7ed1d9</t>
  </si>
  <si>
    <t xml:space="preserve">750f5f8b-b5c4-5278-9bc3-37d478956708</t>
  </si>
  <si>
    <t xml:space="preserve">982df6aa-b33b-58ce-a7cb-c8640eef330e</t>
  </si>
  <si>
    <t xml:space="preserve">7efdf9b4-c140-5e16-a615-5ce6fb9c9253</t>
  </si>
  <si>
    <t xml:space="preserve">bd45ce1f-d295-52bf-9e03-4202687c392d</t>
  </si>
  <si>
    <t xml:space="preserve">aa94a56d-5c56-5c98-bcfd-c09dd96ec09d</t>
  </si>
  <si>
    <t xml:space="preserve">5fe7dac0-0b4d-53cd-90ec-8831b7f5b871</t>
  </si>
  <si>
    <t xml:space="preserve">874d7ec4-53e8-5e6d-81a5-799e9d5b53b9</t>
  </si>
  <si>
    <t xml:space="preserve">2018 Bentley 4.5 Litre</t>
  </si>
  <si>
    <t xml:space="preserve">9f1934c0-85e2-5c76-9434-1505efcaac3b</t>
  </si>
  <si>
    <t xml:space="preserve">b153439c-2563-5e8f-a12f-1737d257a388</t>
  </si>
  <si>
    <t xml:space="preserve">64289301-a171-549d-b1b8-953ecc0f2648</t>
  </si>
  <si>
    <t xml:space="preserve">a3bd5bd8-c0cf-5097-90ca-8028eb483c69</t>
  </si>
  <si>
    <t xml:space="preserve">30d556ec-6fcf-5e21-beb2-ca6f87fc3b92</t>
  </si>
  <si>
    <t xml:space="preserve">c7231f4f-d5b5-50df-b607-6e4baeb707a4</t>
  </si>
  <si>
    <t xml:space="preserve">2007 Ferrari 275 GTB/4</t>
  </si>
  <si>
    <t xml:space="preserve">f288fd64-2da9-57c4-9fae-66b3976edc29</t>
  </si>
  <si>
    <t xml:space="preserve">42398d7c-2416-5296-9682-25105ac97dff</t>
  </si>
  <si>
    <t xml:space="preserve">bfe9c297-b407-5e57-8417-89912eb2636e</t>
  </si>
  <si>
    <t xml:space="preserve">c0454843-92b7-58b0-94c5-71f07a1d193c</t>
  </si>
  <si>
    <t xml:space="preserve">88f5cec1-ff82-5cf9-80df-7bb7a5146384</t>
  </si>
  <si>
    <t xml:space="preserve">ec037048-e27a-5475-ad87-96d51c251ab4</t>
  </si>
  <si>
    <t xml:space="preserve">69c2e7c7-f09d-5b03-8d6e-97bcc3af78e4</t>
  </si>
  <si>
    <t xml:space="preserve">388b0852-29fd-5e5a-9d43-0659e1d5a232</t>
  </si>
  <si>
    <t xml:space="preserve">39ed5a69-ad82-5904-b5da-0bc6adbd1313</t>
  </si>
  <si>
    <t xml:space="preserve">cd2608e7-aa8c-568b-8084-1da8788cfca6</t>
  </si>
  <si>
    <t xml:space="preserve">025c4abb-374d-540e-814d-e9760efa6f5d</t>
  </si>
  <si>
    <t xml:space="preserve">289ce02d-591f-59ac-9e93-4a2c3377b50e</t>
  </si>
  <si>
    <t xml:space="preserve">13dd20d5-0444-5803-a47e-00d21a095092</t>
  </si>
  <si>
    <t xml:space="preserve">f7bfc259-dd90-59c0-a41c-42f420c7bdb3</t>
  </si>
  <si>
    <t xml:space="preserve">1982 Porsche 911 Turbo S</t>
  </si>
  <si>
    <t xml:space="preserve">4c7be916-03ff-5186-9fe0-aff31946df9a</t>
  </si>
  <si>
    <t xml:space="preserve">85a565a6-53bc-5c41-8bc2-f7cc7f02bbf4</t>
  </si>
  <si>
    <t xml:space="preserve">cd7b29a5-3b30-53f7-ad83-00288cc8ab99</t>
  </si>
  <si>
    <t xml:space="preserve">9f59e9d4-9244-5b73-85cd-ac25c4c3a55c</t>
  </si>
  <si>
    <t xml:space="preserve">400c9a95-7137-5445-9f32-49a7fb9170e5</t>
  </si>
  <si>
    <t xml:space="preserve">84c9138d-02d9-5b68-a8a3-a257a6b2ef85</t>
  </si>
  <si>
    <t xml:space="preserve">b9234733-dde8-5d07-a412-3b156fee2084</t>
  </si>
  <si>
    <t xml:space="preserve">533f6102-2d57-5e13-bcc5-6c223345dd53</t>
  </si>
  <si>
    <t xml:space="preserve">0aeabde5-c5c6-5000-a514-427c3d37156c</t>
  </si>
  <si>
    <t xml:space="preserve">e014363a-e92a-5e15-b8f9-9575a8a2aa8f</t>
  </si>
  <si>
    <t xml:space="preserve">abb152fe-9087-58ea-bf75-2c8822dad46f</t>
  </si>
  <si>
    <t xml:space="preserve">8d0d974c-aa92-505c-95d3-257b2332fb24</t>
  </si>
  <si>
    <t xml:space="preserve">57e1a2f1-9192-556d-bda6-19d9de863b7a</t>
  </si>
  <si>
    <t xml:space="preserve">6a38bf7c-70f1-5213-8aa3-2143b87e23e0</t>
  </si>
  <si>
    <t xml:space="preserve">26fb9100-49b9-5e51-bb18-14f92bbddb63</t>
  </si>
  <si>
    <t xml:space="preserve">e1f283a0-4d43-5f35-ab9c-c62aa917c112</t>
  </si>
  <si>
    <t xml:space="preserve">cd08e5de-d545-5789-8403-ec7fecd1ebc9</t>
  </si>
  <si>
    <t xml:space="preserve">49054a9f-aab7-599e-a084-21b4ba362c67</t>
  </si>
  <si>
    <t xml:space="preserve">5620afcb-64cc-51ba-9ae6-d536fe3e0423</t>
  </si>
  <si>
    <t xml:space="preserve">685cf25d-f5dc-5954-b43c-4fc8118e4221</t>
  </si>
  <si>
    <t xml:space="preserve">2818b3dc-d275-5925-9762-a3688af03abb</t>
  </si>
  <si>
    <t xml:space="preserve">735eddc1-6732-501d-8ae1-712eee2a6080</t>
  </si>
  <si>
    <t xml:space="preserve">97fa7342-3990-5d78-ad19-c08f464d499a</t>
  </si>
  <si>
    <t xml:space="preserve">cf66324f-b746-5723-8189-aa6ca3506ce1</t>
  </si>
  <si>
    <t xml:space="preserve">9779dc82-c359-5f4e-b92d-a98ba00ca889</t>
  </si>
  <si>
    <t xml:space="preserve">d2dcb0d8-8251-5b59-b20c-b8a0a03c3737</t>
  </si>
  <si>
    <t xml:space="preserve">c5061a3b-ece7-5791-a7fa-0ed0bff486f2</t>
  </si>
  <si>
    <t xml:space="preserve">8b3c3cfa-bb25-5e6f-9bcf-57c885315b9b</t>
  </si>
  <si>
    <t xml:space="preserve">2006 Bentley 4.5 Litre</t>
  </si>
  <si>
    <t xml:space="preserve">b158fc9d-dc2e-5367-bf3e-f1973c3c5a5f</t>
  </si>
  <si>
    <t xml:space="preserve">c11d0933-4e52-58a6-9928-ee0b3cc88313</t>
  </si>
  <si>
    <t xml:space="preserve">1968 Lamborghini Huracan EVO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</si>
</sst>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,##0.00"/>
    <numFmt numFmtId="167" formatCode="0.00%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4" t="s">
        <v>11</v>
      </c>
    </row>
    <row r="4" customFormat="false" ht="15" hidden="false" customHeight="false" outlineLevel="0" collapsed="false">
      <c r="A4" s="5" t="s">
        <v>12</v>
      </c>
      <c r="B4" s="5" t="s">
        <v>13</v>
      </c>
      <c r="C4" s="5" t="s">
        <v>14</v>
      </c>
      <c r="D4" s="5" t="s">
        <v>15</v>
      </c>
      <c r="E4" s="5" t="s">
        <v>16</v>
      </c>
    </row>
    <row r="5" customFormat="false" ht="15" hidden="false" customHeight="false" outlineLevel="0" collapsed="false">
      <c r="A5" s="6" t="s">
        <v>17</v>
      </c>
      <c r="B5" s="6" t="n">
        <v>1</v>
      </c>
      <c r="C5" s="7" t="n">
        <v>1</v>
      </c>
      <c r="D5" s="8" t="n">
        <f aca="false">'2025-08'!$C$229</f>
        <v>11144.2808928571</v>
      </c>
      <c r="E5" s="9" t="n">
        <f aca="false">D5/$D$5-1</f>
        <v>0</v>
      </c>
    </row>
    <row r="6" customFormat="false" ht="15" hidden="false" customHeight="false" outlineLevel="0" collapsed="false">
      <c r="A6" s="6" t="s">
        <v>18</v>
      </c>
      <c r="B6" s="6" t="n">
        <v>2</v>
      </c>
      <c r="C6" s="7" t="n">
        <v>0.9591</v>
      </c>
      <c r="D6" s="8" t="n">
        <f aca="false">'2025-09'!$C$215</f>
        <v>10439.0738888889</v>
      </c>
      <c r="E6" s="9" t="n">
        <f aca="false">D6/$D$5-1</f>
        <v>-0.063279722644128</v>
      </c>
    </row>
    <row r="7" customFormat="false" ht="15" hidden="false" customHeight="false" outlineLevel="0" collapsed="false">
      <c r="A7" s="6" t="s">
        <v>19</v>
      </c>
      <c r="B7" s="6" t="n">
        <v>3</v>
      </c>
      <c r="C7" s="7" t="n">
        <v>0.9691</v>
      </c>
      <c r="D7" s="8" t="n">
        <f aca="false">'2025-10'!$C$260</f>
        <v>11382.8716666667</v>
      </c>
      <c r="E7" s="9" t="n">
        <f aca="false">D7/$D$5-1</f>
        <v>0.0214092570084488</v>
      </c>
    </row>
    <row r="8" customFormat="false" ht="15" hidden="false" customHeight="false" outlineLevel="0" collapsed="false">
      <c r="A8" s="6" t="s">
        <v>20</v>
      </c>
      <c r="B8" s="6" t="n">
        <v>4</v>
      </c>
      <c r="C8" s="7" t="n">
        <v>0.9194</v>
      </c>
      <c r="D8" s="8" t="n">
        <f aca="false">'2025-11'!$C$257</f>
        <v>10001.3413661202</v>
      </c>
      <c r="E8" s="9" t="n">
        <f aca="false">D8/$D$5-1</f>
        <v>-0.102558391853662</v>
      </c>
    </row>
    <row r="9" customFormat="false" ht="15" hidden="false" customHeight="false" outlineLevel="0" collapsed="false">
      <c r="A9" s="6" t="s">
        <v>21</v>
      </c>
      <c r="B9" s="6" t="n">
        <v>5</v>
      </c>
      <c r="C9" s="7" t="n">
        <v>0.9167</v>
      </c>
      <c r="D9" s="8" t="n">
        <f aca="false">'2025-12'!$C$277</f>
        <v>9205.29364102564</v>
      </c>
      <c r="E9" s="9" t="n">
        <f aca="false">D9/$D$5-1</f>
        <v>-0.173989445391159</v>
      </c>
    </row>
    <row r="10" customFormat="false" ht="15" hidden="false" customHeight="false" outlineLevel="0" collapsed="false">
      <c r="A10" s="6" t="s">
        <v>22</v>
      </c>
      <c r="B10" s="6" t="n">
        <v>6</v>
      </c>
      <c r="C10" s="7" t="n">
        <v>0.8972</v>
      </c>
      <c r="D10" s="8" t="n">
        <f aca="false">'2026-01'!$C$278</f>
        <v>9600.78084656085</v>
      </c>
      <c r="E10" s="9" t="n">
        <f aca="false">D10/$D$5-1</f>
        <v>-0.138501538245109</v>
      </c>
    </row>
    <row r="11" customFormat="false" ht="15" hidden="false" customHeight="false" outlineLevel="0" collapsed="false">
      <c r="A11" s="6" t="s">
        <v>23</v>
      </c>
      <c r="B11" s="6" t="n">
        <v>7</v>
      </c>
      <c r="C11" s="7" t="n">
        <v>0.8792</v>
      </c>
      <c r="D11" s="8" t="n">
        <f aca="false">'2026-02'!$C$292</f>
        <v>9916.86115207373</v>
      </c>
      <c r="E11" s="9" t="n">
        <f aca="false">D11/$D$5-1</f>
        <v>-0.110138980934168</v>
      </c>
    </row>
    <row r="12" customFormat="false" ht="15" hidden="false" customHeight="false" outlineLevel="0" collapsed="false">
      <c r="A12" s="6" t="s">
        <v>24</v>
      </c>
      <c r="B12" s="6" t="n">
        <v>8</v>
      </c>
      <c r="C12" s="7" t="n">
        <v>0.8467</v>
      </c>
      <c r="D12" s="8" t="n">
        <f aca="false">'2026-03'!$C$324</f>
        <v>9711.51248962656</v>
      </c>
      <c r="E12" s="9" t="n">
        <f aca="false">D12/$D$5-1</f>
        <v>-0.128565352668822</v>
      </c>
    </row>
    <row r="13" customFormat="false" ht="15" hidden="false" customHeight="false" outlineLevel="0" collapsed="false">
      <c r="A13" s="6" t="s">
        <v>25</v>
      </c>
      <c r="B13" s="6" t="n">
        <v>9</v>
      </c>
      <c r="C13" s="7" t="n">
        <v>0.8305</v>
      </c>
      <c r="D13" s="8" t="n">
        <f aca="false">'2026-04'!$C$294</f>
        <v>9031.78042857143</v>
      </c>
      <c r="E13" s="9" t="n">
        <f aca="false">D13/$D$5-1</f>
        <v>-0.189559154565075</v>
      </c>
    </row>
    <row r="14" customFormat="false" ht="15" hidden="false" customHeight="false" outlineLevel="0" collapsed="false">
      <c r="A14" s="6" t="s">
        <v>26</v>
      </c>
      <c r="B14" s="6" t="n">
        <v>10</v>
      </c>
      <c r="C14" s="7" t="n">
        <v>0.7772</v>
      </c>
      <c r="D14" s="8" t="n">
        <f aca="false">'2026-05'!$C$304</f>
        <v>7955.68985294118</v>
      </c>
      <c r="E14" s="9" t="n">
        <f aca="false">D14/$D$5-1</f>
        <v>-0.286119048018583</v>
      </c>
    </row>
    <row r="15" customFormat="false" ht="15" hidden="false" customHeight="false" outlineLevel="0" collapsed="false">
      <c r="A15" s="6" t="s">
        <v>27</v>
      </c>
      <c r="B15" s="6" t="n">
        <v>11</v>
      </c>
      <c r="C15" s="7" t="n">
        <v>0.7648</v>
      </c>
      <c r="D15" s="8" t="n">
        <f aca="false">'2026-06'!$C$365</f>
        <v>8682.83108614232</v>
      </c>
      <c r="E15" s="9" t="n">
        <f aca="false">D15/$D$5-1</f>
        <v>-0.220871120387182</v>
      </c>
    </row>
    <row r="16" customFormat="false" ht="15" hidden="false" customHeight="false" outlineLevel="0" collapsed="false">
      <c r="A16" s="6" t="s">
        <v>28</v>
      </c>
      <c r="B16" s="6" t="n">
        <v>12</v>
      </c>
      <c r="C16" s="7" t="n">
        <v>0.761</v>
      </c>
      <c r="D16" s="8" t="n">
        <f aca="false">'2026-07'!$C$313</f>
        <v>8530.71828828829</v>
      </c>
      <c r="E16" s="9" t="n">
        <f aca="false">D16/$D$5-1</f>
        <v>-0.234520524894881</v>
      </c>
    </row>
    <row r="18" customFormat="false" ht="15" hidden="false" customHeight="false" outlineLevel="0" collapsed="false">
      <c r="A18" s="10" t="s">
        <v>29</v>
      </c>
      <c r="E18" s="11" t="n">
        <f aca="false">D16/D5-1</f>
        <v>-0.234520524894881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4" t="s">
        <v>31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46</v>
      </c>
      <c r="B5" s="3" t="s">
        <v>47</v>
      </c>
      <c r="C5" s="3" t="s">
        <v>48</v>
      </c>
      <c r="D5" s="3" t="s">
        <v>49</v>
      </c>
      <c r="E5" s="3" t="s">
        <v>50</v>
      </c>
      <c r="F5" s="12" t="n">
        <v>810000</v>
      </c>
      <c r="G5" s="13" t="n">
        <v>0.95</v>
      </c>
      <c r="H5" s="13" t="n">
        <v>1.28</v>
      </c>
      <c r="I5" s="13" t="n">
        <v>1</v>
      </c>
      <c r="J5" s="13" t="n">
        <v>0.53</v>
      </c>
      <c r="K5" s="12" t="n">
        <f aca="false">ROUND(F5/100*G5*H5*I5/J5,2)</f>
        <v>18584.15</v>
      </c>
      <c r="L5" s="12" t="n">
        <v>18584.15</v>
      </c>
      <c r="M5" s="12" t="n">
        <f aca="false">L5-K5</f>
        <v>0</v>
      </c>
      <c r="N5" s="3" t="s">
        <v>51</v>
      </c>
      <c r="O5" s="3" t="s">
        <v>52</v>
      </c>
    </row>
    <row r="6" customFormat="false" ht="15" hidden="false" customHeight="false" outlineLevel="0" collapsed="false">
      <c r="A6" s="14" t="s">
        <v>53</v>
      </c>
      <c r="B6" s="14" t="s">
        <v>54</v>
      </c>
      <c r="C6" s="14" t="s">
        <v>48</v>
      </c>
      <c r="D6" s="14" t="s">
        <v>55</v>
      </c>
      <c r="E6" s="14" t="s">
        <v>56</v>
      </c>
      <c r="F6" s="15" t="n">
        <v>255000</v>
      </c>
      <c r="G6" s="16" t="n">
        <v>0.75</v>
      </c>
      <c r="H6" s="16" t="n">
        <v>1.28</v>
      </c>
      <c r="I6" s="16" t="n">
        <v>1</v>
      </c>
      <c r="J6" s="16" t="n">
        <v>0.53</v>
      </c>
      <c r="K6" s="15" t="n">
        <f aca="false">ROUND(F6/100*G6*H6*I6/J6,2)</f>
        <v>4618.87</v>
      </c>
      <c r="L6" s="15" t="n">
        <v>4618.87</v>
      </c>
      <c r="M6" s="15" t="n">
        <f aca="false">L6-K6</f>
        <v>0</v>
      </c>
      <c r="N6" s="14" t="s">
        <v>51</v>
      </c>
      <c r="O6" s="14" t="s">
        <v>52</v>
      </c>
    </row>
    <row r="7" customFormat="false" ht="15" hidden="false" customHeight="false" outlineLevel="0" collapsed="false">
      <c r="A7" s="3" t="s">
        <v>57</v>
      </c>
      <c r="B7" s="3" t="s">
        <v>58</v>
      </c>
      <c r="C7" s="3" t="s">
        <v>59</v>
      </c>
      <c r="D7" s="3" t="s">
        <v>60</v>
      </c>
      <c r="E7" s="3" t="s">
        <v>56</v>
      </c>
      <c r="F7" s="12" t="n">
        <v>190000</v>
      </c>
      <c r="G7" s="13" t="n">
        <v>0.92</v>
      </c>
      <c r="H7" s="13" t="n">
        <v>0.97</v>
      </c>
      <c r="I7" s="13" t="n">
        <v>1</v>
      </c>
      <c r="J7" s="13" t="n">
        <v>0.53</v>
      </c>
      <c r="K7" s="12" t="n">
        <f aca="false">ROUND(F7/100*G7*H7*I7/J7,2)</f>
        <v>3199.17</v>
      </c>
      <c r="L7" s="12" t="n">
        <v>3199.17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53</v>
      </c>
      <c r="B8" s="14" t="s">
        <v>63</v>
      </c>
      <c r="C8" s="14" t="s">
        <v>64</v>
      </c>
      <c r="D8" s="14" t="s">
        <v>65</v>
      </c>
      <c r="E8" s="14" t="s">
        <v>50</v>
      </c>
      <c r="F8" s="15" t="n">
        <v>570000</v>
      </c>
      <c r="G8" s="16" t="n">
        <v>0.95</v>
      </c>
      <c r="H8" s="16" t="n">
        <v>1.17</v>
      </c>
      <c r="I8" s="16" t="n">
        <v>1</v>
      </c>
      <c r="J8" s="16" t="n">
        <v>0.53</v>
      </c>
      <c r="K8" s="15" t="n">
        <f aca="false">ROUND(F8/100*G8*H8*I8/J8,2)</f>
        <v>11953.87</v>
      </c>
      <c r="L8" s="15" t="n">
        <v>11953.87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66</v>
      </c>
      <c r="B9" s="3" t="s">
        <v>67</v>
      </c>
      <c r="C9" s="3" t="s">
        <v>68</v>
      </c>
      <c r="D9" s="3" t="s">
        <v>69</v>
      </c>
      <c r="E9" s="3" t="s">
        <v>50</v>
      </c>
      <c r="F9" s="12" t="n">
        <v>350000</v>
      </c>
      <c r="G9" s="13" t="n">
        <v>1.15</v>
      </c>
      <c r="H9" s="13" t="n">
        <v>1.38</v>
      </c>
      <c r="I9" s="13" t="n">
        <v>1</v>
      </c>
      <c r="J9" s="13" t="n">
        <v>0.53</v>
      </c>
      <c r="K9" s="12" t="n">
        <f aca="false">ROUND(F9/100*G9*H9*I9/J9,2)</f>
        <v>10480.19</v>
      </c>
      <c r="L9" s="12" t="n">
        <v>10480.19</v>
      </c>
      <c r="M9" s="12" t="n">
        <f aca="false">L9-K9</f>
        <v>0</v>
      </c>
      <c r="N9" s="3" t="s">
        <v>70</v>
      </c>
      <c r="O9" s="3" t="s">
        <v>52</v>
      </c>
    </row>
    <row r="10" customFormat="false" ht="15" hidden="false" customHeight="false" outlineLevel="0" collapsed="false">
      <c r="A10" s="14" t="s">
        <v>71</v>
      </c>
      <c r="B10" s="14" t="s">
        <v>72</v>
      </c>
      <c r="C10" s="14" t="s">
        <v>48</v>
      </c>
      <c r="D10" s="14" t="s">
        <v>73</v>
      </c>
      <c r="E10" s="14" t="s">
        <v>74</v>
      </c>
      <c r="F10" s="15" t="n">
        <v>655000</v>
      </c>
      <c r="G10" s="16" t="n">
        <v>0.43</v>
      </c>
      <c r="H10" s="16" t="n">
        <v>1.28</v>
      </c>
      <c r="I10" s="16" t="n">
        <v>1</v>
      </c>
      <c r="J10" s="16" t="n">
        <v>0.53</v>
      </c>
      <c r="K10" s="15" t="n">
        <f aca="false">ROUND(F10/100*G10*H10*I10/J10,2)</f>
        <v>6802.11</v>
      </c>
      <c r="L10" s="15" t="n">
        <v>6802.11</v>
      </c>
      <c r="M10" s="15" t="n">
        <f aca="false">L10-K10</f>
        <v>0</v>
      </c>
      <c r="N10" s="14" t="s">
        <v>51</v>
      </c>
      <c r="O10" s="14" t="s">
        <v>52</v>
      </c>
    </row>
    <row r="11" customFormat="false" ht="15" hidden="false" customHeight="false" outlineLevel="0" collapsed="false">
      <c r="A11" s="3" t="s">
        <v>75</v>
      </c>
      <c r="B11" s="3" t="s">
        <v>76</v>
      </c>
      <c r="C11" s="3" t="s">
        <v>77</v>
      </c>
      <c r="D11" s="3" t="s">
        <v>78</v>
      </c>
      <c r="E11" s="3" t="s">
        <v>56</v>
      </c>
      <c r="F11" s="12" t="n">
        <v>715000</v>
      </c>
      <c r="G11" s="13" t="n">
        <v>0.65</v>
      </c>
      <c r="H11" s="13" t="n">
        <v>1.42</v>
      </c>
      <c r="I11" s="13" t="n">
        <v>1</v>
      </c>
      <c r="J11" s="13" t="n">
        <v>0.53</v>
      </c>
      <c r="K11" s="12" t="n">
        <f aca="false">ROUND(F11/100*G11*H11*I11/J11,2)</f>
        <v>12451.79</v>
      </c>
      <c r="L11" s="12" t="n">
        <v>12451.79</v>
      </c>
      <c r="M11" s="12" t="n">
        <f aca="false">L11-K11</f>
        <v>0</v>
      </c>
      <c r="N11" s="3" t="s">
        <v>51</v>
      </c>
      <c r="O11" s="3" t="s">
        <v>52</v>
      </c>
    </row>
    <row r="12" customFormat="false" ht="15" hidden="false" customHeight="false" outlineLevel="0" collapsed="false">
      <c r="A12" s="14" t="s">
        <v>79</v>
      </c>
      <c r="B12" s="14" t="s">
        <v>80</v>
      </c>
      <c r="C12" s="14" t="s">
        <v>81</v>
      </c>
      <c r="D12" s="14" t="s">
        <v>82</v>
      </c>
      <c r="E12" s="14" t="s">
        <v>50</v>
      </c>
      <c r="F12" s="15" t="n">
        <v>750000</v>
      </c>
      <c r="G12" s="16" t="n">
        <v>0.95</v>
      </c>
      <c r="H12" s="16" t="n">
        <v>1.27</v>
      </c>
      <c r="I12" s="16" t="n">
        <v>1</v>
      </c>
      <c r="J12" s="16" t="n">
        <v>0.53</v>
      </c>
      <c r="K12" s="15" t="n">
        <f aca="false">ROUND(F12/100*G12*H12*I12/J12,2)</f>
        <v>17073.11</v>
      </c>
      <c r="L12" s="15" t="n">
        <v>17073.11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83</v>
      </c>
      <c r="B13" s="3" t="s">
        <v>84</v>
      </c>
      <c r="C13" s="3" t="s">
        <v>85</v>
      </c>
      <c r="D13" s="3" t="s">
        <v>86</v>
      </c>
      <c r="E13" s="3" t="s">
        <v>50</v>
      </c>
      <c r="F13" s="12" t="n">
        <v>605000</v>
      </c>
      <c r="G13" s="13" t="n">
        <v>0.95</v>
      </c>
      <c r="H13" s="13" t="n">
        <v>1.28</v>
      </c>
      <c r="I13" s="13" t="n">
        <v>1</v>
      </c>
      <c r="J13" s="13" t="n">
        <v>0.53</v>
      </c>
      <c r="K13" s="12" t="n">
        <f aca="false">ROUND(F13/100*G13*H13*I13/J13,2)</f>
        <v>13880.75</v>
      </c>
      <c r="L13" s="12" t="n">
        <v>13880.75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87</v>
      </c>
      <c r="B14" s="14" t="s">
        <v>88</v>
      </c>
      <c r="C14" s="14" t="s">
        <v>89</v>
      </c>
      <c r="D14" s="14" t="s">
        <v>90</v>
      </c>
      <c r="E14" s="14" t="s">
        <v>50</v>
      </c>
      <c r="F14" s="15" t="n">
        <v>690000</v>
      </c>
      <c r="G14" s="16" t="n">
        <v>0.95</v>
      </c>
      <c r="H14" s="16" t="n">
        <v>1.35</v>
      </c>
      <c r="I14" s="16" t="n">
        <v>1</v>
      </c>
      <c r="J14" s="16" t="n">
        <v>0.53</v>
      </c>
      <c r="K14" s="15" t="n">
        <f aca="false">ROUND(F14/100*G14*H14*I14/J14,2)</f>
        <v>16696.7</v>
      </c>
      <c r="L14" s="15" t="n">
        <v>16696.7</v>
      </c>
      <c r="M14" s="15" t="n">
        <f aca="false">L14-K14</f>
        <v>0</v>
      </c>
      <c r="N14" s="14" t="s">
        <v>51</v>
      </c>
      <c r="O14" s="14" t="s">
        <v>52</v>
      </c>
    </row>
    <row r="15" customFormat="false" ht="15" hidden="false" customHeight="false" outlineLevel="0" collapsed="false">
      <c r="A15" s="3" t="s">
        <v>91</v>
      </c>
      <c r="B15" s="3" t="s">
        <v>92</v>
      </c>
      <c r="C15" s="3" t="s">
        <v>93</v>
      </c>
      <c r="D15" s="3" t="s">
        <v>94</v>
      </c>
      <c r="E15" s="3" t="s">
        <v>50</v>
      </c>
      <c r="F15" s="12" t="n">
        <v>1950000</v>
      </c>
      <c r="G15" s="13" t="n">
        <v>0.8</v>
      </c>
      <c r="H15" s="13" t="n">
        <v>1.39</v>
      </c>
      <c r="I15" s="13" t="n">
        <v>1</v>
      </c>
      <c r="J15" s="13" t="n">
        <v>0.53</v>
      </c>
      <c r="K15" s="12" t="n">
        <f aca="false">ROUND(F15/100*G15*H15*I15/J15,2)</f>
        <v>40913.21</v>
      </c>
      <c r="L15" s="12" t="n">
        <v>40913.21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95</v>
      </c>
      <c r="B16" s="14" t="s">
        <v>96</v>
      </c>
      <c r="C16" s="14" t="s">
        <v>89</v>
      </c>
      <c r="D16" s="14" t="s">
        <v>97</v>
      </c>
      <c r="E16" s="14" t="s">
        <v>56</v>
      </c>
      <c r="F16" s="15" t="n">
        <v>1415000</v>
      </c>
      <c r="G16" s="16" t="n">
        <v>0.55</v>
      </c>
      <c r="H16" s="16" t="n">
        <v>1.35</v>
      </c>
      <c r="I16" s="16" t="n">
        <v>1</v>
      </c>
      <c r="J16" s="16" t="n">
        <v>0.53</v>
      </c>
      <c r="K16" s="15" t="n">
        <f aca="false">ROUND(F16/100*G16*H16*I16/J16,2)</f>
        <v>19823.35</v>
      </c>
      <c r="L16" s="15" t="n">
        <v>19823.35</v>
      </c>
      <c r="M16" s="15" t="n">
        <f aca="false">L16-K16</f>
        <v>0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98</v>
      </c>
      <c r="B17" s="3" t="s">
        <v>99</v>
      </c>
      <c r="C17" s="3" t="s">
        <v>48</v>
      </c>
      <c r="D17" s="3" t="s">
        <v>100</v>
      </c>
      <c r="E17" s="3" t="s">
        <v>56</v>
      </c>
      <c r="F17" s="12" t="n">
        <v>380000</v>
      </c>
      <c r="G17" s="13" t="n">
        <v>0.75</v>
      </c>
      <c r="H17" s="13" t="n">
        <v>1.28</v>
      </c>
      <c r="I17" s="13" t="n">
        <v>1</v>
      </c>
      <c r="J17" s="13" t="n">
        <v>0.53</v>
      </c>
      <c r="K17" s="12" t="n">
        <f aca="false">ROUND(F17/100*G17*H17*I17/J17,2)</f>
        <v>6883.02</v>
      </c>
      <c r="L17" s="12" t="n">
        <v>6883.02</v>
      </c>
      <c r="M17" s="12" t="n">
        <f aca="false">L17-K17</f>
        <v>0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101</v>
      </c>
      <c r="B18" s="14" t="s">
        <v>102</v>
      </c>
      <c r="C18" s="14" t="s">
        <v>64</v>
      </c>
      <c r="D18" s="14" t="s">
        <v>103</v>
      </c>
      <c r="E18" s="14" t="s">
        <v>50</v>
      </c>
      <c r="F18" s="15" t="n">
        <v>1565000</v>
      </c>
      <c r="G18" s="16" t="n">
        <v>0.8</v>
      </c>
      <c r="H18" s="16" t="n">
        <v>1.17</v>
      </c>
      <c r="I18" s="16" t="n">
        <v>1</v>
      </c>
      <c r="J18" s="16" t="n">
        <v>0.53</v>
      </c>
      <c r="K18" s="15" t="n">
        <f aca="false">ROUND(F18/100*G18*H18*I18/J18,2)</f>
        <v>27638.49</v>
      </c>
      <c r="L18" s="15" t="n">
        <v>27638.49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46</v>
      </c>
      <c r="B19" s="3" t="s">
        <v>104</v>
      </c>
      <c r="C19" s="3" t="s">
        <v>105</v>
      </c>
      <c r="D19" s="3" t="s">
        <v>106</v>
      </c>
      <c r="E19" s="3" t="s">
        <v>50</v>
      </c>
      <c r="F19" s="12" t="n">
        <v>690000</v>
      </c>
      <c r="G19" s="13" t="n">
        <v>0.95</v>
      </c>
      <c r="H19" s="13" t="n">
        <v>0.99</v>
      </c>
      <c r="I19" s="13" t="n">
        <v>1</v>
      </c>
      <c r="J19" s="13" t="n">
        <v>0.53</v>
      </c>
      <c r="K19" s="12" t="n">
        <f aca="false">ROUND(F19/100*G19*H19*I19/J19,2)</f>
        <v>12244.25</v>
      </c>
      <c r="L19" s="12" t="n">
        <v>12244.25</v>
      </c>
      <c r="M19" s="12" t="n">
        <f aca="false">L19-K19</f>
        <v>0</v>
      </c>
      <c r="N19" s="3" t="s">
        <v>51</v>
      </c>
      <c r="O19" s="3" t="s">
        <v>52</v>
      </c>
    </row>
    <row r="20" customFormat="false" ht="15" hidden="false" customHeight="false" outlineLevel="0" collapsed="false">
      <c r="A20" s="14" t="s">
        <v>46</v>
      </c>
      <c r="B20" s="14" t="s">
        <v>107</v>
      </c>
      <c r="C20" s="14" t="s">
        <v>108</v>
      </c>
      <c r="D20" s="14" t="s">
        <v>109</v>
      </c>
      <c r="E20" s="14" t="s">
        <v>50</v>
      </c>
      <c r="F20" s="15" t="n">
        <v>490000</v>
      </c>
      <c r="G20" s="16" t="n">
        <v>1.15</v>
      </c>
      <c r="H20" s="16" t="n">
        <v>0.93</v>
      </c>
      <c r="I20" s="16" t="n">
        <v>1</v>
      </c>
      <c r="J20" s="16" t="n">
        <v>0.53</v>
      </c>
      <c r="K20" s="15" t="n">
        <f aca="false">ROUND(F20/100*G20*H20*I20/J20,2)</f>
        <v>9887.83</v>
      </c>
      <c r="L20" s="15" t="n">
        <v>9887.83</v>
      </c>
      <c r="M20" s="15" t="n">
        <f aca="false">L20-K20</f>
        <v>0</v>
      </c>
      <c r="N20" s="14" t="s">
        <v>51</v>
      </c>
      <c r="O20" s="14" t="s">
        <v>52</v>
      </c>
    </row>
    <row r="21" customFormat="false" ht="15" hidden="false" customHeight="false" outlineLevel="0" collapsed="false">
      <c r="A21" s="3" t="s">
        <v>110</v>
      </c>
      <c r="B21" s="3" t="s">
        <v>111</v>
      </c>
      <c r="C21" s="3" t="s">
        <v>64</v>
      </c>
      <c r="D21" s="3" t="s">
        <v>112</v>
      </c>
      <c r="E21" s="3" t="s">
        <v>56</v>
      </c>
      <c r="F21" s="12" t="n">
        <v>410000</v>
      </c>
      <c r="G21" s="13" t="n">
        <v>0.75</v>
      </c>
      <c r="H21" s="13" t="n">
        <v>1.17</v>
      </c>
      <c r="I21" s="13" t="n">
        <v>1</v>
      </c>
      <c r="J21" s="13" t="n">
        <v>0.53</v>
      </c>
      <c r="K21" s="12" t="n">
        <f aca="false">ROUND(F21/100*G21*H21*I21/J21,2)</f>
        <v>6788.21</v>
      </c>
      <c r="L21" s="12" t="n">
        <v>6788.21</v>
      </c>
      <c r="M21" s="12" t="n">
        <f aca="false">L21-K21</f>
        <v>0</v>
      </c>
      <c r="N21" s="3" t="s">
        <v>51</v>
      </c>
      <c r="O21" s="3" t="s">
        <v>52</v>
      </c>
    </row>
    <row r="22" customFormat="false" ht="15" hidden="false" customHeight="false" outlineLevel="0" collapsed="false">
      <c r="A22" s="14" t="s">
        <v>98</v>
      </c>
      <c r="B22" s="14" t="s">
        <v>113</v>
      </c>
      <c r="C22" s="14" t="s">
        <v>114</v>
      </c>
      <c r="D22" s="14" t="s">
        <v>115</v>
      </c>
      <c r="E22" s="14" t="s">
        <v>56</v>
      </c>
      <c r="F22" s="15" t="n">
        <v>520000</v>
      </c>
      <c r="G22" s="16" t="n">
        <v>0.65</v>
      </c>
      <c r="H22" s="16" t="n">
        <v>1.36</v>
      </c>
      <c r="I22" s="16" t="n">
        <v>1</v>
      </c>
      <c r="J22" s="16" t="n">
        <v>0.53</v>
      </c>
      <c r="K22" s="15" t="n">
        <f aca="false">ROUND(F22/100*G22*H22*I22/J22,2)</f>
        <v>8673.21</v>
      </c>
      <c r="L22" s="15" t="n">
        <v>8673.21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110</v>
      </c>
      <c r="B23" s="3" t="s">
        <v>116</v>
      </c>
      <c r="C23" s="3" t="s">
        <v>117</v>
      </c>
      <c r="D23" s="3" t="s">
        <v>118</v>
      </c>
      <c r="E23" s="3" t="s">
        <v>56</v>
      </c>
      <c r="F23" s="12" t="n">
        <v>225000</v>
      </c>
      <c r="G23" s="13" t="n">
        <v>0.92</v>
      </c>
      <c r="H23" s="13" t="n">
        <v>0.91</v>
      </c>
      <c r="I23" s="13" t="n">
        <v>1</v>
      </c>
      <c r="J23" s="13" t="n">
        <v>0.53</v>
      </c>
      <c r="K23" s="12" t="n">
        <f aca="false">ROUND(F23/100*G23*H23*I23/J23,2)</f>
        <v>3554.15</v>
      </c>
      <c r="L23" s="12" t="n">
        <v>3554.15</v>
      </c>
      <c r="M23" s="12" t="n">
        <f aca="false">L23-K23</f>
        <v>0</v>
      </c>
      <c r="N23" s="3" t="s">
        <v>51</v>
      </c>
      <c r="O23" s="3" t="s">
        <v>52</v>
      </c>
    </row>
    <row r="24" customFormat="false" ht="15" hidden="false" customHeight="false" outlineLevel="0" collapsed="false">
      <c r="A24" s="14" t="s">
        <v>98</v>
      </c>
      <c r="B24" s="14" t="s">
        <v>119</v>
      </c>
      <c r="C24" s="14" t="s">
        <v>120</v>
      </c>
      <c r="D24" s="14" t="s">
        <v>121</v>
      </c>
      <c r="E24" s="14" t="s">
        <v>50</v>
      </c>
      <c r="F24" s="15" t="n">
        <v>1085000</v>
      </c>
      <c r="G24" s="16" t="n">
        <v>0.8</v>
      </c>
      <c r="H24" s="16" t="n">
        <v>1.15</v>
      </c>
      <c r="I24" s="16" t="n">
        <v>1</v>
      </c>
      <c r="J24" s="16" t="n">
        <v>0.53</v>
      </c>
      <c r="K24" s="15" t="n">
        <f aca="false">ROUND(F24/100*G24*H24*I24/J24,2)</f>
        <v>18833.96</v>
      </c>
      <c r="L24" s="15" t="n">
        <v>18833.96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71</v>
      </c>
      <c r="B25" s="3" t="s">
        <v>122</v>
      </c>
      <c r="C25" s="3" t="s">
        <v>81</v>
      </c>
      <c r="D25" s="3" t="s">
        <v>123</v>
      </c>
      <c r="E25" s="3" t="s">
        <v>50</v>
      </c>
      <c r="F25" s="12" t="n">
        <v>360000</v>
      </c>
      <c r="G25" s="13" t="n">
        <v>1.15</v>
      </c>
      <c r="H25" s="13" t="n">
        <v>1.27</v>
      </c>
      <c r="I25" s="13" t="n">
        <v>1</v>
      </c>
      <c r="J25" s="13" t="n">
        <v>0.53</v>
      </c>
      <c r="K25" s="12" t="n">
        <f aca="false">ROUND(F25/100*G25*H25*I25/J25,2)</f>
        <v>9920.38</v>
      </c>
      <c r="L25" s="12" t="n">
        <v>9920.38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83</v>
      </c>
      <c r="B26" s="14" t="s">
        <v>124</v>
      </c>
      <c r="C26" s="14" t="s">
        <v>117</v>
      </c>
      <c r="D26" s="14" t="s">
        <v>125</v>
      </c>
      <c r="E26" s="14" t="s">
        <v>50</v>
      </c>
      <c r="F26" s="15" t="n">
        <v>760000</v>
      </c>
      <c r="G26" s="16" t="n">
        <v>0.95</v>
      </c>
      <c r="H26" s="16" t="n">
        <v>0.91</v>
      </c>
      <c r="I26" s="16" t="n">
        <v>1</v>
      </c>
      <c r="J26" s="16" t="n">
        <v>0.53</v>
      </c>
      <c r="K26" s="15" t="n">
        <f aca="false">ROUND(F26/100*G26*H26*I26/J26,2)</f>
        <v>12396.6</v>
      </c>
      <c r="L26" s="15" t="n">
        <v>12396.6</v>
      </c>
      <c r="M26" s="15" t="n">
        <f aca="false">L26-K26</f>
        <v>0</v>
      </c>
      <c r="N26" s="14" t="s">
        <v>51</v>
      </c>
      <c r="O26" s="14" t="s">
        <v>52</v>
      </c>
    </row>
    <row r="27" customFormat="false" ht="15" hidden="false" customHeight="false" outlineLevel="0" collapsed="false">
      <c r="A27" s="3" t="s">
        <v>126</v>
      </c>
      <c r="B27" s="3" t="s">
        <v>127</v>
      </c>
      <c r="C27" s="3" t="s">
        <v>128</v>
      </c>
      <c r="D27" s="3" t="s">
        <v>129</v>
      </c>
      <c r="E27" s="3" t="s">
        <v>56</v>
      </c>
      <c r="F27" s="12" t="n">
        <v>495000</v>
      </c>
      <c r="G27" s="13" t="n">
        <v>0.75</v>
      </c>
      <c r="H27" s="13" t="n">
        <v>1.25</v>
      </c>
      <c r="I27" s="13" t="n">
        <v>1</v>
      </c>
      <c r="J27" s="13" t="n">
        <v>0.53</v>
      </c>
      <c r="K27" s="12" t="n">
        <f aca="false">ROUND(F27/100*G27*H27*I27/J27,2)</f>
        <v>8755.9</v>
      </c>
      <c r="L27" s="12" t="n">
        <v>8755.9</v>
      </c>
      <c r="M27" s="12" t="n">
        <f aca="false">L27-K27</f>
        <v>0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57</v>
      </c>
      <c r="B28" s="14" t="s">
        <v>130</v>
      </c>
      <c r="C28" s="14" t="s">
        <v>131</v>
      </c>
      <c r="D28" s="14" t="s">
        <v>132</v>
      </c>
      <c r="E28" s="14" t="s">
        <v>133</v>
      </c>
      <c r="F28" s="15" t="n">
        <v>520000</v>
      </c>
      <c r="G28" s="16" t="n">
        <v>0.38</v>
      </c>
      <c r="H28" s="16" t="n">
        <v>0.95</v>
      </c>
      <c r="I28" s="16" t="n">
        <v>1</v>
      </c>
      <c r="J28" s="16" t="n">
        <v>0.53</v>
      </c>
      <c r="K28" s="15" t="n">
        <f aca="false">ROUND(F28/100*G28*H28*I28/J28,2)</f>
        <v>3541.89</v>
      </c>
      <c r="L28" s="15" t="n">
        <v>3541.89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134</v>
      </c>
      <c r="B29" s="3" t="s">
        <v>135</v>
      </c>
      <c r="C29" s="3" t="s">
        <v>136</v>
      </c>
      <c r="D29" s="3" t="s">
        <v>137</v>
      </c>
      <c r="E29" s="3" t="s">
        <v>56</v>
      </c>
      <c r="F29" s="12" t="n">
        <v>520000</v>
      </c>
      <c r="G29" s="13" t="n">
        <v>0.65</v>
      </c>
      <c r="H29" s="13" t="n">
        <v>1.32</v>
      </c>
      <c r="I29" s="13" t="n">
        <v>1</v>
      </c>
      <c r="J29" s="13" t="n">
        <v>0.53</v>
      </c>
      <c r="K29" s="12" t="n">
        <f aca="false">ROUND(F29/100*G29*H29*I29/J29,2)</f>
        <v>8418.11</v>
      </c>
      <c r="L29" s="12" t="n">
        <v>8418.11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57</v>
      </c>
      <c r="B30" s="14" t="s">
        <v>138</v>
      </c>
      <c r="C30" s="14" t="s">
        <v>139</v>
      </c>
      <c r="D30" s="14" t="s">
        <v>140</v>
      </c>
      <c r="E30" s="14" t="s">
        <v>74</v>
      </c>
      <c r="F30" s="15" t="n">
        <v>180000</v>
      </c>
      <c r="G30" s="16" t="n">
        <v>0.57</v>
      </c>
      <c r="H30" s="16" t="n">
        <v>1.23</v>
      </c>
      <c r="I30" s="16" t="n">
        <v>1</v>
      </c>
      <c r="J30" s="16" t="n">
        <v>0.53</v>
      </c>
      <c r="K30" s="15" t="n">
        <f aca="false">ROUND(F30/100*G30*H30*I30/J30,2)</f>
        <v>2381.09</v>
      </c>
      <c r="L30" s="15" t="n">
        <v>2381.09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91</v>
      </c>
      <c r="B31" s="3" t="s">
        <v>141</v>
      </c>
      <c r="C31" s="3" t="s">
        <v>142</v>
      </c>
      <c r="D31" s="3" t="s">
        <v>143</v>
      </c>
      <c r="E31" s="3" t="s">
        <v>56</v>
      </c>
      <c r="F31" s="12" t="n">
        <v>225000</v>
      </c>
      <c r="G31" s="13" t="n">
        <v>0.92</v>
      </c>
      <c r="H31" s="13" t="n">
        <v>1.22</v>
      </c>
      <c r="I31" s="13" t="n">
        <v>1</v>
      </c>
      <c r="J31" s="13" t="n">
        <v>0.53</v>
      </c>
      <c r="K31" s="12" t="n">
        <f aca="false">ROUND(F31/100*G31*H31*I31/J31,2)</f>
        <v>4764.91</v>
      </c>
      <c r="L31" s="12" t="n">
        <v>4764.91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66</v>
      </c>
      <c r="B32" s="14" t="s">
        <v>144</v>
      </c>
      <c r="C32" s="14" t="s">
        <v>145</v>
      </c>
      <c r="D32" s="14" t="s">
        <v>146</v>
      </c>
      <c r="E32" s="14" t="s">
        <v>56</v>
      </c>
      <c r="F32" s="15" t="n">
        <v>215000</v>
      </c>
      <c r="G32" s="16" t="n">
        <v>0.92</v>
      </c>
      <c r="H32" s="16" t="n">
        <v>0.96</v>
      </c>
      <c r="I32" s="16" t="n">
        <v>1</v>
      </c>
      <c r="J32" s="16" t="n">
        <v>0.53</v>
      </c>
      <c r="K32" s="15" t="n">
        <f aca="false">ROUND(F32/100*G32*H32*I32/J32,2)</f>
        <v>3582.79</v>
      </c>
      <c r="L32" s="15" t="n">
        <v>3582.79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147</v>
      </c>
      <c r="B33" s="3" t="s">
        <v>148</v>
      </c>
      <c r="C33" s="3" t="s">
        <v>48</v>
      </c>
      <c r="D33" s="3" t="s">
        <v>149</v>
      </c>
      <c r="E33" s="3" t="s">
        <v>74</v>
      </c>
      <c r="F33" s="12" t="n">
        <v>355000</v>
      </c>
      <c r="G33" s="13" t="n">
        <v>0.48</v>
      </c>
      <c r="H33" s="13" t="n">
        <v>1.28</v>
      </c>
      <c r="I33" s="13" t="n">
        <v>1</v>
      </c>
      <c r="J33" s="13" t="n">
        <v>0.53</v>
      </c>
      <c r="K33" s="12" t="n">
        <f aca="false">ROUND(F33/100*G33*H33*I33/J33,2)</f>
        <v>4115.32</v>
      </c>
      <c r="L33" s="12" t="n">
        <v>4115.32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150</v>
      </c>
      <c r="B34" s="14" t="s">
        <v>151</v>
      </c>
      <c r="C34" s="14" t="s">
        <v>152</v>
      </c>
      <c r="D34" s="14" t="s">
        <v>153</v>
      </c>
      <c r="E34" s="14" t="s">
        <v>56</v>
      </c>
      <c r="F34" s="15" t="n">
        <v>1045000</v>
      </c>
      <c r="G34" s="16" t="n">
        <v>0.55</v>
      </c>
      <c r="H34" s="16" t="n">
        <v>1</v>
      </c>
      <c r="I34" s="16" t="n">
        <v>1</v>
      </c>
      <c r="J34" s="16" t="n">
        <v>0.53</v>
      </c>
      <c r="K34" s="15" t="n">
        <f aca="false">ROUND(F34/100*G34*H34*I34/J34,2)</f>
        <v>10844.34</v>
      </c>
      <c r="L34" s="15" t="n">
        <v>10844.34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154</v>
      </c>
      <c r="B35" s="3" t="s">
        <v>155</v>
      </c>
      <c r="C35" s="3" t="s">
        <v>145</v>
      </c>
      <c r="D35" s="3" t="s">
        <v>156</v>
      </c>
      <c r="E35" s="3" t="s">
        <v>157</v>
      </c>
      <c r="F35" s="12" t="n">
        <v>520000</v>
      </c>
      <c r="G35" s="13" t="n">
        <v>0.78</v>
      </c>
      <c r="H35" s="13" t="n">
        <v>0.96</v>
      </c>
      <c r="I35" s="13" t="n">
        <v>1</v>
      </c>
      <c r="J35" s="13" t="n">
        <v>0.53</v>
      </c>
      <c r="K35" s="12" t="n">
        <f aca="false">ROUND(F35/100*G35*H35*I35/J35,2)</f>
        <v>7346.72</v>
      </c>
      <c r="L35" s="12" t="n">
        <v>7346.72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101</v>
      </c>
      <c r="B36" s="14" t="s">
        <v>158</v>
      </c>
      <c r="C36" s="14" t="s">
        <v>159</v>
      </c>
      <c r="D36" s="14" t="s">
        <v>160</v>
      </c>
      <c r="E36" s="14" t="s">
        <v>50</v>
      </c>
      <c r="F36" s="15" t="n">
        <v>465000</v>
      </c>
      <c r="G36" s="16" t="n">
        <v>1.15</v>
      </c>
      <c r="H36" s="16" t="n">
        <v>1.15</v>
      </c>
      <c r="I36" s="16" t="n">
        <v>1</v>
      </c>
      <c r="J36" s="16" t="n">
        <v>0.53</v>
      </c>
      <c r="K36" s="15" t="n">
        <f aca="false">ROUND(F36/100*G36*H36*I36/J36,2)</f>
        <v>11603.07</v>
      </c>
      <c r="L36" s="15" t="n">
        <v>11603.07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91</v>
      </c>
      <c r="B37" s="3" t="s">
        <v>161</v>
      </c>
      <c r="C37" s="3" t="s">
        <v>128</v>
      </c>
      <c r="D37" s="3" t="s">
        <v>162</v>
      </c>
      <c r="E37" s="3" t="s">
        <v>74</v>
      </c>
      <c r="F37" s="12" t="n">
        <v>710000</v>
      </c>
      <c r="G37" s="13" t="n">
        <v>0.43</v>
      </c>
      <c r="H37" s="13" t="n">
        <v>1.25</v>
      </c>
      <c r="I37" s="13" t="n">
        <v>1</v>
      </c>
      <c r="J37" s="13" t="n">
        <v>0.53</v>
      </c>
      <c r="K37" s="12" t="n">
        <f aca="false">ROUND(F37/100*G37*H37*I37/J37,2)</f>
        <v>7200.47</v>
      </c>
      <c r="L37" s="12" t="n">
        <v>7200.47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163</v>
      </c>
      <c r="B38" s="14" t="s">
        <v>164</v>
      </c>
      <c r="C38" s="14" t="s">
        <v>85</v>
      </c>
      <c r="D38" s="14" t="s">
        <v>165</v>
      </c>
      <c r="E38" s="14" t="s">
        <v>56</v>
      </c>
      <c r="F38" s="15" t="n">
        <v>630000</v>
      </c>
      <c r="G38" s="16" t="n">
        <v>0.65</v>
      </c>
      <c r="H38" s="16" t="n">
        <v>1.28</v>
      </c>
      <c r="I38" s="16" t="n">
        <v>1</v>
      </c>
      <c r="J38" s="16" t="n">
        <v>0.53</v>
      </c>
      <c r="K38" s="15" t="n">
        <f aca="false">ROUND(F38/100*G38*H38*I38/J38,2)</f>
        <v>9889.81</v>
      </c>
      <c r="L38" s="15" t="n">
        <v>9889.81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79</v>
      </c>
      <c r="B39" s="3" t="s">
        <v>166</v>
      </c>
      <c r="C39" s="3" t="s">
        <v>128</v>
      </c>
      <c r="D39" s="3" t="s">
        <v>167</v>
      </c>
      <c r="E39" s="3" t="s">
        <v>74</v>
      </c>
      <c r="F39" s="12" t="n">
        <v>1950000</v>
      </c>
      <c r="G39" s="13" t="n">
        <v>0.38</v>
      </c>
      <c r="H39" s="13" t="n">
        <v>1.25</v>
      </c>
      <c r="I39" s="13" t="n">
        <v>1</v>
      </c>
      <c r="J39" s="13" t="n">
        <v>0.53</v>
      </c>
      <c r="K39" s="12" t="n">
        <f aca="false">ROUND(F39/100*G39*H39*I39/J39,2)</f>
        <v>17476.42</v>
      </c>
      <c r="L39" s="12" t="n">
        <v>17476.42</v>
      </c>
      <c r="M39" s="12" t="n">
        <f aca="false">L39-K39</f>
        <v>0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57</v>
      </c>
      <c r="B40" s="14" t="s">
        <v>168</v>
      </c>
      <c r="C40" s="14" t="s">
        <v>169</v>
      </c>
      <c r="D40" s="14" t="s">
        <v>170</v>
      </c>
      <c r="E40" s="14" t="s">
        <v>56</v>
      </c>
      <c r="F40" s="15" t="n">
        <v>545000</v>
      </c>
      <c r="G40" s="16" t="n">
        <v>0.65</v>
      </c>
      <c r="H40" s="16" t="n">
        <v>1.07</v>
      </c>
      <c r="I40" s="16" t="n">
        <v>1</v>
      </c>
      <c r="J40" s="16" t="n">
        <v>0.53</v>
      </c>
      <c r="K40" s="15" t="n">
        <f aca="false">ROUND(F40/100*G40*H40*I40/J40,2)</f>
        <v>7151.84</v>
      </c>
      <c r="L40" s="15" t="n">
        <v>7151.84</v>
      </c>
      <c r="M40" s="15" t="n">
        <f aca="false">L40-K40</f>
        <v>0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110</v>
      </c>
      <c r="B41" s="3" t="s">
        <v>171</v>
      </c>
      <c r="C41" s="3" t="s">
        <v>145</v>
      </c>
      <c r="D41" s="3" t="s">
        <v>172</v>
      </c>
      <c r="E41" s="3" t="s">
        <v>157</v>
      </c>
      <c r="F41" s="12" t="n">
        <v>380000</v>
      </c>
      <c r="G41" s="13" t="n">
        <v>0.88</v>
      </c>
      <c r="H41" s="13" t="n">
        <v>0.96</v>
      </c>
      <c r="I41" s="13" t="n">
        <v>1</v>
      </c>
      <c r="J41" s="13" t="n">
        <v>0.53</v>
      </c>
      <c r="K41" s="12" t="n">
        <f aca="false">ROUND(F41/100*G41*H41*I41/J41,2)</f>
        <v>6057.06</v>
      </c>
      <c r="L41" s="12" t="n">
        <v>6057.06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101</v>
      </c>
      <c r="B42" s="14" t="s">
        <v>173</v>
      </c>
      <c r="C42" s="14" t="s">
        <v>174</v>
      </c>
      <c r="D42" s="14" t="s">
        <v>175</v>
      </c>
      <c r="E42" s="14" t="s">
        <v>133</v>
      </c>
      <c r="F42" s="15" t="n">
        <v>1950000</v>
      </c>
      <c r="G42" s="16" t="n">
        <v>0.34</v>
      </c>
      <c r="H42" s="16" t="n">
        <v>1.55</v>
      </c>
      <c r="I42" s="16" t="n">
        <v>1</v>
      </c>
      <c r="J42" s="16" t="n">
        <v>0.53</v>
      </c>
      <c r="K42" s="15" t="n">
        <f aca="false">ROUND(F42/100*G42*H42*I42/J42,2)</f>
        <v>19389.62</v>
      </c>
      <c r="L42" s="15" t="n">
        <v>19389.62</v>
      </c>
      <c r="M42" s="15" t="n">
        <f aca="false">L42-K42</f>
        <v>0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176</v>
      </c>
      <c r="B43" s="3" t="s">
        <v>177</v>
      </c>
      <c r="C43" s="3" t="s">
        <v>77</v>
      </c>
      <c r="D43" s="3" t="s">
        <v>178</v>
      </c>
      <c r="E43" s="3" t="s">
        <v>56</v>
      </c>
      <c r="F43" s="12" t="n">
        <v>495000</v>
      </c>
      <c r="G43" s="13" t="n">
        <v>0.75</v>
      </c>
      <c r="H43" s="13" t="n">
        <v>1.42</v>
      </c>
      <c r="I43" s="13" t="n">
        <v>1</v>
      </c>
      <c r="J43" s="13" t="n">
        <v>0.53</v>
      </c>
      <c r="K43" s="12" t="n">
        <f aca="false">ROUND(F43/100*G43*H43*I43/J43,2)</f>
        <v>9946.7</v>
      </c>
      <c r="L43" s="12" t="n">
        <v>9946.7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87</v>
      </c>
      <c r="B44" s="14" t="s">
        <v>179</v>
      </c>
      <c r="C44" s="14" t="s">
        <v>169</v>
      </c>
      <c r="D44" s="14" t="s">
        <v>180</v>
      </c>
      <c r="E44" s="14" t="s">
        <v>56</v>
      </c>
      <c r="F44" s="15" t="n">
        <v>435000</v>
      </c>
      <c r="G44" s="16" t="n">
        <v>0.75</v>
      </c>
      <c r="H44" s="16" t="n">
        <v>1.07</v>
      </c>
      <c r="I44" s="16" t="n">
        <v>1</v>
      </c>
      <c r="J44" s="16" t="n">
        <v>0.53</v>
      </c>
      <c r="K44" s="15" t="n">
        <f aca="false">ROUND(F44/100*G44*H44*I44/J44,2)</f>
        <v>6586.56</v>
      </c>
      <c r="L44" s="15" t="n">
        <v>6586.56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134</v>
      </c>
      <c r="B45" s="3" t="s">
        <v>181</v>
      </c>
      <c r="C45" s="3" t="s">
        <v>105</v>
      </c>
      <c r="D45" s="3" t="s">
        <v>182</v>
      </c>
      <c r="E45" s="3" t="s">
        <v>56</v>
      </c>
      <c r="F45" s="12" t="n">
        <v>220000</v>
      </c>
      <c r="G45" s="13" t="n">
        <v>0.92</v>
      </c>
      <c r="H45" s="13" t="n">
        <v>0.99</v>
      </c>
      <c r="I45" s="13" t="n">
        <v>1</v>
      </c>
      <c r="J45" s="13" t="n">
        <v>0.53</v>
      </c>
      <c r="K45" s="12" t="n">
        <f aca="false">ROUND(F45/100*G45*H45*I45/J45,2)</f>
        <v>3780.68</v>
      </c>
      <c r="L45" s="12" t="n">
        <v>3780.68</v>
      </c>
      <c r="M45" s="12" t="n">
        <f aca="false">L45-K45</f>
        <v>0</v>
      </c>
      <c r="N45" s="3" t="s">
        <v>51</v>
      </c>
      <c r="O45" s="3" t="s">
        <v>52</v>
      </c>
    </row>
    <row r="46" customFormat="false" ht="15" hidden="false" customHeight="false" outlineLevel="0" collapsed="false">
      <c r="A46" s="14" t="s">
        <v>154</v>
      </c>
      <c r="B46" s="14" t="s">
        <v>183</v>
      </c>
      <c r="C46" s="14" t="s">
        <v>184</v>
      </c>
      <c r="D46" s="14" t="s">
        <v>112</v>
      </c>
      <c r="E46" s="14" t="s">
        <v>56</v>
      </c>
      <c r="F46" s="15" t="n">
        <v>490000</v>
      </c>
      <c r="G46" s="16" t="n">
        <v>0.75</v>
      </c>
      <c r="H46" s="16" t="n">
        <v>1.02</v>
      </c>
      <c r="I46" s="16" t="n">
        <v>1</v>
      </c>
      <c r="J46" s="16" t="n">
        <v>0.53</v>
      </c>
      <c r="K46" s="15" t="n">
        <f aca="false">ROUND(F46/100*G46*H46*I46/J46,2)</f>
        <v>7072.64</v>
      </c>
      <c r="L46" s="15" t="n">
        <v>7072.64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150</v>
      </c>
      <c r="B47" s="3" t="s">
        <v>185</v>
      </c>
      <c r="C47" s="3" t="s">
        <v>48</v>
      </c>
      <c r="D47" s="3" t="s">
        <v>186</v>
      </c>
      <c r="E47" s="3" t="s">
        <v>56</v>
      </c>
      <c r="F47" s="12" t="n">
        <v>970000</v>
      </c>
      <c r="G47" s="13" t="n">
        <v>0.65</v>
      </c>
      <c r="H47" s="13" t="n">
        <v>1.28</v>
      </c>
      <c r="I47" s="13" t="n">
        <v>1</v>
      </c>
      <c r="J47" s="13" t="n">
        <v>0.53</v>
      </c>
      <c r="K47" s="12" t="n">
        <f aca="false">ROUND(F47/100*G47*H47*I47/J47,2)</f>
        <v>15227.17</v>
      </c>
      <c r="L47" s="12" t="n">
        <v>15227.17</v>
      </c>
      <c r="M47" s="12" t="n">
        <f aca="false">L47-K47</f>
        <v>0</v>
      </c>
      <c r="N47" s="3" t="s">
        <v>51</v>
      </c>
      <c r="O47" s="3" t="s">
        <v>52</v>
      </c>
    </row>
    <row r="48" customFormat="false" ht="15" hidden="false" customHeight="false" outlineLevel="0" collapsed="false">
      <c r="A48" s="14" t="s">
        <v>83</v>
      </c>
      <c r="B48" s="14" t="s">
        <v>187</v>
      </c>
      <c r="C48" s="14" t="s">
        <v>188</v>
      </c>
      <c r="D48" s="14" t="s">
        <v>189</v>
      </c>
      <c r="E48" s="14" t="s">
        <v>50</v>
      </c>
      <c r="F48" s="15" t="n">
        <v>760000</v>
      </c>
      <c r="G48" s="16" t="n">
        <v>0.95</v>
      </c>
      <c r="H48" s="16" t="n">
        <v>1.35</v>
      </c>
      <c r="I48" s="16" t="n">
        <v>1</v>
      </c>
      <c r="J48" s="16" t="n">
        <v>0.53</v>
      </c>
      <c r="K48" s="15" t="n">
        <f aca="false">ROUND(F48/100*G48*H48*I48/J48,2)</f>
        <v>18390.57</v>
      </c>
      <c r="L48" s="15" t="n">
        <v>18390.57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190</v>
      </c>
      <c r="B49" s="3" t="s">
        <v>191</v>
      </c>
      <c r="C49" s="3" t="s">
        <v>77</v>
      </c>
      <c r="D49" s="3" t="s">
        <v>180</v>
      </c>
      <c r="E49" s="3" t="s">
        <v>56</v>
      </c>
      <c r="F49" s="12" t="n">
        <v>610000</v>
      </c>
      <c r="G49" s="13" t="n">
        <v>0.65</v>
      </c>
      <c r="H49" s="13" t="n">
        <v>1.42</v>
      </c>
      <c r="I49" s="13" t="n">
        <v>1</v>
      </c>
      <c r="J49" s="13" t="n">
        <v>0.53</v>
      </c>
      <c r="K49" s="12" t="n">
        <f aca="false">ROUND(F49/100*G49*H49*I49/J49,2)</f>
        <v>10623.21</v>
      </c>
      <c r="L49" s="12" t="n">
        <v>10623.21</v>
      </c>
      <c r="M49" s="12" t="n">
        <f aca="false">L49-K49</f>
        <v>0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95</v>
      </c>
      <c r="B50" s="14" t="s">
        <v>192</v>
      </c>
      <c r="C50" s="14" t="s">
        <v>193</v>
      </c>
      <c r="D50" s="14" t="s">
        <v>194</v>
      </c>
      <c r="E50" s="14" t="s">
        <v>56</v>
      </c>
      <c r="F50" s="15" t="n">
        <v>330000</v>
      </c>
      <c r="G50" s="16" t="n">
        <v>0.75</v>
      </c>
      <c r="H50" s="16" t="n">
        <v>1.25</v>
      </c>
      <c r="I50" s="16" t="n">
        <v>1</v>
      </c>
      <c r="J50" s="16" t="n">
        <v>0.53</v>
      </c>
      <c r="K50" s="15" t="n">
        <f aca="false">ROUND(F50/100*G50*H50*I50/J50,2)</f>
        <v>5837.26</v>
      </c>
      <c r="L50" s="15" t="n">
        <v>5837.26</v>
      </c>
      <c r="M50" s="15" t="n">
        <f aca="false">L50-K50</f>
        <v>0</v>
      </c>
      <c r="N50" s="14" t="s">
        <v>51</v>
      </c>
      <c r="O50" s="14" t="s">
        <v>52</v>
      </c>
    </row>
    <row r="51" customFormat="false" ht="15" hidden="false" customHeight="false" outlineLevel="0" collapsed="false">
      <c r="A51" s="3" t="s">
        <v>176</v>
      </c>
      <c r="B51" s="3" t="s">
        <v>195</v>
      </c>
      <c r="C51" s="3" t="s">
        <v>196</v>
      </c>
      <c r="D51" s="3" t="s">
        <v>197</v>
      </c>
      <c r="E51" s="3" t="s">
        <v>74</v>
      </c>
      <c r="F51" s="12" t="n">
        <v>555000</v>
      </c>
      <c r="G51" s="13" t="n">
        <v>0.43</v>
      </c>
      <c r="H51" s="13" t="n">
        <v>1.04</v>
      </c>
      <c r="I51" s="13" t="n">
        <v>1</v>
      </c>
      <c r="J51" s="13" t="n">
        <v>0.53</v>
      </c>
      <c r="K51" s="12" t="n">
        <f aca="false">ROUND(F51/100*G51*H51*I51/J51,2)</f>
        <v>4682.94</v>
      </c>
      <c r="L51" s="12" t="n">
        <v>4682.94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101</v>
      </c>
      <c r="B52" s="14" t="s">
        <v>198</v>
      </c>
      <c r="C52" s="14" t="s">
        <v>48</v>
      </c>
      <c r="D52" s="14" t="s">
        <v>199</v>
      </c>
      <c r="E52" s="14" t="s">
        <v>56</v>
      </c>
      <c r="F52" s="15" t="n">
        <v>745000</v>
      </c>
      <c r="G52" s="16" t="n">
        <v>0.65</v>
      </c>
      <c r="H52" s="16" t="n">
        <v>1.28</v>
      </c>
      <c r="I52" s="16" t="n">
        <v>1</v>
      </c>
      <c r="J52" s="16" t="n">
        <v>0.53</v>
      </c>
      <c r="K52" s="15" t="n">
        <f aca="false">ROUND(F52/100*G52*H52*I52/J52,2)</f>
        <v>11695.09</v>
      </c>
      <c r="L52" s="15" t="n">
        <v>11695.09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200</v>
      </c>
      <c r="B53" s="3" t="s">
        <v>201</v>
      </c>
      <c r="C53" s="3" t="s">
        <v>114</v>
      </c>
      <c r="D53" s="3" t="s">
        <v>202</v>
      </c>
      <c r="E53" s="3" t="s">
        <v>50</v>
      </c>
      <c r="F53" s="12" t="n">
        <v>1075000</v>
      </c>
      <c r="G53" s="13" t="n">
        <v>0.8</v>
      </c>
      <c r="H53" s="13" t="n">
        <v>1.36</v>
      </c>
      <c r="I53" s="13" t="n">
        <v>1</v>
      </c>
      <c r="J53" s="13" t="n">
        <v>0.53</v>
      </c>
      <c r="K53" s="12" t="n">
        <f aca="false">ROUND(F53/100*G53*H53*I53/J53,2)</f>
        <v>22067.92</v>
      </c>
      <c r="L53" s="12" t="n">
        <v>22067.92</v>
      </c>
      <c r="M53" s="12" t="n">
        <f aca="false">L53-K53</f>
        <v>0</v>
      </c>
      <c r="N53" s="3" t="s">
        <v>51</v>
      </c>
      <c r="O53" s="3" t="s">
        <v>52</v>
      </c>
    </row>
    <row r="54" customFormat="false" ht="15" hidden="false" customHeight="false" outlineLevel="0" collapsed="false">
      <c r="A54" s="14" t="s">
        <v>110</v>
      </c>
      <c r="B54" s="14" t="s">
        <v>203</v>
      </c>
      <c r="C54" s="14" t="s">
        <v>77</v>
      </c>
      <c r="D54" s="14" t="s">
        <v>204</v>
      </c>
      <c r="E54" s="14" t="s">
        <v>74</v>
      </c>
      <c r="F54" s="15" t="n">
        <v>325000</v>
      </c>
      <c r="G54" s="16" t="n">
        <v>0.48</v>
      </c>
      <c r="H54" s="16" t="n">
        <v>1.42</v>
      </c>
      <c r="I54" s="16" t="n">
        <v>1</v>
      </c>
      <c r="J54" s="16" t="n">
        <v>0.53</v>
      </c>
      <c r="K54" s="15" t="n">
        <f aca="false">ROUND(F54/100*G54*H54*I54/J54,2)</f>
        <v>4179.62</v>
      </c>
      <c r="L54" s="15" t="n">
        <v>4179.62</v>
      </c>
      <c r="M54" s="15" t="n">
        <f aca="false">L54-K54</f>
        <v>0</v>
      </c>
      <c r="N54" s="14" t="s">
        <v>51</v>
      </c>
      <c r="O54" s="14" t="s">
        <v>52</v>
      </c>
    </row>
    <row r="55" customFormat="false" ht="15" hidden="false" customHeight="false" outlineLevel="0" collapsed="false">
      <c r="A55" s="3" t="s">
        <v>71</v>
      </c>
      <c r="B55" s="3" t="s">
        <v>205</v>
      </c>
      <c r="C55" s="3" t="s">
        <v>89</v>
      </c>
      <c r="D55" s="3" t="s">
        <v>206</v>
      </c>
      <c r="E55" s="3" t="s">
        <v>74</v>
      </c>
      <c r="F55" s="12" t="n">
        <v>810000</v>
      </c>
      <c r="G55" s="13" t="n">
        <v>0.43</v>
      </c>
      <c r="H55" s="13" t="n">
        <v>1.35</v>
      </c>
      <c r="I55" s="13" t="n">
        <v>1</v>
      </c>
      <c r="J55" s="13" t="n">
        <v>0.53</v>
      </c>
      <c r="K55" s="12" t="n">
        <f aca="false">ROUND(F55/100*G55*H55*I55/J55,2)</f>
        <v>8871.79</v>
      </c>
      <c r="L55" s="12" t="n">
        <v>8871.79</v>
      </c>
      <c r="M55" s="12" t="n">
        <f aca="false">L55-K55</f>
        <v>0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91</v>
      </c>
      <c r="B56" s="14" t="s">
        <v>207</v>
      </c>
      <c r="C56" s="14" t="s">
        <v>89</v>
      </c>
      <c r="D56" s="14" t="s">
        <v>208</v>
      </c>
      <c r="E56" s="14" t="s">
        <v>56</v>
      </c>
      <c r="F56" s="15" t="n">
        <v>385000</v>
      </c>
      <c r="G56" s="16" t="n">
        <v>0.75</v>
      </c>
      <c r="H56" s="16" t="n">
        <v>1.35</v>
      </c>
      <c r="I56" s="16" t="n">
        <v>1</v>
      </c>
      <c r="J56" s="16" t="n">
        <v>0.53</v>
      </c>
      <c r="K56" s="15" t="n">
        <f aca="false">ROUND(F56/100*G56*H56*I56/J56,2)</f>
        <v>7354.95</v>
      </c>
      <c r="L56" s="15" t="n">
        <v>7354.95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66</v>
      </c>
      <c r="B57" s="3" t="s">
        <v>209</v>
      </c>
      <c r="C57" s="3" t="s">
        <v>210</v>
      </c>
      <c r="D57" s="3" t="s">
        <v>211</v>
      </c>
      <c r="E57" s="3" t="s">
        <v>50</v>
      </c>
      <c r="F57" s="12" t="n">
        <v>525000</v>
      </c>
      <c r="G57" s="13" t="n">
        <v>0.95</v>
      </c>
      <c r="H57" s="13" t="n">
        <v>1.21</v>
      </c>
      <c r="I57" s="13" t="n">
        <v>1</v>
      </c>
      <c r="J57" s="13" t="n">
        <v>0.53</v>
      </c>
      <c r="K57" s="12" t="n">
        <f aca="false">ROUND(F57/100*G57*H57*I57/J57,2)</f>
        <v>11386.56</v>
      </c>
      <c r="L57" s="12" t="n">
        <v>11386.56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126</v>
      </c>
      <c r="B58" s="14" t="s">
        <v>212</v>
      </c>
      <c r="C58" s="14" t="s">
        <v>59</v>
      </c>
      <c r="D58" s="14" t="s">
        <v>213</v>
      </c>
      <c r="E58" s="14" t="s">
        <v>157</v>
      </c>
      <c r="F58" s="15" t="n">
        <v>945000</v>
      </c>
      <c r="G58" s="16" t="n">
        <v>0.78</v>
      </c>
      <c r="H58" s="16" t="n">
        <v>0.97</v>
      </c>
      <c r="I58" s="16" t="n">
        <v>1</v>
      </c>
      <c r="J58" s="16" t="n">
        <v>0.53</v>
      </c>
      <c r="K58" s="15" t="n">
        <f aca="false">ROUND(F58/100*G58*H58*I58/J58,2)</f>
        <v>13490.32</v>
      </c>
      <c r="L58" s="15" t="n">
        <v>13490.32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134</v>
      </c>
      <c r="B59" s="3" t="s">
        <v>214</v>
      </c>
      <c r="C59" s="3" t="s">
        <v>136</v>
      </c>
      <c r="D59" s="3" t="s">
        <v>215</v>
      </c>
      <c r="E59" s="3" t="s">
        <v>56</v>
      </c>
      <c r="F59" s="12" t="n">
        <v>480000</v>
      </c>
      <c r="G59" s="13" t="n">
        <v>0.75</v>
      </c>
      <c r="H59" s="13" t="n">
        <v>1.32</v>
      </c>
      <c r="I59" s="13" t="n">
        <v>1</v>
      </c>
      <c r="J59" s="13" t="n">
        <v>0.53</v>
      </c>
      <c r="K59" s="12" t="n">
        <f aca="false">ROUND(F59/100*G59*H59*I59/J59,2)</f>
        <v>8966.04</v>
      </c>
      <c r="L59" s="12" t="n">
        <v>8966.04</v>
      </c>
      <c r="M59" s="12" t="n">
        <f aca="false">L59-K59</f>
        <v>0</v>
      </c>
      <c r="N59" s="3" t="s">
        <v>51</v>
      </c>
      <c r="O59" s="3" t="s">
        <v>52</v>
      </c>
    </row>
    <row r="60" customFormat="false" ht="15" hidden="false" customHeight="false" outlineLevel="0" collapsed="false">
      <c r="A60" s="14" t="s">
        <v>126</v>
      </c>
      <c r="B60" s="14" t="s">
        <v>216</v>
      </c>
      <c r="C60" s="14" t="s">
        <v>217</v>
      </c>
      <c r="D60" s="14" t="s">
        <v>218</v>
      </c>
      <c r="E60" s="14" t="s">
        <v>56</v>
      </c>
      <c r="F60" s="15" t="n">
        <v>570000</v>
      </c>
      <c r="G60" s="16" t="n">
        <v>0.65</v>
      </c>
      <c r="H60" s="16" t="n">
        <v>1.3</v>
      </c>
      <c r="I60" s="16" t="n">
        <v>1</v>
      </c>
      <c r="J60" s="16" t="n">
        <v>0.53</v>
      </c>
      <c r="K60" s="15" t="n">
        <f aca="false">ROUND(F60/100*G60*H60*I60/J60,2)</f>
        <v>9087.74</v>
      </c>
      <c r="L60" s="15" t="n">
        <v>9087.74</v>
      </c>
      <c r="M60" s="15" t="n">
        <f aca="false">L60-K60</f>
        <v>0</v>
      </c>
      <c r="N60" s="14" t="s">
        <v>51</v>
      </c>
      <c r="O60" s="14" t="s">
        <v>52</v>
      </c>
    </row>
    <row r="61" customFormat="false" ht="15" hidden="false" customHeight="false" outlineLevel="0" collapsed="false">
      <c r="A61" s="3" t="s">
        <v>87</v>
      </c>
      <c r="B61" s="3" t="s">
        <v>219</v>
      </c>
      <c r="C61" s="3" t="s">
        <v>220</v>
      </c>
      <c r="D61" s="3" t="s">
        <v>221</v>
      </c>
      <c r="E61" s="3" t="s">
        <v>50</v>
      </c>
      <c r="F61" s="12" t="n">
        <v>1245000</v>
      </c>
      <c r="G61" s="13" t="n">
        <v>0.8</v>
      </c>
      <c r="H61" s="13" t="n">
        <v>1.01</v>
      </c>
      <c r="I61" s="13" t="n">
        <v>1</v>
      </c>
      <c r="J61" s="13" t="n">
        <v>0.53</v>
      </c>
      <c r="K61" s="12" t="n">
        <f aca="false">ROUND(F61/100*G61*H61*I61/J61,2)</f>
        <v>18980.38</v>
      </c>
      <c r="L61" s="12" t="n">
        <v>18980.38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222</v>
      </c>
      <c r="B62" s="14" t="s">
        <v>223</v>
      </c>
      <c r="C62" s="14" t="s">
        <v>224</v>
      </c>
      <c r="D62" s="14" t="s">
        <v>225</v>
      </c>
      <c r="E62" s="14" t="s">
        <v>56</v>
      </c>
      <c r="F62" s="15" t="n">
        <v>240000</v>
      </c>
      <c r="G62" s="16" t="n">
        <v>0.92</v>
      </c>
      <c r="H62" s="16" t="n">
        <v>1.1</v>
      </c>
      <c r="I62" s="16" t="n">
        <v>1</v>
      </c>
      <c r="J62" s="16" t="n">
        <v>0.53</v>
      </c>
      <c r="K62" s="15" t="n">
        <f aca="false">ROUND(F62/100*G62*H62*I62/J62,2)</f>
        <v>4582.64</v>
      </c>
      <c r="L62" s="15" t="n">
        <v>4582.64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226</v>
      </c>
      <c r="B63" s="3" t="s">
        <v>227</v>
      </c>
      <c r="C63" s="3" t="s">
        <v>193</v>
      </c>
      <c r="D63" s="3" t="s">
        <v>228</v>
      </c>
      <c r="E63" s="3" t="s">
        <v>74</v>
      </c>
      <c r="F63" s="12" t="n">
        <v>445000</v>
      </c>
      <c r="G63" s="13" t="n">
        <v>0.48</v>
      </c>
      <c r="H63" s="13" t="n">
        <v>1.25</v>
      </c>
      <c r="I63" s="13" t="n">
        <v>1</v>
      </c>
      <c r="J63" s="13" t="n">
        <v>0.53</v>
      </c>
      <c r="K63" s="12" t="n">
        <f aca="false">ROUND(F63/100*G63*H63*I63/J63,2)</f>
        <v>5037.74</v>
      </c>
      <c r="L63" s="12" t="n">
        <v>5037.74</v>
      </c>
      <c r="M63" s="12" t="n">
        <f aca="false">L63-K63</f>
        <v>0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200</v>
      </c>
      <c r="B64" s="14" t="s">
        <v>229</v>
      </c>
      <c r="C64" s="14" t="s">
        <v>230</v>
      </c>
      <c r="D64" s="14" t="s">
        <v>231</v>
      </c>
      <c r="E64" s="14" t="s">
        <v>56</v>
      </c>
      <c r="F64" s="15" t="n">
        <v>685000</v>
      </c>
      <c r="G64" s="16" t="n">
        <v>0.65</v>
      </c>
      <c r="H64" s="16" t="n">
        <v>1.09</v>
      </c>
      <c r="I64" s="16" t="n">
        <v>1</v>
      </c>
      <c r="J64" s="16" t="n">
        <v>0.53</v>
      </c>
      <c r="K64" s="15" t="n">
        <f aca="false">ROUND(F64/100*G64*H64*I64/J64,2)</f>
        <v>9157.03</v>
      </c>
      <c r="L64" s="15" t="n">
        <v>9157.03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126</v>
      </c>
      <c r="B65" s="3" t="s">
        <v>232</v>
      </c>
      <c r="C65" s="3" t="s">
        <v>93</v>
      </c>
      <c r="D65" s="3" t="s">
        <v>233</v>
      </c>
      <c r="E65" s="3" t="s">
        <v>50</v>
      </c>
      <c r="F65" s="12" t="n">
        <v>935000</v>
      </c>
      <c r="G65" s="13" t="n">
        <v>0.95</v>
      </c>
      <c r="H65" s="13" t="n">
        <v>1.39</v>
      </c>
      <c r="I65" s="13" t="n">
        <v>1</v>
      </c>
      <c r="J65" s="13" t="n">
        <v>0.53</v>
      </c>
      <c r="K65" s="12" t="n">
        <f aca="false">ROUND(F65/100*G65*H65*I65/J65,2)</f>
        <v>23295.61</v>
      </c>
      <c r="L65" s="12" t="n">
        <v>23295.61</v>
      </c>
      <c r="M65" s="12" t="n">
        <f aca="false">L65-K65</f>
        <v>0</v>
      </c>
      <c r="N65" s="3" t="s">
        <v>51</v>
      </c>
      <c r="O65" s="3" t="s">
        <v>52</v>
      </c>
    </row>
    <row r="66" customFormat="false" ht="15" hidden="false" customHeight="false" outlineLevel="0" collapsed="false">
      <c r="A66" s="14" t="s">
        <v>150</v>
      </c>
      <c r="B66" s="14" t="s">
        <v>234</v>
      </c>
      <c r="C66" s="14" t="s">
        <v>77</v>
      </c>
      <c r="D66" s="14" t="s">
        <v>235</v>
      </c>
      <c r="E66" s="14" t="s">
        <v>56</v>
      </c>
      <c r="F66" s="15" t="n">
        <v>505000</v>
      </c>
      <c r="G66" s="16" t="n">
        <v>0.65</v>
      </c>
      <c r="H66" s="16" t="n">
        <v>1.42</v>
      </c>
      <c r="I66" s="16" t="n">
        <v>1</v>
      </c>
      <c r="J66" s="16" t="n">
        <v>0.53</v>
      </c>
      <c r="K66" s="15" t="n">
        <f aca="false">ROUND(F66/100*G66*H66*I66/J66,2)</f>
        <v>8794.62</v>
      </c>
      <c r="L66" s="15" t="n">
        <v>8794.62</v>
      </c>
      <c r="M66" s="15" t="n">
        <f aca="false">L66-K66</f>
        <v>0</v>
      </c>
      <c r="N66" s="14" t="s">
        <v>51</v>
      </c>
      <c r="O66" s="14" t="s">
        <v>52</v>
      </c>
    </row>
    <row r="67" customFormat="false" ht="15" hidden="false" customHeight="false" outlineLevel="0" collapsed="false">
      <c r="A67" s="3" t="s">
        <v>150</v>
      </c>
      <c r="B67" s="3" t="s">
        <v>236</v>
      </c>
      <c r="C67" s="3" t="s">
        <v>237</v>
      </c>
      <c r="D67" s="3" t="s">
        <v>238</v>
      </c>
      <c r="E67" s="3" t="s">
        <v>56</v>
      </c>
      <c r="F67" s="12" t="n">
        <v>280000</v>
      </c>
      <c r="G67" s="13" t="n">
        <v>0.75</v>
      </c>
      <c r="H67" s="13" t="n">
        <v>1.33</v>
      </c>
      <c r="I67" s="13" t="n">
        <v>1</v>
      </c>
      <c r="J67" s="13" t="n">
        <v>0.53</v>
      </c>
      <c r="K67" s="12" t="n">
        <f aca="false">ROUND(F67/100*G67*H67*I67/J67,2)</f>
        <v>5269.81</v>
      </c>
      <c r="L67" s="12" t="n">
        <v>5269.81</v>
      </c>
      <c r="M67" s="12" t="n">
        <f aca="false">L67-K67</f>
        <v>0</v>
      </c>
      <c r="N67" s="3" t="s">
        <v>51</v>
      </c>
      <c r="O67" s="3" t="s">
        <v>52</v>
      </c>
    </row>
    <row r="68" customFormat="false" ht="15" hidden="false" customHeight="false" outlineLevel="0" collapsed="false">
      <c r="A68" s="14" t="s">
        <v>87</v>
      </c>
      <c r="B68" s="14" t="s">
        <v>239</v>
      </c>
      <c r="C68" s="14" t="s">
        <v>152</v>
      </c>
      <c r="D68" s="14" t="s">
        <v>240</v>
      </c>
      <c r="E68" s="14" t="s">
        <v>56</v>
      </c>
      <c r="F68" s="15" t="n">
        <v>1850000</v>
      </c>
      <c r="G68" s="16" t="n">
        <v>0.55</v>
      </c>
      <c r="H68" s="16" t="n">
        <v>1</v>
      </c>
      <c r="I68" s="16" t="n">
        <v>1</v>
      </c>
      <c r="J68" s="16" t="n">
        <v>0.53</v>
      </c>
      <c r="K68" s="15" t="n">
        <f aca="false">ROUND(F68/100*G68*H68*I68/J68,2)</f>
        <v>19198.11</v>
      </c>
      <c r="L68" s="15" t="n">
        <v>19198.11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241</v>
      </c>
      <c r="B69" s="3" t="s">
        <v>242</v>
      </c>
      <c r="C69" s="3" t="s">
        <v>243</v>
      </c>
      <c r="D69" s="3" t="s">
        <v>244</v>
      </c>
      <c r="E69" s="3" t="s">
        <v>74</v>
      </c>
      <c r="F69" s="12" t="n">
        <v>280000</v>
      </c>
      <c r="G69" s="13" t="n">
        <v>0.48</v>
      </c>
      <c r="H69" s="13" t="n">
        <v>1.14</v>
      </c>
      <c r="I69" s="13" t="n">
        <v>1</v>
      </c>
      <c r="J69" s="13" t="n">
        <v>0.53</v>
      </c>
      <c r="K69" s="12" t="n">
        <f aca="false">ROUND(F69/100*G69*H69*I69/J69,2)</f>
        <v>2890.87</v>
      </c>
      <c r="L69" s="12" t="n">
        <v>2890.87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79</v>
      </c>
      <c r="B70" s="14" t="s">
        <v>245</v>
      </c>
      <c r="C70" s="14" t="s">
        <v>136</v>
      </c>
      <c r="D70" s="14" t="s">
        <v>246</v>
      </c>
      <c r="E70" s="14" t="s">
        <v>74</v>
      </c>
      <c r="F70" s="15" t="n">
        <v>770000</v>
      </c>
      <c r="G70" s="16" t="n">
        <v>0.43</v>
      </c>
      <c r="H70" s="16" t="n">
        <v>1.32</v>
      </c>
      <c r="I70" s="16" t="n">
        <v>1</v>
      </c>
      <c r="J70" s="16" t="n">
        <v>0.53</v>
      </c>
      <c r="K70" s="15" t="n">
        <f aca="false">ROUND(F70/100*G70*H70*I70/J70,2)</f>
        <v>8246.26</v>
      </c>
      <c r="L70" s="15" t="n">
        <v>8246.26</v>
      </c>
      <c r="M70" s="15" t="n">
        <f aca="false">L70-K70</f>
        <v>0</v>
      </c>
      <c r="N70" s="14" t="s">
        <v>70</v>
      </c>
      <c r="O70" s="14" t="s">
        <v>52</v>
      </c>
    </row>
    <row r="71" customFormat="false" ht="15" hidden="false" customHeight="false" outlineLevel="0" collapsed="false">
      <c r="A71" s="3" t="s">
        <v>247</v>
      </c>
      <c r="B71" s="3" t="s">
        <v>248</v>
      </c>
      <c r="C71" s="3" t="s">
        <v>89</v>
      </c>
      <c r="D71" s="3" t="s">
        <v>194</v>
      </c>
      <c r="E71" s="3" t="s">
        <v>56</v>
      </c>
      <c r="F71" s="12" t="n">
        <v>430000</v>
      </c>
      <c r="G71" s="13" t="n">
        <v>0.75</v>
      </c>
      <c r="H71" s="13" t="n">
        <v>1.35</v>
      </c>
      <c r="I71" s="13" t="n">
        <v>1</v>
      </c>
      <c r="J71" s="13" t="n">
        <v>0.53</v>
      </c>
      <c r="K71" s="12" t="n">
        <f aca="false">ROUND(F71/100*G71*H71*I71/J71,2)</f>
        <v>8214.62</v>
      </c>
      <c r="L71" s="12" t="n">
        <v>8214.62</v>
      </c>
      <c r="M71" s="12" t="n">
        <f aca="false">L71-K71</f>
        <v>0</v>
      </c>
      <c r="N71" s="3" t="s">
        <v>61</v>
      </c>
      <c r="O71" s="3" t="s">
        <v>62</v>
      </c>
    </row>
    <row r="72" customFormat="false" ht="15" hidden="false" customHeight="false" outlineLevel="0" collapsed="false">
      <c r="A72" s="14" t="s">
        <v>57</v>
      </c>
      <c r="B72" s="14" t="s">
        <v>249</v>
      </c>
      <c r="C72" s="14" t="s">
        <v>217</v>
      </c>
      <c r="D72" s="14" t="s">
        <v>250</v>
      </c>
      <c r="E72" s="14" t="s">
        <v>56</v>
      </c>
      <c r="F72" s="15" t="n">
        <v>795000</v>
      </c>
      <c r="G72" s="16" t="n">
        <v>0.65</v>
      </c>
      <c r="H72" s="16" t="n">
        <v>1.3</v>
      </c>
      <c r="I72" s="16" t="n">
        <v>1</v>
      </c>
      <c r="J72" s="16" t="n">
        <v>0.53</v>
      </c>
      <c r="K72" s="15" t="n">
        <f aca="false">ROUND(F72/100*G72*H72*I72/J72,2)</f>
        <v>12675</v>
      </c>
      <c r="L72" s="15" t="n">
        <v>12675</v>
      </c>
      <c r="M72" s="15" t="n">
        <f aca="false">L72-K72</f>
        <v>0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222</v>
      </c>
      <c r="B73" s="3" t="s">
        <v>251</v>
      </c>
      <c r="C73" s="3" t="s">
        <v>128</v>
      </c>
      <c r="D73" s="3" t="s">
        <v>252</v>
      </c>
      <c r="E73" s="3" t="s">
        <v>74</v>
      </c>
      <c r="F73" s="12" t="n">
        <v>1075000</v>
      </c>
      <c r="G73" s="13" t="n">
        <v>0.38</v>
      </c>
      <c r="H73" s="13" t="n">
        <v>1.25</v>
      </c>
      <c r="I73" s="13" t="n">
        <v>1</v>
      </c>
      <c r="J73" s="13" t="n">
        <v>0.53</v>
      </c>
      <c r="K73" s="12" t="n">
        <f aca="false">ROUND(F73/100*G73*H73*I73/J73,2)</f>
        <v>9634.43</v>
      </c>
      <c r="L73" s="12" t="n">
        <v>9634.43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200</v>
      </c>
      <c r="B74" s="14" t="s">
        <v>253</v>
      </c>
      <c r="C74" s="14" t="s">
        <v>169</v>
      </c>
      <c r="D74" s="14" t="s">
        <v>254</v>
      </c>
      <c r="E74" s="14" t="s">
        <v>133</v>
      </c>
      <c r="F74" s="15" t="n">
        <v>1950000</v>
      </c>
      <c r="G74" s="16" t="n">
        <v>0.34</v>
      </c>
      <c r="H74" s="16" t="n">
        <v>1.07</v>
      </c>
      <c r="I74" s="16" t="n">
        <v>1</v>
      </c>
      <c r="J74" s="16" t="n">
        <v>0.53</v>
      </c>
      <c r="K74" s="15" t="n">
        <f aca="false">ROUND(F74/100*G74*H74*I74/J74,2)</f>
        <v>13385.09</v>
      </c>
      <c r="L74" s="15" t="n">
        <v>13385.09</v>
      </c>
      <c r="M74" s="15" t="n">
        <f aca="false">L74-K74</f>
        <v>0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66</v>
      </c>
      <c r="B75" s="3" t="s">
        <v>255</v>
      </c>
      <c r="C75" s="3" t="s">
        <v>152</v>
      </c>
      <c r="D75" s="3" t="s">
        <v>256</v>
      </c>
      <c r="E75" s="3" t="s">
        <v>56</v>
      </c>
      <c r="F75" s="12" t="n">
        <v>1945000</v>
      </c>
      <c r="G75" s="13" t="n">
        <v>0.55</v>
      </c>
      <c r="H75" s="13" t="n">
        <v>1</v>
      </c>
      <c r="I75" s="13" t="n">
        <v>1</v>
      </c>
      <c r="J75" s="13" t="n">
        <v>0.53</v>
      </c>
      <c r="K75" s="12" t="n">
        <f aca="false">ROUND(F75/100*G75*H75*I75/J75,2)</f>
        <v>20183.96</v>
      </c>
      <c r="L75" s="12" t="n">
        <v>20183.96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53</v>
      </c>
      <c r="B76" s="14" t="s">
        <v>257</v>
      </c>
      <c r="C76" s="14" t="s">
        <v>145</v>
      </c>
      <c r="D76" s="14" t="s">
        <v>258</v>
      </c>
      <c r="E76" s="14" t="s">
        <v>56</v>
      </c>
      <c r="F76" s="15" t="n">
        <v>605000</v>
      </c>
      <c r="G76" s="16" t="n">
        <v>0.65</v>
      </c>
      <c r="H76" s="16" t="n">
        <v>0.96</v>
      </c>
      <c r="I76" s="16" t="n">
        <v>1</v>
      </c>
      <c r="J76" s="16" t="n">
        <v>0.53</v>
      </c>
      <c r="K76" s="15" t="n">
        <f aca="false">ROUND(F76/100*G76*H76*I76/J76,2)</f>
        <v>7123.02</v>
      </c>
      <c r="L76" s="15" t="n">
        <v>7123.02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83</v>
      </c>
      <c r="B77" s="3" t="s">
        <v>259</v>
      </c>
      <c r="C77" s="3" t="s">
        <v>77</v>
      </c>
      <c r="D77" s="3" t="s">
        <v>260</v>
      </c>
      <c r="E77" s="3" t="s">
        <v>56</v>
      </c>
      <c r="F77" s="12" t="n">
        <v>735000</v>
      </c>
      <c r="G77" s="13" t="n">
        <v>0.65</v>
      </c>
      <c r="H77" s="13" t="n">
        <v>1.42</v>
      </c>
      <c r="I77" s="13" t="n">
        <v>1</v>
      </c>
      <c r="J77" s="13" t="n">
        <v>0.53</v>
      </c>
      <c r="K77" s="12" t="n">
        <f aca="false">ROUND(F77/100*G77*H77*I77/J77,2)</f>
        <v>12800.09</v>
      </c>
      <c r="L77" s="12" t="n">
        <v>12800.09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190</v>
      </c>
      <c r="B78" s="14" t="s">
        <v>261</v>
      </c>
      <c r="C78" s="14" t="s">
        <v>77</v>
      </c>
      <c r="D78" s="14" t="s">
        <v>262</v>
      </c>
      <c r="E78" s="14" t="s">
        <v>157</v>
      </c>
      <c r="F78" s="15" t="n">
        <v>595000</v>
      </c>
      <c r="G78" s="16" t="n">
        <v>0.78</v>
      </c>
      <c r="H78" s="16" t="n">
        <v>1.42</v>
      </c>
      <c r="I78" s="16" t="n">
        <v>1</v>
      </c>
      <c r="J78" s="16" t="n">
        <v>0.53</v>
      </c>
      <c r="K78" s="15" t="n">
        <f aca="false">ROUND(F78/100*G78*H78*I78/J78,2)</f>
        <v>12434.38</v>
      </c>
      <c r="L78" s="15" t="n">
        <v>12434.38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57</v>
      </c>
      <c r="B79" s="3" t="s">
        <v>263</v>
      </c>
      <c r="C79" s="3" t="s">
        <v>48</v>
      </c>
      <c r="D79" s="3" t="s">
        <v>264</v>
      </c>
      <c r="E79" s="3" t="s">
        <v>74</v>
      </c>
      <c r="F79" s="12" t="n">
        <v>725000</v>
      </c>
      <c r="G79" s="13" t="n">
        <v>0.43</v>
      </c>
      <c r="H79" s="13" t="n">
        <v>1.28</v>
      </c>
      <c r="I79" s="13" t="n">
        <v>1</v>
      </c>
      <c r="J79" s="13" t="n">
        <v>0.53</v>
      </c>
      <c r="K79" s="12" t="n">
        <f aca="false">ROUND(F79/100*G79*H79*I79/J79,2)</f>
        <v>7529.06</v>
      </c>
      <c r="L79" s="12" t="n">
        <v>7529.06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71</v>
      </c>
      <c r="B80" s="14" t="s">
        <v>265</v>
      </c>
      <c r="C80" s="14" t="s">
        <v>266</v>
      </c>
      <c r="D80" s="14" t="s">
        <v>267</v>
      </c>
      <c r="E80" s="14" t="s">
        <v>56</v>
      </c>
      <c r="F80" s="15" t="n">
        <v>190000</v>
      </c>
      <c r="G80" s="16" t="n">
        <v>0.92</v>
      </c>
      <c r="H80" s="16" t="n">
        <v>1.1</v>
      </c>
      <c r="I80" s="16" t="n">
        <v>1</v>
      </c>
      <c r="J80" s="16" t="n">
        <v>0.53</v>
      </c>
      <c r="K80" s="15" t="n">
        <f aca="false">ROUND(F80/100*G80*H80*I80/J80,2)</f>
        <v>3627.92</v>
      </c>
      <c r="L80" s="15" t="n">
        <v>3627.92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268</v>
      </c>
      <c r="B81" s="3" t="s">
        <v>269</v>
      </c>
      <c r="C81" s="3" t="s">
        <v>139</v>
      </c>
      <c r="D81" s="3" t="s">
        <v>270</v>
      </c>
      <c r="E81" s="3" t="s">
        <v>56</v>
      </c>
      <c r="F81" s="12" t="n">
        <v>970000</v>
      </c>
      <c r="G81" s="13" t="n">
        <v>0.65</v>
      </c>
      <c r="H81" s="13" t="n">
        <v>1.23</v>
      </c>
      <c r="I81" s="13" t="n">
        <v>1</v>
      </c>
      <c r="J81" s="13" t="n">
        <v>0.53</v>
      </c>
      <c r="K81" s="12" t="n">
        <f aca="false">ROUND(F81/100*G81*H81*I81/J81,2)</f>
        <v>14632.36</v>
      </c>
      <c r="L81" s="12" t="n">
        <v>14632.36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134</v>
      </c>
      <c r="B82" s="14" t="s">
        <v>271</v>
      </c>
      <c r="C82" s="14" t="s">
        <v>93</v>
      </c>
      <c r="D82" s="14" t="s">
        <v>106</v>
      </c>
      <c r="E82" s="14" t="s">
        <v>50</v>
      </c>
      <c r="F82" s="15" t="n">
        <v>780000</v>
      </c>
      <c r="G82" s="16" t="n">
        <v>0.95</v>
      </c>
      <c r="H82" s="16" t="n">
        <v>1.39</v>
      </c>
      <c r="I82" s="16" t="n">
        <v>1</v>
      </c>
      <c r="J82" s="16" t="n">
        <v>0.53</v>
      </c>
      <c r="K82" s="15" t="n">
        <f aca="false">ROUND(F82/100*G82*H82*I82/J82,2)</f>
        <v>19433.77</v>
      </c>
      <c r="L82" s="15" t="n">
        <v>19433.77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134</v>
      </c>
      <c r="B83" s="3" t="s">
        <v>272</v>
      </c>
      <c r="C83" s="3" t="s">
        <v>142</v>
      </c>
      <c r="D83" s="3" t="s">
        <v>273</v>
      </c>
      <c r="E83" s="3" t="s">
        <v>74</v>
      </c>
      <c r="F83" s="12" t="n">
        <v>380000</v>
      </c>
      <c r="G83" s="13" t="n">
        <v>0.48</v>
      </c>
      <c r="H83" s="13" t="n">
        <v>1.22</v>
      </c>
      <c r="I83" s="13" t="n">
        <v>1</v>
      </c>
      <c r="J83" s="13" t="n">
        <v>0.53</v>
      </c>
      <c r="K83" s="12" t="n">
        <f aca="false">ROUND(F83/100*G83*H83*I83/J83,2)</f>
        <v>4198.64</v>
      </c>
      <c r="L83" s="12" t="n">
        <v>4198.64</v>
      </c>
      <c r="M83" s="12" t="n">
        <f aca="false">L83-K83</f>
        <v>0</v>
      </c>
      <c r="N83" s="3" t="s">
        <v>51</v>
      </c>
      <c r="O83" s="3" t="s">
        <v>52</v>
      </c>
    </row>
    <row r="84" customFormat="false" ht="15" hidden="false" customHeight="false" outlineLevel="0" collapsed="false">
      <c r="A84" s="14" t="s">
        <v>268</v>
      </c>
      <c r="B84" s="14" t="s">
        <v>274</v>
      </c>
      <c r="C84" s="14" t="s">
        <v>275</v>
      </c>
      <c r="D84" s="14" t="s">
        <v>276</v>
      </c>
      <c r="E84" s="14" t="s">
        <v>56</v>
      </c>
      <c r="F84" s="15" t="n">
        <v>1030000</v>
      </c>
      <c r="G84" s="16" t="n">
        <v>0.55</v>
      </c>
      <c r="H84" s="16" t="n">
        <v>1.19</v>
      </c>
      <c r="I84" s="16" t="n">
        <v>1</v>
      </c>
      <c r="J84" s="16" t="n">
        <v>0.53</v>
      </c>
      <c r="K84" s="15" t="n">
        <f aca="false">ROUND(F84/100*G84*H84*I84/J84,2)</f>
        <v>12719.53</v>
      </c>
      <c r="L84" s="15" t="n">
        <v>12719.53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83</v>
      </c>
      <c r="B85" s="3" t="s">
        <v>277</v>
      </c>
      <c r="C85" s="3" t="s">
        <v>278</v>
      </c>
      <c r="D85" s="3" t="s">
        <v>279</v>
      </c>
      <c r="E85" s="3" t="s">
        <v>50</v>
      </c>
      <c r="F85" s="12" t="n">
        <v>1950000</v>
      </c>
      <c r="G85" s="13" t="n">
        <v>0.8</v>
      </c>
      <c r="H85" s="13" t="n">
        <v>0.98</v>
      </c>
      <c r="I85" s="13" t="n">
        <v>1</v>
      </c>
      <c r="J85" s="13" t="n">
        <v>0.53</v>
      </c>
      <c r="K85" s="12" t="n">
        <f aca="false">ROUND(F85/100*G85*H85*I85/J85,2)</f>
        <v>28845.28</v>
      </c>
      <c r="L85" s="12" t="n">
        <v>28845.28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268</v>
      </c>
      <c r="B86" s="14" t="s">
        <v>280</v>
      </c>
      <c r="C86" s="14" t="s">
        <v>159</v>
      </c>
      <c r="D86" s="14" t="s">
        <v>281</v>
      </c>
      <c r="E86" s="14" t="s">
        <v>56</v>
      </c>
      <c r="F86" s="15" t="n">
        <v>965000</v>
      </c>
      <c r="G86" s="16" t="n">
        <v>0.65</v>
      </c>
      <c r="H86" s="16" t="n">
        <v>1.15</v>
      </c>
      <c r="I86" s="16" t="n">
        <v>1</v>
      </c>
      <c r="J86" s="16" t="n">
        <v>0.53</v>
      </c>
      <c r="K86" s="15" t="n">
        <f aca="false">ROUND(F86/100*G86*H86*I86/J86,2)</f>
        <v>13610.14</v>
      </c>
      <c r="L86" s="15" t="n">
        <v>13610.14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163</v>
      </c>
      <c r="B87" s="3" t="s">
        <v>282</v>
      </c>
      <c r="C87" s="3" t="s">
        <v>136</v>
      </c>
      <c r="D87" s="3" t="s">
        <v>283</v>
      </c>
      <c r="E87" s="3" t="s">
        <v>56</v>
      </c>
      <c r="F87" s="12" t="n">
        <v>870000</v>
      </c>
      <c r="G87" s="13" t="n">
        <v>0.65</v>
      </c>
      <c r="H87" s="13" t="n">
        <v>1.32</v>
      </c>
      <c r="I87" s="13" t="n">
        <v>1</v>
      </c>
      <c r="J87" s="13" t="n">
        <v>0.53</v>
      </c>
      <c r="K87" s="12" t="n">
        <f aca="false">ROUND(F87/100*G87*H87*I87/J87,2)</f>
        <v>14084.15</v>
      </c>
      <c r="L87" s="12" t="n">
        <v>14084.15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147</v>
      </c>
      <c r="B88" s="14" t="s">
        <v>284</v>
      </c>
      <c r="C88" s="14" t="s">
        <v>89</v>
      </c>
      <c r="D88" s="14" t="s">
        <v>285</v>
      </c>
      <c r="E88" s="14" t="s">
        <v>56</v>
      </c>
      <c r="F88" s="15" t="n">
        <v>290000</v>
      </c>
      <c r="G88" s="16" t="n">
        <v>0.75</v>
      </c>
      <c r="H88" s="16" t="n">
        <v>1.35</v>
      </c>
      <c r="I88" s="16" t="n">
        <v>1</v>
      </c>
      <c r="J88" s="16" t="n">
        <v>0.53</v>
      </c>
      <c r="K88" s="15" t="n">
        <f aca="false">ROUND(F88/100*G88*H88*I88/J88,2)</f>
        <v>5540.09</v>
      </c>
      <c r="L88" s="15" t="n">
        <v>5540.09</v>
      </c>
      <c r="M88" s="15" t="n">
        <f aca="false">L88-K88</f>
        <v>0</v>
      </c>
      <c r="N88" s="14" t="s">
        <v>70</v>
      </c>
      <c r="O88" s="14" t="s">
        <v>52</v>
      </c>
    </row>
    <row r="89" customFormat="false" ht="15" hidden="false" customHeight="false" outlineLevel="0" collapsed="false">
      <c r="A89" s="3" t="s">
        <v>154</v>
      </c>
      <c r="B89" s="3" t="s">
        <v>286</v>
      </c>
      <c r="C89" s="3" t="s">
        <v>89</v>
      </c>
      <c r="D89" s="3" t="s">
        <v>287</v>
      </c>
      <c r="E89" s="3" t="s">
        <v>56</v>
      </c>
      <c r="F89" s="12" t="n">
        <v>525000</v>
      </c>
      <c r="G89" s="13" t="n">
        <v>0.65</v>
      </c>
      <c r="H89" s="13" t="n">
        <v>1.35</v>
      </c>
      <c r="I89" s="13" t="n">
        <v>1</v>
      </c>
      <c r="J89" s="13" t="n">
        <v>0.53</v>
      </c>
      <c r="K89" s="12" t="n">
        <f aca="false">ROUND(F89/100*G89*H89*I89/J89,2)</f>
        <v>8692.22</v>
      </c>
      <c r="L89" s="12" t="n">
        <v>8692.22</v>
      </c>
      <c r="M89" s="12" t="n">
        <f aca="false">L89-K89</f>
        <v>0</v>
      </c>
      <c r="N89" s="3" t="s">
        <v>51</v>
      </c>
      <c r="O89" s="3" t="s">
        <v>52</v>
      </c>
    </row>
    <row r="90" customFormat="false" ht="15" hidden="false" customHeight="false" outlineLevel="0" collapsed="false">
      <c r="A90" s="14" t="s">
        <v>247</v>
      </c>
      <c r="B90" s="14" t="s">
        <v>288</v>
      </c>
      <c r="C90" s="14" t="s">
        <v>81</v>
      </c>
      <c r="D90" s="14" t="s">
        <v>289</v>
      </c>
      <c r="E90" s="14" t="s">
        <v>56</v>
      </c>
      <c r="F90" s="15" t="n">
        <v>1045000</v>
      </c>
      <c r="G90" s="16" t="n">
        <v>0.55</v>
      </c>
      <c r="H90" s="16" t="n">
        <v>1.27</v>
      </c>
      <c r="I90" s="16" t="n">
        <v>1</v>
      </c>
      <c r="J90" s="16" t="n">
        <v>0.53</v>
      </c>
      <c r="K90" s="15" t="n">
        <f aca="false">ROUND(F90/100*G90*H90*I90/J90,2)</f>
        <v>13772.31</v>
      </c>
      <c r="L90" s="15" t="n">
        <v>13772.31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126</v>
      </c>
      <c r="B91" s="3" t="s">
        <v>290</v>
      </c>
      <c r="C91" s="3" t="s">
        <v>77</v>
      </c>
      <c r="D91" s="3" t="s">
        <v>291</v>
      </c>
      <c r="E91" s="3" t="s">
        <v>50</v>
      </c>
      <c r="F91" s="12" t="n">
        <v>800000</v>
      </c>
      <c r="G91" s="13" t="n">
        <v>0.95</v>
      </c>
      <c r="H91" s="13" t="n">
        <v>1.42</v>
      </c>
      <c r="I91" s="13" t="n">
        <v>1</v>
      </c>
      <c r="J91" s="13" t="n">
        <v>0.53</v>
      </c>
      <c r="K91" s="12" t="n">
        <f aca="false">ROUND(F91/100*G91*H91*I91/J91,2)</f>
        <v>20362.26</v>
      </c>
      <c r="L91" s="12" t="n">
        <v>20362.26</v>
      </c>
      <c r="M91" s="12" t="n">
        <f aca="false">L91-K91</f>
        <v>0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75</v>
      </c>
      <c r="B92" s="14" t="s">
        <v>292</v>
      </c>
      <c r="C92" s="14" t="s">
        <v>159</v>
      </c>
      <c r="D92" s="14" t="s">
        <v>293</v>
      </c>
      <c r="E92" s="14" t="s">
        <v>56</v>
      </c>
      <c r="F92" s="15" t="n">
        <v>1400000</v>
      </c>
      <c r="G92" s="16" t="n">
        <v>0.55</v>
      </c>
      <c r="H92" s="16" t="n">
        <v>1.15</v>
      </c>
      <c r="I92" s="16" t="n">
        <v>1</v>
      </c>
      <c r="J92" s="16" t="n">
        <v>0.53</v>
      </c>
      <c r="K92" s="15" t="n">
        <f aca="false">ROUND(F92/100*G92*H92*I92/J92,2)</f>
        <v>16707.55</v>
      </c>
      <c r="L92" s="15" t="n">
        <v>16707.55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268</v>
      </c>
      <c r="B93" s="3" t="s">
        <v>294</v>
      </c>
      <c r="C93" s="3" t="s">
        <v>295</v>
      </c>
      <c r="D93" s="3" t="s">
        <v>296</v>
      </c>
      <c r="E93" s="3" t="s">
        <v>74</v>
      </c>
      <c r="F93" s="12" t="n">
        <v>830000</v>
      </c>
      <c r="G93" s="13" t="n">
        <v>0.43</v>
      </c>
      <c r="H93" s="13" t="n">
        <v>1.2</v>
      </c>
      <c r="I93" s="13" t="n">
        <v>1</v>
      </c>
      <c r="J93" s="13" t="n">
        <v>0.53</v>
      </c>
      <c r="K93" s="12" t="n">
        <f aca="false">ROUND(F93/100*G93*H93*I93/J93,2)</f>
        <v>8080.75</v>
      </c>
      <c r="L93" s="12" t="n">
        <v>8080.75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200</v>
      </c>
      <c r="B94" s="14" t="s">
        <v>297</v>
      </c>
      <c r="C94" s="14" t="s">
        <v>77</v>
      </c>
      <c r="D94" s="14" t="s">
        <v>298</v>
      </c>
      <c r="E94" s="14" t="s">
        <v>56</v>
      </c>
      <c r="F94" s="15" t="n">
        <v>705000</v>
      </c>
      <c r="G94" s="16" t="n">
        <v>0.65</v>
      </c>
      <c r="H94" s="16" t="n">
        <v>1.42</v>
      </c>
      <c r="I94" s="16" t="n">
        <v>1</v>
      </c>
      <c r="J94" s="16" t="n">
        <v>0.53</v>
      </c>
      <c r="K94" s="15" t="n">
        <f aca="false">ROUND(F94/100*G94*H94*I94/J94,2)</f>
        <v>12277.64</v>
      </c>
      <c r="L94" s="15" t="n">
        <v>12277.64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101</v>
      </c>
      <c r="B95" s="3" t="s">
        <v>299</v>
      </c>
      <c r="C95" s="3" t="s">
        <v>300</v>
      </c>
      <c r="D95" s="3" t="s">
        <v>301</v>
      </c>
      <c r="E95" s="3" t="s">
        <v>74</v>
      </c>
      <c r="F95" s="12" t="n">
        <v>1220000</v>
      </c>
      <c r="G95" s="13" t="n">
        <v>0.38</v>
      </c>
      <c r="H95" s="13" t="n">
        <v>1.11</v>
      </c>
      <c r="I95" s="13" t="n">
        <v>1</v>
      </c>
      <c r="J95" s="13" t="n">
        <v>0.53</v>
      </c>
      <c r="K95" s="12" t="n">
        <f aca="false">ROUND(F95/100*G95*H95*I95/J95,2)</f>
        <v>9709.36</v>
      </c>
      <c r="L95" s="12" t="n">
        <v>9709.36</v>
      </c>
      <c r="M95" s="12" t="n">
        <f aca="false">L95-K95</f>
        <v>0</v>
      </c>
      <c r="N95" s="3" t="s">
        <v>51</v>
      </c>
      <c r="O95" s="3" t="s">
        <v>52</v>
      </c>
    </row>
    <row r="96" customFormat="false" ht="15" hidden="false" customHeight="false" outlineLevel="0" collapsed="false">
      <c r="A96" s="14" t="s">
        <v>83</v>
      </c>
      <c r="B96" s="14" t="s">
        <v>302</v>
      </c>
      <c r="C96" s="14" t="s">
        <v>93</v>
      </c>
      <c r="D96" s="14" t="s">
        <v>303</v>
      </c>
      <c r="E96" s="14" t="s">
        <v>56</v>
      </c>
      <c r="F96" s="15" t="n">
        <v>785000</v>
      </c>
      <c r="G96" s="16" t="n">
        <v>0.65</v>
      </c>
      <c r="H96" s="16" t="n">
        <v>1.39</v>
      </c>
      <c r="I96" s="16" t="n">
        <v>1</v>
      </c>
      <c r="J96" s="16" t="n">
        <v>0.53</v>
      </c>
      <c r="K96" s="15" t="n">
        <f aca="false">ROUND(F96/100*G96*H96*I96/J96,2)</f>
        <v>13382.03</v>
      </c>
      <c r="L96" s="15" t="n">
        <v>13382.03</v>
      </c>
      <c r="M96" s="15" t="n">
        <f aca="false">L96-K96</f>
        <v>0</v>
      </c>
      <c r="N96" s="14" t="s">
        <v>51</v>
      </c>
      <c r="O96" s="14" t="s">
        <v>52</v>
      </c>
    </row>
    <row r="97" customFormat="false" ht="15" hidden="false" customHeight="false" outlineLevel="0" collapsed="false">
      <c r="A97" s="3" t="s">
        <v>126</v>
      </c>
      <c r="B97" s="3" t="s">
        <v>304</v>
      </c>
      <c r="C97" s="3" t="s">
        <v>305</v>
      </c>
      <c r="D97" s="3" t="s">
        <v>306</v>
      </c>
      <c r="E97" s="3" t="s">
        <v>56</v>
      </c>
      <c r="F97" s="12" t="n">
        <v>190000</v>
      </c>
      <c r="G97" s="13" t="n">
        <v>0.92</v>
      </c>
      <c r="H97" s="13" t="n">
        <v>1.12</v>
      </c>
      <c r="I97" s="13" t="n">
        <v>1</v>
      </c>
      <c r="J97" s="13" t="n">
        <v>0.53</v>
      </c>
      <c r="K97" s="12" t="n">
        <f aca="false">ROUND(F97/100*G97*H97*I97/J97,2)</f>
        <v>3693.89</v>
      </c>
      <c r="L97" s="12" t="n">
        <v>3693.89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101</v>
      </c>
      <c r="B98" s="14" t="s">
        <v>307</v>
      </c>
      <c r="C98" s="14" t="s">
        <v>224</v>
      </c>
      <c r="D98" s="14" t="s">
        <v>308</v>
      </c>
      <c r="E98" s="14" t="s">
        <v>50</v>
      </c>
      <c r="F98" s="15" t="n">
        <v>450000</v>
      </c>
      <c r="G98" s="16" t="n">
        <v>1.15</v>
      </c>
      <c r="H98" s="16" t="n">
        <v>1.1</v>
      </c>
      <c r="I98" s="16" t="n">
        <v>1</v>
      </c>
      <c r="J98" s="16" t="n">
        <v>0.53</v>
      </c>
      <c r="K98" s="15" t="n">
        <f aca="false">ROUND(F98/100*G98*H98*I98/J98,2)</f>
        <v>10740.57</v>
      </c>
      <c r="L98" s="15" t="n">
        <v>10740.57</v>
      </c>
      <c r="M98" s="15" t="n">
        <f aca="false">L98-K98</f>
        <v>0</v>
      </c>
      <c r="N98" s="14" t="s">
        <v>51</v>
      </c>
      <c r="O98" s="14" t="s">
        <v>52</v>
      </c>
    </row>
    <row r="99" customFormat="false" ht="15" hidden="false" customHeight="false" outlineLevel="0" collapsed="false">
      <c r="A99" s="3" t="s">
        <v>309</v>
      </c>
      <c r="B99" s="3" t="s">
        <v>310</v>
      </c>
      <c r="C99" s="3" t="s">
        <v>311</v>
      </c>
      <c r="D99" s="3" t="s">
        <v>312</v>
      </c>
      <c r="E99" s="3" t="s">
        <v>56</v>
      </c>
      <c r="F99" s="12" t="n">
        <v>415000</v>
      </c>
      <c r="G99" s="13" t="n">
        <v>0.75</v>
      </c>
      <c r="H99" s="13" t="n">
        <v>1.06</v>
      </c>
      <c r="I99" s="13" t="n">
        <v>1</v>
      </c>
      <c r="J99" s="13" t="n">
        <v>0.53</v>
      </c>
      <c r="K99" s="12" t="n">
        <f aca="false">ROUND(F99/100*G99*H99*I99/J99,2)</f>
        <v>6225</v>
      </c>
      <c r="L99" s="12" t="n">
        <v>6225</v>
      </c>
      <c r="M99" s="12" t="n">
        <f aca="false">L99-K99</f>
        <v>0</v>
      </c>
      <c r="N99" s="3" t="s">
        <v>51</v>
      </c>
      <c r="O99" s="3" t="s">
        <v>52</v>
      </c>
    </row>
    <row r="100" customFormat="false" ht="15" hidden="false" customHeight="false" outlineLevel="0" collapsed="false">
      <c r="A100" s="14" t="s">
        <v>241</v>
      </c>
      <c r="B100" s="14" t="s">
        <v>313</v>
      </c>
      <c r="C100" s="14" t="s">
        <v>145</v>
      </c>
      <c r="D100" s="14" t="s">
        <v>314</v>
      </c>
      <c r="E100" s="14" t="s">
        <v>56</v>
      </c>
      <c r="F100" s="15" t="n">
        <v>695000</v>
      </c>
      <c r="G100" s="16" t="n">
        <v>0.65</v>
      </c>
      <c r="H100" s="16" t="n">
        <v>0.96</v>
      </c>
      <c r="I100" s="16" t="n">
        <v>1</v>
      </c>
      <c r="J100" s="16" t="n">
        <v>0.53</v>
      </c>
      <c r="K100" s="15" t="n">
        <f aca="false">ROUND(F100/100*G100*H100*I100/J100,2)</f>
        <v>8182.64</v>
      </c>
      <c r="L100" s="15" t="n">
        <v>8182.64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95</v>
      </c>
      <c r="B101" s="3" t="s">
        <v>315</v>
      </c>
      <c r="C101" s="3" t="s">
        <v>237</v>
      </c>
      <c r="D101" s="3" t="s">
        <v>316</v>
      </c>
      <c r="E101" s="3" t="s">
        <v>50</v>
      </c>
      <c r="F101" s="12" t="n">
        <v>980000</v>
      </c>
      <c r="G101" s="13" t="n">
        <v>0.95</v>
      </c>
      <c r="H101" s="13" t="n">
        <v>1.33</v>
      </c>
      <c r="I101" s="13" t="n">
        <v>1</v>
      </c>
      <c r="J101" s="13" t="n">
        <v>0.53</v>
      </c>
      <c r="K101" s="12" t="n">
        <f aca="false">ROUND(F101/100*G101*H101*I101/J101,2)</f>
        <v>23362.83</v>
      </c>
      <c r="L101" s="12" t="n">
        <v>23362.83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101</v>
      </c>
      <c r="B102" s="14" t="s">
        <v>317</v>
      </c>
      <c r="C102" s="14" t="s">
        <v>77</v>
      </c>
      <c r="D102" s="14" t="s">
        <v>318</v>
      </c>
      <c r="E102" s="14" t="s">
        <v>56</v>
      </c>
      <c r="F102" s="15" t="n">
        <v>875000</v>
      </c>
      <c r="G102" s="16" t="n">
        <v>0.65</v>
      </c>
      <c r="H102" s="16" t="n">
        <v>1.42</v>
      </c>
      <c r="I102" s="16" t="n">
        <v>1</v>
      </c>
      <c r="J102" s="16" t="n">
        <v>0.53</v>
      </c>
      <c r="K102" s="15" t="n">
        <f aca="false">ROUND(F102/100*G102*H102*I102/J102,2)</f>
        <v>15238.21</v>
      </c>
      <c r="L102" s="15" t="n">
        <v>15238.21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46</v>
      </c>
      <c r="B103" s="3" t="s">
        <v>319</v>
      </c>
      <c r="C103" s="3" t="s">
        <v>81</v>
      </c>
      <c r="D103" s="3" t="s">
        <v>320</v>
      </c>
      <c r="E103" s="3" t="s">
        <v>157</v>
      </c>
      <c r="F103" s="12" t="n">
        <v>550000</v>
      </c>
      <c r="G103" s="13" t="n">
        <v>0.78</v>
      </c>
      <c r="H103" s="13" t="n">
        <v>1.27</v>
      </c>
      <c r="I103" s="13" t="n">
        <v>1</v>
      </c>
      <c r="J103" s="13" t="n">
        <v>0.53</v>
      </c>
      <c r="K103" s="12" t="n">
        <f aca="false">ROUND(F103/100*G103*H103*I103/J103,2)</f>
        <v>10279.81</v>
      </c>
      <c r="L103" s="12" t="n">
        <v>10279.81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71</v>
      </c>
      <c r="B104" s="14" t="s">
        <v>321</v>
      </c>
      <c r="C104" s="14" t="s">
        <v>210</v>
      </c>
      <c r="D104" s="14" t="s">
        <v>322</v>
      </c>
      <c r="E104" s="14" t="s">
        <v>56</v>
      </c>
      <c r="F104" s="15" t="n">
        <v>385000</v>
      </c>
      <c r="G104" s="16" t="n">
        <v>0.75</v>
      </c>
      <c r="H104" s="16" t="n">
        <v>1.21</v>
      </c>
      <c r="I104" s="16" t="n">
        <v>1</v>
      </c>
      <c r="J104" s="16" t="n">
        <v>0.53</v>
      </c>
      <c r="K104" s="15" t="n">
        <f aca="false">ROUND(F104/100*G104*H104*I104/J104,2)</f>
        <v>6592.22</v>
      </c>
      <c r="L104" s="15" t="n">
        <v>6592.22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126</v>
      </c>
      <c r="B105" s="3" t="s">
        <v>323</v>
      </c>
      <c r="C105" s="3" t="s">
        <v>159</v>
      </c>
      <c r="D105" s="3" t="s">
        <v>324</v>
      </c>
      <c r="E105" s="3" t="s">
        <v>56</v>
      </c>
      <c r="F105" s="12" t="n">
        <v>530000</v>
      </c>
      <c r="G105" s="13" t="n">
        <v>0.65</v>
      </c>
      <c r="H105" s="13" t="n">
        <v>1.15</v>
      </c>
      <c r="I105" s="13" t="n">
        <v>1</v>
      </c>
      <c r="J105" s="13" t="n">
        <v>0.53</v>
      </c>
      <c r="K105" s="12" t="n">
        <f aca="false">ROUND(F105/100*G105*H105*I105/J105,2)</f>
        <v>7475</v>
      </c>
      <c r="L105" s="12" t="n">
        <v>7475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79</v>
      </c>
      <c r="B106" s="14" t="s">
        <v>325</v>
      </c>
      <c r="C106" s="14" t="s">
        <v>326</v>
      </c>
      <c r="D106" s="14" t="s">
        <v>327</v>
      </c>
      <c r="E106" s="14" t="s">
        <v>56</v>
      </c>
      <c r="F106" s="15" t="n">
        <v>265000</v>
      </c>
      <c r="G106" s="16" t="n">
        <v>0.75</v>
      </c>
      <c r="H106" s="16" t="n">
        <v>1.12</v>
      </c>
      <c r="I106" s="16" t="n">
        <v>1</v>
      </c>
      <c r="J106" s="16" t="n">
        <v>0.53</v>
      </c>
      <c r="K106" s="15" t="n">
        <f aca="false">ROUND(F106/100*G106*H106*I106/J106,2)</f>
        <v>4200</v>
      </c>
      <c r="L106" s="15" t="n">
        <v>4200</v>
      </c>
      <c r="M106" s="15" t="n">
        <f aca="false">L106-K106</f>
        <v>0</v>
      </c>
      <c r="N106" s="14" t="s">
        <v>51</v>
      </c>
      <c r="O106" s="14" t="s">
        <v>52</v>
      </c>
    </row>
    <row r="107" customFormat="false" ht="15" hidden="false" customHeight="false" outlineLevel="0" collapsed="false">
      <c r="A107" s="3" t="s">
        <v>110</v>
      </c>
      <c r="B107" s="3" t="s">
        <v>328</v>
      </c>
      <c r="C107" s="3" t="s">
        <v>230</v>
      </c>
      <c r="D107" s="3" t="s">
        <v>329</v>
      </c>
      <c r="E107" s="3" t="s">
        <v>133</v>
      </c>
      <c r="F107" s="12" t="n">
        <v>1950000</v>
      </c>
      <c r="G107" s="13" t="n">
        <v>0.34</v>
      </c>
      <c r="H107" s="13" t="n">
        <v>1.09</v>
      </c>
      <c r="I107" s="13" t="n">
        <v>1</v>
      </c>
      <c r="J107" s="13" t="n">
        <v>0.53</v>
      </c>
      <c r="K107" s="12" t="n">
        <f aca="false">ROUND(F107/100*G107*H107*I107/J107,2)</f>
        <v>13635.28</v>
      </c>
      <c r="L107" s="12" t="n">
        <v>13635.28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147</v>
      </c>
      <c r="B108" s="14" t="s">
        <v>330</v>
      </c>
      <c r="C108" s="14" t="s">
        <v>224</v>
      </c>
      <c r="D108" s="14" t="s">
        <v>331</v>
      </c>
      <c r="E108" s="14" t="s">
        <v>56</v>
      </c>
      <c r="F108" s="15" t="n">
        <v>595000</v>
      </c>
      <c r="G108" s="16" t="n">
        <v>0.65</v>
      </c>
      <c r="H108" s="16" t="n">
        <v>1.1</v>
      </c>
      <c r="I108" s="16" t="n">
        <v>1</v>
      </c>
      <c r="J108" s="16" t="n">
        <v>0.53</v>
      </c>
      <c r="K108" s="15" t="n">
        <f aca="false">ROUND(F108/100*G108*H108*I108/J108,2)</f>
        <v>8026.89</v>
      </c>
      <c r="L108" s="15" t="n">
        <v>8026.89</v>
      </c>
      <c r="M108" s="15" t="n">
        <f aca="false">L108-K108</f>
        <v>0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332</v>
      </c>
      <c r="B109" s="3" t="s">
        <v>333</v>
      </c>
      <c r="C109" s="3" t="s">
        <v>89</v>
      </c>
      <c r="D109" s="3" t="s">
        <v>334</v>
      </c>
      <c r="E109" s="3" t="s">
        <v>50</v>
      </c>
      <c r="F109" s="12" t="n">
        <v>595000</v>
      </c>
      <c r="G109" s="13" t="n">
        <v>0.95</v>
      </c>
      <c r="H109" s="13" t="n">
        <v>1.35</v>
      </c>
      <c r="I109" s="13" t="n">
        <v>1</v>
      </c>
      <c r="J109" s="13" t="n">
        <v>0.53</v>
      </c>
      <c r="K109" s="12" t="n">
        <f aca="false">ROUND(F109/100*G109*H109*I109/J109,2)</f>
        <v>14397.88</v>
      </c>
      <c r="L109" s="12" t="n">
        <v>14397.88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87</v>
      </c>
      <c r="B110" s="14" t="s">
        <v>335</v>
      </c>
      <c r="C110" s="14" t="s">
        <v>77</v>
      </c>
      <c r="D110" s="14" t="s">
        <v>336</v>
      </c>
      <c r="E110" s="14" t="s">
        <v>50</v>
      </c>
      <c r="F110" s="15" t="n">
        <v>335000</v>
      </c>
      <c r="G110" s="16" t="n">
        <v>1.15</v>
      </c>
      <c r="H110" s="16" t="n">
        <v>1.42</v>
      </c>
      <c r="I110" s="16" t="n">
        <v>1</v>
      </c>
      <c r="J110" s="16" t="n">
        <v>0.53</v>
      </c>
      <c r="K110" s="15" t="n">
        <f aca="false">ROUND(F110/100*G110*H110*I110/J110,2)</f>
        <v>10321.79</v>
      </c>
      <c r="L110" s="15" t="n">
        <v>10321.79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53</v>
      </c>
      <c r="B111" s="3" t="s">
        <v>337</v>
      </c>
      <c r="C111" s="3" t="s">
        <v>224</v>
      </c>
      <c r="D111" s="3" t="s">
        <v>338</v>
      </c>
      <c r="E111" s="3" t="s">
        <v>56</v>
      </c>
      <c r="F111" s="12" t="n">
        <v>760000</v>
      </c>
      <c r="G111" s="13" t="n">
        <v>0.65</v>
      </c>
      <c r="H111" s="13" t="n">
        <v>1.1</v>
      </c>
      <c r="I111" s="13" t="n">
        <v>1</v>
      </c>
      <c r="J111" s="13" t="n">
        <v>0.53</v>
      </c>
      <c r="K111" s="12" t="n">
        <f aca="false">ROUND(F111/100*G111*H111*I111/J111,2)</f>
        <v>10252.83</v>
      </c>
      <c r="L111" s="12" t="n">
        <v>10252.83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190</v>
      </c>
      <c r="B112" s="14" t="s">
        <v>339</v>
      </c>
      <c r="C112" s="14" t="s">
        <v>117</v>
      </c>
      <c r="D112" s="14" t="s">
        <v>340</v>
      </c>
      <c r="E112" s="14" t="s">
        <v>50</v>
      </c>
      <c r="F112" s="15" t="n">
        <v>610000</v>
      </c>
      <c r="G112" s="16" t="n">
        <v>0.95</v>
      </c>
      <c r="H112" s="16" t="n">
        <v>0.91</v>
      </c>
      <c r="I112" s="16" t="n">
        <v>1</v>
      </c>
      <c r="J112" s="16" t="n">
        <v>0.53</v>
      </c>
      <c r="K112" s="15" t="n">
        <f aca="false">ROUND(F112/100*G112*H112*I112/J112,2)</f>
        <v>9949.91</v>
      </c>
      <c r="L112" s="15" t="n">
        <v>9949.91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163</v>
      </c>
      <c r="B113" s="3" t="s">
        <v>341</v>
      </c>
      <c r="C113" s="3" t="s">
        <v>89</v>
      </c>
      <c r="D113" s="3" t="s">
        <v>342</v>
      </c>
      <c r="E113" s="3" t="s">
        <v>56</v>
      </c>
      <c r="F113" s="12" t="n">
        <v>410000</v>
      </c>
      <c r="G113" s="13" t="n">
        <v>0.75</v>
      </c>
      <c r="H113" s="13" t="n">
        <v>1.35</v>
      </c>
      <c r="I113" s="13" t="n">
        <v>1</v>
      </c>
      <c r="J113" s="13" t="n">
        <v>0.53</v>
      </c>
      <c r="K113" s="12" t="n">
        <f aca="false">ROUND(F113/100*G113*H113*I113/J113,2)</f>
        <v>7832.55</v>
      </c>
      <c r="L113" s="12" t="n">
        <v>7832.55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163</v>
      </c>
      <c r="B114" s="14" t="s">
        <v>343</v>
      </c>
      <c r="C114" s="14" t="s">
        <v>89</v>
      </c>
      <c r="D114" s="14" t="s">
        <v>344</v>
      </c>
      <c r="E114" s="14" t="s">
        <v>50</v>
      </c>
      <c r="F114" s="15" t="n">
        <v>1045000</v>
      </c>
      <c r="G114" s="16" t="n">
        <v>0.8</v>
      </c>
      <c r="H114" s="16" t="n">
        <v>1.35</v>
      </c>
      <c r="I114" s="16" t="n">
        <v>1</v>
      </c>
      <c r="J114" s="16" t="n">
        <v>0.53</v>
      </c>
      <c r="K114" s="15" t="n">
        <f aca="false">ROUND(F114/100*G114*H114*I114/J114,2)</f>
        <v>21294.34</v>
      </c>
      <c r="L114" s="15" t="n">
        <v>21294.34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110</v>
      </c>
      <c r="B115" s="3" t="s">
        <v>345</v>
      </c>
      <c r="C115" s="3" t="s">
        <v>159</v>
      </c>
      <c r="D115" s="3" t="s">
        <v>346</v>
      </c>
      <c r="E115" s="3" t="s">
        <v>133</v>
      </c>
      <c r="F115" s="12" t="n">
        <v>365000</v>
      </c>
      <c r="G115" s="13" t="n">
        <v>0.42</v>
      </c>
      <c r="H115" s="13" t="n">
        <v>1.15</v>
      </c>
      <c r="I115" s="13" t="n">
        <v>1</v>
      </c>
      <c r="J115" s="13" t="n">
        <v>0.53</v>
      </c>
      <c r="K115" s="12" t="n">
        <f aca="false">ROUND(F115/100*G115*H115*I115/J115,2)</f>
        <v>3326.32</v>
      </c>
      <c r="L115" s="12" t="n">
        <v>3326.32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226</v>
      </c>
      <c r="B116" s="14" t="s">
        <v>347</v>
      </c>
      <c r="C116" s="14" t="s">
        <v>93</v>
      </c>
      <c r="D116" s="14" t="s">
        <v>348</v>
      </c>
      <c r="E116" s="14" t="s">
        <v>50</v>
      </c>
      <c r="F116" s="15" t="n">
        <v>1665000</v>
      </c>
      <c r="G116" s="16" t="n">
        <v>0.8</v>
      </c>
      <c r="H116" s="16" t="n">
        <v>1.39</v>
      </c>
      <c r="I116" s="16" t="n">
        <v>1</v>
      </c>
      <c r="J116" s="16" t="n">
        <v>0.53</v>
      </c>
      <c r="K116" s="15" t="n">
        <f aca="false">ROUND(F116/100*G116*H116*I116/J116,2)</f>
        <v>34933.58</v>
      </c>
      <c r="L116" s="15" t="n">
        <v>34933.58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71</v>
      </c>
      <c r="B117" s="3" t="s">
        <v>349</v>
      </c>
      <c r="C117" s="3" t="s">
        <v>64</v>
      </c>
      <c r="D117" s="3" t="s">
        <v>350</v>
      </c>
      <c r="E117" s="3" t="s">
        <v>56</v>
      </c>
      <c r="F117" s="12" t="n">
        <v>550000</v>
      </c>
      <c r="G117" s="13" t="n">
        <v>0.65</v>
      </c>
      <c r="H117" s="13" t="n">
        <v>1.17</v>
      </c>
      <c r="I117" s="13" t="n">
        <v>1</v>
      </c>
      <c r="J117" s="13" t="n">
        <v>0.53</v>
      </c>
      <c r="K117" s="12" t="n">
        <f aca="false">ROUND(F117/100*G117*H117*I117/J117,2)</f>
        <v>7891.98</v>
      </c>
      <c r="L117" s="12" t="n">
        <v>7891.98</v>
      </c>
      <c r="M117" s="12" t="n">
        <f aca="false">L117-K117</f>
        <v>0</v>
      </c>
      <c r="N117" s="3" t="s">
        <v>51</v>
      </c>
      <c r="O117" s="3" t="s">
        <v>52</v>
      </c>
    </row>
    <row r="118" customFormat="false" ht="15" hidden="false" customHeight="false" outlineLevel="0" collapsed="false">
      <c r="A118" s="14" t="s">
        <v>222</v>
      </c>
      <c r="B118" s="14" t="s">
        <v>351</v>
      </c>
      <c r="C118" s="14" t="s">
        <v>136</v>
      </c>
      <c r="D118" s="14" t="s">
        <v>352</v>
      </c>
      <c r="E118" s="14" t="s">
        <v>74</v>
      </c>
      <c r="F118" s="15" t="n">
        <v>1025000</v>
      </c>
      <c r="G118" s="16" t="n">
        <v>0.38</v>
      </c>
      <c r="H118" s="16" t="n">
        <v>1.32</v>
      </c>
      <c r="I118" s="16" t="n">
        <v>1</v>
      </c>
      <c r="J118" s="16" t="n">
        <v>0.53</v>
      </c>
      <c r="K118" s="15" t="n">
        <f aca="false">ROUND(F118/100*G118*H118*I118/J118,2)</f>
        <v>9700.75</v>
      </c>
      <c r="L118" s="15" t="n">
        <v>9700.75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95</v>
      </c>
      <c r="B119" s="3" t="s">
        <v>353</v>
      </c>
      <c r="C119" s="3" t="s">
        <v>188</v>
      </c>
      <c r="D119" s="3" t="s">
        <v>354</v>
      </c>
      <c r="E119" s="3" t="s">
        <v>56</v>
      </c>
      <c r="F119" s="12" t="n">
        <v>215000</v>
      </c>
      <c r="G119" s="13" t="n">
        <v>0.92</v>
      </c>
      <c r="H119" s="13" t="n">
        <v>1.35</v>
      </c>
      <c r="I119" s="13" t="n">
        <v>1</v>
      </c>
      <c r="J119" s="13" t="n">
        <v>0.53</v>
      </c>
      <c r="K119" s="12" t="n">
        <f aca="false">ROUND(F119/100*G119*H119*I119/J119,2)</f>
        <v>5038.3</v>
      </c>
      <c r="L119" s="12" t="n">
        <v>5038.3</v>
      </c>
      <c r="M119" s="12" t="n">
        <f aca="false">L119-K119</f>
        <v>0</v>
      </c>
      <c r="N119" s="3" t="s">
        <v>70</v>
      </c>
      <c r="O119" s="3" t="s">
        <v>52</v>
      </c>
    </row>
    <row r="120" customFormat="false" ht="15" hidden="false" customHeight="false" outlineLevel="0" collapsed="false">
      <c r="A120" s="14" t="s">
        <v>268</v>
      </c>
      <c r="B120" s="14" t="s">
        <v>355</v>
      </c>
      <c r="C120" s="14" t="s">
        <v>114</v>
      </c>
      <c r="D120" s="14" t="s">
        <v>356</v>
      </c>
      <c r="E120" s="14" t="s">
        <v>56</v>
      </c>
      <c r="F120" s="15" t="n">
        <v>635000</v>
      </c>
      <c r="G120" s="16" t="n">
        <v>0.65</v>
      </c>
      <c r="H120" s="16" t="n">
        <v>1.36</v>
      </c>
      <c r="I120" s="16" t="n">
        <v>1</v>
      </c>
      <c r="J120" s="16" t="n">
        <v>0.53</v>
      </c>
      <c r="K120" s="15" t="n">
        <f aca="false">ROUND(F120/100*G120*H120*I120/J120,2)</f>
        <v>10591.32</v>
      </c>
      <c r="L120" s="15" t="n">
        <v>10591.32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176</v>
      </c>
      <c r="B121" s="3" t="s">
        <v>357</v>
      </c>
      <c r="C121" s="3" t="s">
        <v>81</v>
      </c>
      <c r="D121" s="3" t="s">
        <v>358</v>
      </c>
      <c r="E121" s="3" t="s">
        <v>74</v>
      </c>
      <c r="F121" s="12" t="n">
        <v>215000</v>
      </c>
      <c r="G121" s="13" t="n">
        <v>0.57</v>
      </c>
      <c r="H121" s="13" t="n">
        <v>1.27</v>
      </c>
      <c r="I121" s="13" t="n">
        <v>1</v>
      </c>
      <c r="J121" s="13" t="n">
        <v>0.53</v>
      </c>
      <c r="K121" s="12" t="n">
        <f aca="false">ROUND(F121/100*G121*H121*I121/J121,2)</f>
        <v>2936.58</v>
      </c>
      <c r="L121" s="12" t="n">
        <v>2936.58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79</v>
      </c>
      <c r="B122" s="14" t="s">
        <v>359</v>
      </c>
      <c r="C122" s="14" t="s">
        <v>117</v>
      </c>
      <c r="D122" s="14" t="s">
        <v>360</v>
      </c>
      <c r="E122" s="14" t="s">
        <v>56</v>
      </c>
      <c r="F122" s="15" t="n">
        <v>205000</v>
      </c>
      <c r="G122" s="16" t="n">
        <v>0.92</v>
      </c>
      <c r="H122" s="16" t="n">
        <v>0.91</v>
      </c>
      <c r="I122" s="16" t="n">
        <v>1</v>
      </c>
      <c r="J122" s="16" t="n">
        <v>0.53</v>
      </c>
      <c r="K122" s="15" t="n">
        <f aca="false">ROUND(F122/100*G122*H122*I122/J122,2)</f>
        <v>3238.23</v>
      </c>
      <c r="L122" s="15" t="n">
        <v>3238.23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53</v>
      </c>
      <c r="B123" s="3" t="s">
        <v>361</v>
      </c>
      <c r="C123" s="3" t="s">
        <v>193</v>
      </c>
      <c r="D123" s="3" t="s">
        <v>362</v>
      </c>
      <c r="E123" s="3" t="s">
        <v>74</v>
      </c>
      <c r="F123" s="12" t="n">
        <v>365000</v>
      </c>
      <c r="G123" s="13" t="n">
        <v>0.48</v>
      </c>
      <c r="H123" s="13" t="n">
        <v>1.25</v>
      </c>
      <c r="I123" s="13" t="n">
        <v>1</v>
      </c>
      <c r="J123" s="13" t="n">
        <v>0.53</v>
      </c>
      <c r="K123" s="12" t="n">
        <f aca="false">ROUND(F123/100*G123*H123*I123/J123,2)</f>
        <v>4132.08</v>
      </c>
      <c r="L123" s="12" t="n">
        <v>4132.08</v>
      </c>
      <c r="M123" s="12" t="n">
        <f aca="false">L123-K123</f>
        <v>0</v>
      </c>
      <c r="N123" s="3" t="s">
        <v>70</v>
      </c>
      <c r="O123" s="3" t="s">
        <v>52</v>
      </c>
    </row>
    <row r="124" customFormat="false" ht="15" hidden="false" customHeight="false" outlineLevel="0" collapsed="false">
      <c r="A124" s="14" t="s">
        <v>46</v>
      </c>
      <c r="B124" s="14" t="s">
        <v>363</v>
      </c>
      <c r="C124" s="14" t="s">
        <v>243</v>
      </c>
      <c r="D124" s="14" t="s">
        <v>364</v>
      </c>
      <c r="E124" s="14" t="s">
        <v>56</v>
      </c>
      <c r="F124" s="15" t="n">
        <v>220000</v>
      </c>
      <c r="G124" s="16" t="n">
        <v>0.92</v>
      </c>
      <c r="H124" s="16" t="n">
        <v>1.14</v>
      </c>
      <c r="I124" s="16" t="n">
        <v>1</v>
      </c>
      <c r="J124" s="16" t="n">
        <v>0.53</v>
      </c>
      <c r="K124" s="15" t="n">
        <f aca="false">ROUND(F124/100*G124*H124*I124/J124,2)</f>
        <v>4353.51</v>
      </c>
      <c r="L124" s="15" t="n">
        <v>4353.51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53</v>
      </c>
      <c r="B125" s="3" t="s">
        <v>365</v>
      </c>
      <c r="C125" s="3" t="s">
        <v>366</v>
      </c>
      <c r="D125" s="3" t="s">
        <v>367</v>
      </c>
      <c r="E125" s="3" t="s">
        <v>56</v>
      </c>
      <c r="F125" s="12" t="n">
        <v>495000</v>
      </c>
      <c r="G125" s="13" t="n">
        <v>0.75</v>
      </c>
      <c r="H125" s="13" t="n">
        <v>1.26</v>
      </c>
      <c r="I125" s="13" t="n">
        <v>1</v>
      </c>
      <c r="J125" s="13" t="n">
        <v>0.53</v>
      </c>
      <c r="K125" s="12" t="n">
        <f aca="false">ROUND(F125/100*G125*H125*I125/J125,2)</f>
        <v>8825.94</v>
      </c>
      <c r="L125" s="12" t="n">
        <v>8825.94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226</v>
      </c>
      <c r="B126" s="14" t="s">
        <v>368</v>
      </c>
      <c r="C126" s="14" t="s">
        <v>145</v>
      </c>
      <c r="D126" s="14" t="s">
        <v>369</v>
      </c>
      <c r="E126" s="14" t="s">
        <v>74</v>
      </c>
      <c r="F126" s="15" t="n">
        <v>1145000</v>
      </c>
      <c r="G126" s="16" t="n">
        <v>0.38</v>
      </c>
      <c r="H126" s="16" t="n">
        <v>0.96</v>
      </c>
      <c r="I126" s="16" t="n">
        <v>1</v>
      </c>
      <c r="J126" s="16" t="n">
        <v>0.53</v>
      </c>
      <c r="K126" s="15" t="n">
        <f aca="false">ROUND(F126/100*G126*H126*I126/J126,2)</f>
        <v>7881.06</v>
      </c>
      <c r="L126" s="15" t="n">
        <v>7881.06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268</v>
      </c>
      <c r="B127" s="3" t="s">
        <v>370</v>
      </c>
      <c r="C127" s="3" t="s">
        <v>89</v>
      </c>
      <c r="D127" s="3" t="s">
        <v>371</v>
      </c>
      <c r="E127" s="3" t="s">
        <v>50</v>
      </c>
      <c r="F127" s="12" t="n">
        <v>1195000</v>
      </c>
      <c r="G127" s="13" t="n">
        <v>0.8</v>
      </c>
      <c r="H127" s="13" t="n">
        <v>1.35</v>
      </c>
      <c r="I127" s="13" t="n">
        <v>1</v>
      </c>
      <c r="J127" s="13" t="n">
        <v>0.53</v>
      </c>
      <c r="K127" s="12" t="n">
        <f aca="false">ROUND(F127/100*G127*H127*I127/J127,2)</f>
        <v>24350.94</v>
      </c>
      <c r="L127" s="12" t="n">
        <v>24350.94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91</v>
      </c>
      <c r="B128" s="14" t="s">
        <v>372</v>
      </c>
      <c r="C128" s="14" t="s">
        <v>159</v>
      </c>
      <c r="D128" s="14" t="s">
        <v>373</v>
      </c>
      <c r="E128" s="14" t="s">
        <v>56</v>
      </c>
      <c r="F128" s="15" t="n">
        <v>345000</v>
      </c>
      <c r="G128" s="16" t="n">
        <v>0.75</v>
      </c>
      <c r="H128" s="16" t="n">
        <v>1.15</v>
      </c>
      <c r="I128" s="16" t="n">
        <v>1</v>
      </c>
      <c r="J128" s="16" t="n">
        <v>0.53</v>
      </c>
      <c r="K128" s="15" t="n">
        <f aca="false">ROUND(F128/100*G128*H128*I128/J128,2)</f>
        <v>5614.39</v>
      </c>
      <c r="L128" s="15" t="n">
        <v>5614.39</v>
      </c>
      <c r="M128" s="15" t="n">
        <f aca="false">L128-K128</f>
        <v>0</v>
      </c>
      <c r="N128" s="14" t="s">
        <v>51</v>
      </c>
      <c r="O128" s="14" t="s">
        <v>52</v>
      </c>
    </row>
    <row r="129" customFormat="false" ht="15" hidden="false" customHeight="false" outlineLevel="0" collapsed="false">
      <c r="A129" s="3" t="s">
        <v>309</v>
      </c>
      <c r="B129" s="3" t="s">
        <v>374</v>
      </c>
      <c r="C129" s="3" t="s">
        <v>114</v>
      </c>
      <c r="D129" s="3" t="s">
        <v>153</v>
      </c>
      <c r="E129" s="3" t="s">
        <v>56</v>
      </c>
      <c r="F129" s="12" t="n">
        <v>795000</v>
      </c>
      <c r="G129" s="13" t="n">
        <v>0.65</v>
      </c>
      <c r="H129" s="13" t="n">
        <v>1.36</v>
      </c>
      <c r="I129" s="13" t="n">
        <v>1</v>
      </c>
      <c r="J129" s="13" t="n">
        <v>0.53</v>
      </c>
      <c r="K129" s="12" t="n">
        <f aca="false">ROUND(F129/100*G129*H129*I129/J129,2)</f>
        <v>13260</v>
      </c>
      <c r="L129" s="12" t="n">
        <v>13260</v>
      </c>
      <c r="M129" s="12" t="n">
        <f aca="false">L129-K129</f>
        <v>0</v>
      </c>
      <c r="N129" s="3" t="s">
        <v>70</v>
      </c>
      <c r="O129" s="3" t="s">
        <v>52</v>
      </c>
    </row>
    <row r="130" customFormat="false" ht="15" hidden="false" customHeight="false" outlineLevel="0" collapsed="false">
      <c r="A130" s="14" t="s">
        <v>150</v>
      </c>
      <c r="B130" s="14" t="s">
        <v>375</v>
      </c>
      <c r="C130" s="14" t="s">
        <v>120</v>
      </c>
      <c r="D130" s="14" t="s">
        <v>376</v>
      </c>
      <c r="E130" s="14" t="s">
        <v>74</v>
      </c>
      <c r="F130" s="15" t="n">
        <v>685000</v>
      </c>
      <c r="G130" s="16" t="n">
        <v>0.43</v>
      </c>
      <c r="H130" s="16" t="n">
        <v>1.15</v>
      </c>
      <c r="I130" s="16" t="n">
        <v>1</v>
      </c>
      <c r="J130" s="16" t="n">
        <v>0.53</v>
      </c>
      <c r="K130" s="15" t="n">
        <f aca="false">ROUND(F130/100*G130*H130*I130/J130,2)</f>
        <v>6391.18</v>
      </c>
      <c r="L130" s="15" t="n">
        <v>6391.18</v>
      </c>
      <c r="M130" s="15" t="n">
        <f aca="false">L130-K130</f>
        <v>0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66</v>
      </c>
      <c r="B131" s="3" t="s">
        <v>377</v>
      </c>
      <c r="C131" s="3" t="s">
        <v>145</v>
      </c>
      <c r="D131" s="3" t="s">
        <v>378</v>
      </c>
      <c r="E131" s="3" t="s">
        <v>56</v>
      </c>
      <c r="F131" s="12" t="n">
        <v>325000</v>
      </c>
      <c r="G131" s="13" t="n">
        <v>0.75</v>
      </c>
      <c r="H131" s="13" t="n">
        <v>0.96</v>
      </c>
      <c r="I131" s="13" t="n">
        <v>1</v>
      </c>
      <c r="J131" s="13" t="n">
        <v>0.53</v>
      </c>
      <c r="K131" s="12" t="n">
        <f aca="false">ROUND(F131/100*G131*H131*I131/J131,2)</f>
        <v>4415.09</v>
      </c>
      <c r="L131" s="12" t="n">
        <v>4415.09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154</v>
      </c>
      <c r="B132" s="14" t="s">
        <v>379</v>
      </c>
      <c r="C132" s="14" t="s">
        <v>128</v>
      </c>
      <c r="D132" s="14" t="s">
        <v>218</v>
      </c>
      <c r="E132" s="14" t="s">
        <v>56</v>
      </c>
      <c r="F132" s="15" t="n">
        <v>410000</v>
      </c>
      <c r="G132" s="16" t="n">
        <v>0.75</v>
      </c>
      <c r="H132" s="16" t="n">
        <v>1.25</v>
      </c>
      <c r="I132" s="16" t="n">
        <v>1</v>
      </c>
      <c r="J132" s="16" t="n">
        <v>0.53</v>
      </c>
      <c r="K132" s="15" t="n">
        <f aca="false">ROUND(F132/100*G132*H132*I132/J132,2)</f>
        <v>7252.36</v>
      </c>
      <c r="L132" s="15" t="n">
        <v>7252.36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309</v>
      </c>
      <c r="B133" s="3" t="s">
        <v>380</v>
      </c>
      <c r="C133" s="3" t="s">
        <v>243</v>
      </c>
      <c r="D133" s="3" t="s">
        <v>381</v>
      </c>
      <c r="E133" s="3" t="s">
        <v>74</v>
      </c>
      <c r="F133" s="12" t="n">
        <v>530000</v>
      </c>
      <c r="G133" s="13" t="n">
        <v>0.43</v>
      </c>
      <c r="H133" s="13" t="n">
        <v>1.14</v>
      </c>
      <c r="I133" s="13" t="n">
        <v>1</v>
      </c>
      <c r="J133" s="13" t="n">
        <v>0.53</v>
      </c>
      <c r="K133" s="12" t="n">
        <f aca="false">ROUND(F133/100*G133*H133*I133/J133,2)</f>
        <v>4902</v>
      </c>
      <c r="L133" s="12" t="n">
        <v>4902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222</v>
      </c>
      <c r="B134" s="14" t="s">
        <v>382</v>
      </c>
      <c r="C134" s="14" t="s">
        <v>64</v>
      </c>
      <c r="D134" s="14" t="s">
        <v>383</v>
      </c>
      <c r="E134" s="14" t="s">
        <v>50</v>
      </c>
      <c r="F134" s="15" t="n">
        <v>1495000</v>
      </c>
      <c r="G134" s="16" t="n">
        <v>0.8</v>
      </c>
      <c r="H134" s="16" t="n">
        <v>1.17</v>
      </c>
      <c r="I134" s="16" t="n">
        <v>1</v>
      </c>
      <c r="J134" s="16" t="n">
        <v>0.53</v>
      </c>
      <c r="K134" s="15" t="n">
        <f aca="false">ROUND(F134/100*G134*H134*I134/J134,2)</f>
        <v>26402.26</v>
      </c>
      <c r="L134" s="15" t="n">
        <v>26402.26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95</v>
      </c>
      <c r="B135" s="3" t="s">
        <v>384</v>
      </c>
      <c r="C135" s="3" t="s">
        <v>300</v>
      </c>
      <c r="D135" s="3" t="s">
        <v>385</v>
      </c>
      <c r="E135" s="3" t="s">
        <v>56</v>
      </c>
      <c r="F135" s="12" t="n">
        <v>335000</v>
      </c>
      <c r="G135" s="13" t="n">
        <v>0.75</v>
      </c>
      <c r="H135" s="13" t="n">
        <v>1.11</v>
      </c>
      <c r="I135" s="13" t="n">
        <v>1</v>
      </c>
      <c r="J135" s="13" t="n">
        <v>0.53</v>
      </c>
      <c r="K135" s="12" t="n">
        <f aca="false">ROUND(F135/100*G135*H135*I135/J135,2)</f>
        <v>5262.03</v>
      </c>
      <c r="L135" s="12" t="n">
        <v>5262.03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71</v>
      </c>
      <c r="B136" s="14" t="s">
        <v>386</v>
      </c>
      <c r="C136" s="14" t="s">
        <v>300</v>
      </c>
      <c r="D136" s="14" t="s">
        <v>387</v>
      </c>
      <c r="E136" s="14" t="s">
        <v>50</v>
      </c>
      <c r="F136" s="15" t="n">
        <v>1950000</v>
      </c>
      <c r="G136" s="16" t="n">
        <v>0.8</v>
      </c>
      <c r="H136" s="16" t="n">
        <v>1.11</v>
      </c>
      <c r="I136" s="16" t="n">
        <v>1</v>
      </c>
      <c r="J136" s="16" t="n">
        <v>0.53</v>
      </c>
      <c r="K136" s="15" t="n">
        <f aca="false">ROUND(F136/100*G136*H136*I136/J136,2)</f>
        <v>32671.7</v>
      </c>
      <c r="L136" s="15" t="n">
        <v>32671.7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91</v>
      </c>
      <c r="B137" s="3" t="s">
        <v>388</v>
      </c>
      <c r="C137" s="3" t="s">
        <v>169</v>
      </c>
      <c r="D137" s="3" t="s">
        <v>389</v>
      </c>
      <c r="E137" s="3" t="s">
        <v>50</v>
      </c>
      <c r="F137" s="12" t="n">
        <v>1950000</v>
      </c>
      <c r="G137" s="13" t="n">
        <v>0.8</v>
      </c>
      <c r="H137" s="13" t="n">
        <v>1.07</v>
      </c>
      <c r="I137" s="13" t="n">
        <v>1</v>
      </c>
      <c r="J137" s="13" t="n">
        <v>0.53</v>
      </c>
      <c r="K137" s="12" t="n">
        <f aca="false">ROUND(F137/100*G137*H137*I137/J137,2)</f>
        <v>31494.34</v>
      </c>
      <c r="L137" s="12" t="n">
        <v>31494.34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91</v>
      </c>
      <c r="B138" s="14" t="s">
        <v>390</v>
      </c>
      <c r="C138" s="14" t="s">
        <v>117</v>
      </c>
      <c r="D138" s="14" t="s">
        <v>391</v>
      </c>
      <c r="E138" s="14" t="s">
        <v>74</v>
      </c>
      <c r="F138" s="15" t="n">
        <v>525000</v>
      </c>
      <c r="G138" s="16" t="n">
        <v>0.43</v>
      </c>
      <c r="H138" s="16" t="n">
        <v>0.91</v>
      </c>
      <c r="I138" s="16" t="n">
        <v>1</v>
      </c>
      <c r="J138" s="16" t="n">
        <v>0.53</v>
      </c>
      <c r="K138" s="15" t="n">
        <f aca="false">ROUND(F138/100*G138*H138*I138/J138,2)</f>
        <v>3876.08</v>
      </c>
      <c r="L138" s="15" t="n">
        <v>3876.08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134</v>
      </c>
      <c r="B139" s="3" t="s">
        <v>392</v>
      </c>
      <c r="C139" s="3" t="s">
        <v>224</v>
      </c>
      <c r="D139" s="3" t="s">
        <v>393</v>
      </c>
      <c r="E139" s="3" t="s">
        <v>50</v>
      </c>
      <c r="F139" s="12" t="n">
        <v>320000</v>
      </c>
      <c r="G139" s="13" t="n">
        <v>1.15</v>
      </c>
      <c r="H139" s="13" t="n">
        <v>1.1</v>
      </c>
      <c r="I139" s="13" t="n">
        <v>1</v>
      </c>
      <c r="J139" s="13" t="n">
        <v>0.53</v>
      </c>
      <c r="K139" s="12" t="n">
        <f aca="false">ROUND(F139/100*G139*H139*I139/J139,2)</f>
        <v>7637.74</v>
      </c>
      <c r="L139" s="12" t="n">
        <v>7637.74</v>
      </c>
      <c r="M139" s="12" t="n">
        <f aca="false">L139-K139</f>
        <v>0</v>
      </c>
      <c r="N139" s="3" t="s">
        <v>70</v>
      </c>
      <c r="O139" s="3" t="s">
        <v>52</v>
      </c>
    </row>
    <row r="140" customFormat="false" ht="15" hidden="false" customHeight="false" outlineLevel="0" collapsed="false">
      <c r="A140" s="14" t="s">
        <v>200</v>
      </c>
      <c r="B140" s="14" t="s">
        <v>394</v>
      </c>
      <c r="C140" s="14" t="s">
        <v>89</v>
      </c>
      <c r="D140" s="14" t="s">
        <v>235</v>
      </c>
      <c r="E140" s="14" t="s">
        <v>56</v>
      </c>
      <c r="F140" s="15" t="n">
        <v>880000</v>
      </c>
      <c r="G140" s="16" t="n">
        <v>0.65</v>
      </c>
      <c r="H140" s="16" t="n">
        <v>1.35</v>
      </c>
      <c r="I140" s="16" t="n">
        <v>1</v>
      </c>
      <c r="J140" s="16" t="n">
        <v>0.53</v>
      </c>
      <c r="K140" s="15" t="n">
        <f aca="false">ROUND(F140/100*G140*H140*I140/J140,2)</f>
        <v>14569.81</v>
      </c>
      <c r="L140" s="15" t="n">
        <v>14569.81</v>
      </c>
      <c r="M140" s="15" t="n">
        <f aca="false">L140-K140</f>
        <v>0</v>
      </c>
      <c r="N140" s="14" t="s">
        <v>51</v>
      </c>
      <c r="O140" s="14" t="s">
        <v>52</v>
      </c>
    </row>
    <row r="141" customFormat="false" ht="15" hidden="false" customHeight="false" outlineLevel="0" collapsed="false">
      <c r="A141" s="3" t="s">
        <v>95</v>
      </c>
      <c r="B141" s="3" t="s">
        <v>395</v>
      </c>
      <c r="C141" s="3" t="s">
        <v>230</v>
      </c>
      <c r="D141" s="3" t="s">
        <v>396</v>
      </c>
      <c r="E141" s="3" t="s">
        <v>56</v>
      </c>
      <c r="F141" s="12" t="n">
        <v>445000</v>
      </c>
      <c r="G141" s="13" t="n">
        <v>0.75</v>
      </c>
      <c r="H141" s="13" t="n">
        <v>1.09</v>
      </c>
      <c r="I141" s="13" t="n">
        <v>1</v>
      </c>
      <c r="J141" s="13" t="n">
        <v>0.53</v>
      </c>
      <c r="K141" s="12" t="n">
        <f aca="false">ROUND(F141/100*G141*H141*I141/J141,2)</f>
        <v>6863.92</v>
      </c>
      <c r="L141" s="12" t="n">
        <v>6863.92</v>
      </c>
      <c r="M141" s="12" t="n">
        <f aca="false">L141-K141</f>
        <v>0</v>
      </c>
      <c r="N141" s="3" t="s">
        <v>51</v>
      </c>
      <c r="O141" s="3" t="s">
        <v>52</v>
      </c>
    </row>
    <row r="142" customFormat="false" ht="15" hidden="false" customHeight="false" outlineLevel="0" collapsed="false">
      <c r="A142" s="14" t="s">
        <v>46</v>
      </c>
      <c r="B142" s="14" t="s">
        <v>397</v>
      </c>
      <c r="C142" s="14" t="s">
        <v>237</v>
      </c>
      <c r="D142" s="14" t="s">
        <v>398</v>
      </c>
      <c r="E142" s="14" t="s">
        <v>56</v>
      </c>
      <c r="F142" s="15" t="n">
        <v>490000</v>
      </c>
      <c r="G142" s="16" t="n">
        <v>0.75</v>
      </c>
      <c r="H142" s="16" t="n">
        <v>1.33</v>
      </c>
      <c r="I142" s="16" t="n">
        <v>1</v>
      </c>
      <c r="J142" s="16" t="n">
        <v>0.53</v>
      </c>
      <c r="K142" s="15" t="n">
        <f aca="false">ROUND(F142/100*G142*H142*I142/J142,2)</f>
        <v>9222.17</v>
      </c>
      <c r="L142" s="15" t="n">
        <v>9222.17</v>
      </c>
      <c r="M142" s="15" t="n">
        <f aca="false">L142-K142</f>
        <v>0</v>
      </c>
      <c r="N142" s="14" t="s">
        <v>51</v>
      </c>
      <c r="O142" s="14" t="s">
        <v>52</v>
      </c>
    </row>
    <row r="143" customFormat="false" ht="15" hidden="false" customHeight="false" outlineLevel="0" collapsed="false">
      <c r="A143" s="3" t="s">
        <v>71</v>
      </c>
      <c r="B143" s="3" t="s">
        <v>399</v>
      </c>
      <c r="C143" s="3" t="s">
        <v>81</v>
      </c>
      <c r="D143" s="3" t="s">
        <v>400</v>
      </c>
      <c r="E143" s="3" t="s">
        <v>56</v>
      </c>
      <c r="F143" s="12" t="n">
        <v>540000</v>
      </c>
      <c r="G143" s="13" t="n">
        <v>0.65</v>
      </c>
      <c r="H143" s="13" t="n">
        <v>1.27</v>
      </c>
      <c r="I143" s="13" t="n">
        <v>1</v>
      </c>
      <c r="J143" s="13" t="n">
        <v>0.53</v>
      </c>
      <c r="K143" s="12" t="n">
        <f aca="false">ROUND(F143/100*G143*H143*I143/J143,2)</f>
        <v>8410.75</v>
      </c>
      <c r="L143" s="12" t="n">
        <v>8410.75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57</v>
      </c>
      <c r="B144" s="14" t="s">
        <v>401</v>
      </c>
      <c r="C144" s="14" t="s">
        <v>305</v>
      </c>
      <c r="D144" s="14" t="s">
        <v>402</v>
      </c>
      <c r="E144" s="14" t="s">
        <v>56</v>
      </c>
      <c r="F144" s="15" t="n">
        <v>590000</v>
      </c>
      <c r="G144" s="16" t="n">
        <v>0.65</v>
      </c>
      <c r="H144" s="16" t="n">
        <v>1.12</v>
      </c>
      <c r="I144" s="16" t="n">
        <v>1</v>
      </c>
      <c r="J144" s="16" t="n">
        <v>0.53</v>
      </c>
      <c r="K144" s="15" t="n">
        <f aca="false">ROUND(F144/100*G144*H144*I144/J144,2)</f>
        <v>8104.15</v>
      </c>
      <c r="L144" s="15" t="n">
        <v>8104.15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95</v>
      </c>
      <c r="B145" s="3" t="s">
        <v>403</v>
      </c>
      <c r="C145" s="3" t="s">
        <v>159</v>
      </c>
      <c r="D145" s="3" t="s">
        <v>221</v>
      </c>
      <c r="E145" s="3" t="s">
        <v>50</v>
      </c>
      <c r="F145" s="12" t="n">
        <v>400000</v>
      </c>
      <c r="G145" s="13" t="n">
        <v>1.15</v>
      </c>
      <c r="H145" s="13" t="n">
        <v>1.15</v>
      </c>
      <c r="I145" s="13" t="n">
        <v>1</v>
      </c>
      <c r="J145" s="13" t="n">
        <v>0.53</v>
      </c>
      <c r="K145" s="12" t="n">
        <f aca="false">ROUND(F145/100*G145*H145*I145/J145,2)</f>
        <v>9981.13</v>
      </c>
      <c r="L145" s="12" t="n">
        <v>9981.13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75</v>
      </c>
      <c r="B146" s="14" t="s">
        <v>404</v>
      </c>
      <c r="C146" s="14" t="s">
        <v>68</v>
      </c>
      <c r="D146" s="14" t="s">
        <v>405</v>
      </c>
      <c r="E146" s="14" t="s">
        <v>56</v>
      </c>
      <c r="F146" s="15" t="n">
        <v>380000</v>
      </c>
      <c r="G146" s="16" t="n">
        <v>0.75</v>
      </c>
      <c r="H146" s="16" t="n">
        <v>1.38</v>
      </c>
      <c r="I146" s="16" t="n">
        <v>1</v>
      </c>
      <c r="J146" s="16" t="n">
        <v>0.53</v>
      </c>
      <c r="K146" s="15" t="n">
        <f aca="false">ROUND(F146/100*G146*H146*I146/J146,2)</f>
        <v>7420.75</v>
      </c>
      <c r="L146" s="15" t="n">
        <v>7420.75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95</v>
      </c>
      <c r="B147" s="3" t="s">
        <v>406</v>
      </c>
      <c r="C147" s="3" t="s">
        <v>48</v>
      </c>
      <c r="D147" s="3" t="s">
        <v>407</v>
      </c>
      <c r="E147" s="3" t="s">
        <v>50</v>
      </c>
      <c r="F147" s="12" t="n">
        <v>670000</v>
      </c>
      <c r="G147" s="13" t="n">
        <v>0.95</v>
      </c>
      <c r="H147" s="13" t="n">
        <v>1.28</v>
      </c>
      <c r="I147" s="13" t="n">
        <v>1</v>
      </c>
      <c r="J147" s="13" t="n">
        <v>0.53</v>
      </c>
      <c r="K147" s="12" t="n">
        <f aca="false">ROUND(F147/100*G147*H147*I147/J147,2)</f>
        <v>15372.08</v>
      </c>
      <c r="L147" s="12" t="n">
        <v>15372.08</v>
      </c>
      <c r="M147" s="12" t="n">
        <f aca="false">L147-K147</f>
        <v>0</v>
      </c>
      <c r="N147" s="3" t="s">
        <v>51</v>
      </c>
      <c r="O147" s="3" t="s">
        <v>52</v>
      </c>
    </row>
    <row r="148" customFormat="false" ht="15" hidden="false" customHeight="false" outlineLevel="0" collapsed="false">
      <c r="A148" s="14" t="s">
        <v>110</v>
      </c>
      <c r="B148" s="14" t="s">
        <v>408</v>
      </c>
      <c r="C148" s="14" t="s">
        <v>409</v>
      </c>
      <c r="D148" s="14" t="s">
        <v>364</v>
      </c>
      <c r="E148" s="14" t="s">
        <v>56</v>
      </c>
      <c r="F148" s="15" t="n">
        <v>435000</v>
      </c>
      <c r="G148" s="16" t="n">
        <v>0.75</v>
      </c>
      <c r="H148" s="16" t="n">
        <v>1.3</v>
      </c>
      <c r="I148" s="16" t="n">
        <v>1</v>
      </c>
      <c r="J148" s="16" t="n">
        <v>0.53</v>
      </c>
      <c r="K148" s="15" t="n">
        <f aca="false">ROUND(F148/100*G148*H148*I148/J148,2)</f>
        <v>8002.36</v>
      </c>
      <c r="L148" s="15" t="n">
        <v>8002.36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75</v>
      </c>
      <c r="B149" s="3" t="s">
        <v>410</v>
      </c>
      <c r="C149" s="3" t="s">
        <v>89</v>
      </c>
      <c r="D149" s="3" t="s">
        <v>387</v>
      </c>
      <c r="E149" s="3" t="s">
        <v>50</v>
      </c>
      <c r="F149" s="12" t="n">
        <v>295000</v>
      </c>
      <c r="G149" s="13" t="n">
        <v>1.15</v>
      </c>
      <c r="H149" s="13" t="n">
        <v>1.35</v>
      </c>
      <c r="I149" s="13" t="n">
        <v>1</v>
      </c>
      <c r="J149" s="13" t="n">
        <v>0.53</v>
      </c>
      <c r="K149" s="12" t="n">
        <f aca="false">ROUND(F149/100*G149*H149*I149/J149,2)</f>
        <v>8641.27</v>
      </c>
      <c r="L149" s="12" t="n">
        <v>8641.27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247</v>
      </c>
      <c r="B150" s="14" t="s">
        <v>411</v>
      </c>
      <c r="C150" s="14" t="s">
        <v>174</v>
      </c>
      <c r="D150" s="14" t="s">
        <v>412</v>
      </c>
      <c r="E150" s="14" t="s">
        <v>74</v>
      </c>
      <c r="F150" s="15" t="n">
        <v>405000</v>
      </c>
      <c r="G150" s="16" t="n">
        <v>0.48</v>
      </c>
      <c r="H150" s="16" t="n">
        <v>1.55</v>
      </c>
      <c r="I150" s="16" t="n">
        <v>1</v>
      </c>
      <c r="J150" s="16" t="n">
        <v>0.53</v>
      </c>
      <c r="K150" s="15" t="n">
        <f aca="false">ROUND(F150/100*G150*H150*I150/J150,2)</f>
        <v>5685.28</v>
      </c>
      <c r="L150" s="15" t="n">
        <v>5685.28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71</v>
      </c>
      <c r="B151" s="3" t="s">
        <v>413</v>
      </c>
      <c r="C151" s="3" t="s">
        <v>139</v>
      </c>
      <c r="D151" s="3" t="s">
        <v>256</v>
      </c>
      <c r="E151" s="3" t="s">
        <v>56</v>
      </c>
      <c r="F151" s="12" t="n">
        <v>290000</v>
      </c>
      <c r="G151" s="13" t="n">
        <v>0.75</v>
      </c>
      <c r="H151" s="13" t="n">
        <v>1.23</v>
      </c>
      <c r="I151" s="13" t="n">
        <v>1</v>
      </c>
      <c r="J151" s="13" t="n">
        <v>0.53</v>
      </c>
      <c r="K151" s="12" t="n">
        <f aca="false">ROUND(F151/100*G151*H151*I151/J151,2)</f>
        <v>5047.64</v>
      </c>
      <c r="L151" s="12" t="n">
        <v>5047.64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66</v>
      </c>
      <c r="B152" s="14" t="s">
        <v>414</v>
      </c>
      <c r="C152" s="14" t="s">
        <v>237</v>
      </c>
      <c r="D152" s="14" t="s">
        <v>415</v>
      </c>
      <c r="E152" s="14" t="s">
        <v>56</v>
      </c>
      <c r="F152" s="15" t="n">
        <v>460000</v>
      </c>
      <c r="G152" s="16" t="n">
        <v>0.75</v>
      </c>
      <c r="H152" s="16" t="n">
        <v>1.33</v>
      </c>
      <c r="I152" s="16" t="n">
        <v>1</v>
      </c>
      <c r="J152" s="16" t="n">
        <v>0.53</v>
      </c>
      <c r="K152" s="15" t="n">
        <f aca="false">ROUND(F152/100*G152*H152*I152/J152,2)</f>
        <v>8657.55</v>
      </c>
      <c r="L152" s="15" t="n">
        <v>8657.55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190</v>
      </c>
      <c r="B153" s="3" t="s">
        <v>416</v>
      </c>
      <c r="C153" s="3" t="s">
        <v>417</v>
      </c>
      <c r="D153" s="3" t="s">
        <v>267</v>
      </c>
      <c r="E153" s="3" t="s">
        <v>56</v>
      </c>
      <c r="F153" s="12" t="n">
        <v>780000</v>
      </c>
      <c r="G153" s="13" t="n">
        <v>0.65</v>
      </c>
      <c r="H153" s="13" t="n">
        <v>1.24</v>
      </c>
      <c r="I153" s="13" t="n">
        <v>1</v>
      </c>
      <c r="J153" s="13" t="n">
        <v>0.53</v>
      </c>
      <c r="K153" s="12" t="n">
        <f aca="false">ROUND(F153/100*G153*H153*I153/J153,2)</f>
        <v>11861.89</v>
      </c>
      <c r="L153" s="12" t="n">
        <v>11861.89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71</v>
      </c>
      <c r="B154" s="14" t="s">
        <v>418</v>
      </c>
      <c r="C154" s="14" t="s">
        <v>366</v>
      </c>
      <c r="D154" s="14" t="s">
        <v>419</v>
      </c>
      <c r="E154" s="14" t="s">
        <v>56</v>
      </c>
      <c r="F154" s="15" t="n">
        <v>1355000</v>
      </c>
      <c r="G154" s="16" t="n">
        <v>0.55</v>
      </c>
      <c r="H154" s="16" t="n">
        <v>1.26</v>
      </c>
      <c r="I154" s="16" t="n">
        <v>1</v>
      </c>
      <c r="J154" s="16" t="n">
        <v>0.53</v>
      </c>
      <c r="K154" s="15" t="n">
        <f aca="false">ROUND(F154/100*G154*H154*I154/J154,2)</f>
        <v>17717.26</v>
      </c>
      <c r="L154" s="15" t="n">
        <v>17717.26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126</v>
      </c>
      <c r="B155" s="3" t="s">
        <v>420</v>
      </c>
      <c r="C155" s="3" t="s">
        <v>48</v>
      </c>
      <c r="D155" s="3" t="s">
        <v>421</v>
      </c>
      <c r="E155" s="3" t="s">
        <v>56</v>
      </c>
      <c r="F155" s="12" t="n">
        <v>395000</v>
      </c>
      <c r="G155" s="13" t="n">
        <v>0.75</v>
      </c>
      <c r="H155" s="13" t="n">
        <v>1.28</v>
      </c>
      <c r="I155" s="13" t="n">
        <v>1</v>
      </c>
      <c r="J155" s="13" t="n">
        <v>0.53</v>
      </c>
      <c r="K155" s="12" t="n">
        <f aca="false">ROUND(F155/100*G155*H155*I155/J155,2)</f>
        <v>7154.72</v>
      </c>
      <c r="L155" s="12" t="n">
        <v>7154.72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57</v>
      </c>
      <c r="B156" s="14" t="s">
        <v>422</v>
      </c>
      <c r="C156" s="14" t="s">
        <v>210</v>
      </c>
      <c r="D156" s="14" t="s">
        <v>423</v>
      </c>
      <c r="E156" s="14" t="s">
        <v>56</v>
      </c>
      <c r="F156" s="15" t="n">
        <v>760000</v>
      </c>
      <c r="G156" s="16" t="n">
        <v>0.65</v>
      </c>
      <c r="H156" s="16" t="n">
        <v>1.21</v>
      </c>
      <c r="I156" s="16" t="n">
        <v>1</v>
      </c>
      <c r="J156" s="16" t="n">
        <v>0.53</v>
      </c>
      <c r="K156" s="15" t="n">
        <f aca="false">ROUND(F156/100*G156*H156*I156/J156,2)</f>
        <v>11278.11</v>
      </c>
      <c r="L156" s="15" t="n">
        <v>11278.11</v>
      </c>
      <c r="M156" s="15" t="n">
        <f aca="false">L156-K156</f>
        <v>0</v>
      </c>
      <c r="N156" s="14" t="s">
        <v>70</v>
      </c>
      <c r="O156" s="14" t="s">
        <v>52</v>
      </c>
    </row>
    <row r="157" customFormat="false" ht="15" hidden="false" customHeight="false" outlineLevel="0" collapsed="false">
      <c r="A157" s="3" t="s">
        <v>126</v>
      </c>
      <c r="B157" s="3" t="s">
        <v>424</v>
      </c>
      <c r="C157" s="3" t="s">
        <v>48</v>
      </c>
      <c r="D157" s="3" t="s">
        <v>425</v>
      </c>
      <c r="E157" s="3" t="s">
        <v>74</v>
      </c>
      <c r="F157" s="12" t="n">
        <v>380000</v>
      </c>
      <c r="G157" s="13" t="n">
        <v>0.48</v>
      </c>
      <c r="H157" s="13" t="n">
        <v>1.28</v>
      </c>
      <c r="I157" s="13" t="n">
        <v>1</v>
      </c>
      <c r="J157" s="13" t="n">
        <v>0.53</v>
      </c>
      <c r="K157" s="12" t="n">
        <f aca="false">ROUND(F157/100*G157*H157*I157/J157,2)</f>
        <v>4405.13</v>
      </c>
      <c r="L157" s="12" t="n">
        <v>4405.13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222</v>
      </c>
      <c r="B158" s="14" t="s">
        <v>426</v>
      </c>
      <c r="C158" s="14" t="s">
        <v>417</v>
      </c>
      <c r="D158" s="14" t="s">
        <v>427</v>
      </c>
      <c r="E158" s="14" t="s">
        <v>56</v>
      </c>
      <c r="F158" s="15" t="n">
        <v>265000</v>
      </c>
      <c r="G158" s="16" t="n">
        <v>0.75</v>
      </c>
      <c r="H158" s="16" t="n">
        <v>1.24</v>
      </c>
      <c r="I158" s="16" t="n">
        <v>1</v>
      </c>
      <c r="J158" s="16" t="n">
        <v>0.53</v>
      </c>
      <c r="K158" s="15" t="n">
        <f aca="false">ROUND(F158/100*G158*H158*I158/J158,2)</f>
        <v>4650</v>
      </c>
      <c r="L158" s="15" t="n">
        <v>4650</v>
      </c>
      <c r="M158" s="15" t="n">
        <f aca="false">L158-K158</f>
        <v>0</v>
      </c>
      <c r="N158" s="14" t="s">
        <v>70</v>
      </c>
      <c r="O158" s="14" t="s">
        <v>52</v>
      </c>
    </row>
    <row r="159" customFormat="false" ht="15" hidden="false" customHeight="false" outlineLevel="0" collapsed="false">
      <c r="A159" s="3" t="s">
        <v>163</v>
      </c>
      <c r="B159" s="3" t="s">
        <v>428</v>
      </c>
      <c r="C159" s="3" t="s">
        <v>48</v>
      </c>
      <c r="D159" s="3" t="s">
        <v>429</v>
      </c>
      <c r="E159" s="3" t="s">
        <v>56</v>
      </c>
      <c r="F159" s="12" t="n">
        <v>590000</v>
      </c>
      <c r="G159" s="13" t="n">
        <v>0.65</v>
      </c>
      <c r="H159" s="13" t="n">
        <v>1.28</v>
      </c>
      <c r="I159" s="13" t="n">
        <v>1</v>
      </c>
      <c r="J159" s="13" t="n">
        <v>0.53</v>
      </c>
      <c r="K159" s="12" t="n">
        <f aca="false">ROUND(F159/100*G159*H159*I159/J159,2)</f>
        <v>9261.89</v>
      </c>
      <c r="L159" s="12" t="n">
        <v>9261.89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110</v>
      </c>
      <c r="B160" s="14" t="s">
        <v>430</v>
      </c>
      <c r="C160" s="14" t="s">
        <v>159</v>
      </c>
      <c r="D160" s="14" t="s">
        <v>431</v>
      </c>
      <c r="E160" s="14" t="s">
        <v>56</v>
      </c>
      <c r="F160" s="15" t="n">
        <v>590000</v>
      </c>
      <c r="G160" s="16" t="n">
        <v>0.65</v>
      </c>
      <c r="H160" s="16" t="n">
        <v>1.15</v>
      </c>
      <c r="I160" s="16" t="n">
        <v>1</v>
      </c>
      <c r="J160" s="16" t="n">
        <v>0.53</v>
      </c>
      <c r="K160" s="15" t="n">
        <f aca="false">ROUND(F160/100*G160*H160*I160/J160,2)</f>
        <v>8321.23</v>
      </c>
      <c r="L160" s="15" t="n">
        <v>8321.23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222</v>
      </c>
      <c r="B161" s="3" t="s">
        <v>432</v>
      </c>
      <c r="C161" s="3" t="s">
        <v>366</v>
      </c>
      <c r="D161" s="3" t="s">
        <v>433</v>
      </c>
      <c r="E161" s="3" t="s">
        <v>56</v>
      </c>
      <c r="F161" s="12" t="n">
        <v>285000</v>
      </c>
      <c r="G161" s="13" t="n">
        <v>0.75</v>
      </c>
      <c r="H161" s="13" t="n">
        <v>1.26</v>
      </c>
      <c r="I161" s="13" t="n">
        <v>1</v>
      </c>
      <c r="J161" s="13" t="n">
        <v>0.53</v>
      </c>
      <c r="K161" s="12" t="n">
        <f aca="false">ROUND(F161/100*G161*H161*I161/J161,2)</f>
        <v>5081.6</v>
      </c>
      <c r="L161" s="12" t="n">
        <v>5081.6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79</v>
      </c>
      <c r="B162" s="14" t="s">
        <v>434</v>
      </c>
      <c r="C162" s="14" t="s">
        <v>435</v>
      </c>
      <c r="D162" s="14" t="s">
        <v>436</v>
      </c>
      <c r="E162" s="14" t="s">
        <v>133</v>
      </c>
      <c r="F162" s="15" t="n">
        <v>515000</v>
      </c>
      <c r="G162" s="16" t="n">
        <v>0.38</v>
      </c>
      <c r="H162" s="16" t="n">
        <v>1.13</v>
      </c>
      <c r="I162" s="16" t="n">
        <v>1</v>
      </c>
      <c r="J162" s="16" t="n">
        <v>0.53</v>
      </c>
      <c r="K162" s="15" t="n">
        <f aca="false">ROUND(F162/100*G162*H162*I162/J162,2)</f>
        <v>4172.47</v>
      </c>
      <c r="L162" s="15" t="n">
        <v>4172.47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154</v>
      </c>
      <c r="B163" s="3" t="s">
        <v>437</v>
      </c>
      <c r="C163" s="3" t="s">
        <v>417</v>
      </c>
      <c r="D163" s="3" t="s">
        <v>438</v>
      </c>
      <c r="E163" s="3" t="s">
        <v>50</v>
      </c>
      <c r="F163" s="12" t="n">
        <v>760000</v>
      </c>
      <c r="G163" s="13" t="n">
        <v>0.95</v>
      </c>
      <c r="H163" s="13" t="n">
        <v>1.24</v>
      </c>
      <c r="I163" s="13" t="n">
        <v>1</v>
      </c>
      <c r="J163" s="13" t="n">
        <v>0.53</v>
      </c>
      <c r="K163" s="12" t="n">
        <f aca="false">ROUND(F163/100*G163*H163*I163/J163,2)</f>
        <v>16892.08</v>
      </c>
      <c r="L163" s="12" t="n">
        <v>16892.08</v>
      </c>
      <c r="M163" s="12" t="n">
        <f aca="false">L163-K163</f>
        <v>0</v>
      </c>
      <c r="N163" s="3" t="s">
        <v>51</v>
      </c>
      <c r="O163" s="3" t="s">
        <v>52</v>
      </c>
    </row>
    <row r="164" customFormat="false" ht="15" hidden="false" customHeight="false" outlineLevel="0" collapsed="false">
      <c r="A164" s="14" t="s">
        <v>46</v>
      </c>
      <c r="B164" s="14" t="s">
        <v>439</v>
      </c>
      <c r="C164" s="14" t="s">
        <v>48</v>
      </c>
      <c r="D164" s="14" t="s">
        <v>140</v>
      </c>
      <c r="E164" s="14" t="s">
        <v>74</v>
      </c>
      <c r="F164" s="15" t="n">
        <v>405000</v>
      </c>
      <c r="G164" s="16" t="n">
        <v>0.48</v>
      </c>
      <c r="H164" s="16" t="n">
        <v>1.28</v>
      </c>
      <c r="I164" s="16" t="n">
        <v>1</v>
      </c>
      <c r="J164" s="16" t="n">
        <v>0.53</v>
      </c>
      <c r="K164" s="15" t="n">
        <f aca="false">ROUND(F164/100*G164*H164*I164/J164,2)</f>
        <v>4694.94</v>
      </c>
      <c r="L164" s="15" t="n">
        <v>4694.94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200</v>
      </c>
      <c r="B165" s="3" t="s">
        <v>440</v>
      </c>
      <c r="C165" s="3" t="s">
        <v>139</v>
      </c>
      <c r="D165" s="3" t="s">
        <v>441</v>
      </c>
      <c r="E165" s="3" t="s">
        <v>56</v>
      </c>
      <c r="F165" s="12" t="n">
        <v>1595000</v>
      </c>
      <c r="G165" s="13" t="n">
        <v>0.55</v>
      </c>
      <c r="H165" s="13" t="n">
        <v>1.23</v>
      </c>
      <c r="I165" s="13" t="n">
        <v>1</v>
      </c>
      <c r="J165" s="13" t="n">
        <v>0.53</v>
      </c>
      <c r="K165" s="12" t="n">
        <f aca="false">ROUND(F165/100*G165*H165*I165/J165,2)</f>
        <v>20358.82</v>
      </c>
      <c r="L165" s="12" t="n">
        <v>20358.82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101</v>
      </c>
      <c r="B166" s="14" t="s">
        <v>442</v>
      </c>
      <c r="C166" s="14" t="s">
        <v>77</v>
      </c>
      <c r="D166" s="14" t="s">
        <v>443</v>
      </c>
      <c r="E166" s="14" t="s">
        <v>50</v>
      </c>
      <c r="F166" s="15" t="n">
        <v>325000</v>
      </c>
      <c r="G166" s="16" t="n">
        <v>1.15</v>
      </c>
      <c r="H166" s="16" t="n">
        <v>1.42</v>
      </c>
      <c r="I166" s="16" t="n">
        <v>1</v>
      </c>
      <c r="J166" s="16" t="n">
        <v>0.53</v>
      </c>
      <c r="K166" s="15" t="n">
        <f aca="false">ROUND(F166/100*G166*H166*I166/J166,2)</f>
        <v>10013.68</v>
      </c>
      <c r="L166" s="15" t="n">
        <v>10013.68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98</v>
      </c>
      <c r="B167" s="3" t="s">
        <v>444</v>
      </c>
      <c r="C167" s="3" t="s">
        <v>142</v>
      </c>
      <c r="D167" s="3" t="s">
        <v>445</v>
      </c>
      <c r="E167" s="3" t="s">
        <v>56</v>
      </c>
      <c r="F167" s="12" t="n">
        <v>1265000</v>
      </c>
      <c r="G167" s="13" t="n">
        <v>0.55</v>
      </c>
      <c r="H167" s="13" t="n">
        <v>1.22</v>
      </c>
      <c r="I167" s="13" t="n">
        <v>1</v>
      </c>
      <c r="J167" s="13" t="n">
        <v>0.53</v>
      </c>
      <c r="K167" s="12" t="n">
        <f aca="false">ROUND(F167/100*G167*H167*I167/J167,2)</f>
        <v>16015.38</v>
      </c>
      <c r="L167" s="12" t="n">
        <v>16015.38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46</v>
      </c>
      <c r="B168" s="14" t="s">
        <v>446</v>
      </c>
      <c r="C168" s="14" t="s">
        <v>193</v>
      </c>
      <c r="D168" s="14" t="s">
        <v>447</v>
      </c>
      <c r="E168" s="14" t="s">
        <v>56</v>
      </c>
      <c r="F168" s="15" t="n">
        <v>645000</v>
      </c>
      <c r="G168" s="16" t="n">
        <v>0.65</v>
      </c>
      <c r="H168" s="16" t="n">
        <v>1.25</v>
      </c>
      <c r="I168" s="16" t="n">
        <v>1</v>
      </c>
      <c r="J168" s="16" t="n">
        <v>0.53</v>
      </c>
      <c r="K168" s="15" t="n">
        <f aca="false">ROUND(F168/100*G168*H168*I168/J168,2)</f>
        <v>9887.97</v>
      </c>
      <c r="L168" s="15" t="n">
        <v>9887.97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57</v>
      </c>
      <c r="B169" s="3" t="s">
        <v>448</v>
      </c>
      <c r="C169" s="3" t="s">
        <v>136</v>
      </c>
      <c r="D169" s="3" t="s">
        <v>449</v>
      </c>
      <c r="E169" s="3" t="s">
        <v>50</v>
      </c>
      <c r="F169" s="12" t="n">
        <v>735000</v>
      </c>
      <c r="G169" s="13" t="n">
        <v>0.95</v>
      </c>
      <c r="H169" s="13" t="n">
        <v>1.32</v>
      </c>
      <c r="I169" s="13" t="n">
        <v>1</v>
      </c>
      <c r="J169" s="13" t="n">
        <v>0.53</v>
      </c>
      <c r="K169" s="12" t="n">
        <f aca="false">ROUND(F169/100*G169*H169*I169/J169,2)</f>
        <v>17390.38</v>
      </c>
      <c r="L169" s="12" t="n">
        <v>17390.38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150</v>
      </c>
      <c r="B170" s="14" t="s">
        <v>450</v>
      </c>
      <c r="C170" s="14" t="s">
        <v>217</v>
      </c>
      <c r="D170" s="14" t="s">
        <v>451</v>
      </c>
      <c r="E170" s="14" t="s">
        <v>50</v>
      </c>
      <c r="F170" s="15" t="n">
        <v>960000</v>
      </c>
      <c r="G170" s="16" t="n">
        <v>0.95</v>
      </c>
      <c r="H170" s="16" t="n">
        <v>1.3</v>
      </c>
      <c r="I170" s="16" t="n">
        <v>1</v>
      </c>
      <c r="J170" s="16" t="n">
        <v>0.53</v>
      </c>
      <c r="K170" s="15" t="n">
        <f aca="false">ROUND(F170/100*G170*H170*I170/J170,2)</f>
        <v>22369.81</v>
      </c>
      <c r="L170" s="15" t="n">
        <v>22369.81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98</v>
      </c>
      <c r="B171" s="3" t="s">
        <v>452</v>
      </c>
      <c r="C171" s="3" t="s">
        <v>145</v>
      </c>
      <c r="D171" s="3" t="s">
        <v>453</v>
      </c>
      <c r="E171" s="3" t="s">
        <v>56</v>
      </c>
      <c r="F171" s="12" t="n">
        <v>620000</v>
      </c>
      <c r="G171" s="13" t="n">
        <v>0.65</v>
      </c>
      <c r="H171" s="13" t="n">
        <v>0.96</v>
      </c>
      <c r="I171" s="13" t="n">
        <v>1</v>
      </c>
      <c r="J171" s="13" t="n">
        <v>0.53</v>
      </c>
      <c r="K171" s="12" t="n">
        <f aca="false">ROUND(F171/100*G171*H171*I171/J171,2)</f>
        <v>7299.62</v>
      </c>
      <c r="L171" s="12" t="n">
        <v>7299.62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98</v>
      </c>
      <c r="B172" s="14" t="s">
        <v>454</v>
      </c>
      <c r="C172" s="14" t="s">
        <v>366</v>
      </c>
      <c r="D172" s="14" t="s">
        <v>455</v>
      </c>
      <c r="E172" s="14" t="s">
        <v>74</v>
      </c>
      <c r="F172" s="15" t="n">
        <v>1115000</v>
      </c>
      <c r="G172" s="16" t="n">
        <v>0.38</v>
      </c>
      <c r="H172" s="16" t="n">
        <v>1.26</v>
      </c>
      <c r="I172" s="16" t="n">
        <v>1</v>
      </c>
      <c r="J172" s="16" t="n">
        <v>0.53</v>
      </c>
      <c r="K172" s="15" t="n">
        <f aca="false">ROUND(F172/100*G172*H172*I172/J172,2)</f>
        <v>10072.87</v>
      </c>
      <c r="L172" s="15" t="n">
        <v>10072.87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126</v>
      </c>
      <c r="B173" s="3" t="s">
        <v>456</v>
      </c>
      <c r="C173" s="3" t="s">
        <v>184</v>
      </c>
      <c r="D173" s="3" t="s">
        <v>457</v>
      </c>
      <c r="E173" s="3" t="s">
        <v>56</v>
      </c>
      <c r="F173" s="12" t="n">
        <v>1080000</v>
      </c>
      <c r="G173" s="13" t="n">
        <v>0.55</v>
      </c>
      <c r="H173" s="13" t="n">
        <v>1.02</v>
      </c>
      <c r="I173" s="13" t="n">
        <v>1</v>
      </c>
      <c r="J173" s="13" t="n">
        <v>0.53</v>
      </c>
      <c r="K173" s="12" t="n">
        <f aca="false">ROUND(F173/100*G173*H173*I173/J173,2)</f>
        <v>11431.7</v>
      </c>
      <c r="L173" s="12" t="n">
        <v>11431.7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126</v>
      </c>
      <c r="B174" s="14" t="s">
        <v>458</v>
      </c>
      <c r="C174" s="14" t="s">
        <v>417</v>
      </c>
      <c r="D174" s="14" t="s">
        <v>199</v>
      </c>
      <c r="E174" s="14" t="s">
        <v>56</v>
      </c>
      <c r="F174" s="15" t="n">
        <v>1205000</v>
      </c>
      <c r="G174" s="16" t="n">
        <v>0.55</v>
      </c>
      <c r="H174" s="16" t="n">
        <v>1.24</v>
      </c>
      <c r="I174" s="16" t="n">
        <v>1</v>
      </c>
      <c r="J174" s="16" t="n">
        <v>0.53</v>
      </c>
      <c r="K174" s="15" t="n">
        <f aca="false">ROUND(F174/100*G174*H174*I174/J174,2)</f>
        <v>15505.85</v>
      </c>
      <c r="L174" s="15" t="n">
        <v>15505.85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126</v>
      </c>
      <c r="B175" s="3" t="s">
        <v>459</v>
      </c>
      <c r="C175" s="3" t="s">
        <v>184</v>
      </c>
      <c r="D175" s="3" t="s">
        <v>460</v>
      </c>
      <c r="E175" s="3" t="s">
        <v>56</v>
      </c>
      <c r="F175" s="12" t="n">
        <v>1205000</v>
      </c>
      <c r="G175" s="13" t="n">
        <v>0.55</v>
      </c>
      <c r="H175" s="13" t="n">
        <v>1.02</v>
      </c>
      <c r="I175" s="13" t="n">
        <v>1</v>
      </c>
      <c r="J175" s="13" t="n">
        <v>0.53</v>
      </c>
      <c r="K175" s="12" t="n">
        <f aca="false">ROUND(F175/100*G175*H175*I175/J175,2)</f>
        <v>12754.81</v>
      </c>
      <c r="L175" s="12" t="n">
        <v>12754.81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57</v>
      </c>
      <c r="B176" s="14" t="s">
        <v>461</v>
      </c>
      <c r="C176" s="14" t="s">
        <v>462</v>
      </c>
      <c r="D176" s="14" t="s">
        <v>463</v>
      </c>
      <c r="E176" s="14" t="s">
        <v>56</v>
      </c>
      <c r="F176" s="15" t="n">
        <v>310000</v>
      </c>
      <c r="G176" s="16" t="n">
        <v>0.75</v>
      </c>
      <c r="H176" s="16" t="n">
        <v>1.34</v>
      </c>
      <c r="I176" s="16" t="n">
        <v>1</v>
      </c>
      <c r="J176" s="16" t="n">
        <v>0.53</v>
      </c>
      <c r="K176" s="15" t="n">
        <f aca="false">ROUND(F176/100*G176*H176*I176/J176,2)</f>
        <v>5878.3</v>
      </c>
      <c r="L176" s="15" t="n">
        <v>5878.3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147</v>
      </c>
      <c r="B177" s="3" t="s">
        <v>464</v>
      </c>
      <c r="C177" s="3" t="s">
        <v>305</v>
      </c>
      <c r="D177" s="3" t="s">
        <v>465</v>
      </c>
      <c r="E177" s="3" t="s">
        <v>50</v>
      </c>
      <c r="F177" s="12" t="n">
        <v>790000</v>
      </c>
      <c r="G177" s="13" t="n">
        <v>0.95</v>
      </c>
      <c r="H177" s="13" t="n">
        <v>1.12</v>
      </c>
      <c r="I177" s="13" t="n">
        <v>1</v>
      </c>
      <c r="J177" s="13" t="n">
        <v>0.53</v>
      </c>
      <c r="K177" s="12" t="n">
        <f aca="false">ROUND(F177/100*G177*H177*I177/J177,2)</f>
        <v>15859.62</v>
      </c>
      <c r="L177" s="12" t="n">
        <v>15859.62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75</v>
      </c>
      <c r="B178" s="14" t="s">
        <v>466</v>
      </c>
      <c r="C178" s="14" t="s">
        <v>326</v>
      </c>
      <c r="D178" s="14" t="s">
        <v>143</v>
      </c>
      <c r="E178" s="14" t="s">
        <v>56</v>
      </c>
      <c r="F178" s="15" t="n">
        <v>310000</v>
      </c>
      <c r="G178" s="16" t="n">
        <v>0.75</v>
      </c>
      <c r="H178" s="16" t="n">
        <v>1.12</v>
      </c>
      <c r="I178" s="16" t="n">
        <v>1</v>
      </c>
      <c r="J178" s="16" t="n">
        <v>0.53</v>
      </c>
      <c r="K178" s="15" t="n">
        <f aca="false">ROUND(F178/100*G178*H178*I178/J178,2)</f>
        <v>4913.21</v>
      </c>
      <c r="L178" s="15" t="n">
        <v>4913.21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467</v>
      </c>
      <c r="B179" s="3" t="s">
        <v>468</v>
      </c>
      <c r="C179" s="3" t="s">
        <v>77</v>
      </c>
      <c r="D179" s="3" t="s">
        <v>301</v>
      </c>
      <c r="E179" s="3" t="s">
        <v>74</v>
      </c>
      <c r="F179" s="12" t="n">
        <v>485000</v>
      </c>
      <c r="G179" s="13" t="n">
        <v>0.48</v>
      </c>
      <c r="H179" s="13" t="n">
        <v>1.42</v>
      </c>
      <c r="I179" s="13" t="n">
        <v>1</v>
      </c>
      <c r="J179" s="13" t="n">
        <v>0.53</v>
      </c>
      <c r="K179" s="12" t="n">
        <f aca="false">ROUND(F179/100*G179*H179*I179/J179,2)</f>
        <v>6237.28</v>
      </c>
      <c r="L179" s="12" t="n">
        <v>6237.28</v>
      </c>
      <c r="M179" s="12" t="n">
        <f aca="false">L179-K179</f>
        <v>0</v>
      </c>
      <c r="N179" s="3" t="s">
        <v>61</v>
      </c>
      <c r="O179" s="3" t="s">
        <v>62</v>
      </c>
    </row>
    <row r="180" customFormat="false" ht="15" hidden="false" customHeight="false" outlineLevel="0" collapsed="false">
      <c r="A180" s="14" t="s">
        <v>91</v>
      </c>
      <c r="B180" s="14" t="s">
        <v>469</v>
      </c>
      <c r="C180" s="14" t="s">
        <v>295</v>
      </c>
      <c r="D180" s="14" t="s">
        <v>94</v>
      </c>
      <c r="E180" s="14" t="s">
        <v>50</v>
      </c>
      <c r="F180" s="15" t="n">
        <v>1370000</v>
      </c>
      <c r="G180" s="16" t="n">
        <v>0.8</v>
      </c>
      <c r="H180" s="16" t="n">
        <v>1.2</v>
      </c>
      <c r="I180" s="16" t="n">
        <v>1</v>
      </c>
      <c r="J180" s="16" t="n">
        <v>0.53</v>
      </c>
      <c r="K180" s="15" t="n">
        <f aca="false">ROUND(F180/100*G180*H180*I180/J180,2)</f>
        <v>24815.09</v>
      </c>
      <c r="L180" s="15" t="n">
        <v>24815.09</v>
      </c>
      <c r="M180" s="15" t="n">
        <f aca="false">L180-K180</f>
        <v>0</v>
      </c>
      <c r="N180" s="14" t="s">
        <v>51</v>
      </c>
      <c r="O180" s="14" t="s">
        <v>52</v>
      </c>
    </row>
    <row r="181" customFormat="false" ht="15" hidden="false" customHeight="false" outlineLevel="0" collapsed="false">
      <c r="A181" s="3" t="s">
        <v>147</v>
      </c>
      <c r="B181" s="3" t="s">
        <v>470</v>
      </c>
      <c r="C181" s="3" t="s">
        <v>326</v>
      </c>
      <c r="D181" s="3" t="s">
        <v>471</v>
      </c>
      <c r="E181" s="3" t="s">
        <v>74</v>
      </c>
      <c r="F181" s="12" t="n">
        <v>660000</v>
      </c>
      <c r="G181" s="13" t="n">
        <v>0.43</v>
      </c>
      <c r="H181" s="13" t="n">
        <v>1.12</v>
      </c>
      <c r="I181" s="13" t="n">
        <v>1</v>
      </c>
      <c r="J181" s="13" t="n">
        <v>0.53</v>
      </c>
      <c r="K181" s="12" t="n">
        <f aca="false">ROUND(F181/100*G181*H181*I181/J181,2)</f>
        <v>5997.28</v>
      </c>
      <c r="L181" s="12" t="n">
        <v>5997.28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71</v>
      </c>
      <c r="B182" s="14" t="s">
        <v>472</v>
      </c>
      <c r="C182" s="14" t="s">
        <v>48</v>
      </c>
      <c r="D182" s="14" t="s">
        <v>473</v>
      </c>
      <c r="E182" s="14" t="s">
        <v>56</v>
      </c>
      <c r="F182" s="15" t="n">
        <v>1900000</v>
      </c>
      <c r="G182" s="16" t="n">
        <v>0.55</v>
      </c>
      <c r="H182" s="16" t="n">
        <v>1.28</v>
      </c>
      <c r="I182" s="16" t="n">
        <v>1</v>
      </c>
      <c r="J182" s="16" t="n">
        <v>0.53</v>
      </c>
      <c r="K182" s="15" t="n">
        <f aca="false">ROUND(F182/100*G182*H182*I182/J182,2)</f>
        <v>25237.74</v>
      </c>
      <c r="L182" s="15" t="n">
        <v>25237.74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222</v>
      </c>
      <c r="B183" s="3" t="s">
        <v>474</v>
      </c>
      <c r="C183" s="3" t="s">
        <v>142</v>
      </c>
      <c r="D183" s="3" t="s">
        <v>289</v>
      </c>
      <c r="E183" s="3" t="s">
        <v>56</v>
      </c>
      <c r="F183" s="12" t="n">
        <v>620000</v>
      </c>
      <c r="G183" s="13" t="n">
        <v>0.65</v>
      </c>
      <c r="H183" s="13" t="n">
        <v>1.22</v>
      </c>
      <c r="I183" s="13" t="n">
        <v>1</v>
      </c>
      <c r="J183" s="13" t="n">
        <v>0.53</v>
      </c>
      <c r="K183" s="12" t="n">
        <f aca="false">ROUND(F183/100*G183*H183*I183/J183,2)</f>
        <v>9276.6</v>
      </c>
      <c r="L183" s="12" t="n">
        <v>9276.6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98</v>
      </c>
      <c r="B184" s="14" t="s">
        <v>475</v>
      </c>
      <c r="C184" s="14" t="s">
        <v>152</v>
      </c>
      <c r="D184" s="14" t="s">
        <v>476</v>
      </c>
      <c r="E184" s="14" t="s">
        <v>56</v>
      </c>
      <c r="F184" s="15" t="n">
        <v>775000</v>
      </c>
      <c r="G184" s="16" t="n">
        <v>0.65</v>
      </c>
      <c r="H184" s="16" t="n">
        <v>1</v>
      </c>
      <c r="I184" s="16" t="n">
        <v>1</v>
      </c>
      <c r="J184" s="16" t="n">
        <v>0.53</v>
      </c>
      <c r="K184" s="15" t="n">
        <f aca="false">ROUND(F184/100*G184*H184*I184/J184,2)</f>
        <v>9504.72</v>
      </c>
      <c r="L184" s="15" t="n">
        <v>9504.72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101</v>
      </c>
      <c r="B185" s="3" t="s">
        <v>477</v>
      </c>
      <c r="C185" s="3" t="s">
        <v>85</v>
      </c>
      <c r="D185" s="3" t="s">
        <v>478</v>
      </c>
      <c r="E185" s="3" t="s">
        <v>56</v>
      </c>
      <c r="F185" s="12" t="n">
        <v>1525000</v>
      </c>
      <c r="G185" s="13" t="n">
        <v>0.55</v>
      </c>
      <c r="H185" s="13" t="n">
        <v>1.28</v>
      </c>
      <c r="I185" s="13" t="n">
        <v>1</v>
      </c>
      <c r="J185" s="13" t="n">
        <v>0.53</v>
      </c>
      <c r="K185" s="12" t="n">
        <f aca="false">ROUND(F185/100*G185*H185*I185/J185,2)</f>
        <v>20256.6</v>
      </c>
      <c r="L185" s="12" t="n">
        <v>20256.6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176</v>
      </c>
      <c r="B186" s="14" t="s">
        <v>479</v>
      </c>
      <c r="C186" s="14" t="s">
        <v>266</v>
      </c>
      <c r="D186" s="14" t="s">
        <v>480</v>
      </c>
      <c r="E186" s="14" t="s">
        <v>74</v>
      </c>
      <c r="F186" s="15" t="n">
        <v>1315000</v>
      </c>
      <c r="G186" s="16" t="n">
        <v>0.38</v>
      </c>
      <c r="H186" s="16" t="n">
        <v>1.1</v>
      </c>
      <c r="I186" s="16" t="n">
        <v>1</v>
      </c>
      <c r="J186" s="16" t="n">
        <v>0.53</v>
      </c>
      <c r="K186" s="15" t="n">
        <f aca="false">ROUND(F186/100*G186*H186*I186/J186,2)</f>
        <v>10371.13</v>
      </c>
      <c r="L186" s="15" t="n">
        <v>10371.13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98</v>
      </c>
      <c r="B187" s="3" t="s">
        <v>481</v>
      </c>
      <c r="C187" s="3" t="s">
        <v>48</v>
      </c>
      <c r="D187" s="3" t="s">
        <v>482</v>
      </c>
      <c r="E187" s="3" t="s">
        <v>56</v>
      </c>
      <c r="F187" s="12" t="n">
        <v>410000</v>
      </c>
      <c r="G187" s="13" t="n">
        <v>0.75</v>
      </c>
      <c r="H187" s="13" t="n">
        <v>1.28</v>
      </c>
      <c r="I187" s="13" t="n">
        <v>1</v>
      </c>
      <c r="J187" s="13" t="n">
        <v>0.53</v>
      </c>
      <c r="K187" s="12" t="n">
        <f aca="false">ROUND(F187/100*G187*H187*I187/J187,2)</f>
        <v>7426.42</v>
      </c>
      <c r="L187" s="12" t="n">
        <v>7426.42</v>
      </c>
      <c r="M187" s="12" t="n">
        <f aca="false">L187-K187</f>
        <v>0</v>
      </c>
      <c r="N187" s="3" t="s">
        <v>51</v>
      </c>
      <c r="O187" s="3" t="s">
        <v>52</v>
      </c>
    </row>
    <row r="188" customFormat="false" ht="15" hidden="false" customHeight="false" outlineLevel="0" collapsed="false">
      <c r="A188" s="14" t="s">
        <v>71</v>
      </c>
      <c r="B188" s="14" t="s">
        <v>483</v>
      </c>
      <c r="C188" s="14" t="s">
        <v>136</v>
      </c>
      <c r="D188" s="14" t="s">
        <v>484</v>
      </c>
      <c r="E188" s="14" t="s">
        <v>133</v>
      </c>
      <c r="F188" s="15" t="n">
        <v>1015000</v>
      </c>
      <c r="G188" s="16" t="n">
        <v>0.34</v>
      </c>
      <c r="H188" s="16" t="n">
        <v>1.32</v>
      </c>
      <c r="I188" s="16" t="n">
        <v>1</v>
      </c>
      <c r="J188" s="16" t="n">
        <v>0.53</v>
      </c>
      <c r="K188" s="15" t="n">
        <f aca="false">ROUND(F188/100*G188*H188*I188/J188,2)</f>
        <v>8594.94</v>
      </c>
      <c r="L188" s="15" t="n">
        <v>8594.94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309</v>
      </c>
      <c r="B189" s="3" t="s">
        <v>485</v>
      </c>
      <c r="C189" s="3" t="s">
        <v>48</v>
      </c>
      <c r="D189" s="3" t="s">
        <v>486</v>
      </c>
      <c r="E189" s="3" t="s">
        <v>56</v>
      </c>
      <c r="F189" s="12" t="n">
        <v>485000</v>
      </c>
      <c r="G189" s="13" t="n">
        <v>0.75</v>
      </c>
      <c r="H189" s="13" t="n">
        <v>1.28</v>
      </c>
      <c r="I189" s="13" t="n">
        <v>1</v>
      </c>
      <c r="J189" s="13" t="n">
        <v>0.53</v>
      </c>
      <c r="K189" s="12" t="n">
        <f aca="false">ROUND(F189/100*G189*H189*I189/J189,2)</f>
        <v>8784.91</v>
      </c>
      <c r="L189" s="12" t="n">
        <v>8784.91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309</v>
      </c>
      <c r="B190" s="14" t="s">
        <v>487</v>
      </c>
      <c r="C190" s="14" t="s">
        <v>230</v>
      </c>
      <c r="D190" s="14" t="s">
        <v>488</v>
      </c>
      <c r="E190" s="14" t="s">
        <v>56</v>
      </c>
      <c r="F190" s="15" t="n">
        <v>315000</v>
      </c>
      <c r="G190" s="16" t="n">
        <v>0.75</v>
      </c>
      <c r="H190" s="16" t="n">
        <v>1.09</v>
      </c>
      <c r="I190" s="16" t="n">
        <v>1</v>
      </c>
      <c r="J190" s="16" t="n">
        <v>0.53</v>
      </c>
      <c r="K190" s="15" t="n">
        <f aca="false">ROUND(F190/100*G190*H190*I190/J190,2)</f>
        <v>4858.73</v>
      </c>
      <c r="L190" s="15" t="n">
        <v>4858.73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222</v>
      </c>
      <c r="B191" s="3" t="s">
        <v>489</v>
      </c>
      <c r="C191" s="3" t="s">
        <v>136</v>
      </c>
      <c r="D191" s="3" t="s">
        <v>490</v>
      </c>
      <c r="E191" s="3" t="s">
        <v>74</v>
      </c>
      <c r="F191" s="12" t="n">
        <v>480000</v>
      </c>
      <c r="G191" s="13" t="n">
        <v>0.48</v>
      </c>
      <c r="H191" s="13" t="n">
        <v>1.32</v>
      </c>
      <c r="I191" s="13" t="n">
        <v>1</v>
      </c>
      <c r="J191" s="13" t="n">
        <v>0.53</v>
      </c>
      <c r="K191" s="12" t="n">
        <f aca="false">ROUND(F191/100*G191*H191*I191/J191,2)</f>
        <v>5738.26</v>
      </c>
      <c r="L191" s="12" t="n">
        <v>5738.26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268</v>
      </c>
      <c r="B192" s="14" t="s">
        <v>491</v>
      </c>
      <c r="C192" s="14" t="s">
        <v>230</v>
      </c>
      <c r="D192" s="14" t="s">
        <v>492</v>
      </c>
      <c r="E192" s="14" t="s">
        <v>56</v>
      </c>
      <c r="F192" s="15" t="n">
        <v>560000</v>
      </c>
      <c r="G192" s="16" t="n">
        <v>0.65</v>
      </c>
      <c r="H192" s="16" t="n">
        <v>1.09</v>
      </c>
      <c r="I192" s="16" t="n">
        <v>1</v>
      </c>
      <c r="J192" s="16" t="n">
        <v>0.53</v>
      </c>
      <c r="K192" s="15" t="n">
        <f aca="false">ROUND(F192/100*G192*H192*I192/J192,2)</f>
        <v>7486.04</v>
      </c>
      <c r="L192" s="15" t="n">
        <v>7486.04</v>
      </c>
      <c r="M192" s="15" t="n">
        <f aca="false">L192-K192</f>
        <v>0</v>
      </c>
      <c r="N192" s="14" t="s">
        <v>70</v>
      </c>
      <c r="O192" s="14" t="s">
        <v>52</v>
      </c>
    </row>
    <row r="193" customFormat="false" ht="15" hidden="false" customHeight="false" outlineLevel="0" collapsed="false">
      <c r="A193" s="3" t="s">
        <v>71</v>
      </c>
      <c r="B193" s="3" t="s">
        <v>493</v>
      </c>
      <c r="C193" s="3" t="s">
        <v>108</v>
      </c>
      <c r="D193" s="3" t="s">
        <v>494</v>
      </c>
      <c r="E193" s="3" t="s">
        <v>56</v>
      </c>
      <c r="F193" s="12" t="n">
        <v>265000</v>
      </c>
      <c r="G193" s="13" t="n">
        <v>0.75</v>
      </c>
      <c r="H193" s="13" t="n">
        <v>0.93</v>
      </c>
      <c r="I193" s="13" t="n">
        <v>1</v>
      </c>
      <c r="J193" s="13" t="n">
        <v>0.53</v>
      </c>
      <c r="K193" s="12" t="n">
        <f aca="false">ROUND(F193/100*G193*H193*I193/J193,2)</f>
        <v>3487.5</v>
      </c>
      <c r="L193" s="12" t="n">
        <v>3487.5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101</v>
      </c>
      <c r="B194" s="14" t="s">
        <v>495</v>
      </c>
      <c r="C194" s="14" t="s">
        <v>89</v>
      </c>
      <c r="D194" s="14" t="s">
        <v>496</v>
      </c>
      <c r="E194" s="14" t="s">
        <v>56</v>
      </c>
      <c r="F194" s="15" t="n">
        <v>500000</v>
      </c>
      <c r="G194" s="16" t="n">
        <v>0.65</v>
      </c>
      <c r="H194" s="16" t="n">
        <v>1.35</v>
      </c>
      <c r="I194" s="16" t="n">
        <v>1</v>
      </c>
      <c r="J194" s="16" t="n">
        <v>0.53</v>
      </c>
      <c r="K194" s="15" t="n">
        <f aca="false">ROUND(F194/100*G194*H194*I194/J194,2)</f>
        <v>8278.3</v>
      </c>
      <c r="L194" s="15" t="n">
        <v>8278.3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83</v>
      </c>
      <c r="B195" s="3" t="s">
        <v>497</v>
      </c>
      <c r="C195" s="3" t="s">
        <v>188</v>
      </c>
      <c r="D195" s="3" t="s">
        <v>498</v>
      </c>
      <c r="E195" s="3" t="s">
        <v>56</v>
      </c>
      <c r="F195" s="12" t="n">
        <v>485000</v>
      </c>
      <c r="G195" s="13" t="n">
        <v>0.75</v>
      </c>
      <c r="H195" s="13" t="n">
        <v>1.35</v>
      </c>
      <c r="I195" s="13" t="n">
        <v>1</v>
      </c>
      <c r="J195" s="13" t="n">
        <v>0.53</v>
      </c>
      <c r="K195" s="12" t="n">
        <f aca="false">ROUND(F195/100*G195*H195*I195/J195,2)</f>
        <v>9265.33</v>
      </c>
      <c r="L195" s="12" t="n">
        <v>9265.33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154</v>
      </c>
      <c r="B196" s="14" t="s">
        <v>499</v>
      </c>
      <c r="C196" s="14" t="s">
        <v>89</v>
      </c>
      <c r="D196" s="14" t="s">
        <v>500</v>
      </c>
      <c r="E196" s="14" t="s">
        <v>50</v>
      </c>
      <c r="F196" s="15" t="n">
        <v>1100000</v>
      </c>
      <c r="G196" s="16" t="n">
        <v>0.8</v>
      </c>
      <c r="H196" s="16" t="n">
        <v>1.35</v>
      </c>
      <c r="I196" s="16" t="n">
        <v>1</v>
      </c>
      <c r="J196" s="16" t="n">
        <v>0.53</v>
      </c>
      <c r="K196" s="15" t="n">
        <f aca="false">ROUND(F196/100*G196*H196*I196/J196,2)</f>
        <v>22415.09</v>
      </c>
      <c r="L196" s="15" t="n">
        <v>22415.09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163</v>
      </c>
      <c r="B197" s="3" t="s">
        <v>501</v>
      </c>
      <c r="C197" s="3" t="s">
        <v>108</v>
      </c>
      <c r="D197" s="3" t="s">
        <v>502</v>
      </c>
      <c r="E197" s="3" t="s">
        <v>56</v>
      </c>
      <c r="F197" s="12" t="n">
        <v>345000</v>
      </c>
      <c r="G197" s="13" t="n">
        <v>0.75</v>
      </c>
      <c r="H197" s="13" t="n">
        <v>0.93</v>
      </c>
      <c r="I197" s="13" t="n">
        <v>1</v>
      </c>
      <c r="J197" s="13" t="n">
        <v>0.53</v>
      </c>
      <c r="K197" s="12" t="n">
        <f aca="false">ROUND(F197/100*G197*H197*I197/J197,2)</f>
        <v>4540.33</v>
      </c>
      <c r="L197" s="12" t="n">
        <v>4540.33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163</v>
      </c>
      <c r="B198" s="14" t="s">
        <v>503</v>
      </c>
      <c r="C198" s="14" t="s">
        <v>462</v>
      </c>
      <c r="D198" s="14" t="s">
        <v>504</v>
      </c>
      <c r="E198" s="14" t="s">
        <v>157</v>
      </c>
      <c r="F198" s="15" t="n">
        <v>565000</v>
      </c>
      <c r="G198" s="16" t="n">
        <v>0.78</v>
      </c>
      <c r="H198" s="16" t="n">
        <v>1.34</v>
      </c>
      <c r="I198" s="16" t="n">
        <v>1</v>
      </c>
      <c r="J198" s="16" t="n">
        <v>0.53</v>
      </c>
      <c r="K198" s="15" t="n">
        <f aca="false">ROUND(F198/100*G198*H198*I198/J198,2)</f>
        <v>11142.23</v>
      </c>
      <c r="L198" s="15" t="n">
        <v>11142.23</v>
      </c>
      <c r="M198" s="15" t="n">
        <f aca="false">L198-K198</f>
        <v>0</v>
      </c>
      <c r="N198" s="14" t="s">
        <v>51</v>
      </c>
      <c r="O198" s="14" t="s">
        <v>52</v>
      </c>
    </row>
    <row r="199" customFormat="false" ht="15" hidden="false" customHeight="false" outlineLevel="0" collapsed="false">
      <c r="A199" s="3" t="s">
        <v>332</v>
      </c>
      <c r="B199" s="3" t="s">
        <v>505</v>
      </c>
      <c r="C199" s="3" t="s">
        <v>48</v>
      </c>
      <c r="D199" s="3" t="s">
        <v>400</v>
      </c>
      <c r="E199" s="3" t="s">
        <v>56</v>
      </c>
      <c r="F199" s="12" t="n">
        <v>1090000</v>
      </c>
      <c r="G199" s="13" t="n">
        <v>0.55</v>
      </c>
      <c r="H199" s="13" t="n">
        <v>1.28</v>
      </c>
      <c r="I199" s="13" t="n">
        <v>1</v>
      </c>
      <c r="J199" s="13" t="n">
        <v>0.53</v>
      </c>
      <c r="K199" s="12" t="n">
        <f aca="false">ROUND(F199/100*G199*H199*I199/J199,2)</f>
        <v>14478.49</v>
      </c>
      <c r="L199" s="12" t="n">
        <v>14478.49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79</v>
      </c>
      <c r="B200" s="14" t="s">
        <v>506</v>
      </c>
      <c r="C200" s="14" t="s">
        <v>366</v>
      </c>
      <c r="D200" s="14" t="s">
        <v>507</v>
      </c>
      <c r="E200" s="14" t="s">
        <v>50</v>
      </c>
      <c r="F200" s="15" t="n">
        <v>1950000</v>
      </c>
      <c r="G200" s="16" t="n">
        <v>0.8</v>
      </c>
      <c r="H200" s="16" t="n">
        <v>1.26</v>
      </c>
      <c r="I200" s="16" t="n">
        <v>1</v>
      </c>
      <c r="J200" s="16" t="n">
        <v>0.53</v>
      </c>
      <c r="K200" s="15" t="n">
        <f aca="false">ROUND(F200/100*G200*H200*I200/J200,2)</f>
        <v>37086.79</v>
      </c>
      <c r="L200" s="15" t="n">
        <v>37086.79</v>
      </c>
      <c r="M200" s="15" t="n">
        <f aca="false">L200-K200</f>
        <v>0</v>
      </c>
      <c r="N200" s="14" t="s">
        <v>51</v>
      </c>
      <c r="O200" s="14" t="s">
        <v>52</v>
      </c>
    </row>
    <row r="201" customFormat="false" ht="15" hidden="false" customHeight="false" outlineLevel="0" collapsed="false">
      <c r="A201" s="3" t="s">
        <v>154</v>
      </c>
      <c r="B201" s="3" t="s">
        <v>508</v>
      </c>
      <c r="C201" s="3" t="s">
        <v>169</v>
      </c>
      <c r="D201" s="3" t="s">
        <v>509</v>
      </c>
      <c r="E201" s="3" t="s">
        <v>74</v>
      </c>
      <c r="F201" s="12" t="n">
        <v>510000</v>
      </c>
      <c r="G201" s="13" t="n">
        <v>0.43</v>
      </c>
      <c r="H201" s="13" t="n">
        <v>1.07</v>
      </c>
      <c r="I201" s="13" t="n">
        <v>1</v>
      </c>
      <c r="J201" s="13" t="n">
        <v>0.53</v>
      </c>
      <c r="K201" s="12" t="n">
        <f aca="false">ROUND(F201/100*G201*H201*I201/J201,2)</f>
        <v>4427.38</v>
      </c>
      <c r="L201" s="12" t="n">
        <v>4427.38</v>
      </c>
      <c r="M201" s="12" t="n">
        <f aca="false">L201-K201</f>
        <v>0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57</v>
      </c>
      <c r="B202" s="14" t="s">
        <v>510</v>
      </c>
      <c r="C202" s="14" t="s">
        <v>120</v>
      </c>
      <c r="D202" s="14" t="s">
        <v>511</v>
      </c>
      <c r="E202" s="14" t="s">
        <v>56</v>
      </c>
      <c r="F202" s="15" t="n">
        <v>1900000</v>
      </c>
      <c r="G202" s="16" t="n">
        <v>0.55</v>
      </c>
      <c r="H202" s="16" t="n">
        <v>1.15</v>
      </c>
      <c r="I202" s="16" t="n">
        <v>1</v>
      </c>
      <c r="J202" s="16" t="n">
        <v>0.53</v>
      </c>
      <c r="K202" s="15" t="n">
        <f aca="false">ROUND(F202/100*G202*H202*I202/J202,2)</f>
        <v>22674.53</v>
      </c>
      <c r="L202" s="15" t="n">
        <v>22674.53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154</v>
      </c>
      <c r="B203" s="3" t="s">
        <v>512</v>
      </c>
      <c r="C203" s="3" t="s">
        <v>435</v>
      </c>
      <c r="D203" s="3" t="s">
        <v>513</v>
      </c>
      <c r="E203" s="3" t="s">
        <v>56</v>
      </c>
      <c r="F203" s="12" t="n">
        <v>1215000</v>
      </c>
      <c r="G203" s="13" t="n">
        <v>0.55</v>
      </c>
      <c r="H203" s="13" t="n">
        <v>1.13</v>
      </c>
      <c r="I203" s="13" t="n">
        <v>1</v>
      </c>
      <c r="J203" s="13" t="n">
        <v>0.53</v>
      </c>
      <c r="K203" s="12" t="n">
        <f aca="false">ROUND(F203/100*G203*H203*I203/J203,2)</f>
        <v>14247.59</v>
      </c>
      <c r="L203" s="12" t="n">
        <v>14247.59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57</v>
      </c>
      <c r="B204" s="14" t="s">
        <v>514</v>
      </c>
      <c r="C204" s="14" t="s">
        <v>93</v>
      </c>
      <c r="D204" s="14" t="s">
        <v>407</v>
      </c>
      <c r="E204" s="14" t="s">
        <v>50</v>
      </c>
      <c r="F204" s="15" t="n">
        <v>825000</v>
      </c>
      <c r="G204" s="16" t="n">
        <v>0.95</v>
      </c>
      <c r="H204" s="16" t="n">
        <v>1.39</v>
      </c>
      <c r="I204" s="16" t="n">
        <v>1</v>
      </c>
      <c r="J204" s="16" t="n">
        <v>0.53</v>
      </c>
      <c r="K204" s="15" t="n">
        <f aca="false">ROUND(F204/100*G204*H204*I204/J204,2)</f>
        <v>20554.95</v>
      </c>
      <c r="L204" s="15" t="n">
        <v>20554.95</v>
      </c>
      <c r="M204" s="15" t="n">
        <f aca="false">L204-K204</f>
        <v>0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79</v>
      </c>
      <c r="B205" s="3" t="s">
        <v>515</v>
      </c>
      <c r="C205" s="3" t="s">
        <v>105</v>
      </c>
      <c r="D205" s="3" t="s">
        <v>445</v>
      </c>
      <c r="E205" s="3" t="s">
        <v>56</v>
      </c>
      <c r="F205" s="12" t="n">
        <v>795000</v>
      </c>
      <c r="G205" s="13" t="n">
        <v>0.65</v>
      </c>
      <c r="H205" s="13" t="n">
        <v>0.99</v>
      </c>
      <c r="I205" s="13" t="n">
        <v>1</v>
      </c>
      <c r="J205" s="13" t="n">
        <v>0.53</v>
      </c>
      <c r="K205" s="12" t="n">
        <f aca="false">ROUND(F205/100*G205*H205*I205/J205,2)</f>
        <v>9652.5</v>
      </c>
      <c r="L205" s="12" t="n">
        <v>9652.5</v>
      </c>
      <c r="M205" s="12" t="n">
        <f aca="false">L205-K205</f>
        <v>0</v>
      </c>
      <c r="N205" s="3" t="s">
        <v>51</v>
      </c>
      <c r="O205" s="3" t="s">
        <v>52</v>
      </c>
    </row>
    <row r="206" customFormat="false" ht="15" hidden="false" customHeight="false" outlineLevel="0" collapsed="false">
      <c r="A206" s="14" t="s">
        <v>57</v>
      </c>
      <c r="B206" s="14" t="s">
        <v>516</v>
      </c>
      <c r="C206" s="14" t="s">
        <v>48</v>
      </c>
      <c r="D206" s="14" t="s">
        <v>517</v>
      </c>
      <c r="E206" s="14" t="s">
        <v>74</v>
      </c>
      <c r="F206" s="15" t="n">
        <v>1345000</v>
      </c>
      <c r="G206" s="16" t="n">
        <v>0.38</v>
      </c>
      <c r="H206" s="16" t="n">
        <v>1.28</v>
      </c>
      <c r="I206" s="16" t="n">
        <v>1</v>
      </c>
      <c r="J206" s="16" t="n">
        <v>0.53</v>
      </c>
      <c r="K206" s="15" t="n">
        <f aca="false">ROUND(F206/100*G206*H206*I206/J206,2)</f>
        <v>12343.55</v>
      </c>
      <c r="L206" s="15" t="n">
        <v>12343.55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200</v>
      </c>
      <c r="B207" s="3" t="s">
        <v>518</v>
      </c>
      <c r="C207" s="3" t="s">
        <v>152</v>
      </c>
      <c r="D207" s="3" t="s">
        <v>519</v>
      </c>
      <c r="E207" s="3" t="s">
        <v>74</v>
      </c>
      <c r="F207" s="12" t="n">
        <v>635000</v>
      </c>
      <c r="G207" s="13" t="n">
        <v>0.43</v>
      </c>
      <c r="H207" s="13" t="n">
        <v>1</v>
      </c>
      <c r="I207" s="13" t="n">
        <v>1</v>
      </c>
      <c r="J207" s="13" t="n">
        <v>0.53</v>
      </c>
      <c r="K207" s="12" t="n">
        <f aca="false">ROUND(F207/100*G207*H207*I207/J207,2)</f>
        <v>5151.89</v>
      </c>
      <c r="L207" s="12" t="n">
        <v>5151.89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83</v>
      </c>
      <c r="B208" s="14" t="s">
        <v>520</v>
      </c>
      <c r="C208" s="14" t="s">
        <v>105</v>
      </c>
      <c r="D208" s="14" t="s">
        <v>521</v>
      </c>
      <c r="E208" s="14" t="s">
        <v>50</v>
      </c>
      <c r="F208" s="15" t="n">
        <v>1950000</v>
      </c>
      <c r="G208" s="16" t="n">
        <v>0.8</v>
      </c>
      <c r="H208" s="16" t="n">
        <v>0.99</v>
      </c>
      <c r="I208" s="16" t="n">
        <v>1</v>
      </c>
      <c r="J208" s="16" t="n">
        <v>0.53</v>
      </c>
      <c r="K208" s="15" t="n">
        <f aca="false">ROUND(F208/100*G208*H208*I208/J208,2)</f>
        <v>29139.62</v>
      </c>
      <c r="L208" s="15" t="n">
        <v>29139.62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268</v>
      </c>
      <c r="B209" s="3" t="s">
        <v>522</v>
      </c>
      <c r="C209" s="3" t="s">
        <v>145</v>
      </c>
      <c r="D209" s="3" t="s">
        <v>523</v>
      </c>
      <c r="E209" s="3" t="s">
        <v>74</v>
      </c>
      <c r="F209" s="12" t="n">
        <v>725000</v>
      </c>
      <c r="G209" s="13" t="n">
        <v>0.43</v>
      </c>
      <c r="H209" s="13" t="n">
        <v>0.96</v>
      </c>
      <c r="I209" s="13" t="n">
        <v>1</v>
      </c>
      <c r="J209" s="13" t="n">
        <v>0.53</v>
      </c>
      <c r="K209" s="12" t="n">
        <f aca="false">ROUND(F209/100*G209*H209*I209/J209,2)</f>
        <v>5646.79</v>
      </c>
      <c r="L209" s="12" t="n">
        <v>5646.79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241</v>
      </c>
      <c r="B210" s="14" t="s">
        <v>524</v>
      </c>
      <c r="C210" s="14" t="s">
        <v>326</v>
      </c>
      <c r="D210" s="14" t="s">
        <v>301</v>
      </c>
      <c r="E210" s="14" t="s">
        <v>74</v>
      </c>
      <c r="F210" s="15" t="n">
        <v>510000</v>
      </c>
      <c r="G210" s="16" t="n">
        <v>0.43</v>
      </c>
      <c r="H210" s="16" t="n">
        <v>1.12</v>
      </c>
      <c r="I210" s="16" t="n">
        <v>1</v>
      </c>
      <c r="J210" s="16" t="n">
        <v>0.53</v>
      </c>
      <c r="K210" s="15" t="n">
        <f aca="false">ROUND(F210/100*G210*H210*I210/J210,2)</f>
        <v>4634.26</v>
      </c>
      <c r="L210" s="15" t="n">
        <v>4634.26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163</v>
      </c>
      <c r="B211" s="3" t="s">
        <v>525</v>
      </c>
      <c r="C211" s="3" t="s">
        <v>68</v>
      </c>
      <c r="D211" s="3" t="s">
        <v>225</v>
      </c>
      <c r="E211" s="3" t="s">
        <v>56</v>
      </c>
      <c r="F211" s="12" t="n">
        <v>415000</v>
      </c>
      <c r="G211" s="13" t="n">
        <v>0.75</v>
      </c>
      <c r="H211" s="13" t="n">
        <v>1.38</v>
      </c>
      <c r="I211" s="13" t="n">
        <v>1</v>
      </c>
      <c r="J211" s="13" t="n">
        <v>0.53</v>
      </c>
      <c r="K211" s="12" t="n">
        <f aca="false">ROUND(F211/100*G211*H211*I211/J211,2)</f>
        <v>8104.25</v>
      </c>
      <c r="L211" s="12" t="n">
        <v>8104.25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91</v>
      </c>
      <c r="B212" s="14" t="s">
        <v>526</v>
      </c>
      <c r="C212" s="14" t="s">
        <v>462</v>
      </c>
      <c r="D212" s="14" t="s">
        <v>527</v>
      </c>
      <c r="E212" s="14" t="s">
        <v>56</v>
      </c>
      <c r="F212" s="15" t="n">
        <v>590000</v>
      </c>
      <c r="G212" s="16" t="n">
        <v>0.65</v>
      </c>
      <c r="H212" s="16" t="n">
        <v>1.34</v>
      </c>
      <c r="I212" s="16" t="n">
        <v>1</v>
      </c>
      <c r="J212" s="16" t="n">
        <v>0.53</v>
      </c>
      <c r="K212" s="15" t="n">
        <f aca="false">ROUND(F212/100*G212*H212*I212/J212,2)</f>
        <v>9696.04</v>
      </c>
      <c r="L212" s="15" t="n">
        <v>9696.04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53</v>
      </c>
      <c r="B213" s="3" t="s">
        <v>528</v>
      </c>
      <c r="C213" s="3" t="s">
        <v>295</v>
      </c>
      <c r="D213" s="3" t="s">
        <v>529</v>
      </c>
      <c r="E213" s="3" t="s">
        <v>56</v>
      </c>
      <c r="F213" s="12" t="n">
        <v>600000</v>
      </c>
      <c r="G213" s="13" t="n">
        <v>0.65</v>
      </c>
      <c r="H213" s="13" t="n">
        <v>1.2</v>
      </c>
      <c r="I213" s="13" t="n">
        <v>1</v>
      </c>
      <c r="J213" s="13" t="n">
        <v>0.53</v>
      </c>
      <c r="K213" s="12" t="n">
        <f aca="false">ROUND(F213/100*G213*H213*I213/J213,2)</f>
        <v>8830.19</v>
      </c>
      <c r="L213" s="12" t="n">
        <v>8830.19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222</v>
      </c>
      <c r="B214" s="14" t="s">
        <v>530</v>
      </c>
      <c r="C214" s="14" t="s">
        <v>210</v>
      </c>
      <c r="D214" s="14" t="s">
        <v>531</v>
      </c>
      <c r="E214" s="14" t="s">
        <v>56</v>
      </c>
      <c r="F214" s="15" t="n">
        <v>300000</v>
      </c>
      <c r="G214" s="16" t="n">
        <v>0.75</v>
      </c>
      <c r="H214" s="16" t="n">
        <v>1.21</v>
      </c>
      <c r="I214" s="16" t="n">
        <v>1</v>
      </c>
      <c r="J214" s="16" t="n">
        <v>0.53</v>
      </c>
      <c r="K214" s="15" t="n">
        <f aca="false">ROUND(F214/100*G214*H214*I214/J214,2)</f>
        <v>5136.79</v>
      </c>
      <c r="L214" s="15" t="n">
        <v>5136.79</v>
      </c>
      <c r="M214" s="15" t="n">
        <f aca="false">L214-K214</f>
        <v>0</v>
      </c>
      <c r="N214" s="14" t="s">
        <v>61</v>
      </c>
      <c r="O214" s="14" t="s">
        <v>62</v>
      </c>
    </row>
    <row r="215" customFormat="false" ht="15" hidden="false" customHeight="false" outlineLevel="0" collapsed="false">
      <c r="A215" s="3" t="s">
        <v>110</v>
      </c>
      <c r="B215" s="3" t="s">
        <v>532</v>
      </c>
      <c r="C215" s="3" t="s">
        <v>120</v>
      </c>
      <c r="D215" s="3" t="s">
        <v>533</v>
      </c>
      <c r="E215" s="3" t="s">
        <v>56</v>
      </c>
      <c r="F215" s="12" t="n">
        <v>675000</v>
      </c>
      <c r="G215" s="13" t="n">
        <v>0.65</v>
      </c>
      <c r="H215" s="13" t="n">
        <v>1.15</v>
      </c>
      <c r="I215" s="13" t="n">
        <v>1</v>
      </c>
      <c r="J215" s="13" t="n">
        <v>0.53</v>
      </c>
      <c r="K215" s="12" t="n">
        <f aca="false">ROUND(F215/100*G215*H215*I215/J215,2)</f>
        <v>9520.05</v>
      </c>
      <c r="L215" s="12" t="n">
        <v>9520.05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53</v>
      </c>
      <c r="B216" s="14" t="s">
        <v>534</v>
      </c>
      <c r="C216" s="14" t="s">
        <v>174</v>
      </c>
      <c r="D216" s="14" t="s">
        <v>535</v>
      </c>
      <c r="E216" s="14" t="s">
        <v>74</v>
      </c>
      <c r="F216" s="15" t="n">
        <v>1230000</v>
      </c>
      <c r="G216" s="16" t="n">
        <v>0.38</v>
      </c>
      <c r="H216" s="16" t="n">
        <v>1.55</v>
      </c>
      <c r="I216" s="16" t="n">
        <v>1</v>
      </c>
      <c r="J216" s="16" t="n">
        <v>0.53</v>
      </c>
      <c r="K216" s="15" t="n">
        <f aca="false">ROUND(F216/100*G216*H216*I216/J216,2)</f>
        <v>13669.25</v>
      </c>
      <c r="L216" s="15" t="n">
        <v>13669.25</v>
      </c>
      <c r="M216" s="15" t="n">
        <f aca="false">L216-K216</f>
        <v>0</v>
      </c>
      <c r="N216" s="14" t="s">
        <v>51</v>
      </c>
      <c r="O216" s="14" t="s">
        <v>52</v>
      </c>
    </row>
    <row r="217" customFormat="false" ht="15" hidden="false" customHeight="false" outlineLevel="0" collapsed="false">
      <c r="A217" s="3" t="s">
        <v>247</v>
      </c>
      <c r="B217" s="3" t="s">
        <v>536</v>
      </c>
      <c r="C217" s="3" t="s">
        <v>120</v>
      </c>
      <c r="D217" s="3" t="s">
        <v>537</v>
      </c>
      <c r="E217" s="3" t="s">
        <v>74</v>
      </c>
      <c r="F217" s="12" t="n">
        <v>640000</v>
      </c>
      <c r="G217" s="13" t="n">
        <v>0.43</v>
      </c>
      <c r="H217" s="13" t="n">
        <v>1.15</v>
      </c>
      <c r="I217" s="13" t="n">
        <v>1</v>
      </c>
      <c r="J217" s="13" t="n">
        <v>0.53</v>
      </c>
      <c r="K217" s="12" t="n">
        <f aca="false">ROUND(F217/100*G217*H217*I217/J217,2)</f>
        <v>5971.32</v>
      </c>
      <c r="L217" s="12" t="n">
        <v>5971.32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150</v>
      </c>
      <c r="B218" s="14" t="s">
        <v>538</v>
      </c>
      <c r="C218" s="14" t="s">
        <v>311</v>
      </c>
      <c r="D218" s="14" t="s">
        <v>194</v>
      </c>
      <c r="E218" s="14" t="s">
        <v>56</v>
      </c>
      <c r="F218" s="15" t="n">
        <v>555000</v>
      </c>
      <c r="G218" s="16" t="n">
        <v>0.65</v>
      </c>
      <c r="H218" s="16" t="n">
        <v>1.06</v>
      </c>
      <c r="I218" s="16" t="n">
        <v>1</v>
      </c>
      <c r="J218" s="16" t="n">
        <v>0.53</v>
      </c>
      <c r="K218" s="15" t="n">
        <f aca="false">ROUND(F218/100*G218*H218*I218/J218,2)</f>
        <v>7215</v>
      </c>
      <c r="L218" s="15" t="n">
        <v>7215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101</v>
      </c>
      <c r="B219" s="3" t="s">
        <v>539</v>
      </c>
      <c r="C219" s="3" t="s">
        <v>184</v>
      </c>
      <c r="D219" s="3" t="s">
        <v>540</v>
      </c>
      <c r="E219" s="3" t="s">
        <v>56</v>
      </c>
      <c r="F219" s="12" t="n">
        <v>610000</v>
      </c>
      <c r="G219" s="13" t="n">
        <v>0.65</v>
      </c>
      <c r="H219" s="13" t="n">
        <v>1.02</v>
      </c>
      <c r="I219" s="13" t="n">
        <v>1</v>
      </c>
      <c r="J219" s="13" t="n">
        <v>0.53</v>
      </c>
      <c r="K219" s="12" t="n">
        <f aca="false">ROUND(F219/100*G219*H219*I219/J219,2)</f>
        <v>7630.75</v>
      </c>
      <c r="L219" s="12" t="n">
        <v>7630.75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467</v>
      </c>
      <c r="B220" s="14" t="s">
        <v>541</v>
      </c>
      <c r="C220" s="14" t="s">
        <v>300</v>
      </c>
      <c r="D220" s="14" t="s">
        <v>542</v>
      </c>
      <c r="E220" s="14" t="s">
        <v>50</v>
      </c>
      <c r="F220" s="15" t="n">
        <v>1040000</v>
      </c>
      <c r="G220" s="16" t="n">
        <v>0.8</v>
      </c>
      <c r="H220" s="16" t="n">
        <v>1.11</v>
      </c>
      <c r="I220" s="16" t="n">
        <v>1</v>
      </c>
      <c r="J220" s="16" t="n">
        <v>0.53</v>
      </c>
      <c r="K220" s="15" t="n">
        <f aca="false">ROUND(F220/100*G220*H220*I220/J220,2)</f>
        <v>17424.91</v>
      </c>
      <c r="L220" s="15" t="n">
        <v>17424.91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134</v>
      </c>
      <c r="B221" s="3" t="s">
        <v>543</v>
      </c>
      <c r="C221" s="3" t="s">
        <v>159</v>
      </c>
      <c r="D221" s="3" t="s">
        <v>544</v>
      </c>
      <c r="E221" s="3" t="s">
        <v>50</v>
      </c>
      <c r="F221" s="12" t="n">
        <v>1380000</v>
      </c>
      <c r="G221" s="13" t="n">
        <v>0.8</v>
      </c>
      <c r="H221" s="13" t="n">
        <v>1.15</v>
      </c>
      <c r="I221" s="13" t="n">
        <v>1</v>
      </c>
      <c r="J221" s="13" t="n">
        <v>0.53</v>
      </c>
      <c r="K221" s="12" t="n">
        <f aca="false">ROUND(F221/100*G221*H221*I221/J221,2)</f>
        <v>23954.72</v>
      </c>
      <c r="L221" s="12" t="n">
        <v>23954.72</v>
      </c>
      <c r="M221" s="12" t="n">
        <f aca="false">L221-K221</f>
        <v>0</v>
      </c>
      <c r="N221" s="3" t="s">
        <v>51</v>
      </c>
      <c r="O221" s="3" t="s">
        <v>52</v>
      </c>
    </row>
    <row r="222" customFormat="false" ht="15" hidden="false" customHeight="false" outlineLevel="0" collapsed="false">
      <c r="A222" s="14" t="s">
        <v>147</v>
      </c>
      <c r="B222" s="14" t="s">
        <v>545</v>
      </c>
      <c r="C222" s="14" t="s">
        <v>59</v>
      </c>
      <c r="D222" s="14" t="s">
        <v>546</v>
      </c>
      <c r="E222" s="14" t="s">
        <v>133</v>
      </c>
      <c r="F222" s="15" t="n">
        <v>710000</v>
      </c>
      <c r="G222" s="16" t="n">
        <v>0.38</v>
      </c>
      <c r="H222" s="16" t="n">
        <v>0.97</v>
      </c>
      <c r="I222" s="16" t="n">
        <v>1</v>
      </c>
      <c r="J222" s="16" t="n">
        <v>0.53</v>
      </c>
      <c r="K222" s="15" t="n">
        <f aca="false">ROUND(F222/100*G222*H222*I222/J222,2)</f>
        <v>4937.85</v>
      </c>
      <c r="L222" s="15" t="n">
        <v>4937.85</v>
      </c>
      <c r="M222" s="15" t="n">
        <f aca="false">L222-K222</f>
        <v>0</v>
      </c>
      <c r="N222" s="14" t="s">
        <v>61</v>
      </c>
      <c r="O222" s="14" t="s">
        <v>62</v>
      </c>
    </row>
    <row r="223" customFormat="false" ht="15" hidden="false" customHeight="false" outlineLevel="0" collapsed="false">
      <c r="A223" s="3" t="s">
        <v>163</v>
      </c>
      <c r="B223" s="3" t="s">
        <v>547</v>
      </c>
      <c r="C223" s="3" t="s">
        <v>114</v>
      </c>
      <c r="D223" s="3" t="s">
        <v>548</v>
      </c>
      <c r="E223" s="3" t="s">
        <v>56</v>
      </c>
      <c r="F223" s="12" t="n">
        <v>270000</v>
      </c>
      <c r="G223" s="13" t="n">
        <v>0.75</v>
      </c>
      <c r="H223" s="13" t="n">
        <v>1.36</v>
      </c>
      <c r="I223" s="13" t="n">
        <v>1</v>
      </c>
      <c r="J223" s="13" t="n">
        <v>0.53</v>
      </c>
      <c r="K223" s="12" t="n">
        <f aca="false">ROUND(F223/100*G223*H223*I223/J223,2)</f>
        <v>5196.23</v>
      </c>
      <c r="L223" s="12" t="n">
        <v>5196.23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134</v>
      </c>
      <c r="B224" s="14" t="s">
        <v>549</v>
      </c>
      <c r="C224" s="14" t="s">
        <v>230</v>
      </c>
      <c r="D224" s="14" t="s">
        <v>550</v>
      </c>
      <c r="E224" s="14" t="s">
        <v>56</v>
      </c>
      <c r="F224" s="15" t="n">
        <v>235000</v>
      </c>
      <c r="G224" s="16" t="n">
        <v>0.92</v>
      </c>
      <c r="H224" s="16" t="n">
        <v>1.09</v>
      </c>
      <c r="I224" s="16" t="n">
        <v>1</v>
      </c>
      <c r="J224" s="16" t="n">
        <v>0.53</v>
      </c>
      <c r="K224" s="15" t="n">
        <f aca="false">ROUND(F224/100*G224*H224*I224/J224,2)</f>
        <v>4446.38</v>
      </c>
      <c r="L224" s="15" t="n">
        <v>4446.38</v>
      </c>
      <c r="M224" s="15" t="n">
        <f aca="false">L224-K224</f>
        <v>0</v>
      </c>
      <c r="N224" s="14" t="s">
        <v>61</v>
      </c>
      <c r="O224" s="14" t="s">
        <v>62</v>
      </c>
    </row>
    <row r="226" customFormat="false" ht="15" hidden="false" customHeight="false" outlineLevel="0" collapsed="false">
      <c r="A226" s="10" t="s">
        <v>551</v>
      </c>
      <c r="C226" s="17" t="n">
        <f aca="false">COUNTA(B5:B224)</f>
        <v>220</v>
      </c>
    </row>
    <row r="227" customFormat="false" ht="15" hidden="false" customHeight="false" outlineLevel="0" collapsed="false">
      <c r="A227" s="10" t="s">
        <v>552</v>
      </c>
      <c r="C227" s="17" t="n">
        <f aca="false">COUNTIF(O5:O224,"bound")</f>
        <v>168</v>
      </c>
    </row>
    <row r="228" customFormat="false" ht="15" hidden="false" customHeight="false" outlineLevel="0" collapsed="false">
      <c r="A228" s="10" t="s">
        <v>553</v>
      </c>
      <c r="C228" s="18" t="n">
        <f aca="false">AVERAGE(L5:L224)</f>
        <v>11040.7427272727</v>
      </c>
    </row>
    <row r="229" customFormat="false" ht="15" hidden="false" customHeight="false" outlineLevel="0" collapsed="false">
      <c r="A229" s="10" t="s">
        <v>554</v>
      </c>
      <c r="C229" s="18" t="n">
        <f aca="false">AVERAGEIF(O5:O224,"bound",L5:L224)</f>
        <v>11144.2808928571</v>
      </c>
    </row>
    <row r="230" customFormat="false" ht="15" hidden="false" customHeight="false" outlineLevel="0" collapsed="false">
      <c r="A230" s="10" t="s">
        <v>555</v>
      </c>
      <c r="C230" s="18" t="n">
        <f aca="false">SUMIF(O5:O224,"bound",L5:L224)</f>
        <v>1872239.19</v>
      </c>
    </row>
    <row r="231" customFormat="false" ht="15" hidden="false" customHeight="false" outlineLevel="0" collapsed="false">
      <c r="A231" s="10" t="s">
        <v>556</v>
      </c>
      <c r="C231" s="19" t="n">
        <v>1</v>
      </c>
    </row>
  </sheetData>
  <autoFilter ref="A4:O2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4" t="s">
        <v>558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559</v>
      </c>
      <c r="B5" s="3" t="s">
        <v>560</v>
      </c>
      <c r="C5" s="3" t="s">
        <v>77</v>
      </c>
      <c r="D5" s="3" t="s">
        <v>561</v>
      </c>
      <c r="E5" s="3" t="s">
        <v>157</v>
      </c>
      <c r="F5" s="12" t="n">
        <v>855000</v>
      </c>
      <c r="G5" s="13" t="n">
        <v>0.78</v>
      </c>
      <c r="H5" s="13" t="n">
        <v>1.42</v>
      </c>
      <c r="I5" s="13" t="n">
        <v>0.9591</v>
      </c>
      <c r="J5" s="13" t="n">
        <v>0.53</v>
      </c>
      <c r="K5" s="12" t="n">
        <f aca="false">ROUND(F5/100*G5*H5*I5/J5,2)</f>
        <v>17137.09</v>
      </c>
      <c r="L5" s="12" t="n">
        <v>17137.09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562</v>
      </c>
      <c r="B6" s="14" t="s">
        <v>563</v>
      </c>
      <c r="C6" s="14" t="s">
        <v>105</v>
      </c>
      <c r="D6" s="14" t="s">
        <v>312</v>
      </c>
      <c r="E6" s="14" t="s">
        <v>56</v>
      </c>
      <c r="F6" s="15" t="n">
        <v>690000</v>
      </c>
      <c r="G6" s="16" t="n">
        <v>0.65</v>
      </c>
      <c r="H6" s="16" t="n">
        <v>0.99</v>
      </c>
      <c r="I6" s="16" t="n">
        <v>0.9591</v>
      </c>
      <c r="J6" s="16" t="n">
        <v>0.53</v>
      </c>
      <c r="K6" s="15" t="n">
        <f aca="false">ROUND(F6/100*G6*H6*I6/J6,2)</f>
        <v>8035</v>
      </c>
      <c r="L6" s="15" t="n">
        <v>8034.99</v>
      </c>
      <c r="M6" s="15" t="n">
        <f aca="false">L6-K6</f>
        <v>-0.0100000000002183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564</v>
      </c>
      <c r="B7" s="3" t="s">
        <v>565</v>
      </c>
      <c r="C7" s="3" t="s">
        <v>117</v>
      </c>
      <c r="D7" s="3" t="s">
        <v>566</v>
      </c>
      <c r="E7" s="3" t="s">
        <v>56</v>
      </c>
      <c r="F7" s="12" t="n">
        <v>1000000</v>
      </c>
      <c r="G7" s="13" t="n">
        <v>0.55</v>
      </c>
      <c r="H7" s="13" t="n">
        <v>0.91</v>
      </c>
      <c r="I7" s="13" t="n">
        <v>0.9591</v>
      </c>
      <c r="J7" s="13" t="n">
        <v>0.53</v>
      </c>
      <c r="K7" s="12" t="n">
        <f aca="false">ROUND(F7/100*G7*H7*I7/J7,2)</f>
        <v>9057.16</v>
      </c>
      <c r="L7" s="12" t="n">
        <v>9057.16</v>
      </c>
      <c r="M7" s="12" t="n">
        <f aca="false">L7-K7</f>
        <v>0</v>
      </c>
      <c r="N7" s="3" t="s">
        <v>51</v>
      </c>
      <c r="O7" s="3" t="s">
        <v>52</v>
      </c>
    </row>
    <row r="8" customFormat="false" ht="15" hidden="false" customHeight="false" outlineLevel="0" collapsed="false">
      <c r="A8" s="14" t="s">
        <v>567</v>
      </c>
      <c r="B8" s="14" t="s">
        <v>568</v>
      </c>
      <c r="C8" s="14" t="s">
        <v>136</v>
      </c>
      <c r="D8" s="14" t="s">
        <v>569</v>
      </c>
      <c r="E8" s="14" t="s">
        <v>50</v>
      </c>
      <c r="F8" s="15" t="n">
        <v>1270000</v>
      </c>
      <c r="G8" s="16" t="n">
        <v>0.8</v>
      </c>
      <c r="H8" s="16" t="n">
        <v>1.32</v>
      </c>
      <c r="I8" s="16" t="n">
        <v>0.9591</v>
      </c>
      <c r="J8" s="16" t="n">
        <v>0.53</v>
      </c>
      <c r="K8" s="15" t="n">
        <f aca="false">ROUND(F8/100*G8*H8*I8/J8,2)</f>
        <v>24269.21</v>
      </c>
      <c r="L8" s="15" t="n">
        <v>24269.21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570</v>
      </c>
      <c r="B9" s="3" t="s">
        <v>571</v>
      </c>
      <c r="C9" s="3" t="s">
        <v>275</v>
      </c>
      <c r="D9" s="3" t="s">
        <v>572</v>
      </c>
      <c r="E9" s="3" t="s">
        <v>56</v>
      </c>
      <c r="F9" s="12" t="n">
        <v>350000</v>
      </c>
      <c r="G9" s="13" t="n">
        <v>0.75</v>
      </c>
      <c r="H9" s="13" t="n">
        <v>1.19</v>
      </c>
      <c r="I9" s="13" t="n">
        <v>0.9591</v>
      </c>
      <c r="J9" s="13" t="n">
        <v>0.53</v>
      </c>
      <c r="K9" s="12" t="n">
        <f aca="false">ROUND(F9/100*G9*H9*I9/J9,2)</f>
        <v>5652.81</v>
      </c>
      <c r="L9" s="12" t="n">
        <v>5652.81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573</v>
      </c>
      <c r="B10" s="14" t="s">
        <v>574</v>
      </c>
      <c r="C10" s="14" t="s">
        <v>89</v>
      </c>
      <c r="D10" s="14" t="s">
        <v>575</v>
      </c>
      <c r="E10" s="14" t="s">
        <v>56</v>
      </c>
      <c r="F10" s="15" t="n">
        <v>915000</v>
      </c>
      <c r="G10" s="16" t="n">
        <v>0.65</v>
      </c>
      <c r="H10" s="16" t="n">
        <v>1.35</v>
      </c>
      <c r="I10" s="16" t="n">
        <v>0.9591</v>
      </c>
      <c r="J10" s="16" t="n">
        <v>0.53</v>
      </c>
      <c r="K10" s="15" t="n">
        <f aca="false">ROUND(F10/100*G10*H10*I10/J10,2)</f>
        <v>14529.69</v>
      </c>
      <c r="L10" s="15" t="n">
        <v>14529.68</v>
      </c>
      <c r="M10" s="15" t="n">
        <f aca="false">L10-K10</f>
        <v>-0.0100000000002183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576</v>
      </c>
      <c r="B11" s="3" t="s">
        <v>577</v>
      </c>
      <c r="C11" s="3" t="s">
        <v>152</v>
      </c>
      <c r="D11" s="3" t="s">
        <v>364</v>
      </c>
      <c r="E11" s="3" t="s">
        <v>56</v>
      </c>
      <c r="F11" s="12" t="n">
        <v>660000</v>
      </c>
      <c r="G11" s="13" t="n">
        <v>0.65</v>
      </c>
      <c r="H11" s="13" t="n">
        <v>1</v>
      </c>
      <c r="I11" s="13" t="n">
        <v>0.9591</v>
      </c>
      <c r="J11" s="13" t="n">
        <v>0.53</v>
      </c>
      <c r="K11" s="12" t="n">
        <f aca="false">ROUND(F11/100*G11*H11*I11/J11,2)</f>
        <v>7763.28</v>
      </c>
      <c r="L11" s="12" t="n">
        <v>7763.28</v>
      </c>
      <c r="M11" s="12" t="n">
        <f aca="false">L11-K11</f>
        <v>0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578</v>
      </c>
      <c r="B12" s="14" t="s">
        <v>579</v>
      </c>
      <c r="C12" s="14" t="s">
        <v>305</v>
      </c>
      <c r="D12" s="14" t="s">
        <v>199</v>
      </c>
      <c r="E12" s="14" t="s">
        <v>56</v>
      </c>
      <c r="F12" s="15" t="n">
        <v>1055000</v>
      </c>
      <c r="G12" s="16" t="n">
        <v>0.55</v>
      </c>
      <c r="H12" s="16" t="n">
        <v>1.12</v>
      </c>
      <c r="I12" s="16" t="n">
        <v>0.9591</v>
      </c>
      <c r="J12" s="16" t="n">
        <v>0.53</v>
      </c>
      <c r="K12" s="15" t="n">
        <f aca="false">ROUND(F12/100*G12*H12*I12/J12,2)</f>
        <v>11760.38</v>
      </c>
      <c r="L12" s="15" t="n">
        <v>11760.38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570</v>
      </c>
      <c r="B13" s="3" t="s">
        <v>580</v>
      </c>
      <c r="C13" s="3" t="s">
        <v>117</v>
      </c>
      <c r="D13" s="3" t="s">
        <v>581</v>
      </c>
      <c r="E13" s="3" t="s">
        <v>133</v>
      </c>
      <c r="F13" s="12" t="n">
        <v>1950000</v>
      </c>
      <c r="G13" s="13" t="n">
        <v>0.34</v>
      </c>
      <c r="H13" s="13" t="n">
        <v>0.91</v>
      </c>
      <c r="I13" s="13" t="n">
        <v>0.9591</v>
      </c>
      <c r="J13" s="13" t="n">
        <v>0.53</v>
      </c>
      <c r="K13" s="12" t="n">
        <f aca="false">ROUND(F13/100*G13*H13*I13/J13,2)</f>
        <v>10918</v>
      </c>
      <c r="L13" s="12" t="n">
        <v>10917.99</v>
      </c>
      <c r="M13" s="12" t="n">
        <f aca="false">L13-K13</f>
        <v>-0.0100000000002183</v>
      </c>
      <c r="N13" s="3" t="s">
        <v>51</v>
      </c>
      <c r="O13" s="3" t="s">
        <v>52</v>
      </c>
    </row>
    <row r="14" customFormat="false" ht="15" hidden="false" customHeight="false" outlineLevel="0" collapsed="false">
      <c r="A14" s="14" t="s">
        <v>582</v>
      </c>
      <c r="B14" s="14" t="s">
        <v>583</v>
      </c>
      <c r="C14" s="14" t="s">
        <v>145</v>
      </c>
      <c r="D14" s="14" t="s">
        <v>584</v>
      </c>
      <c r="E14" s="14" t="s">
        <v>50</v>
      </c>
      <c r="F14" s="15" t="n">
        <v>360000</v>
      </c>
      <c r="G14" s="16" t="n">
        <v>1.15</v>
      </c>
      <c r="H14" s="16" t="n">
        <v>0.96</v>
      </c>
      <c r="I14" s="16" t="n">
        <v>0.9591</v>
      </c>
      <c r="J14" s="16" t="n">
        <v>0.53</v>
      </c>
      <c r="K14" s="15" t="n">
        <f aca="false">ROUND(F14/100*G14*H14*I14/J14,2)</f>
        <v>7192.16</v>
      </c>
      <c r="L14" s="15" t="n">
        <v>7192.17</v>
      </c>
      <c r="M14" s="15" t="n">
        <f aca="false">L14-K14</f>
        <v>0.0100000000002183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585</v>
      </c>
      <c r="B15" s="3" t="s">
        <v>586</v>
      </c>
      <c r="C15" s="3" t="s">
        <v>68</v>
      </c>
      <c r="D15" s="3" t="s">
        <v>587</v>
      </c>
      <c r="E15" s="3" t="s">
        <v>56</v>
      </c>
      <c r="F15" s="12" t="n">
        <v>670000</v>
      </c>
      <c r="G15" s="13" t="n">
        <v>0.65</v>
      </c>
      <c r="H15" s="13" t="n">
        <v>1.38</v>
      </c>
      <c r="I15" s="13" t="n">
        <v>0.9591</v>
      </c>
      <c r="J15" s="13" t="n">
        <v>0.53</v>
      </c>
      <c r="K15" s="12" t="n">
        <f aca="false">ROUND(F15/100*G15*H15*I15/J15,2)</f>
        <v>10875.65</v>
      </c>
      <c r="L15" s="12" t="n">
        <v>10875.65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588</v>
      </c>
      <c r="B16" s="14" t="s">
        <v>589</v>
      </c>
      <c r="C16" s="14" t="s">
        <v>85</v>
      </c>
      <c r="D16" s="14" t="s">
        <v>590</v>
      </c>
      <c r="E16" s="14" t="s">
        <v>74</v>
      </c>
      <c r="F16" s="15" t="n">
        <v>1320000</v>
      </c>
      <c r="G16" s="16" t="n">
        <v>0.38</v>
      </c>
      <c r="H16" s="16" t="n">
        <v>1.28</v>
      </c>
      <c r="I16" s="16" t="n">
        <v>0.9591</v>
      </c>
      <c r="J16" s="16" t="n">
        <v>0.53</v>
      </c>
      <c r="K16" s="15" t="n">
        <f aca="false">ROUND(F16/100*G16*H16*I16/J16,2)</f>
        <v>11618.65</v>
      </c>
      <c r="L16" s="15" t="n">
        <v>11618.64</v>
      </c>
      <c r="M16" s="15" t="n">
        <f aca="false">L16-K16</f>
        <v>-0.0100000000002183</v>
      </c>
      <c r="N16" s="14" t="s">
        <v>70</v>
      </c>
      <c r="O16" s="14" t="s">
        <v>52</v>
      </c>
    </row>
    <row r="17" customFormat="false" ht="15" hidden="false" customHeight="false" outlineLevel="0" collapsed="false">
      <c r="A17" s="3" t="s">
        <v>591</v>
      </c>
      <c r="B17" s="3" t="s">
        <v>592</v>
      </c>
      <c r="C17" s="3" t="s">
        <v>145</v>
      </c>
      <c r="D17" s="3" t="s">
        <v>593</v>
      </c>
      <c r="E17" s="3" t="s">
        <v>56</v>
      </c>
      <c r="F17" s="12" t="n">
        <v>230000</v>
      </c>
      <c r="G17" s="13" t="n">
        <v>0.92</v>
      </c>
      <c r="H17" s="13" t="n">
        <v>0.96</v>
      </c>
      <c r="I17" s="13" t="n">
        <v>0.9591</v>
      </c>
      <c r="J17" s="13" t="n">
        <v>0.53</v>
      </c>
      <c r="K17" s="12" t="n">
        <f aca="false">ROUND(F17/100*G17*H17*I17/J17,2)</f>
        <v>3676</v>
      </c>
      <c r="L17" s="12" t="n">
        <v>3675.99</v>
      </c>
      <c r="M17" s="12" t="n">
        <f aca="false">L17-K17</f>
        <v>-0.0100000000002183</v>
      </c>
      <c r="N17" s="3" t="s">
        <v>51</v>
      </c>
      <c r="O17" s="3" t="s">
        <v>52</v>
      </c>
    </row>
    <row r="18" customFormat="false" ht="15" hidden="false" customHeight="false" outlineLevel="0" collapsed="false">
      <c r="A18" s="14" t="s">
        <v>594</v>
      </c>
      <c r="B18" s="14" t="s">
        <v>595</v>
      </c>
      <c r="C18" s="14" t="s">
        <v>117</v>
      </c>
      <c r="D18" s="14" t="s">
        <v>596</v>
      </c>
      <c r="E18" s="14" t="s">
        <v>56</v>
      </c>
      <c r="F18" s="15" t="n">
        <v>380000</v>
      </c>
      <c r="G18" s="16" t="n">
        <v>0.75</v>
      </c>
      <c r="H18" s="16" t="n">
        <v>0.91</v>
      </c>
      <c r="I18" s="16" t="n">
        <v>0.9591</v>
      </c>
      <c r="J18" s="16" t="n">
        <v>0.53</v>
      </c>
      <c r="K18" s="15" t="n">
        <f aca="false">ROUND(F18/100*G18*H18*I18/J18,2)</f>
        <v>4693.26</v>
      </c>
      <c r="L18" s="15" t="n">
        <v>4693.26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567</v>
      </c>
      <c r="B19" s="3" t="s">
        <v>597</v>
      </c>
      <c r="C19" s="3" t="s">
        <v>117</v>
      </c>
      <c r="D19" s="3" t="s">
        <v>598</v>
      </c>
      <c r="E19" s="3" t="s">
        <v>56</v>
      </c>
      <c r="F19" s="12" t="n">
        <v>890000</v>
      </c>
      <c r="G19" s="13" t="n">
        <v>0.65</v>
      </c>
      <c r="H19" s="13" t="n">
        <v>0.91</v>
      </c>
      <c r="I19" s="13" t="n">
        <v>0.9591</v>
      </c>
      <c r="J19" s="13" t="n">
        <v>0.53</v>
      </c>
      <c r="K19" s="12" t="n">
        <f aca="false">ROUND(F19/100*G19*H19*I19/J19,2)</f>
        <v>9526.49</v>
      </c>
      <c r="L19" s="12" t="n">
        <v>9526.49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562</v>
      </c>
      <c r="B20" s="14" t="s">
        <v>599</v>
      </c>
      <c r="C20" s="14" t="s">
        <v>114</v>
      </c>
      <c r="D20" s="14" t="s">
        <v>600</v>
      </c>
      <c r="E20" s="14" t="s">
        <v>157</v>
      </c>
      <c r="F20" s="15" t="n">
        <v>460000</v>
      </c>
      <c r="G20" s="16" t="n">
        <v>0.88</v>
      </c>
      <c r="H20" s="16" t="n">
        <v>1.36</v>
      </c>
      <c r="I20" s="16" t="n">
        <v>0.9591</v>
      </c>
      <c r="J20" s="16" t="n">
        <v>0.53</v>
      </c>
      <c r="K20" s="15" t="n">
        <f aca="false">ROUND(F20/100*G20*H20*I20/J20,2)</f>
        <v>9962.48</v>
      </c>
      <c r="L20" s="15" t="n">
        <v>9962.48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576</v>
      </c>
      <c r="B21" s="3" t="s">
        <v>601</v>
      </c>
      <c r="C21" s="3" t="s">
        <v>193</v>
      </c>
      <c r="D21" s="3" t="s">
        <v>457</v>
      </c>
      <c r="E21" s="3" t="s">
        <v>56</v>
      </c>
      <c r="F21" s="12" t="n">
        <v>235000</v>
      </c>
      <c r="G21" s="13" t="n">
        <v>0.92</v>
      </c>
      <c r="H21" s="13" t="n">
        <v>1.25</v>
      </c>
      <c r="I21" s="13" t="n">
        <v>0.9591</v>
      </c>
      <c r="J21" s="13" t="n">
        <v>0.53</v>
      </c>
      <c r="K21" s="12" t="n">
        <f aca="false">ROUND(F21/100*G21*H21*I21/J21,2)</f>
        <v>4890.51</v>
      </c>
      <c r="L21" s="12" t="n">
        <v>4890.51</v>
      </c>
      <c r="M21" s="12" t="n">
        <f aca="false">L21-K21</f>
        <v>0</v>
      </c>
      <c r="N21" s="3" t="s">
        <v>51</v>
      </c>
      <c r="O21" s="3" t="s">
        <v>52</v>
      </c>
    </row>
    <row r="22" customFormat="false" ht="15" hidden="false" customHeight="false" outlineLevel="0" collapsed="false">
      <c r="A22" s="14" t="s">
        <v>602</v>
      </c>
      <c r="B22" s="14" t="s">
        <v>603</v>
      </c>
      <c r="C22" s="14" t="s">
        <v>68</v>
      </c>
      <c r="D22" s="14" t="s">
        <v>367</v>
      </c>
      <c r="E22" s="14" t="s">
        <v>56</v>
      </c>
      <c r="F22" s="15" t="n">
        <v>1440000</v>
      </c>
      <c r="G22" s="16" t="n">
        <v>0.55</v>
      </c>
      <c r="H22" s="16" t="n">
        <v>1.38</v>
      </c>
      <c r="I22" s="16" t="n">
        <v>0.9591</v>
      </c>
      <c r="J22" s="16" t="n">
        <v>0.53</v>
      </c>
      <c r="K22" s="15" t="n">
        <f aca="false">ROUND(F22/100*G22*H22*I22/J22,2)</f>
        <v>19778.45</v>
      </c>
      <c r="L22" s="15" t="n">
        <v>19778.45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604</v>
      </c>
      <c r="B23" s="3" t="s">
        <v>605</v>
      </c>
      <c r="C23" s="3" t="s">
        <v>278</v>
      </c>
      <c r="D23" s="3" t="s">
        <v>606</v>
      </c>
      <c r="E23" s="3" t="s">
        <v>56</v>
      </c>
      <c r="F23" s="12" t="n">
        <v>465000</v>
      </c>
      <c r="G23" s="13" t="n">
        <v>0.75</v>
      </c>
      <c r="H23" s="13" t="n">
        <v>0.98</v>
      </c>
      <c r="I23" s="13" t="n">
        <v>0.9591</v>
      </c>
      <c r="J23" s="13" t="n">
        <v>0.53</v>
      </c>
      <c r="K23" s="12" t="n">
        <f aca="false">ROUND(F23/100*G23*H23*I23/J23,2)</f>
        <v>6184.84</v>
      </c>
      <c r="L23" s="12" t="n">
        <v>6184.83</v>
      </c>
      <c r="M23" s="12" t="n">
        <f aca="false">L23-K23</f>
        <v>-0.0100000000002183</v>
      </c>
      <c r="N23" s="3" t="s">
        <v>51</v>
      </c>
      <c r="O23" s="3" t="s">
        <v>52</v>
      </c>
    </row>
    <row r="24" customFormat="false" ht="15" hidden="false" customHeight="false" outlineLevel="0" collapsed="false">
      <c r="A24" s="14" t="s">
        <v>573</v>
      </c>
      <c r="B24" s="14" t="s">
        <v>607</v>
      </c>
      <c r="C24" s="14" t="s">
        <v>278</v>
      </c>
      <c r="D24" s="14" t="s">
        <v>608</v>
      </c>
      <c r="E24" s="14" t="s">
        <v>56</v>
      </c>
      <c r="F24" s="15" t="n">
        <v>795000</v>
      </c>
      <c r="G24" s="16" t="n">
        <v>0.65</v>
      </c>
      <c r="H24" s="16" t="n">
        <v>0.98</v>
      </c>
      <c r="I24" s="16" t="n">
        <v>0.9591</v>
      </c>
      <c r="J24" s="16" t="n">
        <v>0.53</v>
      </c>
      <c r="K24" s="15" t="n">
        <f aca="false">ROUND(F24/100*G24*H24*I24/J24,2)</f>
        <v>9164.2</v>
      </c>
      <c r="L24" s="15" t="n">
        <v>9164.2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609</v>
      </c>
      <c r="B25" s="3" t="s">
        <v>610</v>
      </c>
      <c r="C25" s="3" t="s">
        <v>48</v>
      </c>
      <c r="D25" s="3" t="s">
        <v>112</v>
      </c>
      <c r="E25" s="3" t="s">
        <v>56</v>
      </c>
      <c r="F25" s="12" t="n">
        <v>265000</v>
      </c>
      <c r="G25" s="13" t="n">
        <v>0.75</v>
      </c>
      <c r="H25" s="13" t="n">
        <v>1.28</v>
      </c>
      <c r="I25" s="13" t="n">
        <v>0.9591</v>
      </c>
      <c r="J25" s="13" t="n">
        <v>0.53</v>
      </c>
      <c r="K25" s="12" t="n">
        <f aca="false">ROUND(F25/100*G25*H25*I25/J25,2)</f>
        <v>4603.68</v>
      </c>
      <c r="L25" s="12" t="n">
        <v>4603.68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604</v>
      </c>
      <c r="B26" s="14" t="s">
        <v>611</v>
      </c>
      <c r="C26" s="14" t="s">
        <v>184</v>
      </c>
      <c r="D26" s="14" t="s">
        <v>612</v>
      </c>
      <c r="E26" s="14" t="s">
        <v>74</v>
      </c>
      <c r="F26" s="15" t="n">
        <v>890000</v>
      </c>
      <c r="G26" s="16" t="n">
        <v>0.43</v>
      </c>
      <c r="H26" s="16" t="n">
        <v>1.02</v>
      </c>
      <c r="I26" s="16" t="n">
        <v>0.9591</v>
      </c>
      <c r="J26" s="16" t="n">
        <v>0.53</v>
      </c>
      <c r="K26" s="15" t="n">
        <f aca="false">ROUND(F26/100*G26*H26*I26/J26,2)</f>
        <v>7063.93</v>
      </c>
      <c r="L26" s="15" t="n">
        <v>7063.93</v>
      </c>
      <c r="M26" s="15" t="n">
        <f aca="false">L26-K26</f>
        <v>0</v>
      </c>
      <c r="N26" s="14" t="s">
        <v>51</v>
      </c>
      <c r="O26" s="14" t="s">
        <v>52</v>
      </c>
    </row>
    <row r="27" customFormat="false" ht="15" hidden="false" customHeight="false" outlineLevel="0" collapsed="false">
      <c r="A27" s="3" t="s">
        <v>613</v>
      </c>
      <c r="B27" s="3" t="s">
        <v>614</v>
      </c>
      <c r="C27" s="3" t="s">
        <v>128</v>
      </c>
      <c r="D27" s="3" t="s">
        <v>615</v>
      </c>
      <c r="E27" s="3" t="s">
        <v>56</v>
      </c>
      <c r="F27" s="12" t="n">
        <v>765000</v>
      </c>
      <c r="G27" s="13" t="n">
        <v>0.65</v>
      </c>
      <c r="H27" s="13" t="n">
        <v>1.25</v>
      </c>
      <c r="I27" s="13" t="n">
        <v>0.9591</v>
      </c>
      <c r="J27" s="13" t="n">
        <v>0.53</v>
      </c>
      <c r="K27" s="12" t="n">
        <f aca="false">ROUND(F27/100*G27*H27*I27/J27,2)</f>
        <v>11247.94</v>
      </c>
      <c r="L27" s="12" t="n">
        <v>11247.93</v>
      </c>
      <c r="M27" s="12" t="n">
        <f aca="false">L27-K27</f>
        <v>-0.0100000000002183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588</v>
      </c>
      <c r="B28" s="14" t="s">
        <v>616</v>
      </c>
      <c r="C28" s="14" t="s">
        <v>210</v>
      </c>
      <c r="D28" s="14" t="s">
        <v>617</v>
      </c>
      <c r="E28" s="14" t="s">
        <v>56</v>
      </c>
      <c r="F28" s="15" t="n">
        <v>640000</v>
      </c>
      <c r="G28" s="16" t="n">
        <v>0.65</v>
      </c>
      <c r="H28" s="16" t="n">
        <v>1.21</v>
      </c>
      <c r="I28" s="16" t="n">
        <v>0.9591</v>
      </c>
      <c r="J28" s="16" t="n">
        <v>0.53</v>
      </c>
      <c r="K28" s="15" t="n">
        <f aca="false">ROUND(F28/100*G28*H28*I28/J28,2)</f>
        <v>9108.92</v>
      </c>
      <c r="L28" s="15" t="n">
        <v>9108.92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604</v>
      </c>
      <c r="B29" s="3" t="s">
        <v>618</v>
      </c>
      <c r="C29" s="3" t="s">
        <v>117</v>
      </c>
      <c r="D29" s="3" t="s">
        <v>170</v>
      </c>
      <c r="E29" s="3" t="s">
        <v>56</v>
      </c>
      <c r="F29" s="12" t="n">
        <v>450000</v>
      </c>
      <c r="G29" s="13" t="n">
        <v>0.75</v>
      </c>
      <c r="H29" s="13" t="n">
        <v>0.91</v>
      </c>
      <c r="I29" s="13" t="n">
        <v>0.9591</v>
      </c>
      <c r="J29" s="13" t="n">
        <v>0.53</v>
      </c>
      <c r="K29" s="12" t="n">
        <f aca="false">ROUND(F29/100*G29*H29*I29/J29,2)</f>
        <v>5557.8</v>
      </c>
      <c r="L29" s="12" t="n">
        <v>5557.8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562</v>
      </c>
      <c r="B30" s="14" t="s">
        <v>619</v>
      </c>
      <c r="C30" s="14" t="s">
        <v>48</v>
      </c>
      <c r="D30" s="14" t="s">
        <v>112</v>
      </c>
      <c r="E30" s="14" t="s">
        <v>56</v>
      </c>
      <c r="F30" s="15" t="n">
        <v>385000</v>
      </c>
      <c r="G30" s="16" t="n">
        <v>0.75</v>
      </c>
      <c r="H30" s="16" t="n">
        <v>1.28</v>
      </c>
      <c r="I30" s="16" t="n">
        <v>0.9591</v>
      </c>
      <c r="J30" s="16" t="n">
        <v>0.53</v>
      </c>
      <c r="K30" s="15" t="n">
        <f aca="false">ROUND(F30/100*G30*H30*I30/J30,2)</f>
        <v>6688.37</v>
      </c>
      <c r="L30" s="15" t="n">
        <v>6688.36</v>
      </c>
      <c r="M30" s="15" t="n">
        <f aca="false">L30-K30</f>
        <v>-0.0100000000002183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620</v>
      </c>
      <c r="B31" s="3" t="s">
        <v>621</v>
      </c>
      <c r="C31" s="3" t="s">
        <v>159</v>
      </c>
      <c r="D31" s="3" t="s">
        <v>622</v>
      </c>
      <c r="E31" s="3" t="s">
        <v>56</v>
      </c>
      <c r="F31" s="12" t="n">
        <v>395000</v>
      </c>
      <c r="G31" s="13" t="n">
        <v>0.75</v>
      </c>
      <c r="H31" s="13" t="n">
        <v>1.15</v>
      </c>
      <c r="I31" s="13" t="n">
        <v>0.9591</v>
      </c>
      <c r="J31" s="13" t="n">
        <v>0.53</v>
      </c>
      <c r="K31" s="12" t="n">
        <f aca="false">ROUND(F31/100*G31*H31*I31/J31,2)</f>
        <v>6165.16</v>
      </c>
      <c r="L31" s="12" t="n">
        <v>6165.16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567</v>
      </c>
      <c r="B32" s="14" t="s">
        <v>623</v>
      </c>
      <c r="C32" s="14" t="s">
        <v>210</v>
      </c>
      <c r="D32" s="14" t="s">
        <v>624</v>
      </c>
      <c r="E32" s="14" t="s">
        <v>56</v>
      </c>
      <c r="F32" s="15" t="n">
        <v>155000</v>
      </c>
      <c r="G32" s="16" t="n">
        <v>0.92</v>
      </c>
      <c r="H32" s="16" t="n">
        <v>1.21</v>
      </c>
      <c r="I32" s="16" t="n">
        <v>0.9591</v>
      </c>
      <c r="J32" s="16" t="n">
        <v>0.53</v>
      </c>
      <c r="K32" s="15" t="n">
        <f aca="false">ROUND(F32/100*G32*H32*I32/J32,2)</f>
        <v>3122.43</v>
      </c>
      <c r="L32" s="15" t="n">
        <v>3122.43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564</v>
      </c>
      <c r="B33" s="3" t="s">
        <v>625</v>
      </c>
      <c r="C33" s="3" t="s">
        <v>48</v>
      </c>
      <c r="D33" s="3" t="s">
        <v>626</v>
      </c>
      <c r="E33" s="3" t="s">
        <v>74</v>
      </c>
      <c r="F33" s="12" t="n">
        <v>250000</v>
      </c>
      <c r="G33" s="13" t="n">
        <v>0.48</v>
      </c>
      <c r="H33" s="13" t="n">
        <v>1.28</v>
      </c>
      <c r="I33" s="13" t="n">
        <v>0.9591</v>
      </c>
      <c r="J33" s="13" t="n">
        <v>0.53</v>
      </c>
      <c r="K33" s="12" t="n">
        <f aca="false">ROUND(F33/100*G33*H33*I33/J33,2)</f>
        <v>2779.58</v>
      </c>
      <c r="L33" s="12" t="n">
        <v>2779.58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573</v>
      </c>
      <c r="B34" s="14" t="s">
        <v>627</v>
      </c>
      <c r="C34" s="14" t="s">
        <v>435</v>
      </c>
      <c r="D34" s="14" t="s">
        <v>628</v>
      </c>
      <c r="E34" s="14" t="s">
        <v>56</v>
      </c>
      <c r="F34" s="15" t="n">
        <v>220000</v>
      </c>
      <c r="G34" s="16" t="n">
        <v>0.92</v>
      </c>
      <c r="H34" s="16" t="n">
        <v>1.13</v>
      </c>
      <c r="I34" s="16" t="n">
        <v>0.9591</v>
      </c>
      <c r="J34" s="16" t="n">
        <v>0.53</v>
      </c>
      <c r="K34" s="15" t="n">
        <f aca="false">ROUND(F34/100*G34*H34*I34/J34,2)</f>
        <v>4138.82</v>
      </c>
      <c r="L34" s="15" t="n">
        <v>4138.82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629</v>
      </c>
      <c r="B35" s="3" t="s">
        <v>630</v>
      </c>
      <c r="C35" s="3" t="s">
        <v>77</v>
      </c>
      <c r="D35" s="3" t="s">
        <v>572</v>
      </c>
      <c r="E35" s="3" t="s">
        <v>56</v>
      </c>
      <c r="F35" s="12" t="n">
        <v>700000</v>
      </c>
      <c r="G35" s="13" t="n">
        <v>0.65</v>
      </c>
      <c r="H35" s="13" t="n">
        <v>1.42</v>
      </c>
      <c r="I35" s="13" t="n">
        <v>0.9591</v>
      </c>
      <c r="J35" s="13" t="n">
        <v>0.53</v>
      </c>
      <c r="K35" s="12" t="n">
        <f aca="false">ROUND(F35/100*G35*H35*I35/J35,2)</f>
        <v>11691.97</v>
      </c>
      <c r="L35" s="12" t="n">
        <v>11691.98</v>
      </c>
      <c r="M35" s="12" t="n">
        <f aca="false">L35-K35</f>
        <v>0.0100000000002183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559</v>
      </c>
      <c r="B36" s="14" t="s">
        <v>631</v>
      </c>
      <c r="C36" s="14" t="s">
        <v>409</v>
      </c>
      <c r="D36" s="14" t="s">
        <v>118</v>
      </c>
      <c r="E36" s="14" t="s">
        <v>56</v>
      </c>
      <c r="F36" s="15" t="n">
        <v>850000</v>
      </c>
      <c r="G36" s="16" t="n">
        <v>0.65</v>
      </c>
      <c r="H36" s="16" t="n">
        <v>1.3</v>
      </c>
      <c r="I36" s="16" t="n">
        <v>0.9591</v>
      </c>
      <c r="J36" s="16" t="n">
        <v>0.53</v>
      </c>
      <c r="K36" s="15" t="n">
        <f aca="false">ROUND(F36/100*G36*H36*I36/J36,2)</f>
        <v>12997.61</v>
      </c>
      <c r="L36" s="15" t="n">
        <v>12997.62</v>
      </c>
      <c r="M36" s="15" t="n">
        <f aca="false">L36-K36</f>
        <v>0.0100000000002183</v>
      </c>
      <c r="N36" s="14" t="s">
        <v>70</v>
      </c>
      <c r="O36" s="14" t="s">
        <v>52</v>
      </c>
    </row>
    <row r="37" customFormat="false" ht="15" hidden="false" customHeight="false" outlineLevel="0" collapsed="false">
      <c r="A37" s="3" t="s">
        <v>632</v>
      </c>
      <c r="B37" s="3" t="s">
        <v>633</v>
      </c>
      <c r="C37" s="3" t="s">
        <v>105</v>
      </c>
      <c r="D37" s="3" t="s">
        <v>634</v>
      </c>
      <c r="E37" s="3" t="s">
        <v>56</v>
      </c>
      <c r="F37" s="12" t="n">
        <v>460000</v>
      </c>
      <c r="G37" s="13" t="n">
        <v>0.75</v>
      </c>
      <c r="H37" s="13" t="n">
        <v>0.99</v>
      </c>
      <c r="I37" s="13" t="n">
        <v>0.9591</v>
      </c>
      <c r="J37" s="13" t="n">
        <v>0.53</v>
      </c>
      <c r="K37" s="12" t="n">
        <f aca="false">ROUND(F37/100*G37*H37*I37/J37,2)</f>
        <v>6180.77</v>
      </c>
      <c r="L37" s="12" t="n">
        <v>6180.77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602</v>
      </c>
      <c r="B38" s="14" t="s">
        <v>635</v>
      </c>
      <c r="C38" s="14" t="s">
        <v>409</v>
      </c>
      <c r="D38" s="14" t="s">
        <v>636</v>
      </c>
      <c r="E38" s="14" t="s">
        <v>157</v>
      </c>
      <c r="F38" s="15" t="n">
        <v>520000</v>
      </c>
      <c r="G38" s="16" t="n">
        <v>0.78</v>
      </c>
      <c r="H38" s="16" t="n">
        <v>1.3</v>
      </c>
      <c r="I38" s="16" t="n">
        <v>0.9591</v>
      </c>
      <c r="J38" s="16" t="n">
        <v>0.53</v>
      </c>
      <c r="K38" s="15" t="n">
        <f aca="false">ROUND(F38/100*G38*H38*I38/J38,2)</f>
        <v>9541.78</v>
      </c>
      <c r="L38" s="15" t="n">
        <v>9541.78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637</v>
      </c>
      <c r="B39" s="3" t="s">
        <v>638</v>
      </c>
      <c r="C39" s="3" t="s">
        <v>278</v>
      </c>
      <c r="D39" s="3" t="s">
        <v>639</v>
      </c>
      <c r="E39" s="3" t="s">
        <v>56</v>
      </c>
      <c r="F39" s="12" t="n">
        <v>1345000</v>
      </c>
      <c r="G39" s="13" t="n">
        <v>0.55</v>
      </c>
      <c r="H39" s="13" t="n">
        <v>0.98</v>
      </c>
      <c r="I39" s="13" t="n">
        <v>0.9591</v>
      </c>
      <c r="J39" s="13" t="n">
        <v>0.53</v>
      </c>
      <c r="K39" s="12" t="n">
        <f aca="false">ROUND(F39/100*G39*H39*I39/J39,2)</f>
        <v>13118.95</v>
      </c>
      <c r="L39" s="12" t="n">
        <v>13118.95</v>
      </c>
      <c r="M39" s="12" t="n">
        <f aca="false">L39-K39</f>
        <v>0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640</v>
      </c>
      <c r="B40" s="14" t="s">
        <v>641</v>
      </c>
      <c r="C40" s="14" t="s">
        <v>48</v>
      </c>
      <c r="D40" s="14" t="s">
        <v>642</v>
      </c>
      <c r="E40" s="14" t="s">
        <v>56</v>
      </c>
      <c r="F40" s="15" t="n">
        <v>205000</v>
      </c>
      <c r="G40" s="16" t="n">
        <v>0.92</v>
      </c>
      <c r="H40" s="16" t="n">
        <v>1.28</v>
      </c>
      <c r="I40" s="16" t="n">
        <v>0.9591</v>
      </c>
      <c r="J40" s="16" t="n">
        <v>0.53</v>
      </c>
      <c r="K40" s="15" t="n">
        <f aca="false">ROUND(F40/100*G40*H40*I40/J40,2)</f>
        <v>4368.57</v>
      </c>
      <c r="L40" s="15" t="n">
        <v>4368.58</v>
      </c>
      <c r="M40" s="15" t="n">
        <f aca="false">L40-K40</f>
        <v>0.0100000000002183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640</v>
      </c>
      <c r="B41" s="3" t="s">
        <v>643</v>
      </c>
      <c r="C41" s="3" t="s">
        <v>305</v>
      </c>
      <c r="D41" s="3" t="s">
        <v>400</v>
      </c>
      <c r="E41" s="3" t="s">
        <v>56</v>
      </c>
      <c r="F41" s="12" t="n">
        <v>655000</v>
      </c>
      <c r="G41" s="13" t="n">
        <v>0.65</v>
      </c>
      <c r="H41" s="13" t="n">
        <v>1.12</v>
      </c>
      <c r="I41" s="13" t="n">
        <v>0.9591</v>
      </c>
      <c r="J41" s="13" t="n">
        <v>0.53</v>
      </c>
      <c r="K41" s="12" t="n">
        <f aca="false">ROUND(F41/100*G41*H41*I41/J41,2)</f>
        <v>8629</v>
      </c>
      <c r="L41" s="12" t="n">
        <v>8629</v>
      </c>
      <c r="M41" s="12" t="n">
        <f aca="false">L41-K41</f>
        <v>0</v>
      </c>
      <c r="N41" s="3" t="s">
        <v>51</v>
      </c>
      <c r="O41" s="3" t="s">
        <v>52</v>
      </c>
    </row>
    <row r="42" customFormat="false" ht="15" hidden="false" customHeight="false" outlineLevel="0" collapsed="false">
      <c r="A42" s="14" t="s">
        <v>559</v>
      </c>
      <c r="B42" s="14" t="s">
        <v>644</v>
      </c>
      <c r="C42" s="14" t="s">
        <v>131</v>
      </c>
      <c r="D42" s="14" t="s">
        <v>645</v>
      </c>
      <c r="E42" s="14" t="s">
        <v>56</v>
      </c>
      <c r="F42" s="15" t="n">
        <v>415000</v>
      </c>
      <c r="G42" s="16" t="n">
        <v>0.75</v>
      </c>
      <c r="H42" s="16" t="n">
        <v>0.95</v>
      </c>
      <c r="I42" s="16" t="n">
        <v>0.9591</v>
      </c>
      <c r="J42" s="16" t="n">
        <v>0.53</v>
      </c>
      <c r="K42" s="15" t="n">
        <f aca="false">ROUND(F42/100*G42*H42*I42/J42,2)</f>
        <v>5350.83</v>
      </c>
      <c r="L42" s="15" t="n">
        <v>5350.83</v>
      </c>
      <c r="M42" s="15" t="n">
        <f aca="false">L42-K42</f>
        <v>0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646</v>
      </c>
      <c r="B43" s="3" t="s">
        <v>647</v>
      </c>
      <c r="C43" s="3" t="s">
        <v>174</v>
      </c>
      <c r="D43" s="3" t="s">
        <v>648</v>
      </c>
      <c r="E43" s="3" t="s">
        <v>56</v>
      </c>
      <c r="F43" s="12" t="n">
        <v>545000</v>
      </c>
      <c r="G43" s="13" t="n">
        <v>0.65</v>
      </c>
      <c r="H43" s="13" t="n">
        <v>1.55</v>
      </c>
      <c r="I43" s="13" t="n">
        <v>0.9591</v>
      </c>
      <c r="J43" s="13" t="n">
        <v>0.53</v>
      </c>
      <c r="K43" s="12" t="n">
        <f aca="false">ROUND(F43/100*G43*H43*I43/J43,2)</f>
        <v>9936.41</v>
      </c>
      <c r="L43" s="12" t="n">
        <v>9936.41</v>
      </c>
      <c r="M43" s="12" t="n">
        <f aca="false">L43-K43</f>
        <v>0</v>
      </c>
      <c r="N43" s="3" t="s">
        <v>51</v>
      </c>
      <c r="O43" s="3" t="s">
        <v>52</v>
      </c>
    </row>
    <row r="44" customFormat="false" ht="15" hidden="false" customHeight="false" outlineLevel="0" collapsed="false">
      <c r="A44" s="14" t="s">
        <v>640</v>
      </c>
      <c r="B44" s="14" t="s">
        <v>649</v>
      </c>
      <c r="C44" s="14" t="s">
        <v>64</v>
      </c>
      <c r="D44" s="14" t="s">
        <v>279</v>
      </c>
      <c r="E44" s="14" t="s">
        <v>50</v>
      </c>
      <c r="F44" s="15" t="n">
        <v>1000000</v>
      </c>
      <c r="G44" s="16" t="n">
        <v>0.8</v>
      </c>
      <c r="H44" s="16" t="n">
        <v>1.17</v>
      </c>
      <c r="I44" s="16" t="n">
        <v>0.9591</v>
      </c>
      <c r="J44" s="16" t="n">
        <v>0.53</v>
      </c>
      <c r="K44" s="15" t="n">
        <f aca="false">ROUND(F44/100*G44*H44*I44/J44,2)</f>
        <v>16938.07</v>
      </c>
      <c r="L44" s="15" t="n">
        <v>16938.07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588</v>
      </c>
      <c r="B45" s="3" t="s">
        <v>650</v>
      </c>
      <c r="C45" s="3" t="s">
        <v>196</v>
      </c>
      <c r="D45" s="3" t="s">
        <v>622</v>
      </c>
      <c r="E45" s="3" t="s">
        <v>56</v>
      </c>
      <c r="F45" s="12" t="n">
        <v>695000</v>
      </c>
      <c r="G45" s="13" t="n">
        <v>0.65</v>
      </c>
      <c r="H45" s="13" t="n">
        <v>1.04</v>
      </c>
      <c r="I45" s="13" t="n">
        <v>0.9591</v>
      </c>
      <c r="J45" s="13" t="n">
        <v>0.53</v>
      </c>
      <c r="K45" s="12" t="n">
        <f aca="false">ROUND(F45/100*G45*H45*I45/J45,2)</f>
        <v>8501.97</v>
      </c>
      <c r="L45" s="12" t="n">
        <v>8501.97</v>
      </c>
      <c r="M45" s="12" t="n">
        <f aca="false">L45-K45</f>
        <v>0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564</v>
      </c>
      <c r="B46" s="14" t="s">
        <v>651</v>
      </c>
      <c r="C46" s="14" t="s">
        <v>77</v>
      </c>
      <c r="D46" s="14" t="s">
        <v>652</v>
      </c>
      <c r="E46" s="14" t="s">
        <v>56</v>
      </c>
      <c r="F46" s="15" t="n">
        <v>105000</v>
      </c>
      <c r="G46" s="16" t="n">
        <v>0.92</v>
      </c>
      <c r="H46" s="16" t="n">
        <v>1.42</v>
      </c>
      <c r="I46" s="16" t="n">
        <v>0.9591</v>
      </c>
      <c r="J46" s="16" t="n">
        <v>0.53</v>
      </c>
      <c r="K46" s="15" t="n">
        <f aca="false">ROUND(F46/100*G46*H46*I46/J46,2)</f>
        <v>2482.3</v>
      </c>
      <c r="L46" s="15" t="n">
        <v>2482.29</v>
      </c>
      <c r="M46" s="15" t="n">
        <f aca="false">L46-K46</f>
        <v>-0.0100000000002183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613</v>
      </c>
      <c r="B47" s="3" t="s">
        <v>653</v>
      </c>
      <c r="C47" s="3" t="s">
        <v>217</v>
      </c>
      <c r="D47" s="3" t="s">
        <v>654</v>
      </c>
      <c r="E47" s="3" t="s">
        <v>74</v>
      </c>
      <c r="F47" s="12" t="n">
        <v>645000</v>
      </c>
      <c r="G47" s="13" t="n">
        <v>0.43</v>
      </c>
      <c r="H47" s="13" t="n">
        <v>1.3</v>
      </c>
      <c r="I47" s="13" t="n">
        <v>0.9591</v>
      </c>
      <c r="J47" s="13" t="n">
        <v>0.53</v>
      </c>
      <c r="K47" s="12" t="n">
        <f aca="false">ROUND(F47/100*G47*H47*I47/J47,2)</f>
        <v>6524.68</v>
      </c>
      <c r="L47" s="12" t="n">
        <v>6524.68</v>
      </c>
      <c r="M47" s="12" t="n">
        <f aca="false">L47-K47</f>
        <v>0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588</v>
      </c>
      <c r="B48" s="14" t="s">
        <v>655</v>
      </c>
      <c r="C48" s="14" t="s">
        <v>93</v>
      </c>
      <c r="D48" s="14" t="s">
        <v>656</v>
      </c>
      <c r="E48" s="14" t="s">
        <v>50</v>
      </c>
      <c r="F48" s="15" t="n">
        <v>260000</v>
      </c>
      <c r="G48" s="16" t="n">
        <v>1.15</v>
      </c>
      <c r="H48" s="16" t="n">
        <v>1.39</v>
      </c>
      <c r="I48" s="16" t="n">
        <v>0.9591</v>
      </c>
      <c r="J48" s="16" t="n">
        <v>0.53</v>
      </c>
      <c r="K48" s="15" t="n">
        <f aca="false">ROUND(F48/100*G48*H48*I48/J48,2)</f>
        <v>7520.97</v>
      </c>
      <c r="L48" s="15" t="n">
        <v>7520.97</v>
      </c>
      <c r="M48" s="15" t="n">
        <f aca="false">L48-K48</f>
        <v>0</v>
      </c>
      <c r="N48" s="14" t="s">
        <v>51</v>
      </c>
      <c r="O48" s="14" t="s">
        <v>52</v>
      </c>
    </row>
    <row r="49" customFormat="false" ht="15" hidden="false" customHeight="false" outlineLevel="0" collapsed="false">
      <c r="A49" s="3" t="s">
        <v>657</v>
      </c>
      <c r="B49" s="3" t="s">
        <v>658</v>
      </c>
      <c r="C49" s="3" t="s">
        <v>193</v>
      </c>
      <c r="D49" s="3" t="s">
        <v>659</v>
      </c>
      <c r="E49" s="3" t="s">
        <v>56</v>
      </c>
      <c r="F49" s="12" t="n">
        <v>345000</v>
      </c>
      <c r="G49" s="13" t="n">
        <v>0.75</v>
      </c>
      <c r="H49" s="13" t="n">
        <v>1.25</v>
      </c>
      <c r="I49" s="13" t="n">
        <v>0.9591</v>
      </c>
      <c r="J49" s="13" t="n">
        <v>0.53</v>
      </c>
      <c r="K49" s="12" t="n">
        <f aca="false">ROUND(F49/100*G49*H49*I49/J49,2)</f>
        <v>5853</v>
      </c>
      <c r="L49" s="12" t="n">
        <v>5852.99</v>
      </c>
      <c r="M49" s="12" t="n">
        <f aca="false">L49-K49</f>
        <v>-0.0100000000002183</v>
      </c>
      <c r="N49" s="3" t="s">
        <v>51</v>
      </c>
      <c r="O49" s="3" t="s">
        <v>52</v>
      </c>
    </row>
    <row r="50" customFormat="false" ht="15" hidden="false" customHeight="false" outlineLevel="0" collapsed="false">
      <c r="A50" s="14" t="s">
        <v>660</v>
      </c>
      <c r="B50" s="14" t="s">
        <v>661</v>
      </c>
      <c r="C50" s="14" t="s">
        <v>188</v>
      </c>
      <c r="D50" s="14" t="s">
        <v>662</v>
      </c>
      <c r="E50" s="14" t="s">
        <v>56</v>
      </c>
      <c r="F50" s="15" t="n">
        <v>655000</v>
      </c>
      <c r="G50" s="16" t="n">
        <v>0.65</v>
      </c>
      <c r="H50" s="16" t="n">
        <v>1.35</v>
      </c>
      <c r="I50" s="16" t="n">
        <v>0.9591</v>
      </c>
      <c r="J50" s="16" t="n">
        <v>0.53</v>
      </c>
      <c r="K50" s="15" t="n">
        <f aca="false">ROUND(F50/100*G50*H50*I50/J50,2)</f>
        <v>10401.03</v>
      </c>
      <c r="L50" s="15" t="n">
        <v>10401.04</v>
      </c>
      <c r="M50" s="15" t="n">
        <f aca="false">L50-K50</f>
        <v>0.0100000000002183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609</v>
      </c>
      <c r="B51" s="3" t="s">
        <v>663</v>
      </c>
      <c r="C51" s="3" t="s">
        <v>93</v>
      </c>
      <c r="D51" s="3" t="s">
        <v>664</v>
      </c>
      <c r="E51" s="3" t="s">
        <v>56</v>
      </c>
      <c r="F51" s="12" t="n">
        <v>500000</v>
      </c>
      <c r="G51" s="13" t="n">
        <v>0.65</v>
      </c>
      <c r="H51" s="13" t="n">
        <v>1.39</v>
      </c>
      <c r="I51" s="13" t="n">
        <v>0.9591</v>
      </c>
      <c r="J51" s="13" t="n">
        <v>0.53</v>
      </c>
      <c r="K51" s="12" t="n">
        <f aca="false">ROUND(F51/100*G51*H51*I51/J51,2)</f>
        <v>8174.97</v>
      </c>
      <c r="L51" s="12" t="n">
        <v>8174.97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620</v>
      </c>
      <c r="B52" s="14" t="s">
        <v>665</v>
      </c>
      <c r="C52" s="14" t="s">
        <v>81</v>
      </c>
      <c r="D52" s="14" t="s">
        <v>666</v>
      </c>
      <c r="E52" s="14" t="s">
        <v>50</v>
      </c>
      <c r="F52" s="15" t="n">
        <v>1740000</v>
      </c>
      <c r="G52" s="16" t="n">
        <v>0.8</v>
      </c>
      <c r="H52" s="16" t="n">
        <v>1.27</v>
      </c>
      <c r="I52" s="16" t="n">
        <v>0.9591</v>
      </c>
      <c r="J52" s="16" t="n">
        <v>0.53</v>
      </c>
      <c r="K52" s="15" t="n">
        <f aca="false">ROUND(F52/100*G52*H52*I52/J52,2)</f>
        <v>31991.23</v>
      </c>
      <c r="L52" s="15" t="n">
        <v>31991.23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632</v>
      </c>
      <c r="B53" s="3" t="s">
        <v>667</v>
      </c>
      <c r="C53" s="3" t="s">
        <v>77</v>
      </c>
      <c r="D53" s="3" t="s">
        <v>668</v>
      </c>
      <c r="E53" s="3" t="s">
        <v>74</v>
      </c>
      <c r="F53" s="12" t="n">
        <v>970000</v>
      </c>
      <c r="G53" s="13" t="n">
        <v>0.43</v>
      </c>
      <c r="H53" s="13" t="n">
        <v>1.42</v>
      </c>
      <c r="I53" s="13" t="n">
        <v>0.9591</v>
      </c>
      <c r="J53" s="13" t="n">
        <v>0.53</v>
      </c>
      <c r="K53" s="12" t="n">
        <f aca="false">ROUND(F53/100*G53*H53*I53/J53,2)</f>
        <v>10718.07</v>
      </c>
      <c r="L53" s="12" t="n">
        <v>10718.07</v>
      </c>
      <c r="M53" s="12" t="n">
        <f aca="false">L53-K53</f>
        <v>0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669</v>
      </c>
      <c r="B54" s="14" t="s">
        <v>670</v>
      </c>
      <c r="C54" s="14" t="s">
        <v>117</v>
      </c>
      <c r="D54" s="14" t="s">
        <v>671</v>
      </c>
      <c r="E54" s="14" t="s">
        <v>56</v>
      </c>
      <c r="F54" s="15" t="n">
        <v>170000</v>
      </c>
      <c r="G54" s="16" t="n">
        <v>0.92</v>
      </c>
      <c r="H54" s="16" t="n">
        <v>0.91</v>
      </c>
      <c r="I54" s="16" t="n">
        <v>0.9591</v>
      </c>
      <c r="J54" s="16" t="n">
        <v>0.53</v>
      </c>
      <c r="K54" s="15" t="n">
        <f aca="false">ROUND(F54/100*G54*H54*I54/J54,2)</f>
        <v>2575.53</v>
      </c>
      <c r="L54" s="15" t="n">
        <v>2575.53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562</v>
      </c>
      <c r="B55" s="3" t="s">
        <v>672</v>
      </c>
      <c r="C55" s="3" t="s">
        <v>136</v>
      </c>
      <c r="D55" s="3" t="s">
        <v>673</v>
      </c>
      <c r="E55" s="3" t="s">
        <v>56</v>
      </c>
      <c r="F55" s="12" t="n">
        <v>280000</v>
      </c>
      <c r="G55" s="13" t="n">
        <v>0.75</v>
      </c>
      <c r="H55" s="13" t="n">
        <v>1.32</v>
      </c>
      <c r="I55" s="13" t="n">
        <v>0.9591</v>
      </c>
      <c r="J55" s="13" t="n">
        <v>0.53</v>
      </c>
      <c r="K55" s="12" t="n">
        <f aca="false">ROUND(F55/100*G55*H55*I55/J55,2)</f>
        <v>5016.27</v>
      </c>
      <c r="L55" s="12" t="n">
        <v>5016.28</v>
      </c>
      <c r="M55" s="12" t="n">
        <f aca="false">L55-K55</f>
        <v>0.00999999999930878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604</v>
      </c>
      <c r="B56" s="14" t="s">
        <v>674</v>
      </c>
      <c r="C56" s="14" t="s">
        <v>174</v>
      </c>
      <c r="D56" s="14" t="s">
        <v>675</v>
      </c>
      <c r="E56" s="14" t="s">
        <v>56</v>
      </c>
      <c r="F56" s="15" t="n">
        <v>470000</v>
      </c>
      <c r="G56" s="16" t="n">
        <v>0.75</v>
      </c>
      <c r="H56" s="16" t="n">
        <v>1.55</v>
      </c>
      <c r="I56" s="16" t="n">
        <v>0.9591</v>
      </c>
      <c r="J56" s="16" t="n">
        <v>0.53</v>
      </c>
      <c r="K56" s="15" t="n">
        <f aca="false">ROUND(F56/100*G56*H56*I56/J56,2)</f>
        <v>9887.33</v>
      </c>
      <c r="L56" s="15" t="n">
        <v>9887.32</v>
      </c>
      <c r="M56" s="15" t="n">
        <f aca="false">L56-K56</f>
        <v>-0.0100000000002183</v>
      </c>
      <c r="N56" s="14" t="s">
        <v>51</v>
      </c>
      <c r="O56" s="14" t="s">
        <v>52</v>
      </c>
    </row>
    <row r="57" customFormat="false" ht="15" hidden="false" customHeight="false" outlineLevel="0" collapsed="false">
      <c r="A57" s="3" t="s">
        <v>640</v>
      </c>
      <c r="B57" s="3" t="s">
        <v>676</v>
      </c>
      <c r="C57" s="3" t="s">
        <v>89</v>
      </c>
      <c r="D57" s="3" t="s">
        <v>677</v>
      </c>
      <c r="E57" s="3" t="s">
        <v>50</v>
      </c>
      <c r="F57" s="12" t="n">
        <v>220000</v>
      </c>
      <c r="G57" s="13" t="n">
        <v>1.42</v>
      </c>
      <c r="H57" s="13" t="n">
        <v>1.35</v>
      </c>
      <c r="I57" s="13" t="n">
        <v>0.9591</v>
      </c>
      <c r="J57" s="13" t="n">
        <v>0.53</v>
      </c>
      <c r="K57" s="12" t="n">
        <f aca="false">ROUND(F57/100*G57*H57*I57/J57,2)</f>
        <v>7631.9</v>
      </c>
      <c r="L57" s="12" t="n">
        <v>7631.9</v>
      </c>
      <c r="M57" s="12" t="n">
        <f aca="false">L57-K57</f>
        <v>0</v>
      </c>
      <c r="N57" s="3" t="s">
        <v>51</v>
      </c>
      <c r="O57" s="3" t="s">
        <v>52</v>
      </c>
    </row>
    <row r="58" customFormat="false" ht="15" hidden="false" customHeight="false" outlineLevel="0" collapsed="false">
      <c r="A58" s="14" t="s">
        <v>678</v>
      </c>
      <c r="B58" s="14" t="s">
        <v>679</v>
      </c>
      <c r="C58" s="14" t="s">
        <v>326</v>
      </c>
      <c r="D58" s="14" t="s">
        <v>680</v>
      </c>
      <c r="E58" s="14" t="s">
        <v>56</v>
      </c>
      <c r="F58" s="15" t="n">
        <v>480000</v>
      </c>
      <c r="G58" s="16" t="n">
        <v>0.75</v>
      </c>
      <c r="H58" s="16" t="n">
        <v>1.12</v>
      </c>
      <c r="I58" s="16" t="n">
        <v>0.9591</v>
      </c>
      <c r="J58" s="16" t="n">
        <v>0.53</v>
      </c>
      <c r="K58" s="15" t="n">
        <f aca="false">ROUND(F58/100*G58*H58*I58/J58,2)</f>
        <v>7296.4</v>
      </c>
      <c r="L58" s="15" t="n">
        <v>7296.4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629</v>
      </c>
      <c r="B59" s="3" t="s">
        <v>681</v>
      </c>
      <c r="C59" s="3" t="s">
        <v>89</v>
      </c>
      <c r="D59" s="3" t="s">
        <v>682</v>
      </c>
      <c r="E59" s="3" t="s">
        <v>56</v>
      </c>
      <c r="F59" s="12" t="n">
        <v>815000</v>
      </c>
      <c r="G59" s="13" t="n">
        <v>0.65</v>
      </c>
      <c r="H59" s="13" t="n">
        <v>1.35</v>
      </c>
      <c r="I59" s="13" t="n">
        <v>0.9591</v>
      </c>
      <c r="J59" s="13" t="n">
        <v>0.53</v>
      </c>
      <c r="K59" s="12" t="n">
        <f aca="false">ROUND(F59/100*G59*H59*I59/J59,2)</f>
        <v>12941.74</v>
      </c>
      <c r="L59" s="12" t="n">
        <v>12941.74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573</v>
      </c>
      <c r="B60" s="14" t="s">
        <v>683</v>
      </c>
      <c r="C60" s="14" t="s">
        <v>128</v>
      </c>
      <c r="D60" s="14" t="s">
        <v>433</v>
      </c>
      <c r="E60" s="14" t="s">
        <v>56</v>
      </c>
      <c r="F60" s="15" t="n">
        <v>1280000</v>
      </c>
      <c r="G60" s="16" t="n">
        <v>0.55</v>
      </c>
      <c r="H60" s="16" t="n">
        <v>1.25</v>
      </c>
      <c r="I60" s="16" t="n">
        <v>0.9591</v>
      </c>
      <c r="J60" s="16" t="n">
        <v>0.53</v>
      </c>
      <c r="K60" s="15" t="n">
        <f aca="false">ROUND(F60/100*G60*H60*I60/J60,2)</f>
        <v>15924.68</v>
      </c>
      <c r="L60" s="15" t="n">
        <v>15924.68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578</v>
      </c>
      <c r="B61" s="3" t="s">
        <v>684</v>
      </c>
      <c r="C61" s="3" t="s">
        <v>128</v>
      </c>
      <c r="D61" s="3" t="s">
        <v>685</v>
      </c>
      <c r="E61" s="3" t="s">
        <v>74</v>
      </c>
      <c r="F61" s="12" t="n">
        <v>1515000</v>
      </c>
      <c r="G61" s="13" t="n">
        <v>0.38</v>
      </c>
      <c r="H61" s="13" t="n">
        <v>1.25</v>
      </c>
      <c r="I61" s="13" t="n">
        <v>0.9591</v>
      </c>
      <c r="J61" s="13" t="n">
        <v>0.53</v>
      </c>
      <c r="K61" s="12" t="n">
        <f aca="false">ROUND(F61/100*G61*H61*I61/J61,2)</f>
        <v>13022.5</v>
      </c>
      <c r="L61" s="12" t="n">
        <v>13022.5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686</v>
      </c>
      <c r="B62" s="14" t="s">
        <v>687</v>
      </c>
      <c r="C62" s="14" t="s">
        <v>142</v>
      </c>
      <c r="D62" s="14" t="s">
        <v>240</v>
      </c>
      <c r="E62" s="14" t="s">
        <v>56</v>
      </c>
      <c r="F62" s="15" t="n">
        <v>375000</v>
      </c>
      <c r="G62" s="16" t="n">
        <v>0.75</v>
      </c>
      <c r="H62" s="16" t="n">
        <v>1.22</v>
      </c>
      <c r="I62" s="16" t="n">
        <v>0.9591</v>
      </c>
      <c r="J62" s="16" t="n">
        <v>0.53</v>
      </c>
      <c r="K62" s="15" t="n">
        <f aca="false">ROUND(F62/100*G62*H62*I62/J62,2)</f>
        <v>6209.27</v>
      </c>
      <c r="L62" s="15" t="n">
        <v>6209.27</v>
      </c>
      <c r="M62" s="15" t="n">
        <f aca="false">L62-K62</f>
        <v>0</v>
      </c>
      <c r="N62" s="14" t="s">
        <v>70</v>
      </c>
      <c r="O62" s="14" t="s">
        <v>52</v>
      </c>
    </row>
    <row r="63" customFormat="false" ht="15" hidden="false" customHeight="false" outlineLevel="0" collapsed="false">
      <c r="A63" s="3" t="s">
        <v>588</v>
      </c>
      <c r="B63" s="3" t="s">
        <v>688</v>
      </c>
      <c r="C63" s="3" t="s">
        <v>48</v>
      </c>
      <c r="D63" s="3" t="s">
        <v>689</v>
      </c>
      <c r="E63" s="3" t="s">
        <v>74</v>
      </c>
      <c r="F63" s="12" t="n">
        <v>975000</v>
      </c>
      <c r="G63" s="13" t="n">
        <v>0.43</v>
      </c>
      <c r="H63" s="13" t="n">
        <v>1.28</v>
      </c>
      <c r="I63" s="13" t="n">
        <v>0.9591</v>
      </c>
      <c r="J63" s="13" t="n">
        <v>0.53</v>
      </c>
      <c r="K63" s="12" t="n">
        <f aca="false">ROUND(F63/100*G63*H63*I63/J63,2)</f>
        <v>9711.16</v>
      </c>
      <c r="L63" s="12" t="n">
        <v>9711.16</v>
      </c>
      <c r="M63" s="12" t="n">
        <f aca="false">L63-K63</f>
        <v>0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690</v>
      </c>
      <c r="B64" s="14" t="s">
        <v>691</v>
      </c>
      <c r="C64" s="14" t="s">
        <v>152</v>
      </c>
      <c r="D64" s="14" t="s">
        <v>194</v>
      </c>
      <c r="E64" s="14" t="s">
        <v>56</v>
      </c>
      <c r="F64" s="15" t="n">
        <v>1160000</v>
      </c>
      <c r="G64" s="16" t="n">
        <v>0.55</v>
      </c>
      <c r="H64" s="16" t="n">
        <v>1</v>
      </c>
      <c r="I64" s="16" t="n">
        <v>0.9591</v>
      </c>
      <c r="J64" s="16" t="n">
        <v>0.53</v>
      </c>
      <c r="K64" s="15" t="n">
        <f aca="false">ROUND(F64/100*G64*H64*I64/J64,2)</f>
        <v>11545.39</v>
      </c>
      <c r="L64" s="15" t="n">
        <v>11545.4</v>
      </c>
      <c r="M64" s="15" t="n">
        <f aca="false">L64-K64</f>
        <v>0.0100000000002183</v>
      </c>
      <c r="N64" s="14" t="s">
        <v>51</v>
      </c>
      <c r="O64" s="14" t="s">
        <v>52</v>
      </c>
    </row>
    <row r="65" customFormat="false" ht="15" hidden="false" customHeight="false" outlineLevel="0" collapsed="false">
      <c r="A65" s="3" t="s">
        <v>632</v>
      </c>
      <c r="B65" s="3" t="s">
        <v>692</v>
      </c>
      <c r="C65" s="3" t="s">
        <v>89</v>
      </c>
      <c r="D65" s="3" t="s">
        <v>517</v>
      </c>
      <c r="E65" s="3" t="s">
        <v>74</v>
      </c>
      <c r="F65" s="12" t="n">
        <v>850000</v>
      </c>
      <c r="G65" s="13" t="n">
        <v>0.43</v>
      </c>
      <c r="H65" s="13" t="n">
        <v>1.35</v>
      </c>
      <c r="I65" s="13" t="n">
        <v>0.9591</v>
      </c>
      <c r="J65" s="13" t="n">
        <v>0.53</v>
      </c>
      <c r="K65" s="12" t="n">
        <f aca="false">ROUND(F65/100*G65*H65*I65/J65,2)</f>
        <v>8929.13</v>
      </c>
      <c r="L65" s="12" t="n">
        <v>8929.13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620</v>
      </c>
      <c r="B66" s="14" t="s">
        <v>693</v>
      </c>
      <c r="C66" s="14" t="s">
        <v>120</v>
      </c>
      <c r="D66" s="14" t="s">
        <v>694</v>
      </c>
      <c r="E66" s="14" t="s">
        <v>56</v>
      </c>
      <c r="F66" s="15" t="n">
        <v>365000</v>
      </c>
      <c r="G66" s="16" t="n">
        <v>0.75</v>
      </c>
      <c r="H66" s="16" t="n">
        <v>1.15</v>
      </c>
      <c r="I66" s="16" t="n">
        <v>0.9591</v>
      </c>
      <c r="J66" s="16" t="n">
        <v>0.53</v>
      </c>
      <c r="K66" s="15" t="n">
        <f aca="false">ROUND(F66/100*G66*H66*I66/J66,2)</f>
        <v>5696.92</v>
      </c>
      <c r="L66" s="15" t="n">
        <v>5696.92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613</v>
      </c>
      <c r="B67" s="3" t="s">
        <v>695</v>
      </c>
      <c r="C67" s="3" t="s">
        <v>184</v>
      </c>
      <c r="D67" s="3" t="s">
        <v>696</v>
      </c>
      <c r="E67" s="3" t="s">
        <v>56</v>
      </c>
      <c r="F67" s="12" t="n">
        <v>580000</v>
      </c>
      <c r="G67" s="13" t="n">
        <v>0.65</v>
      </c>
      <c r="H67" s="13" t="n">
        <v>1.02</v>
      </c>
      <c r="I67" s="13" t="n">
        <v>0.9591</v>
      </c>
      <c r="J67" s="13" t="n">
        <v>0.53</v>
      </c>
      <c r="K67" s="12" t="n">
        <f aca="false">ROUND(F67/100*G67*H67*I67/J67,2)</f>
        <v>6958.72</v>
      </c>
      <c r="L67" s="12" t="n">
        <v>6958.72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629</v>
      </c>
      <c r="B68" s="14" t="s">
        <v>697</v>
      </c>
      <c r="C68" s="14" t="s">
        <v>159</v>
      </c>
      <c r="D68" s="14" t="s">
        <v>698</v>
      </c>
      <c r="E68" s="14" t="s">
        <v>74</v>
      </c>
      <c r="F68" s="15" t="n">
        <v>975000</v>
      </c>
      <c r="G68" s="16" t="n">
        <v>0.43</v>
      </c>
      <c r="H68" s="16" t="n">
        <v>1.15</v>
      </c>
      <c r="I68" s="16" t="n">
        <v>0.9591</v>
      </c>
      <c r="J68" s="16" t="n">
        <v>0.53</v>
      </c>
      <c r="K68" s="15" t="n">
        <f aca="false">ROUND(F68/100*G68*H68*I68/J68,2)</f>
        <v>8724.87</v>
      </c>
      <c r="L68" s="15" t="n">
        <v>8724.87</v>
      </c>
      <c r="M68" s="15" t="n">
        <f aca="false">L68-K68</f>
        <v>0</v>
      </c>
      <c r="N68" s="14" t="s">
        <v>51</v>
      </c>
      <c r="O68" s="14" t="s">
        <v>52</v>
      </c>
    </row>
    <row r="69" customFormat="false" ht="15" hidden="false" customHeight="false" outlineLevel="0" collapsed="false">
      <c r="A69" s="3" t="s">
        <v>609</v>
      </c>
      <c r="B69" s="3" t="s">
        <v>699</v>
      </c>
      <c r="C69" s="3" t="s">
        <v>311</v>
      </c>
      <c r="D69" s="3" t="s">
        <v>700</v>
      </c>
      <c r="E69" s="3" t="s">
        <v>74</v>
      </c>
      <c r="F69" s="12" t="n">
        <v>180000</v>
      </c>
      <c r="G69" s="13" t="n">
        <v>0.57</v>
      </c>
      <c r="H69" s="13" t="n">
        <v>1.06</v>
      </c>
      <c r="I69" s="13" t="n">
        <v>0.9591</v>
      </c>
      <c r="J69" s="13" t="n">
        <v>0.53</v>
      </c>
      <c r="K69" s="12" t="n">
        <f aca="false">ROUND(F69/100*G69*H69*I69/J69,2)</f>
        <v>1968.07</v>
      </c>
      <c r="L69" s="12" t="n">
        <v>1968.07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559</v>
      </c>
      <c r="B70" s="14" t="s">
        <v>701</v>
      </c>
      <c r="C70" s="14" t="s">
        <v>193</v>
      </c>
      <c r="D70" s="14" t="s">
        <v>671</v>
      </c>
      <c r="E70" s="14" t="s">
        <v>56</v>
      </c>
      <c r="F70" s="15" t="n">
        <v>355000</v>
      </c>
      <c r="G70" s="16" t="n">
        <v>0.75</v>
      </c>
      <c r="H70" s="16" t="n">
        <v>1.25</v>
      </c>
      <c r="I70" s="16" t="n">
        <v>0.9591</v>
      </c>
      <c r="J70" s="16" t="n">
        <v>0.53</v>
      </c>
      <c r="K70" s="15" t="n">
        <f aca="false">ROUND(F70/100*G70*H70*I70/J70,2)</f>
        <v>6022.65</v>
      </c>
      <c r="L70" s="15" t="n">
        <v>6022.65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620</v>
      </c>
      <c r="B71" s="3" t="s">
        <v>702</v>
      </c>
      <c r="C71" s="3" t="s">
        <v>48</v>
      </c>
      <c r="D71" s="3" t="s">
        <v>703</v>
      </c>
      <c r="E71" s="3" t="s">
        <v>74</v>
      </c>
      <c r="F71" s="12" t="n">
        <v>565000</v>
      </c>
      <c r="G71" s="13" t="n">
        <v>0.43</v>
      </c>
      <c r="H71" s="13" t="n">
        <v>1.28</v>
      </c>
      <c r="I71" s="13" t="n">
        <v>0.9591</v>
      </c>
      <c r="J71" s="13" t="n">
        <v>0.53</v>
      </c>
      <c r="K71" s="12" t="n">
        <f aca="false">ROUND(F71/100*G71*H71*I71/J71,2)</f>
        <v>5627.49</v>
      </c>
      <c r="L71" s="12" t="n">
        <v>5627.49</v>
      </c>
      <c r="M71" s="12" t="n">
        <f aca="false">L71-K71</f>
        <v>0</v>
      </c>
      <c r="N71" s="3" t="s">
        <v>70</v>
      </c>
      <c r="O71" s="3" t="s">
        <v>52</v>
      </c>
    </row>
    <row r="72" customFormat="false" ht="15" hidden="false" customHeight="false" outlineLevel="0" collapsed="false">
      <c r="A72" s="14" t="s">
        <v>640</v>
      </c>
      <c r="B72" s="14" t="s">
        <v>704</v>
      </c>
      <c r="C72" s="14" t="s">
        <v>230</v>
      </c>
      <c r="D72" s="14" t="s">
        <v>705</v>
      </c>
      <c r="E72" s="14" t="s">
        <v>56</v>
      </c>
      <c r="F72" s="15" t="n">
        <v>345000</v>
      </c>
      <c r="G72" s="16" t="n">
        <v>0.75</v>
      </c>
      <c r="H72" s="16" t="n">
        <v>1.09</v>
      </c>
      <c r="I72" s="16" t="n">
        <v>0.9591</v>
      </c>
      <c r="J72" s="16" t="n">
        <v>0.53</v>
      </c>
      <c r="K72" s="15" t="n">
        <f aca="false">ROUND(F72/100*G72*H72*I72/J72,2)</f>
        <v>5103.81</v>
      </c>
      <c r="L72" s="15" t="n">
        <v>5103.81</v>
      </c>
      <c r="M72" s="15" t="n">
        <f aca="false">L72-K72</f>
        <v>0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646</v>
      </c>
      <c r="B73" s="3" t="s">
        <v>706</v>
      </c>
      <c r="C73" s="3" t="s">
        <v>117</v>
      </c>
      <c r="D73" s="3" t="s">
        <v>707</v>
      </c>
      <c r="E73" s="3" t="s">
        <v>50</v>
      </c>
      <c r="F73" s="12" t="n">
        <v>705000</v>
      </c>
      <c r="G73" s="13" t="n">
        <v>0.95</v>
      </c>
      <c r="H73" s="13" t="n">
        <v>0.91</v>
      </c>
      <c r="I73" s="13" t="n">
        <v>0.9591</v>
      </c>
      <c r="J73" s="13" t="n">
        <v>0.53</v>
      </c>
      <c r="K73" s="12" t="n">
        <f aca="false">ROUND(F73/100*G73*H73*I73/J73,2)</f>
        <v>11029.15</v>
      </c>
      <c r="L73" s="12" t="n">
        <v>11029.15</v>
      </c>
      <c r="M73" s="12" t="n">
        <f aca="false">L73-K73</f>
        <v>0</v>
      </c>
      <c r="N73" s="3" t="s">
        <v>70</v>
      </c>
      <c r="O73" s="3" t="s">
        <v>52</v>
      </c>
    </row>
    <row r="74" customFormat="false" ht="15" hidden="false" customHeight="false" outlineLevel="0" collapsed="false">
      <c r="A74" s="14" t="s">
        <v>690</v>
      </c>
      <c r="B74" s="14" t="s">
        <v>708</v>
      </c>
      <c r="C74" s="14" t="s">
        <v>68</v>
      </c>
      <c r="D74" s="14" t="s">
        <v>709</v>
      </c>
      <c r="E74" s="14" t="s">
        <v>56</v>
      </c>
      <c r="F74" s="15" t="n">
        <v>625000</v>
      </c>
      <c r="G74" s="16" t="n">
        <v>0.65</v>
      </c>
      <c r="H74" s="16" t="n">
        <v>1.38</v>
      </c>
      <c r="I74" s="16" t="n">
        <v>0.9591</v>
      </c>
      <c r="J74" s="16" t="n">
        <v>0.53</v>
      </c>
      <c r="K74" s="15" t="n">
        <f aca="false">ROUND(F74/100*G74*H74*I74/J74,2)</f>
        <v>10145.2</v>
      </c>
      <c r="L74" s="15" t="n">
        <v>10145.2</v>
      </c>
      <c r="M74" s="15" t="n">
        <f aca="false">L74-K74</f>
        <v>0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582</v>
      </c>
      <c r="B75" s="3" t="s">
        <v>710</v>
      </c>
      <c r="C75" s="3" t="s">
        <v>152</v>
      </c>
      <c r="D75" s="3" t="s">
        <v>711</v>
      </c>
      <c r="E75" s="3" t="s">
        <v>56</v>
      </c>
      <c r="F75" s="12" t="n">
        <v>440000</v>
      </c>
      <c r="G75" s="13" t="n">
        <v>0.75</v>
      </c>
      <c r="H75" s="13" t="n">
        <v>1</v>
      </c>
      <c r="I75" s="13" t="n">
        <v>0.9591</v>
      </c>
      <c r="J75" s="13" t="n">
        <v>0.53</v>
      </c>
      <c r="K75" s="12" t="n">
        <f aca="false">ROUND(F75/100*G75*H75*I75/J75,2)</f>
        <v>5971.75</v>
      </c>
      <c r="L75" s="12" t="n">
        <v>5971.76</v>
      </c>
      <c r="M75" s="12" t="n">
        <f aca="false">L75-K75</f>
        <v>0.0100000000002183</v>
      </c>
      <c r="N75" s="3" t="s">
        <v>51</v>
      </c>
      <c r="O75" s="3" t="s">
        <v>52</v>
      </c>
    </row>
    <row r="76" customFormat="false" ht="15" hidden="false" customHeight="false" outlineLevel="0" collapsed="false">
      <c r="A76" s="14" t="s">
        <v>678</v>
      </c>
      <c r="B76" s="14" t="s">
        <v>712</v>
      </c>
      <c r="C76" s="14" t="s">
        <v>93</v>
      </c>
      <c r="D76" s="14" t="s">
        <v>713</v>
      </c>
      <c r="E76" s="14" t="s">
        <v>50</v>
      </c>
      <c r="F76" s="15" t="n">
        <v>1625000</v>
      </c>
      <c r="G76" s="16" t="n">
        <v>0.8</v>
      </c>
      <c r="H76" s="16" t="n">
        <v>1.39</v>
      </c>
      <c r="I76" s="16" t="n">
        <v>0.9591</v>
      </c>
      <c r="J76" s="16" t="n">
        <v>0.53</v>
      </c>
      <c r="K76" s="15" t="n">
        <f aca="false">ROUND(F76/100*G76*H76*I76/J76,2)</f>
        <v>32699.88</v>
      </c>
      <c r="L76" s="15" t="n">
        <v>32699.88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669</v>
      </c>
      <c r="B77" s="3" t="s">
        <v>714</v>
      </c>
      <c r="C77" s="3" t="s">
        <v>152</v>
      </c>
      <c r="D77" s="3" t="s">
        <v>715</v>
      </c>
      <c r="E77" s="3" t="s">
        <v>74</v>
      </c>
      <c r="F77" s="12" t="n">
        <v>400000</v>
      </c>
      <c r="G77" s="13" t="n">
        <v>0.48</v>
      </c>
      <c r="H77" s="13" t="n">
        <v>1</v>
      </c>
      <c r="I77" s="13" t="n">
        <v>0.9591</v>
      </c>
      <c r="J77" s="13" t="n">
        <v>0.53</v>
      </c>
      <c r="K77" s="12" t="n">
        <f aca="false">ROUND(F77/100*G77*H77*I77/J77,2)</f>
        <v>3474.48</v>
      </c>
      <c r="L77" s="12" t="n">
        <v>3474.47</v>
      </c>
      <c r="M77" s="12" t="n">
        <f aca="false">L77-K77</f>
        <v>-0.0100000000002183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669</v>
      </c>
      <c r="B78" s="14" t="s">
        <v>716</v>
      </c>
      <c r="C78" s="14" t="s">
        <v>300</v>
      </c>
      <c r="D78" s="14" t="s">
        <v>717</v>
      </c>
      <c r="E78" s="14" t="s">
        <v>56</v>
      </c>
      <c r="F78" s="15" t="n">
        <v>390000</v>
      </c>
      <c r="G78" s="16" t="n">
        <v>0.75</v>
      </c>
      <c r="H78" s="16" t="n">
        <v>1.11</v>
      </c>
      <c r="I78" s="16" t="n">
        <v>0.9591</v>
      </c>
      <c r="J78" s="16" t="n">
        <v>0.53</v>
      </c>
      <c r="K78" s="15" t="n">
        <f aca="false">ROUND(F78/100*G78*H78*I78/J78,2)</f>
        <v>5875.39</v>
      </c>
      <c r="L78" s="15" t="n">
        <v>5875.39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646</v>
      </c>
      <c r="B79" s="3" t="s">
        <v>718</v>
      </c>
      <c r="C79" s="3" t="s">
        <v>278</v>
      </c>
      <c r="D79" s="3" t="s">
        <v>385</v>
      </c>
      <c r="E79" s="3" t="s">
        <v>56</v>
      </c>
      <c r="F79" s="12" t="n">
        <v>535000</v>
      </c>
      <c r="G79" s="13" t="n">
        <v>0.65</v>
      </c>
      <c r="H79" s="13" t="n">
        <v>0.98</v>
      </c>
      <c r="I79" s="13" t="n">
        <v>0.9591</v>
      </c>
      <c r="J79" s="13" t="n">
        <v>0.53</v>
      </c>
      <c r="K79" s="12" t="n">
        <f aca="false">ROUND(F79/100*G79*H79*I79/J79,2)</f>
        <v>6167.1</v>
      </c>
      <c r="L79" s="12" t="n">
        <v>6167.1</v>
      </c>
      <c r="M79" s="12" t="n">
        <f aca="false">L79-K79</f>
        <v>0</v>
      </c>
      <c r="N79" s="3" t="s">
        <v>51</v>
      </c>
      <c r="O79" s="3" t="s">
        <v>52</v>
      </c>
    </row>
    <row r="80" customFormat="false" ht="15" hidden="false" customHeight="false" outlineLevel="0" collapsed="false">
      <c r="A80" s="14" t="s">
        <v>594</v>
      </c>
      <c r="B80" s="14" t="s">
        <v>719</v>
      </c>
      <c r="C80" s="14" t="s">
        <v>145</v>
      </c>
      <c r="D80" s="14" t="s">
        <v>720</v>
      </c>
      <c r="E80" s="14" t="s">
        <v>50</v>
      </c>
      <c r="F80" s="15" t="n">
        <v>715000</v>
      </c>
      <c r="G80" s="16" t="n">
        <v>0.95</v>
      </c>
      <c r="H80" s="16" t="n">
        <v>0.96</v>
      </c>
      <c r="I80" s="16" t="n">
        <v>0.9591</v>
      </c>
      <c r="J80" s="16" t="n">
        <v>0.53</v>
      </c>
      <c r="K80" s="15" t="n">
        <f aca="false">ROUND(F80/100*G80*H80*I80/J80,2)</f>
        <v>11800.19</v>
      </c>
      <c r="L80" s="15" t="n">
        <v>11800.19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573</v>
      </c>
      <c r="B81" s="3" t="s">
        <v>721</v>
      </c>
      <c r="C81" s="3" t="s">
        <v>48</v>
      </c>
      <c r="D81" s="3" t="s">
        <v>722</v>
      </c>
      <c r="E81" s="3" t="s">
        <v>50</v>
      </c>
      <c r="F81" s="12" t="n">
        <v>1950000</v>
      </c>
      <c r="G81" s="13" t="n">
        <v>0.8</v>
      </c>
      <c r="H81" s="13" t="n">
        <v>1.28</v>
      </c>
      <c r="I81" s="13" t="n">
        <v>0.9591</v>
      </c>
      <c r="J81" s="13" t="n">
        <v>0.53</v>
      </c>
      <c r="K81" s="12" t="n">
        <f aca="false">ROUND(F81/100*G81*H81*I81/J81,2)</f>
        <v>36134.54</v>
      </c>
      <c r="L81" s="12" t="n">
        <v>36134.54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567</v>
      </c>
      <c r="B82" s="14" t="s">
        <v>723</v>
      </c>
      <c r="C82" s="14" t="s">
        <v>145</v>
      </c>
      <c r="D82" s="14" t="s">
        <v>724</v>
      </c>
      <c r="E82" s="14" t="s">
        <v>50</v>
      </c>
      <c r="F82" s="15" t="n">
        <v>1210000</v>
      </c>
      <c r="G82" s="16" t="n">
        <v>0.8</v>
      </c>
      <c r="H82" s="16" t="n">
        <v>0.96</v>
      </c>
      <c r="I82" s="16" t="n">
        <v>0.9591</v>
      </c>
      <c r="J82" s="16" t="n">
        <v>0.53</v>
      </c>
      <c r="K82" s="15" t="n">
        <f aca="false">ROUND(F82/100*G82*H82*I82/J82,2)</f>
        <v>16816.46</v>
      </c>
      <c r="L82" s="15" t="n">
        <v>16816.46</v>
      </c>
      <c r="M82" s="15" t="n">
        <f aca="false">L82-K82</f>
        <v>0</v>
      </c>
      <c r="N82" s="14" t="s">
        <v>51</v>
      </c>
      <c r="O82" s="14" t="s">
        <v>52</v>
      </c>
    </row>
    <row r="83" customFormat="false" ht="15" hidden="false" customHeight="false" outlineLevel="0" collapsed="false">
      <c r="A83" s="3" t="s">
        <v>632</v>
      </c>
      <c r="B83" s="3" t="s">
        <v>725</v>
      </c>
      <c r="C83" s="3" t="s">
        <v>136</v>
      </c>
      <c r="D83" s="3" t="s">
        <v>726</v>
      </c>
      <c r="E83" s="3" t="s">
        <v>157</v>
      </c>
      <c r="F83" s="12" t="n">
        <v>1110000</v>
      </c>
      <c r="G83" s="13" t="n">
        <v>0.68</v>
      </c>
      <c r="H83" s="13" t="n">
        <v>1.32</v>
      </c>
      <c r="I83" s="13" t="n">
        <v>0.9591</v>
      </c>
      <c r="J83" s="13" t="n">
        <v>0.53</v>
      </c>
      <c r="K83" s="12" t="n">
        <f aca="false">ROUND(F83/100*G83*H83*I83/J83,2)</f>
        <v>18029.92</v>
      </c>
      <c r="L83" s="12" t="n">
        <v>18029.92</v>
      </c>
      <c r="M83" s="12" t="n">
        <f aca="false">L83-K83</f>
        <v>0</v>
      </c>
      <c r="N83" s="3" t="s">
        <v>51</v>
      </c>
      <c r="O83" s="3" t="s">
        <v>52</v>
      </c>
    </row>
    <row r="84" customFormat="false" ht="15" hidden="false" customHeight="false" outlineLevel="0" collapsed="false">
      <c r="A84" s="14" t="s">
        <v>576</v>
      </c>
      <c r="B84" s="14" t="s">
        <v>727</v>
      </c>
      <c r="C84" s="14" t="s">
        <v>237</v>
      </c>
      <c r="D84" s="14" t="s">
        <v>728</v>
      </c>
      <c r="E84" s="14" t="s">
        <v>56</v>
      </c>
      <c r="F84" s="15" t="n">
        <v>315000</v>
      </c>
      <c r="G84" s="16" t="n">
        <v>0.75</v>
      </c>
      <c r="H84" s="16" t="n">
        <v>1.33</v>
      </c>
      <c r="I84" s="16" t="n">
        <v>0.9591</v>
      </c>
      <c r="J84" s="16" t="n">
        <v>0.53</v>
      </c>
      <c r="K84" s="15" t="n">
        <f aca="false">ROUND(F84/100*G84*H84*I84/J84,2)</f>
        <v>5686.06</v>
      </c>
      <c r="L84" s="15" t="n">
        <v>5686.06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573</v>
      </c>
      <c r="B85" s="3" t="s">
        <v>729</v>
      </c>
      <c r="C85" s="3" t="s">
        <v>142</v>
      </c>
      <c r="D85" s="3" t="s">
        <v>730</v>
      </c>
      <c r="E85" s="3" t="s">
        <v>56</v>
      </c>
      <c r="F85" s="12" t="n">
        <v>970000</v>
      </c>
      <c r="G85" s="13" t="n">
        <v>0.65</v>
      </c>
      <c r="H85" s="13" t="n">
        <v>1.22</v>
      </c>
      <c r="I85" s="13" t="n">
        <v>0.9591</v>
      </c>
      <c r="J85" s="13" t="n">
        <v>0.53</v>
      </c>
      <c r="K85" s="12" t="n">
        <f aca="false">ROUND(F85/100*G85*H85*I85/J85,2)</f>
        <v>13919.8</v>
      </c>
      <c r="L85" s="12" t="n">
        <v>13919.8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570</v>
      </c>
      <c r="B86" s="14" t="s">
        <v>731</v>
      </c>
      <c r="C86" s="14" t="s">
        <v>93</v>
      </c>
      <c r="D86" s="14" t="s">
        <v>398</v>
      </c>
      <c r="E86" s="14" t="s">
        <v>56</v>
      </c>
      <c r="F86" s="15" t="n">
        <v>185000</v>
      </c>
      <c r="G86" s="16" t="n">
        <v>0.92</v>
      </c>
      <c r="H86" s="16" t="n">
        <v>1.39</v>
      </c>
      <c r="I86" s="16" t="n">
        <v>0.9591</v>
      </c>
      <c r="J86" s="16" t="n">
        <v>0.53</v>
      </c>
      <c r="K86" s="15" t="n">
        <f aca="false">ROUND(F86/100*G86*H86*I86/J86,2)</f>
        <v>4281.17</v>
      </c>
      <c r="L86" s="15" t="n">
        <v>4281.17</v>
      </c>
      <c r="M86" s="15" t="n">
        <f aca="false">L86-K86</f>
        <v>0</v>
      </c>
      <c r="N86" s="14" t="s">
        <v>51</v>
      </c>
      <c r="O86" s="14" t="s">
        <v>52</v>
      </c>
    </row>
    <row r="87" customFormat="false" ht="15" hidden="false" customHeight="false" outlineLevel="0" collapsed="false">
      <c r="A87" s="3" t="s">
        <v>660</v>
      </c>
      <c r="B87" s="3" t="s">
        <v>732</v>
      </c>
      <c r="C87" s="3" t="s">
        <v>117</v>
      </c>
      <c r="D87" s="3" t="s">
        <v>733</v>
      </c>
      <c r="E87" s="3" t="s">
        <v>56</v>
      </c>
      <c r="F87" s="12" t="n">
        <v>760000</v>
      </c>
      <c r="G87" s="13" t="n">
        <v>0.65</v>
      </c>
      <c r="H87" s="13" t="n">
        <v>0.91</v>
      </c>
      <c r="I87" s="13" t="n">
        <v>0.9591</v>
      </c>
      <c r="J87" s="13" t="n">
        <v>0.53</v>
      </c>
      <c r="K87" s="12" t="n">
        <f aca="false">ROUND(F87/100*G87*H87*I87/J87,2)</f>
        <v>8134.98</v>
      </c>
      <c r="L87" s="12" t="n">
        <v>8134.98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613</v>
      </c>
      <c r="B88" s="14" t="s">
        <v>734</v>
      </c>
      <c r="C88" s="14" t="s">
        <v>275</v>
      </c>
      <c r="D88" s="14" t="s">
        <v>735</v>
      </c>
      <c r="E88" s="14" t="s">
        <v>56</v>
      </c>
      <c r="F88" s="15" t="n">
        <v>290000</v>
      </c>
      <c r="G88" s="16" t="n">
        <v>0.75</v>
      </c>
      <c r="H88" s="16" t="n">
        <v>1.19</v>
      </c>
      <c r="I88" s="16" t="n">
        <v>0.9591</v>
      </c>
      <c r="J88" s="16" t="n">
        <v>0.53</v>
      </c>
      <c r="K88" s="15" t="n">
        <f aca="false">ROUND(F88/100*G88*H88*I88/J88,2)</f>
        <v>4683.76</v>
      </c>
      <c r="L88" s="15" t="n">
        <v>4683.76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604</v>
      </c>
      <c r="B89" s="3" t="s">
        <v>736</v>
      </c>
      <c r="C89" s="3" t="s">
        <v>145</v>
      </c>
      <c r="D89" s="3" t="s">
        <v>737</v>
      </c>
      <c r="E89" s="3" t="s">
        <v>74</v>
      </c>
      <c r="F89" s="12" t="n">
        <v>430000</v>
      </c>
      <c r="G89" s="13" t="n">
        <v>0.48</v>
      </c>
      <c r="H89" s="13" t="n">
        <v>0.96</v>
      </c>
      <c r="I89" s="13" t="n">
        <v>0.9591</v>
      </c>
      <c r="J89" s="13" t="n">
        <v>0.53</v>
      </c>
      <c r="K89" s="12" t="n">
        <f aca="false">ROUND(F89/100*G89*H89*I89/J89,2)</f>
        <v>3585.66</v>
      </c>
      <c r="L89" s="12" t="n">
        <v>3585.66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613</v>
      </c>
      <c r="B90" s="14" t="s">
        <v>738</v>
      </c>
      <c r="C90" s="14" t="s">
        <v>108</v>
      </c>
      <c r="D90" s="14" t="s">
        <v>709</v>
      </c>
      <c r="E90" s="14" t="s">
        <v>56</v>
      </c>
      <c r="F90" s="15" t="n">
        <v>710000</v>
      </c>
      <c r="G90" s="16" t="n">
        <v>0.65</v>
      </c>
      <c r="H90" s="16" t="n">
        <v>0.93</v>
      </c>
      <c r="I90" s="16" t="n">
        <v>0.9591</v>
      </c>
      <c r="J90" s="16" t="n">
        <v>0.53</v>
      </c>
      <c r="K90" s="15" t="n">
        <f aca="false">ROUND(F90/100*G90*H90*I90/J90,2)</f>
        <v>7766.81</v>
      </c>
      <c r="L90" s="15" t="n">
        <v>7766.81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637</v>
      </c>
      <c r="B91" s="3" t="s">
        <v>739</v>
      </c>
      <c r="C91" s="3" t="s">
        <v>145</v>
      </c>
      <c r="D91" s="3" t="s">
        <v>376</v>
      </c>
      <c r="E91" s="3" t="s">
        <v>74</v>
      </c>
      <c r="F91" s="12" t="n">
        <v>1310000</v>
      </c>
      <c r="G91" s="13" t="n">
        <v>0.38</v>
      </c>
      <c r="H91" s="13" t="n">
        <v>0.96</v>
      </c>
      <c r="I91" s="13" t="n">
        <v>0.9591</v>
      </c>
      <c r="J91" s="13" t="n">
        <v>0.53</v>
      </c>
      <c r="K91" s="12" t="n">
        <f aca="false">ROUND(F91/100*G91*H91*I91/J91,2)</f>
        <v>8647.97</v>
      </c>
      <c r="L91" s="12" t="n">
        <v>8647.96</v>
      </c>
      <c r="M91" s="12" t="n">
        <f aca="false">L91-K91</f>
        <v>-0.0100000000002183</v>
      </c>
      <c r="N91" s="3" t="s">
        <v>51</v>
      </c>
      <c r="O91" s="3" t="s">
        <v>52</v>
      </c>
    </row>
    <row r="92" customFormat="false" ht="15" hidden="false" customHeight="false" outlineLevel="0" collapsed="false">
      <c r="A92" s="14" t="s">
        <v>602</v>
      </c>
      <c r="B92" s="14" t="s">
        <v>740</v>
      </c>
      <c r="C92" s="14" t="s">
        <v>68</v>
      </c>
      <c r="D92" s="14" t="s">
        <v>741</v>
      </c>
      <c r="E92" s="14" t="s">
        <v>56</v>
      </c>
      <c r="F92" s="15" t="n">
        <v>495000</v>
      </c>
      <c r="G92" s="16" t="n">
        <v>0.75</v>
      </c>
      <c r="H92" s="16" t="n">
        <v>1.38</v>
      </c>
      <c r="I92" s="16" t="n">
        <v>0.9591</v>
      </c>
      <c r="J92" s="16" t="n">
        <v>0.53</v>
      </c>
      <c r="K92" s="15" t="n">
        <f aca="false">ROUND(F92/100*G92*H92*I92/J92,2)</f>
        <v>9271.15</v>
      </c>
      <c r="L92" s="15" t="n">
        <v>9271.15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602</v>
      </c>
      <c r="B93" s="3" t="s">
        <v>742</v>
      </c>
      <c r="C93" s="3" t="s">
        <v>174</v>
      </c>
      <c r="D93" s="3" t="s">
        <v>743</v>
      </c>
      <c r="E93" s="3" t="s">
        <v>50</v>
      </c>
      <c r="F93" s="12" t="n">
        <v>1250000</v>
      </c>
      <c r="G93" s="13" t="n">
        <v>0.8</v>
      </c>
      <c r="H93" s="13" t="n">
        <v>1.55</v>
      </c>
      <c r="I93" s="13" t="n">
        <v>0.9591</v>
      </c>
      <c r="J93" s="13" t="n">
        <v>0.53</v>
      </c>
      <c r="K93" s="12" t="n">
        <f aca="false">ROUND(F93/100*G93*H93*I93/J93,2)</f>
        <v>28049.15</v>
      </c>
      <c r="L93" s="12" t="n">
        <v>28049.15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660</v>
      </c>
      <c r="B94" s="14" t="s">
        <v>744</v>
      </c>
      <c r="C94" s="14" t="s">
        <v>89</v>
      </c>
      <c r="D94" s="14" t="s">
        <v>745</v>
      </c>
      <c r="E94" s="14" t="s">
        <v>56</v>
      </c>
      <c r="F94" s="15" t="n">
        <v>530000</v>
      </c>
      <c r="G94" s="16" t="n">
        <v>0.65</v>
      </c>
      <c r="H94" s="16" t="n">
        <v>1.35</v>
      </c>
      <c r="I94" s="16" t="n">
        <v>0.9591</v>
      </c>
      <c r="J94" s="16" t="n">
        <v>0.53</v>
      </c>
      <c r="K94" s="15" t="n">
        <f aca="false">ROUND(F94/100*G94*H94*I94/J94,2)</f>
        <v>8416.1</v>
      </c>
      <c r="L94" s="15" t="n">
        <v>8416.1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646</v>
      </c>
      <c r="B95" s="3" t="s">
        <v>746</v>
      </c>
      <c r="C95" s="3" t="s">
        <v>145</v>
      </c>
      <c r="D95" s="3" t="s">
        <v>747</v>
      </c>
      <c r="E95" s="3" t="s">
        <v>56</v>
      </c>
      <c r="F95" s="12" t="n">
        <v>700000</v>
      </c>
      <c r="G95" s="13" t="n">
        <v>0.65</v>
      </c>
      <c r="H95" s="13" t="n">
        <v>0.96</v>
      </c>
      <c r="I95" s="13" t="n">
        <v>0.9591</v>
      </c>
      <c r="J95" s="13" t="n">
        <v>0.53</v>
      </c>
      <c r="K95" s="12" t="n">
        <f aca="false">ROUND(F95/100*G95*H95*I95/J95,2)</f>
        <v>7904.43</v>
      </c>
      <c r="L95" s="12" t="n">
        <v>7904.43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657</v>
      </c>
      <c r="B96" s="14" t="s">
        <v>748</v>
      </c>
      <c r="C96" s="14" t="s">
        <v>224</v>
      </c>
      <c r="D96" s="14" t="s">
        <v>749</v>
      </c>
      <c r="E96" s="14" t="s">
        <v>74</v>
      </c>
      <c r="F96" s="15" t="n">
        <v>655000</v>
      </c>
      <c r="G96" s="16" t="n">
        <v>0.43</v>
      </c>
      <c r="H96" s="16" t="n">
        <v>1.1</v>
      </c>
      <c r="I96" s="16" t="n">
        <v>0.9591</v>
      </c>
      <c r="J96" s="16" t="n">
        <v>0.53</v>
      </c>
      <c r="K96" s="15" t="n">
        <f aca="false">ROUND(F96/100*G96*H96*I96/J96,2)</f>
        <v>5606.48</v>
      </c>
      <c r="L96" s="15" t="n">
        <v>5606.49</v>
      </c>
      <c r="M96" s="15" t="n">
        <f aca="false">L96-K96</f>
        <v>0.0100000000002183</v>
      </c>
      <c r="N96" s="14" t="s">
        <v>70</v>
      </c>
      <c r="O96" s="14" t="s">
        <v>52</v>
      </c>
    </row>
    <row r="97" customFormat="false" ht="15" hidden="false" customHeight="false" outlineLevel="0" collapsed="false">
      <c r="A97" s="3" t="s">
        <v>604</v>
      </c>
      <c r="B97" s="3" t="s">
        <v>750</v>
      </c>
      <c r="C97" s="3" t="s">
        <v>89</v>
      </c>
      <c r="D97" s="3" t="s">
        <v>751</v>
      </c>
      <c r="E97" s="3" t="s">
        <v>56</v>
      </c>
      <c r="F97" s="12" t="n">
        <v>435000</v>
      </c>
      <c r="G97" s="13" t="n">
        <v>0.75</v>
      </c>
      <c r="H97" s="13" t="n">
        <v>1.35</v>
      </c>
      <c r="I97" s="13" t="n">
        <v>0.9591</v>
      </c>
      <c r="J97" s="13" t="n">
        <v>0.53</v>
      </c>
      <c r="K97" s="12" t="n">
        <f aca="false">ROUND(F97/100*G97*H97*I97/J97,2)</f>
        <v>7970.26</v>
      </c>
      <c r="L97" s="12" t="n">
        <v>7970.26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640</v>
      </c>
      <c r="B98" s="14" t="s">
        <v>752</v>
      </c>
      <c r="C98" s="14" t="s">
        <v>210</v>
      </c>
      <c r="D98" s="14" t="s">
        <v>689</v>
      </c>
      <c r="E98" s="14" t="s">
        <v>74</v>
      </c>
      <c r="F98" s="15" t="n">
        <v>1830000</v>
      </c>
      <c r="G98" s="16" t="n">
        <v>0.38</v>
      </c>
      <c r="H98" s="16" t="n">
        <v>1.21</v>
      </c>
      <c r="I98" s="16" t="n">
        <v>0.9591</v>
      </c>
      <c r="J98" s="16" t="n">
        <v>0.53</v>
      </c>
      <c r="K98" s="15" t="n">
        <f aca="false">ROUND(F98/100*G98*H98*I98/J98,2)</f>
        <v>15226.78</v>
      </c>
      <c r="L98" s="15" t="n">
        <v>15226.78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646</v>
      </c>
      <c r="B99" s="3" t="s">
        <v>753</v>
      </c>
      <c r="C99" s="3" t="s">
        <v>311</v>
      </c>
      <c r="D99" s="3" t="s">
        <v>754</v>
      </c>
      <c r="E99" s="3" t="s">
        <v>56</v>
      </c>
      <c r="F99" s="12" t="n">
        <v>715000</v>
      </c>
      <c r="G99" s="13" t="n">
        <v>0.65</v>
      </c>
      <c r="H99" s="13" t="n">
        <v>1.06</v>
      </c>
      <c r="I99" s="13" t="n">
        <v>0.9591</v>
      </c>
      <c r="J99" s="13" t="n">
        <v>0.53</v>
      </c>
      <c r="K99" s="12" t="n">
        <f aca="false">ROUND(F99/100*G99*H99*I99/J99,2)</f>
        <v>8914.83</v>
      </c>
      <c r="L99" s="12" t="n">
        <v>8914.83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660</v>
      </c>
      <c r="B100" s="14" t="s">
        <v>755</v>
      </c>
      <c r="C100" s="14" t="s">
        <v>48</v>
      </c>
      <c r="D100" s="14" t="s">
        <v>735</v>
      </c>
      <c r="E100" s="14" t="s">
        <v>56</v>
      </c>
      <c r="F100" s="15" t="n">
        <v>390000</v>
      </c>
      <c r="G100" s="16" t="n">
        <v>0.75</v>
      </c>
      <c r="H100" s="16" t="n">
        <v>1.28</v>
      </c>
      <c r="I100" s="16" t="n">
        <v>0.9591</v>
      </c>
      <c r="J100" s="16" t="n">
        <v>0.53</v>
      </c>
      <c r="K100" s="15" t="n">
        <f aca="false">ROUND(F100/100*G100*H100*I100/J100,2)</f>
        <v>6775.23</v>
      </c>
      <c r="L100" s="15" t="n">
        <v>6775.23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567</v>
      </c>
      <c r="B101" s="3" t="s">
        <v>756</v>
      </c>
      <c r="C101" s="3" t="s">
        <v>48</v>
      </c>
      <c r="D101" s="3" t="s">
        <v>757</v>
      </c>
      <c r="E101" s="3" t="s">
        <v>56</v>
      </c>
      <c r="F101" s="12" t="n">
        <v>670000</v>
      </c>
      <c r="G101" s="13" t="n">
        <v>0.65</v>
      </c>
      <c r="H101" s="13" t="n">
        <v>1.28</v>
      </c>
      <c r="I101" s="13" t="n">
        <v>0.9591</v>
      </c>
      <c r="J101" s="13" t="n">
        <v>0.53</v>
      </c>
      <c r="K101" s="12" t="n">
        <f aca="false">ROUND(F101/100*G101*H101*I101/J101,2)</f>
        <v>10087.56</v>
      </c>
      <c r="L101" s="12" t="n">
        <v>10087.56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690</v>
      </c>
      <c r="B102" s="14" t="s">
        <v>758</v>
      </c>
      <c r="C102" s="14" t="s">
        <v>210</v>
      </c>
      <c r="D102" s="14" t="s">
        <v>759</v>
      </c>
      <c r="E102" s="14" t="s">
        <v>56</v>
      </c>
      <c r="F102" s="15" t="n">
        <v>340000</v>
      </c>
      <c r="G102" s="16" t="n">
        <v>0.75</v>
      </c>
      <c r="H102" s="16" t="n">
        <v>1.21</v>
      </c>
      <c r="I102" s="16" t="n">
        <v>0.9591</v>
      </c>
      <c r="J102" s="16" t="n">
        <v>0.53</v>
      </c>
      <c r="K102" s="15" t="n">
        <f aca="false">ROUND(F102/100*G102*H102*I102/J102,2)</f>
        <v>5583.59</v>
      </c>
      <c r="L102" s="15" t="n">
        <v>5583.59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629</v>
      </c>
      <c r="B103" s="3" t="s">
        <v>760</v>
      </c>
      <c r="C103" s="3" t="s">
        <v>174</v>
      </c>
      <c r="D103" s="3" t="s">
        <v>761</v>
      </c>
      <c r="E103" s="3" t="s">
        <v>56</v>
      </c>
      <c r="F103" s="12" t="n">
        <v>445000</v>
      </c>
      <c r="G103" s="13" t="n">
        <v>0.75</v>
      </c>
      <c r="H103" s="13" t="n">
        <v>1.55</v>
      </c>
      <c r="I103" s="13" t="n">
        <v>0.9591</v>
      </c>
      <c r="J103" s="13" t="n">
        <v>0.53</v>
      </c>
      <c r="K103" s="12" t="n">
        <f aca="false">ROUND(F103/100*G103*H103*I103/J103,2)</f>
        <v>9361.4</v>
      </c>
      <c r="L103" s="12" t="n">
        <v>9361.4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585</v>
      </c>
      <c r="B104" s="14" t="s">
        <v>762</v>
      </c>
      <c r="C104" s="14" t="s">
        <v>89</v>
      </c>
      <c r="D104" s="14" t="s">
        <v>763</v>
      </c>
      <c r="E104" s="14" t="s">
        <v>56</v>
      </c>
      <c r="F104" s="15" t="n">
        <v>490000</v>
      </c>
      <c r="G104" s="16" t="n">
        <v>0.75</v>
      </c>
      <c r="H104" s="16" t="n">
        <v>1.35</v>
      </c>
      <c r="I104" s="16" t="n">
        <v>0.9591</v>
      </c>
      <c r="J104" s="16" t="n">
        <v>0.53</v>
      </c>
      <c r="K104" s="15" t="n">
        <f aca="false">ROUND(F104/100*G104*H104*I104/J104,2)</f>
        <v>8977.99</v>
      </c>
      <c r="L104" s="15" t="n">
        <v>8977.99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604</v>
      </c>
      <c r="B105" s="3" t="s">
        <v>764</v>
      </c>
      <c r="C105" s="3" t="s">
        <v>188</v>
      </c>
      <c r="D105" s="3" t="s">
        <v>523</v>
      </c>
      <c r="E105" s="3" t="s">
        <v>74</v>
      </c>
      <c r="F105" s="12" t="n">
        <v>1550000</v>
      </c>
      <c r="G105" s="13" t="n">
        <v>0.38</v>
      </c>
      <c r="H105" s="13" t="n">
        <v>1.35</v>
      </c>
      <c r="I105" s="13" t="n">
        <v>0.9591</v>
      </c>
      <c r="J105" s="13" t="n">
        <v>0.53</v>
      </c>
      <c r="K105" s="12" t="n">
        <f aca="false">ROUND(F105/100*G105*H105*I105/J105,2)</f>
        <v>14389.21</v>
      </c>
      <c r="L105" s="12" t="n">
        <v>14389.21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585</v>
      </c>
      <c r="B106" s="14" t="s">
        <v>765</v>
      </c>
      <c r="C106" s="14" t="s">
        <v>275</v>
      </c>
      <c r="D106" s="14" t="s">
        <v>766</v>
      </c>
      <c r="E106" s="14" t="s">
        <v>50</v>
      </c>
      <c r="F106" s="15" t="n">
        <v>460000</v>
      </c>
      <c r="G106" s="16" t="n">
        <v>1.15</v>
      </c>
      <c r="H106" s="16" t="n">
        <v>1.19</v>
      </c>
      <c r="I106" s="16" t="n">
        <v>0.9591</v>
      </c>
      <c r="J106" s="16" t="n">
        <v>0.53</v>
      </c>
      <c r="K106" s="15" t="n">
        <f aca="false">ROUND(F106/100*G106*H106*I106/J106,2)</f>
        <v>11391.76</v>
      </c>
      <c r="L106" s="15" t="n">
        <v>11391.76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602</v>
      </c>
      <c r="B107" s="3" t="s">
        <v>767</v>
      </c>
      <c r="C107" s="3" t="s">
        <v>188</v>
      </c>
      <c r="D107" s="3" t="s">
        <v>415</v>
      </c>
      <c r="E107" s="3" t="s">
        <v>56</v>
      </c>
      <c r="F107" s="12" t="n">
        <v>1160000</v>
      </c>
      <c r="G107" s="13" t="n">
        <v>0.55</v>
      </c>
      <c r="H107" s="13" t="n">
        <v>1.35</v>
      </c>
      <c r="I107" s="13" t="n">
        <v>0.9591</v>
      </c>
      <c r="J107" s="13" t="n">
        <v>0.53</v>
      </c>
      <c r="K107" s="12" t="n">
        <f aca="false">ROUND(F107/100*G107*H107*I107/J107,2)</f>
        <v>15586.28</v>
      </c>
      <c r="L107" s="12" t="n">
        <v>15586.28</v>
      </c>
      <c r="M107" s="12" t="n">
        <f aca="false">L107-K107</f>
        <v>0</v>
      </c>
      <c r="N107" s="3" t="s">
        <v>51</v>
      </c>
      <c r="O107" s="3" t="s">
        <v>52</v>
      </c>
    </row>
    <row r="108" customFormat="false" ht="15" hidden="false" customHeight="false" outlineLevel="0" collapsed="false">
      <c r="A108" s="14" t="s">
        <v>602</v>
      </c>
      <c r="B108" s="14" t="s">
        <v>768</v>
      </c>
      <c r="C108" s="14" t="s">
        <v>326</v>
      </c>
      <c r="D108" s="14" t="s">
        <v>769</v>
      </c>
      <c r="E108" s="14" t="s">
        <v>56</v>
      </c>
      <c r="F108" s="15" t="n">
        <v>295000</v>
      </c>
      <c r="G108" s="16" t="n">
        <v>0.75</v>
      </c>
      <c r="H108" s="16" t="n">
        <v>1.12</v>
      </c>
      <c r="I108" s="16" t="n">
        <v>0.9591</v>
      </c>
      <c r="J108" s="16" t="n">
        <v>0.53</v>
      </c>
      <c r="K108" s="15" t="n">
        <f aca="false">ROUND(F108/100*G108*H108*I108/J108,2)</f>
        <v>4484.24</v>
      </c>
      <c r="L108" s="15" t="n">
        <v>4484.24</v>
      </c>
      <c r="M108" s="15" t="n">
        <f aca="false">L108-K108</f>
        <v>0</v>
      </c>
      <c r="N108" s="14" t="s">
        <v>51</v>
      </c>
      <c r="O108" s="14" t="s">
        <v>52</v>
      </c>
    </row>
    <row r="109" customFormat="false" ht="15" hidden="false" customHeight="false" outlineLevel="0" collapsed="false">
      <c r="A109" s="3" t="s">
        <v>602</v>
      </c>
      <c r="B109" s="3" t="s">
        <v>770</v>
      </c>
      <c r="C109" s="3" t="s">
        <v>169</v>
      </c>
      <c r="D109" s="3" t="s">
        <v>771</v>
      </c>
      <c r="E109" s="3" t="s">
        <v>56</v>
      </c>
      <c r="F109" s="12" t="n">
        <v>625000</v>
      </c>
      <c r="G109" s="13" t="n">
        <v>0.65</v>
      </c>
      <c r="H109" s="13" t="n">
        <v>1.07</v>
      </c>
      <c r="I109" s="13" t="n">
        <v>0.9591</v>
      </c>
      <c r="J109" s="13" t="n">
        <v>0.53</v>
      </c>
      <c r="K109" s="12" t="n">
        <f aca="false">ROUND(F109/100*G109*H109*I109/J109,2)</f>
        <v>7866.2</v>
      </c>
      <c r="L109" s="12" t="n">
        <v>7866.2</v>
      </c>
      <c r="M109" s="12" t="n">
        <f aca="false">L109-K109</f>
        <v>0</v>
      </c>
      <c r="N109" s="3" t="s">
        <v>70</v>
      </c>
      <c r="O109" s="3" t="s">
        <v>52</v>
      </c>
    </row>
    <row r="110" customFormat="false" ht="15" hidden="false" customHeight="false" outlineLevel="0" collapsed="false">
      <c r="A110" s="14" t="s">
        <v>570</v>
      </c>
      <c r="B110" s="14" t="s">
        <v>772</v>
      </c>
      <c r="C110" s="14" t="s">
        <v>159</v>
      </c>
      <c r="D110" s="14" t="s">
        <v>283</v>
      </c>
      <c r="E110" s="14" t="s">
        <v>56</v>
      </c>
      <c r="F110" s="15" t="n">
        <v>370000</v>
      </c>
      <c r="G110" s="16" t="n">
        <v>0.75</v>
      </c>
      <c r="H110" s="16" t="n">
        <v>1.15</v>
      </c>
      <c r="I110" s="16" t="n">
        <v>0.9591</v>
      </c>
      <c r="J110" s="16" t="n">
        <v>0.53</v>
      </c>
      <c r="K110" s="15" t="n">
        <f aca="false">ROUND(F110/100*G110*H110*I110/J110,2)</f>
        <v>5774.96</v>
      </c>
      <c r="L110" s="15" t="n">
        <v>5774.96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773</v>
      </c>
      <c r="B111" s="3" t="s">
        <v>774</v>
      </c>
      <c r="C111" s="3" t="s">
        <v>159</v>
      </c>
      <c r="D111" s="3" t="s">
        <v>775</v>
      </c>
      <c r="E111" s="3" t="s">
        <v>50</v>
      </c>
      <c r="F111" s="12" t="n">
        <v>950000</v>
      </c>
      <c r="G111" s="13" t="n">
        <v>0.95</v>
      </c>
      <c r="H111" s="13" t="n">
        <v>1.15</v>
      </c>
      <c r="I111" s="13" t="n">
        <v>0.9591</v>
      </c>
      <c r="J111" s="13" t="n">
        <v>0.53</v>
      </c>
      <c r="K111" s="12" t="n">
        <f aca="false">ROUND(F111/100*G111*H111*I111/J111,2)</f>
        <v>18781.62</v>
      </c>
      <c r="L111" s="12" t="n">
        <v>18781.62</v>
      </c>
      <c r="M111" s="12" t="n">
        <f aca="false">L111-K111</f>
        <v>0</v>
      </c>
      <c r="N111" s="3" t="s">
        <v>70</v>
      </c>
      <c r="O111" s="3" t="s">
        <v>52</v>
      </c>
    </row>
    <row r="112" customFormat="false" ht="15" hidden="false" customHeight="false" outlineLevel="0" collapsed="false">
      <c r="A112" s="14" t="s">
        <v>640</v>
      </c>
      <c r="B112" s="14" t="s">
        <v>776</v>
      </c>
      <c r="C112" s="14" t="s">
        <v>131</v>
      </c>
      <c r="D112" s="14" t="s">
        <v>476</v>
      </c>
      <c r="E112" s="14" t="s">
        <v>56</v>
      </c>
      <c r="F112" s="15" t="n">
        <v>850000</v>
      </c>
      <c r="G112" s="16" t="n">
        <v>0.65</v>
      </c>
      <c r="H112" s="16" t="n">
        <v>0.95</v>
      </c>
      <c r="I112" s="16" t="n">
        <v>0.9591</v>
      </c>
      <c r="J112" s="16" t="n">
        <v>0.53</v>
      </c>
      <c r="K112" s="15" t="n">
        <f aca="false">ROUND(F112/100*G112*H112*I112/J112,2)</f>
        <v>9498.26</v>
      </c>
      <c r="L112" s="15" t="n">
        <v>9498.26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678</v>
      </c>
      <c r="B113" s="3" t="s">
        <v>777</v>
      </c>
      <c r="C113" s="3" t="s">
        <v>59</v>
      </c>
      <c r="D113" s="3" t="s">
        <v>778</v>
      </c>
      <c r="E113" s="3" t="s">
        <v>50</v>
      </c>
      <c r="F113" s="12" t="n">
        <v>545000</v>
      </c>
      <c r="G113" s="13" t="n">
        <v>0.95</v>
      </c>
      <c r="H113" s="13" t="n">
        <v>0.97</v>
      </c>
      <c r="I113" s="13" t="n">
        <v>0.9591</v>
      </c>
      <c r="J113" s="13" t="n">
        <v>0.53</v>
      </c>
      <c r="K113" s="12" t="n">
        <f aca="false">ROUND(F113/100*G113*H113*I113/J113,2)</f>
        <v>9088.24</v>
      </c>
      <c r="L113" s="12" t="n">
        <v>9088.24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567</v>
      </c>
      <c r="B114" s="14" t="s">
        <v>779</v>
      </c>
      <c r="C114" s="14" t="s">
        <v>217</v>
      </c>
      <c r="D114" s="14" t="s">
        <v>780</v>
      </c>
      <c r="E114" s="14" t="s">
        <v>56</v>
      </c>
      <c r="F114" s="15" t="n">
        <v>940000</v>
      </c>
      <c r="G114" s="16" t="n">
        <v>0.65</v>
      </c>
      <c r="H114" s="16" t="n">
        <v>1.3</v>
      </c>
      <c r="I114" s="16" t="n">
        <v>0.9591</v>
      </c>
      <c r="J114" s="16" t="n">
        <v>0.53</v>
      </c>
      <c r="K114" s="15" t="n">
        <f aca="false">ROUND(F114/100*G114*H114*I114/J114,2)</f>
        <v>14373.83</v>
      </c>
      <c r="L114" s="15" t="n">
        <v>14373.83</v>
      </c>
      <c r="M114" s="15" t="n">
        <f aca="false">L114-K114</f>
        <v>0</v>
      </c>
      <c r="N114" s="14" t="s">
        <v>51</v>
      </c>
      <c r="O114" s="14" t="s">
        <v>52</v>
      </c>
    </row>
    <row r="115" customFormat="false" ht="15" hidden="false" customHeight="false" outlineLevel="0" collapsed="false">
      <c r="A115" s="3" t="s">
        <v>620</v>
      </c>
      <c r="B115" s="3" t="s">
        <v>781</v>
      </c>
      <c r="C115" s="3" t="s">
        <v>89</v>
      </c>
      <c r="D115" s="3" t="s">
        <v>782</v>
      </c>
      <c r="E115" s="3" t="s">
        <v>56</v>
      </c>
      <c r="F115" s="12" t="n">
        <v>320000</v>
      </c>
      <c r="G115" s="13" t="n">
        <v>0.75</v>
      </c>
      <c r="H115" s="13" t="n">
        <v>1.35</v>
      </c>
      <c r="I115" s="13" t="n">
        <v>0.9591</v>
      </c>
      <c r="J115" s="13" t="n">
        <v>0.53</v>
      </c>
      <c r="K115" s="12" t="n">
        <f aca="false">ROUND(F115/100*G115*H115*I115/J115,2)</f>
        <v>5863.18</v>
      </c>
      <c r="L115" s="12" t="n">
        <v>5863.18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585</v>
      </c>
      <c r="B116" s="14" t="s">
        <v>783</v>
      </c>
      <c r="C116" s="14" t="s">
        <v>266</v>
      </c>
      <c r="D116" s="14" t="s">
        <v>784</v>
      </c>
      <c r="E116" s="14" t="s">
        <v>74</v>
      </c>
      <c r="F116" s="15" t="n">
        <v>1520000</v>
      </c>
      <c r="G116" s="16" t="n">
        <v>0.38</v>
      </c>
      <c r="H116" s="16" t="n">
        <v>1.1</v>
      </c>
      <c r="I116" s="16" t="n">
        <v>0.9591</v>
      </c>
      <c r="J116" s="16" t="n">
        <v>0.53</v>
      </c>
      <c r="K116" s="15" t="n">
        <f aca="false">ROUND(F116/100*G116*H116*I116/J116,2)</f>
        <v>11497.62</v>
      </c>
      <c r="L116" s="15" t="n">
        <v>11497.61</v>
      </c>
      <c r="M116" s="15" t="n">
        <f aca="false">L116-K116</f>
        <v>-0.0100000000002183</v>
      </c>
      <c r="N116" s="14" t="s">
        <v>51</v>
      </c>
      <c r="O116" s="14" t="s">
        <v>52</v>
      </c>
    </row>
    <row r="117" customFormat="false" ht="15" hidden="false" customHeight="false" outlineLevel="0" collapsed="false">
      <c r="A117" s="3" t="s">
        <v>573</v>
      </c>
      <c r="B117" s="3" t="s">
        <v>785</v>
      </c>
      <c r="C117" s="3" t="s">
        <v>230</v>
      </c>
      <c r="D117" s="3" t="s">
        <v>766</v>
      </c>
      <c r="E117" s="3" t="s">
        <v>50</v>
      </c>
      <c r="F117" s="12" t="n">
        <v>535000</v>
      </c>
      <c r="G117" s="13" t="n">
        <v>0.95</v>
      </c>
      <c r="H117" s="13" t="n">
        <v>1.09</v>
      </c>
      <c r="I117" s="13" t="n">
        <v>0.9591</v>
      </c>
      <c r="J117" s="13" t="n">
        <v>0.53</v>
      </c>
      <c r="K117" s="12" t="n">
        <f aca="false">ROUND(F117/100*G117*H117*I117/J117,2)</f>
        <v>10025.17</v>
      </c>
      <c r="L117" s="12" t="n">
        <v>10025.17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585</v>
      </c>
      <c r="B118" s="14" t="s">
        <v>786</v>
      </c>
      <c r="C118" s="14" t="s">
        <v>152</v>
      </c>
      <c r="D118" s="14" t="s">
        <v>367</v>
      </c>
      <c r="E118" s="14" t="s">
        <v>56</v>
      </c>
      <c r="F118" s="15" t="n">
        <v>190000</v>
      </c>
      <c r="G118" s="16" t="n">
        <v>0.92</v>
      </c>
      <c r="H118" s="16" t="n">
        <v>1</v>
      </c>
      <c r="I118" s="16" t="n">
        <v>0.9591</v>
      </c>
      <c r="J118" s="16" t="n">
        <v>0.53</v>
      </c>
      <c r="K118" s="15" t="n">
        <f aca="false">ROUND(F118/100*G118*H118*I118/J118,2)</f>
        <v>3163.22</v>
      </c>
      <c r="L118" s="15" t="n">
        <v>3163.22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585</v>
      </c>
      <c r="B119" s="3" t="s">
        <v>787</v>
      </c>
      <c r="C119" s="3" t="s">
        <v>145</v>
      </c>
      <c r="D119" s="3" t="s">
        <v>788</v>
      </c>
      <c r="E119" s="3" t="s">
        <v>74</v>
      </c>
      <c r="F119" s="12" t="n">
        <v>915000</v>
      </c>
      <c r="G119" s="13" t="n">
        <v>0.43</v>
      </c>
      <c r="H119" s="13" t="n">
        <v>0.96</v>
      </c>
      <c r="I119" s="13" t="n">
        <v>0.9591</v>
      </c>
      <c r="J119" s="13" t="n">
        <v>0.53</v>
      </c>
      <c r="K119" s="12" t="n">
        <f aca="false">ROUND(F119/100*G119*H119*I119/J119,2)</f>
        <v>6835.16</v>
      </c>
      <c r="L119" s="12" t="n">
        <v>6835.16</v>
      </c>
      <c r="M119" s="12" t="n">
        <f aca="false">L119-K119</f>
        <v>0</v>
      </c>
      <c r="N119" s="3" t="s">
        <v>70</v>
      </c>
      <c r="O119" s="3" t="s">
        <v>52</v>
      </c>
    </row>
    <row r="120" customFormat="false" ht="15" hidden="false" customHeight="false" outlineLevel="0" collapsed="false">
      <c r="A120" s="14" t="s">
        <v>602</v>
      </c>
      <c r="B120" s="14" t="s">
        <v>789</v>
      </c>
      <c r="C120" s="14" t="s">
        <v>210</v>
      </c>
      <c r="D120" s="14" t="s">
        <v>103</v>
      </c>
      <c r="E120" s="14" t="s">
        <v>50</v>
      </c>
      <c r="F120" s="15" t="n">
        <v>285000</v>
      </c>
      <c r="G120" s="16" t="n">
        <v>1.15</v>
      </c>
      <c r="H120" s="16" t="n">
        <v>1.21</v>
      </c>
      <c r="I120" s="16" t="n">
        <v>0.9591</v>
      </c>
      <c r="J120" s="16" t="n">
        <v>0.53</v>
      </c>
      <c r="K120" s="15" t="n">
        <f aca="false">ROUND(F120/100*G120*H120*I120/J120,2)</f>
        <v>7176.56</v>
      </c>
      <c r="L120" s="15" t="n">
        <v>7176.55</v>
      </c>
      <c r="M120" s="15" t="n">
        <f aca="false">L120-K120</f>
        <v>-0.0100000000002183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637</v>
      </c>
      <c r="B121" s="3" t="s">
        <v>790</v>
      </c>
      <c r="C121" s="3" t="s">
        <v>188</v>
      </c>
      <c r="D121" s="3" t="s">
        <v>791</v>
      </c>
      <c r="E121" s="3" t="s">
        <v>56</v>
      </c>
      <c r="F121" s="12" t="n">
        <v>490000</v>
      </c>
      <c r="G121" s="13" t="n">
        <v>0.75</v>
      </c>
      <c r="H121" s="13" t="n">
        <v>1.35</v>
      </c>
      <c r="I121" s="13" t="n">
        <v>0.9591</v>
      </c>
      <c r="J121" s="13" t="n">
        <v>0.53</v>
      </c>
      <c r="K121" s="12" t="n">
        <f aca="false">ROUND(F121/100*G121*H121*I121/J121,2)</f>
        <v>8977.99</v>
      </c>
      <c r="L121" s="12" t="n">
        <v>8977.99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588</v>
      </c>
      <c r="B122" s="14" t="s">
        <v>792</v>
      </c>
      <c r="C122" s="14" t="s">
        <v>275</v>
      </c>
      <c r="D122" s="14" t="s">
        <v>793</v>
      </c>
      <c r="E122" s="14" t="s">
        <v>50</v>
      </c>
      <c r="F122" s="15" t="n">
        <v>165000</v>
      </c>
      <c r="G122" s="16" t="n">
        <v>1.42</v>
      </c>
      <c r="H122" s="16" t="n">
        <v>1.19</v>
      </c>
      <c r="I122" s="16" t="n">
        <v>0.9591</v>
      </c>
      <c r="J122" s="16" t="n">
        <v>0.53</v>
      </c>
      <c r="K122" s="15" t="n">
        <f aca="false">ROUND(F122/100*G122*H122*I122/J122,2)</f>
        <v>5045.54</v>
      </c>
      <c r="L122" s="15" t="n">
        <v>5045.54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602</v>
      </c>
      <c r="B123" s="3" t="s">
        <v>794</v>
      </c>
      <c r="C123" s="3" t="s">
        <v>81</v>
      </c>
      <c r="D123" s="3" t="s">
        <v>486</v>
      </c>
      <c r="E123" s="3" t="s">
        <v>56</v>
      </c>
      <c r="F123" s="12" t="n">
        <v>365000</v>
      </c>
      <c r="G123" s="13" t="n">
        <v>0.75</v>
      </c>
      <c r="H123" s="13" t="n">
        <v>1.27</v>
      </c>
      <c r="I123" s="13" t="n">
        <v>0.9591</v>
      </c>
      <c r="J123" s="13" t="n">
        <v>0.53</v>
      </c>
      <c r="K123" s="12" t="n">
        <f aca="false">ROUND(F123/100*G123*H123*I123/J123,2)</f>
        <v>6291.38</v>
      </c>
      <c r="L123" s="12" t="n">
        <v>6291.38</v>
      </c>
      <c r="M123" s="12" t="n">
        <f aca="false">L123-K123</f>
        <v>0</v>
      </c>
      <c r="N123" s="3" t="s">
        <v>51</v>
      </c>
      <c r="O123" s="3" t="s">
        <v>52</v>
      </c>
    </row>
    <row r="124" customFormat="false" ht="15" hidden="false" customHeight="false" outlineLevel="0" collapsed="false">
      <c r="A124" s="14" t="s">
        <v>578</v>
      </c>
      <c r="B124" s="14" t="s">
        <v>795</v>
      </c>
      <c r="C124" s="14" t="s">
        <v>311</v>
      </c>
      <c r="D124" s="14" t="s">
        <v>796</v>
      </c>
      <c r="E124" s="14" t="s">
        <v>50</v>
      </c>
      <c r="F124" s="15" t="n">
        <v>1950000</v>
      </c>
      <c r="G124" s="16" t="n">
        <v>0.8</v>
      </c>
      <c r="H124" s="16" t="n">
        <v>1.06</v>
      </c>
      <c r="I124" s="16" t="n">
        <v>0.9591</v>
      </c>
      <c r="J124" s="16" t="n">
        <v>0.53</v>
      </c>
      <c r="K124" s="15" t="n">
        <f aca="false">ROUND(F124/100*G124*H124*I124/J124,2)</f>
        <v>29923.92</v>
      </c>
      <c r="L124" s="15" t="n">
        <v>29923.92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591</v>
      </c>
      <c r="B125" s="3" t="s">
        <v>797</v>
      </c>
      <c r="C125" s="3" t="s">
        <v>68</v>
      </c>
      <c r="D125" s="3" t="s">
        <v>798</v>
      </c>
      <c r="E125" s="3" t="s">
        <v>56</v>
      </c>
      <c r="F125" s="12" t="n">
        <v>545000</v>
      </c>
      <c r="G125" s="13" t="n">
        <v>0.65</v>
      </c>
      <c r="H125" s="13" t="n">
        <v>1.38</v>
      </c>
      <c r="I125" s="13" t="n">
        <v>0.9591</v>
      </c>
      <c r="J125" s="13" t="n">
        <v>0.53</v>
      </c>
      <c r="K125" s="12" t="n">
        <f aca="false">ROUND(F125/100*G125*H125*I125/J125,2)</f>
        <v>8846.61</v>
      </c>
      <c r="L125" s="12" t="n">
        <v>8846.61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559</v>
      </c>
      <c r="B126" s="14" t="s">
        <v>799</v>
      </c>
      <c r="C126" s="14" t="s">
        <v>311</v>
      </c>
      <c r="D126" s="14" t="s">
        <v>800</v>
      </c>
      <c r="E126" s="14" t="s">
        <v>56</v>
      </c>
      <c r="F126" s="15" t="n">
        <v>260000</v>
      </c>
      <c r="G126" s="16" t="n">
        <v>0.75</v>
      </c>
      <c r="H126" s="16" t="n">
        <v>1.06</v>
      </c>
      <c r="I126" s="16" t="n">
        <v>0.9591</v>
      </c>
      <c r="J126" s="16" t="n">
        <v>0.53</v>
      </c>
      <c r="K126" s="15" t="n">
        <f aca="false">ROUND(F126/100*G126*H126*I126/J126,2)</f>
        <v>3740.49</v>
      </c>
      <c r="L126" s="15" t="n">
        <v>3740.49</v>
      </c>
      <c r="M126" s="15" t="n">
        <f aca="false">L126-K126</f>
        <v>0</v>
      </c>
      <c r="N126" s="14" t="s">
        <v>51</v>
      </c>
      <c r="O126" s="14" t="s">
        <v>52</v>
      </c>
    </row>
    <row r="127" customFormat="false" ht="15" hidden="false" customHeight="false" outlineLevel="0" collapsed="false">
      <c r="A127" s="3" t="s">
        <v>585</v>
      </c>
      <c r="B127" s="3" t="s">
        <v>801</v>
      </c>
      <c r="C127" s="3" t="s">
        <v>174</v>
      </c>
      <c r="D127" s="3" t="s">
        <v>802</v>
      </c>
      <c r="E127" s="3" t="s">
        <v>56</v>
      </c>
      <c r="F127" s="12" t="n">
        <v>715000</v>
      </c>
      <c r="G127" s="13" t="n">
        <v>0.65</v>
      </c>
      <c r="H127" s="13" t="n">
        <v>1.55</v>
      </c>
      <c r="I127" s="13" t="n">
        <v>0.9591</v>
      </c>
      <c r="J127" s="13" t="n">
        <v>0.53</v>
      </c>
      <c r="K127" s="12" t="n">
        <f aca="false">ROUND(F127/100*G127*H127*I127/J127,2)</f>
        <v>13035.84</v>
      </c>
      <c r="L127" s="12" t="n">
        <v>13035.85</v>
      </c>
      <c r="M127" s="12" t="n">
        <f aca="false">L127-K127</f>
        <v>0.0100000000002183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678</v>
      </c>
      <c r="B128" s="14" t="s">
        <v>803</v>
      </c>
      <c r="C128" s="14" t="s">
        <v>188</v>
      </c>
      <c r="D128" s="14" t="s">
        <v>246</v>
      </c>
      <c r="E128" s="14" t="s">
        <v>74</v>
      </c>
      <c r="F128" s="15" t="n">
        <v>170000</v>
      </c>
      <c r="G128" s="16" t="n">
        <v>0.57</v>
      </c>
      <c r="H128" s="16" t="n">
        <v>1.35</v>
      </c>
      <c r="I128" s="16" t="n">
        <v>0.9591</v>
      </c>
      <c r="J128" s="16" t="n">
        <v>0.53</v>
      </c>
      <c r="K128" s="15" t="n">
        <f aca="false">ROUND(F128/100*G128*H128*I128/J128,2)</f>
        <v>2367.26</v>
      </c>
      <c r="L128" s="15" t="n">
        <v>2367.26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582</v>
      </c>
      <c r="B129" s="3" t="s">
        <v>804</v>
      </c>
      <c r="C129" s="3" t="s">
        <v>89</v>
      </c>
      <c r="D129" s="3" t="s">
        <v>367</v>
      </c>
      <c r="E129" s="3" t="s">
        <v>56</v>
      </c>
      <c r="F129" s="12" t="n">
        <v>260000</v>
      </c>
      <c r="G129" s="13" t="n">
        <v>0.75</v>
      </c>
      <c r="H129" s="13" t="n">
        <v>1.35</v>
      </c>
      <c r="I129" s="13" t="n">
        <v>0.9591</v>
      </c>
      <c r="J129" s="13" t="n">
        <v>0.53</v>
      </c>
      <c r="K129" s="12" t="n">
        <f aca="false">ROUND(F129/100*G129*H129*I129/J129,2)</f>
        <v>4763.83</v>
      </c>
      <c r="L129" s="12" t="n">
        <v>4763.83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585</v>
      </c>
      <c r="B130" s="14" t="s">
        <v>805</v>
      </c>
      <c r="C130" s="14" t="s">
        <v>139</v>
      </c>
      <c r="D130" s="14" t="s">
        <v>806</v>
      </c>
      <c r="E130" s="14" t="s">
        <v>50</v>
      </c>
      <c r="F130" s="15" t="n">
        <v>470000</v>
      </c>
      <c r="G130" s="16" t="n">
        <v>1.15</v>
      </c>
      <c r="H130" s="16" t="n">
        <v>1.23</v>
      </c>
      <c r="I130" s="16" t="n">
        <v>0.9591</v>
      </c>
      <c r="J130" s="16" t="n">
        <v>0.53</v>
      </c>
      <c r="K130" s="15" t="n">
        <f aca="false">ROUND(F130/100*G130*H130*I130/J130,2)</f>
        <v>12030.64</v>
      </c>
      <c r="L130" s="15" t="n">
        <v>12030.64</v>
      </c>
      <c r="M130" s="15" t="n">
        <f aca="false">L130-K130</f>
        <v>0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562</v>
      </c>
      <c r="B131" s="3" t="s">
        <v>807</v>
      </c>
      <c r="C131" s="3" t="s">
        <v>145</v>
      </c>
      <c r="D131" s="3" t="s">
        <v>769</v>
      </c>
      <c r="E131" s="3" t="s">
        <v>56</v>
      </c>
      <c r="F131" s="12" t="n">
        <v>540000</v>
      </c>
      <c r="G131" s="13" t="n">
        <v>0.65</v>
      </c>
      <c r="H131" s="13" t="n">
        <v>0.96</v>
      </c>
      <c r="I131" s="13" t="n">
        <v>0.9591</v>
      </c>
      <c r="J131" s="13" t="n">
        <v>0.53</v>
      </c>
      <c r="K131" s="12" t="n">
        <f aca="false">ROUND(F131/100*G131*H131*I131/J131,2)</f>
        <v>6097.7</v>
      </c>
      <c r="L131" s="12" t="n">
        <v>6097.71</v>
      </c>
      <c r="M131" s="12" t="n">
        <f aca="false">L131-K131</f>
        <v>0.0100000000002183</v>
      </c>
      <c r="N131" s="3" t="s">
        <v>70</v>
      </c>
      <c r="O131" s="3" t="s">
        <v>52</v>
      </c>
    </row>
    <row r="132" customFormat="false" ht="15" hidden="false" customHeight="false" outlineLevel="0" collapsed="false">
      <c r="A132" s="14" t="s">
        <v>604</v>
      </c>
      <c r="B132" s="14" t="s">
        <v>808</v>
      </c>
      <c r="C132" s="14" t="s">
        <v>114</v>
      </c>
      <c r="D132" s="14" t="s">
        <v>103</v>
      </c>
      <c r="E132" s="14" t="s">
        <v>50</v>
      </c>
      <c r="F132" s="15" t="n">
        <v>1950000</v>
      </c>
      <c r="G132" s="16" t="n">
        <v>0.8</v>
      </c>
      <c r="H132" s="16" t="n">
        <v>1.36</v>
      </c>
      <c r="I132" s="16" t="n">
        <v>0.9591</v>
      </c>
      <c r="J132" s="16" t="n">
        <v>0.53</v>
      </c>
      <c r="K132" s="15" t="n">
        <f aca="false">ROUND(F132/100*G132*H132*I132/J132,2)</f>
        <v>38392.95</v>
      </c>
      <c r="L132" s="15" t="n">
        <v>38392.96</v>
      </c>
      <c r="M132" s="15" t="n">
        <f aca="false">L132-K132</f>
        <v>0.0100000000020373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573</v>
      </c>
      <c r="B133" s="3" t="s">
        <v>809</v>
      </c>
      <c r="C133" s="3" t="s">
        <v>120</v>
      </c>
      <c r="D133" s="3" t="s">
        <v>810</v>
      </c>
      <c r="E133" s="3" t="s">
        <v>56</v>
      </c>
      <c r="F133" s="12" t="n">
        <v>555000</v>
      </c>
      <c r="G133" s="13" t="n">
        <v>0.65</v>
      </c>
      <c r="H133" s="13" t="n">
        <v>1.15</v>
      </c>
      <c r="I133" s="13" t="n">
        <v>0.9591</v>
      </c>
      <c r="J133" s="13" t="n">
        <v>0.53</v>
      </c>
      <c r="K133" s="12" t="n">
        <f aca="false">ROUND(F133/100*G133*H133*I133/J133,2)</f>
        <v>7507.45</v>
      </c>
      <c r="L133" s="12" t="n">
        <v>7507.44</v>
      </c>
      <c r="M133" s="12" t="n">
        <f aca="false">L133-K133</f>
        <v>-0.0100000000002183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559</v>
      </c>
      <c r="B134" s="14" t="s">
        <v>811</v>
      </c>
      <c r="C134" s="14" t="s">
        <v>275</v>
      </c>
      <c r="D134" s="14" t="s">
        <v>812</v>
      </c>
      <c r="E134" s="14" t="s">
        <v>50</v>
      </c>
      <c r="F134" s="15" t="n">
        <v>1145000</v>
      </c>
      <c r="G134" s="16" t="n">
        <v>0.8</v>
      </c>
      <c r="H134" s="16" t="n">
        <v>1.19</v>
      </c>
      <c r="I134" s="16" t="n">
        <v>0.9591</v>
      </c>
      <c r="J134" s="16" t="n">
        <v>0.53</v>
      </c>
      <c r="K134" s="15" t="n">
        <f aca="false">ROUND(F134/100*G134*H134*I134/J134,2)</f>
        <v>19725.61</v>
      </c>
      <c r="L134" s="15" t="n">
        <v>19725.61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594</v>
      </c>
      <c r="B135" s="3" t="s">
        <v>813</v>
      </c>
      <c r="C135" s="3" t="s">
        <v>77</v>
      </c>
      <c r="D135" s="3" t="s">
        <v>814</v>
      </c>
      <c r="E135" s="3" t="s">
        <v>56</v>
      </c>
      <c r="F135" s="12" t="n">
        <v>530000</v>
      </c>
      <c r="G135" s="13" t="n">
        <v>0.65</v>
      </c>
      <c r="H135" s="13" t="n">
        <v>1.42</v>
      </c>
      <c r="I135" s="13" t="n">
        <v>0.9591</v>
      </c>
      <c r="J135" s="13" t="n">
        <v>0.53</v>
      </c>
      <c r="K135" s="12" t="n">
        <f aca="false">ROUND(F135/100*G135*H135*I135/J135,2)</f>
        <v>8852.49</v>
      </c>
      <c r="L135" s="12" t="n">
        <v>8852.49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669</v>
      </c>
      <c r="B136" s="14" t="s">
        <v>815</v>
      </c>
      <c r="C136" s="14" t="s">
        <v>120</v>
      </c>
      <c r="D136" s="14" t="s">
        <v>129</v>
      </c>
      <c r="E136" s="14" t="s">
        <v>56</v>
      </c>
      <c r="F136" s="15" t="n">
        <v>365000</v>
      </c>
      <c r="G136" s="16" t="n">
        <v>0.75</v>
      </c>
      <c r="H136" s="16" t="n">
        <v>1.15</v>
      </c>
      <c r="I136" s="16" t="n">
        <v>0.9591</v>
      </c>
      <c r="J136" s="16" t="n">
        <v>0.53</v>
      </c>
      <c r="K136" s="15" t="n">
        <f aca="false">ROUND(F136/100*G136*H136*I136/J136,2)</f>
        <v>5696.92</v>
      </c>
      <c r="L136" s="15" t="n">
        <v>5696.92</v>
      </c>
      <c r="M136" s="15" t="n">
        <f aca="false">L136-K136</f>
        <v>0</v>
      </c>
      <c r="N136" s="14" t="s">
        <v>51</v>
      </c>
      <c r="O136" s="14" t="s">
        <v>52</v>
      </c>
    </row>
    <row r="137" customFormat="false" ht="15" hidden="false" customHeight="false" outlineLevel="0" collapsed="false">
      <c r="A137" s="3" t="s">
        <v>637</v>
      </c>
      <c r="B137" s="3" t="s">
        <v>816</v>
      </c>
      <c r="C137" s="3" t="s">
        <v>136</v>
      </c>
      <c r="D137" s="3" t="s">
        <v>817</v>
      </c>
      <c r="E137" s="3" t="s">
        <v>56</v>
      </c>
      <c r="F137" s="12" t="n">
        <v>860000</v>
      </c>
      <c r="G137" s="13" t="n">
        <v>0.65</v>
      </c>
      <c r="H137" s="13" t="n">
        <v>1.32</v>
      </c>
      <c r="I137" s="13" t="n">
        <v>0.9591</v>
      </c>
      <c r="J137" s="13" t="n">
        <v>0.53</v>
      </c>
      <c r="K137" s="12" t="n">
        <f aca="false">ROUND(F137/100*G137*H137*I137/J137,2)</f>
        <v>13352.84</v>
      </c>
      <c r="L137" s="12" t="n">
        <v>13352.84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637</v>
      </c>
      <c r="B138" s="14" t="s">
        <v>818</v>
      </c>
      <c r="C138" s="14" t="s">
        <v>305</v>
      </c>
      <c r="D138" s="14" t="s">
        <v>819</v>
      </c>
      <c r="E138" s="14" t="s">
        <v>56</v>
      </c>
      <c r="F138" s="15" t="n">
        <v>295000</v>
      </c>
      <c r="G138" s="16" t="n">
        <v>0.75</v>
      </c>
      <c r="H138" s="16" t="n">
        <v>1.12</v>
      </c>
      <c r="I138" s="16" t="n">
        <v>0.9591</v>
      </c>
      <c r="J138" s="16" t="n">
        <v>0.53</v>
      </c>
      <c r="K138" s="15" t="n">
        <f aca="false">ROUND(F138/100*G138*H138*I138/J138,2)</f>
        <v>4484.24</v>
      </c>
      <c r="L138" s="15" t="n">
        <v>4484.24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588</v>
      </c>
      <c r="B139" s="3" t="s">
        <v>820</v>
      </c>
      <c r="C139" s="3" t="s">
        <v>224</v>
      </c>
      <c r="D139" s="3" t="s">
        <v>821</v>
      </c>
      <c r="E139" s="3" t="s">
        <v>74</v>
      </c>
      <c r="F139" s="12" t="n">
        <v>370000</v>
      </c>
      <c r="G139" s="13" t="n">
        <v>0.48</v>
      </c>
      <c r="H139" s="13" t="n">
        <v>1.1</v>
      </c>
      <c r="I139" s="13" t="n">
        <v>0.9591</v>
      </c>
      <c r="J139" s="13" t="n">
        <v>0.53</v>
      </c>
      <c r="K139" s="12" t="n">
        <f aca="false">ROUND(F139/100*G139*H139*I139/J139,2)</f>
        <v>3535.28</v>
      </c>
      <c r="L139" s="12" t="n">
        <v>3535.28</v>
      </c>
      <c r="M139" s="12" t="n">
        <f aca="false">L139-K139</f>
        <v>0</v>
      </c>
      <c r="N139" s="3" t="s">
        <v>70</v>
      </c>
      <c r="O139" s="3" t="s">
        <v>52</v>
      </c>
    </row>
    <row r="140" customFormat="false" ht="15" hidden="false" customHeight="false" outlineLevel="0" collapsed="false">
      <c r="A140" s="14" t="s">
        <v>570</v>
      </c>
      <c r="B140" s="14" t="s">
        <v>822</v>
      </c>
      <c r="C140" s="14" t="s">
        <v>462</v>
      </c>
      <c r="D140" s="14" t="s">
        <v>823</v>
      </c>
      <c r="E140" s="14" t="s">
        <v>50</v>
      </c>
      <c r="F140" s="15" t="n">
        <v>460000</v>
      </c>
      <c r="G140" s="16" t="n">
        <v>1.15</v>
      </c>
      <c r="H140" s="16" t="n">
        <v>1.34</v>
      </c>
      <c r="I140" s="16" t="n">
        <v>0.9591</v>
      </c>
      <c r="J140" s="16" t="n">
        <v>0.53</v>
      </c>
      <c r="K140" s="15" t="n">
        <f aca="false">ROUND(F140/100*G140*H140*I140/J140,2)</f>
        <v>12827.69</v>
      </c>
      <c r="L140" s="15" t="n">
        <v>12827.69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646</v>
      </c>
      <c r="B141" s="3" t="s">
        <v>824</v>
      </c>
      <c r="C141" s="3" t="s">
        <v>275</v>
      </c>
      <c r="D141" s="3" t="s">
        <v>460</v>
      </c>
      <c r="E141" s="3" t="s">
        <v>56</v>
      </c>
      <c r="F141" s="12" t="n">
        <v>410000</v>
      </c>
      <c r="G141" s="13" t="n">
        <v>0.75</v>
      </c>
      <c r="H141" s="13" t="n">
        <v>1.19</v>
      </c>
      <c r="I141" s="13" t="n">
        <v>0.9591</v>
      </c>
      <c r="J141" s="13" t="n">
        <v>0.53</v>
      </c>
      <c r="K141" s="12" t="n">
        <f aca="false">ROUND(F141/100*G141*H141*I141/J141,2)</f>
        <v>6621.86</v>
      </c>
      <c r="L141" s="12" t="n">
        <v>6621.87</v>
      </c>
      <c r="M141" s="12" t="n">
        <f aca="false">L141-K141</f>
        <v>0.0100000000002183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591</v>
      </c>
      <c r="B142" s="14" t="s">
        <v>825</v>
      </c>
      <c r="C142" s="14" t="s">
        <v>193</v>
      </c>
      <c r="D142" s="14" t="s">
        <v>826</v>
      </c>
      <c r="E142" s="14" t="s">
        <v>56</v>
      </c>
      <c r="F142" s="15" t="n">
        <v>325000</v>
      </c>
      <c r="G142" s="16" t="n">
        <v>0.75</v>
      </c>
      <c r="H142" s="16" t="n">
        <v>1.25</v>
      </c>
      <c r="I142" s="16" t="n">
        <v>0.9591</v>
      </c>
      <c r="J142" s="16" t="n">
        <v>0.53</v>
      </c>
      <c r="K142" s="15" t="n">
        <f aca="false">ROUND(F142/100*G142*H142*I142/J142,2)</f>
        <v>5513.69</v>
      </c>
      <c r="L142" s="15" t="n">
        <v>5513.69</v>
      </c>
      <c r="M142" s="15" t="n">
        <f aca="false">L142-K142</f>
        <v>0</v>
      </c>
      <c r="N142" s="14" t="s">
        <v>51</v>
      </c>
      <c r="O142" s="14" t="s">
        <v>52</v>
      </c>
    </row>
    <row r="143" customFormat="false" ht="15" hidden="false" customHeight="false" outlineLevel="0" collapsed="false">
      <c r="A143" s="3" t="s">
        <v>613</v>
      </c>
      <c r="B143" s="3" t="s">
        <v>827</v>
      </c>
      <c r="C143" s="3" t="s">
        <v>237</v>
      </c>
      <c r="D143" s="3" t="s">
        <v>828</v>
      </c>
      <c r="E143" s="3" t="s">
        <v>56</v>
      </c>
      <c r="F143" s="12" t="n">
        <v>265000</v>
      </c>
      <c r="G143" s="13" t="n">
        <v>0.75</v>
      </c>
      <c r="H143" s="13" t="n">
        <v>1.33</v>
      </c>
      <c r="I143" s="13" t="n">
        <v>0.9591</v>
      </c>
      <c r="J143" s="13" t="n">
        <v>0.53</v>
      </c>
      <c r="K143" s="12" t="n">
        <f aca="false">ROUND(F143/100*G143*H143*I143/J143,2)</f>
        <v>4783.51</v>
      </c>
      <c r="L143" s="12" t="n">
        <v>4783.51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646</v>
      </c>
      <c r="B144" s="14" t="s">
        <v>829</v>
      </c>
      <c r="C144" s="14" t="s">
        <v>366</v>
      </c>
      <c r="D144" s="14" t="s">
        <v>830</v>
      </c>
      <c r="E144" s="14" t="s">
        <v>157</v>
      </c>
      <c r="F144" s="15" t="n">
        <v>1145000</v>
      </c>
      <c r="G144" s="16" t="n">
        <v>0.68</v>
      </c>
      <c r="H144" s="16" t="n">
        <v>1.26</v>
      </c>
      <c r="I144" s="16" t="n">
        <v>0.9591</v>
      </c>
      <c r="J144" s="16" t="n">
        <v>0.53</v>
      </c>
      <c r="K144" s="15" t="n">
        <f aca="false">ROUND(F144/100*G144*H144*I144/J144,2)</f>
        <v>17753.05</v>
      </c>
      <c r="L144" s="15" t="n">
        <v>17753.05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562</v>
      </c>
      <c r="B145" s="3" t="s">
        <v>831</v>
      </c>
      <c r="C145" s="3" t="s">
        <v>48</v>
      </c>
      <c r="D145" s="3" t="s">
        <v>153</v>
      </c>
      <c r="E145" s="3" t="s">
        <v>56</v>
      </c>
      <c r="F145" s="12" t="n">
        <v>675000</v>
      </c>
      <c r="G145" s="13" t="n">
        <v>0.65</v>
      </c>
      <c r="H145" s="13" t="n">
        <v>1.28</v>
      </c>
      <c r="I145" s="13" t="n">
        <v>0.9591</v>
      </c>
      <c r="J145" s="13" t="n">
        <v>0.53</v>
      </c>
      <c r="K145" s="12" t="n">
        <f aca="false">ROUND(F145/100*G145*H145*I145/J145,2)</f>
        <v>10162.84</v>
      </c>
      <c r="L145" s="12" t="n">
        <v>10162.84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632</v>
      </c>
      <c r="B146" s="14" t="s">
        <v>832</v>
      </c>
      <c r="C146" s="14" t="s">
        <v>117</v>
      </c>
      <c r="D146" s="14" t="s">
        <v>757</v>
      </c>
      <c r="E146" s="14" t="s">
        <v>56</v>
      </c>
      <c r="F146" s="15" t="n">
        <v>615000</v>
      </c>
      <c r="G146" s="16" t="n">
        <v>0.65</v>
      </c>
      <c r="H146" s="16" t="n">
        <v>0.91</v>
      </c>
      <c r="I146" s="16" t="n">
        <v>0.9591</v>
      </c>
      <c r="J146" s="16" t="n">
        <v>0.53</v>
      </c>
      <c r="K146" s="15" t="n">
        <f aca="false">ROUND(F146/100*G146*H146*I146/J146,2)</f>
        <v>6582.91</v>
      </c>
      <c r="L146" s="15" t="n">
        <v>6582.91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602</v>
      </c>
      <c r="B147" s="3" t="s">
        <v>833</v>
      </c>
      <c r="C147" s="3" t="s">
        <v>326</v>
      </c>
      <c r="D147" s="3" t="s">
        <v>834</v>
      </c>
      <c r="E147" s="3" t="s">
        <v>56</v>
      </c>
      <c r="F147" s="12" t="n">
        <v>685000</v>
      </c>
      <c r="G147" s="13" t="n">
        <v>0.65</v>
      </c>
      <c r="H147" s="13" t="n">
        <v>1.12</v>
      </c>
      <c r="I147" s="13" t="n">
        <v>0.9591</v>
      </c>
      <c r="J147" s="13" t="n">
        <v>0.53</v>
      </c>
      <c r="K147" s="12" t="n">
        <f aca="false">ROUND(F147/100*G147*H147*I147/J147,2)</f>
        <v>9024.23</v>
      </c>
      <c r="L147" s="12" t="n">
        <v>9024.23</v>
      </c>
      <c r="M147" s="12" t="n">
        <f aca="false">L147-K147</f>
        <v>0</v>
      </c>
      <c r="N147" s="3" t="s">
        <v>70</v>
      </c>
      <c r="O147" s="3" t="s">
        <v>52</v>
      </c>
    </row>
    <row r="148" customFormat="false" ht="15" hidden="false" customHeight="false" outlineLevel="0" collapsed="false">
      <c r="A148" s="14" t="s">
        <v>604</v>
      </c>
      <c r="B148" s="14" t="s">
        <v>835</v>
      </c>
      <c r="C148" s="14" t="s">
        <v>237</v>
      </c>
      <c r="D148" s="14" t="s">
        <v>836</v>
      </c>
      <c r="E148" s="14" t="s">
        <v>74</v>
      </c>
      <c r="F148" s="15" t="n">
        <v>420000</v>
      </c>
      <c r="G148" s="16" t="n">
        <v>0.48</v>
      </c>
      <c r="H148" s="16" t="n">
        <v>1.33</v>
      </c>
      <c r="I148" s="16" t="n">
        <v>0.9591</v>
      </c>
      <c r="J148" s="16" t="n">
        <v>0.53</v>
      </c>
      <c r="K148" s="15" t="n">
        <f aca="false">ROUND(F148/100*G148*H148*I148/J148,2)</f>
        <v>4852.1</v>
      </c>
      <c r="L148" s="15" t="n">
        <v>4852.11</v>
      </c>
      <c r="M148" s="15" t="n">
        <f aca="false">L148-K148</f>
        <v>0.00999999999930878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629</v>
      </c>
      <c r="B149" s="3" t="s">
        <v>837</v>
      </c>
      <c r="C149" s="3" t="s">
        <v>89</v>
      </c>
      <c r="D149" s="3" t="s">
        <v>838</v>
      </c>
      <c r="E149" s="3" t="s">
        <v>56</v>
      </c>
      <c r="F149" s="12" t="n">
        <v>600000</v>
      </c>
      <c r="G149" s="13" t="n">
        <v>0.65</v>
      </c>
      <c r="H149" s="13" t="n">
        <v>1.35</v>
      </c>
      <c r="I149" s="13" t="n">
        <v>0.9591</v>
      </c>
      <c r="J149" s="13" t="n">
        <v>0.53</v>
      </c>
      <c r="K149" s="12" t="n">
        <f aca="false">ROUND(F149/100*G149*H149*I149/J149,2)</f>
        <v>9527.66</v>
      </c>
      <c r="L149" s="12" t="n">
        <v>9527.66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585</v>
      </c>
      <c r="B150" s="14" t="s">
        <v>839</v>
      </c>
      <c r="C150" s="14" t="s">
        <v>326</v>
      </c>
      <c r="D150" s="14" t="s">
        <v>840</v>
      </c>
      <c r="E150" s="14" t="s">
        <v>157</v>
      </c>
      <c r="F150" s="15" t="n">
        <v>510000</v>
      </c>
      <c r="G150" s="16" t="n">
        <v>0.78</v>
      </c>
      <c r="H150" s="16" t="n">
        <v>1.12</v>
      </c>
      <c r="I150" s="16" t="n">
        <v>0.9591</v>
      </c>
      <c r="J150" s="16" t="n">
        <v>0.53</v>
      </c>
      <c r="K150" s="15" t="n">
        <f aca="false">ROUND(F150/100*G150*H150*I150/J150,2)</f>
        <v>8062.52</v>
      </c>
      <c r="L150" s="15" t="n">
        <v>8062.52</v>
      </c>
      <c r="M150" s="15" t="n">
        <f aca="false">L150-K150</f>
        <v>0</v>
      </c>
      <c r="N150" s="14" t="s">
        <v>51</v>
      </c>
      <c r="O150" s="14" t="s">
        <v>52</v>
      </c>
    </row>
    <row r="151" customFormat="false" ht="15" hidden="false" customHeight="false" outlineLevel="0" collapsed="false">
      <c r="A151" s="3" t="s">
        <v>646</v>
      </c>
      <c r="B151" s="3" t="s">
        <v>841</v>
      </c>
      <c r="C151" s="3" t="s">
        <v>93</v>
      </c>
      <c r="D151" s="3" t="s">
        <v>842</v>
      </c>
      <c r="E151" s="3" t="s">
        <v>56</v>
      </c>
      <c r="F151" s="12" t="n">
        <v>385000</v>
      </c>
      <c r="G151" s="13" t="n">
        <v>0.75</v>
      </c>
      <c r="H151" s="13" t="n">
        <v>1.39</v>
      </c>
      <c r="I151" s="13" t="n">
        <v>0.9591</v>
      </c>
      <c r="J151" s="13" t="n">
        <v>0.53</v>
      </c>
      <c r="K151" s="12" t="n">
        <f aca="false">ROUND(F151/100*G151*H151*I151/J151,2)</f>
        <v>7263.15</v>
      </c>
      <c r="L151" s="12" t="n">
        <v>7263.15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567</v>
      </c>
      <c r="B152" s="14" t="s">
        <v>843</v>
      </c>
      <c r="C152" s="14" t="s">
        <v>193</v>
      </c>
      <c r="D152" s="14" t="s">
        <v>153</v>
      </c>
      <c r="E152" s="14" t="s">
        <v>56</v>
      </c>
      <c r="F152" s="15" t="n">
        <v>795000</v>
      </c>
      <c r="G152" s="16" t="n">
        <v>0.65</v>
      </c>
      <c r="H152" s="16" t="n">
        <v>1.25</v>
      </c>
      <c r="I152" s="16" t="n">
        <v>0.9591</v>
      </c>
      <c r="J152" s="16" t="n">
        <v>0.53</v>
      </c>
      <c r="K152" s="15" t="n">
        <f aca="false">ROUND(F152/100*G152*H152*I152/J152,2)</f>
        <v>11689.03</v>
      </c>
      <c r="L152" s="15" t="n">
        <v>11689.03</v>
      </c>
      <c r="M152" s="15" t="n">
        <f aca="false">L152-K152</f>
        <v>0</v>
      </c>
      <c r="N152" s="14" t="s">
        <v>70</v>
      </c>
      <c r="O152" s="14" t="s">
        <v>52</v>
      </c>
    </row>
    <row r="153" customFormat="false" ht="15" hidden="false" customHeight="false" outlineLevel="0" collapsed="false">
      <c r="A153" s="3" t="s">
        <v>773</v>
      </c>
      <c r="B153" s="3" t="s">
        <v>844</v>
      </c>
      <c r="C153" s="3" t="s">
        <v>366</v>
      </c>
      <c r="D153" s="3" t="s">
        <v>689</v>
      </c>
      <c r="E153" s="3" t="s">
        <v>74</v>
      </c>
      <c r="F153" s="12" t="n">
        <v>445000</v>
      </c>
      <c r="G153" s="13" t="n">
        <v>0.48</v>
      </c>
      <c r="H153" s="13" t="n">
        <v>1.26</v>
      </c>
      <c r="I153" s="13" t="n">
        <v>0.9591</v>
      </c>
      <c r="J153" s="13" t="n">
        <v>0.53</v>
      </c>
      <c r="K153" s="12" t="n">
        <f aca="false">ROUND(F153/100*G153*H153*I153/J153,2)</f>
        <v>4870.35</v>
      </c>
      <c r="L153" s="12" t="n">
        <v>4870.35</v>
      </c>
      <c r="M153" s="12" t="n">
        <f aca="false">L153-K153</f>
        <v>0</v>
      </c>
      <c r="N153" s="3" t="s">
        <v>51</v>
      </c>
      <c r="O153" s="3" t="s">
        <v>52</v>
      </c>
    </row>
    <row r="154" customFormat="false" ht="15" hidden="false" customHeight="false" outlineLevel="0" collapsed="false">
      <c r="A154" s="14" t="s">
        <v>646</v>
      </c>
      <c r="B154" s="14" t="s">
        <v>845</v>
      </c>
      <c r="C154" s="14" t="s">
        <v>326</v>
      </c>
      <c r="D154" s="14" t="s">
        <v>846</v>
      </c>
      <c r="E154" s="14" t="s">
        <v>56</v>
      </c>
      <c r="F154" s="15" t="n">
        <v>575000</v>
      </c>
      <c r="G154" s="16" t="n">
        <v>0.65</v>
      </c>
      <c r="H154" s="16" t="n">
        <v>1.12</v>
      </c>
      <c r="I154" s="16" t="n">
        <v>0.9591</v>
      </c>
      <c r="J154" s="16" t="n">
        <v>0.53</v>
      </c>
      <c r="K154" s="15" t="n">
        <f aca="false">ROUND(F154/100*G154*H154*I154/J154,2)</f>
        <v>7575.08</v>
      </c>
      <c r="L154" s="15" t="n">
        <v>7575.08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591</v>
      </c>
      <c r="B155" s="3" t="s">
        <v>847</v>
      </c>
      <c r="C155" s="3" t="s">
        <v>114</v>
      </c>
      <c r="D155" s="3" t="s">
        <v>810</v>
      </c>
      <c r="E155" s="3" t="s">
        <v>56</v>
      </c>
      <c r="F155" s="12" t="n">
        <v>120000</v>
      </c>
      <c r="G155" s="13" t="n">
        <v>0.92</v>
      </c>
      <c r="H155" s="13" t="n">
        <v>1.36</v>
      </c>
      <c r="I155" s="13" t="n">
        <v>0.9591</v>
      </c>
      <c r="J155" s="13" t="n">
        <v>0.53</v>
      </c>
      <c r="K155" s="12" t="n">
        <f aca="false">ROUND(F155/100*G155*H155*I155/J155,2)</f>
        <v>2717.04</v>
      </c>
      <c r="L155" s="12" t="n">
        <v>2717.04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629</v>
      </c>
      <c r="B156" s="14" t="s">
        <v>848</v>
      </c>
      <c r="C156" s="14" t="s">
        <v>193</v>
      </c>
      <c r="D156" s="14" t="s">
        <v>849</v>
      </c>
      <c r="E156" s="14" t="s">
        <v>74</v>
      </c>
      <c r="F156" s="15" t="n">
        <v>1365000</v>
      </c>
      <c r="G156" s="16" t="n">
        <v>0.38</v>
      </c>
      <c r="H156" s="16" t="n">
        <v>1.25</v>
      </c>
      <c r="I156" s="16" t="n">
        <v>0.9591</v>
      </c>
      <c r="J156" s="16" t="n">
        <v>0.53</v>
      </c>
      <c r="K156" s="15" t="n">
        <f aca="false">ROUND(F156/100*G156*H156*I156/J156,2)</f>
        <v>11733.14</v>
      </c>
      <c r="L156" s="15" t="n">
        <v>11733.14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567</v>
      </c>
      <c r="B157" s="3" t="s">
        <v>850</v>
      </c>
      <c r="C157" s="3" t="s">
        <v>131</v>
      </c>
      <c r="D157" s="3" t="s">
        <v>123</v>
      </c>
      <c r="E157" s="3" t="s">
        <v>50</v>
      </c>
      <c r="F157" s="12" t="n">
        <v>555000</v>
      </c>
      <c r="G157" s="13" t="n">
        <v>0.95</v>
      </c>
      <c r="H157" s="13" t="n">
        <v>0.95</v>
      </c>
      <c r="I157" s="13" t="n">
        <v>0.9591</v>
      </c>
      <c r="J157" s="13" t="n">
        <v>0.53</v>
      </c>
      <c r="K157" s="12" t="n">
        <f aca="false">ROUND(F157/100*G157*H157*I157/J157,2)</f>
        <v>9064.17</v>
      </c>
      <c r="L157" s="12" t="n">
        <v>9064.18</v>
      </c>
      <c r="M157" s="12" t="n">
        <f aca="false">L157-K157</f>
        <v>0.0100000000002183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602</v>
      </c>
      <c r="B158" s="14" t="s">
        <v>851</v>
      </c>
      <c r="C158" s="14" t="s">
        <v>159</v>
      </c>
      <c r="D158" s="14" t="s">
        <v>852</v>
      </c>
      <c r="E158" s="14" t="s">
        <v>50</v>
      </c>
      <c r="F158" s="15" t="n">
        <v>570000</v>
      </c>
      <c r="G158" s="16" t="n">
        <v>0.95</v>
      </c>
      <c r="H158" s="16" t="n">
        <v>1.15</v>
      </c>
      <c r="I158" s="16" t="n">
        <v>0.9591</v>
      </c>
      <c r="J158" s="16" t="n">
        <v>0.53</v>
      </c>
      <c r="K158" s="15" t="n">
        <f aca="false">ROUND(F158/100*G158*H158*I158/J158,2)</f>
        <v>11268.97</v>
      </c>
      <c r="L158" s="15" t="n">
        <v>11268.97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669</v>
      </c>
      <c r="B159" s="3" t="s">
        <v>853</v>
      </c>
      <c r="C159" s="3" t="s">
        <v>174</v>
      </c>
      <c r="D159" s="3" t="s">
        <v>854</v>
      </c>
      <c r="E159" s="3" t="s">
        <v>56</v>
      </c>
      <c r="F159" s="12" t="n">
        <v>480000</v>
      </c>
      <c r="G159" s="13" t="n">
        <v>0.75</v>
      </c>
      <c r="H159" s="13" t="n">
        <v>1.55</v>
      </c>
      <c r="I159" s="13" t="n">
        <v>0.9591</v>
      </c>
      <c r="J159" s="13" t="n">
        <v>0.53</v>
      </c>
      <c r="K159" s="12" t="n">
        <f aca="false">ROUND(F159/100*G159*H159*I159/J159,2)</f>
        <v>10097.69</v>
      </c>
      <c r="L159" s="12" t="n">
        <v>10097.69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773</v>
      </c>
      <c r="B160" s="14" t="s">
        <v>855</v>
      </c>
      <c r="C160" s="14" t="s">
        <v>131</v>
      </c>
      <c r="D160" s="14" t="s">
        <v>103</v>
      </c>
      <c r="E160" s="14" t="s">
        <v>50</v>
      </c>
      <c r="F160" s="15" t="n">
        <v>1950000</v>
      </c>
      <c r="G160" s="16" t="n">
        <v>0.8</v>
      </c>
      <c r="H160" s="16" t="n">
        <v>0.95</v>
      </c>
      <c r="I160" s="16" t="n">
        <v>0.9591</v>
      </c>
      <c r="J160" s="16" t="n">
        <v>0.53</v>
      </c>
      <c r="K160" s="15" t="n">
        <f aca="false">ROUND(F160/100*G160*H160*I160/J160,2)</f>
        <v>26818.61</v>
      </c>
      <c r="L160" s="15" t="n">
        <v>26818.6</v>
      </c>
      <c r="M160" s="15" t="n">
        <f aca="false">L160-K160</f>
        <v>-0.0100000000020373</v>
      </c>
      <c r="N160" s="14" t="s">
        <v>51</v>
      </c>
      <c r="O160" s="14" t="s">
        <v>52</v>
      </c>
    </row>
    <row r="161" customFormat="false" ht="15" hidden="false" customHeight="false" outlineLevel="0" collapsed="false">
      <c r="A161" s="3" t="s">
        <v>686</v>
      </c>
      <c r="B161" s="3" t="s">
        <v>856</v>
      </c>
      <c r="C161" s="3" t="s">
        <v>305</v>
      </c>
      <c r="D161" s="3" t="s">
        <v>857</v>
      </c>
      <c r="E161" s="3" t="s">
        <v>56</v>
      </c>
      <c r="F161" s="12" t="n">
        <v>325000</v>
      </c>
      <c r="G161" s="13" t="n">
        <v>0.75</v>
      </c>
      <c r="H161" s="13" t="n">
        <v>1.12</v>
      </c>
      <c r="I161" s="13" t="n">
        <v>0.9591</v>
      </c>
      <c r="J161" s="13" t="n">
        <v>0.53</v>
      </c>
      <c r="K161" s="12" t="n">
        <f aca="false">ROUND(F161/100*G161*H161*I161/J161,2)</f>
        <v>4940.27</v>
      </c>
      <c r="L161" s="12" t="n">
        <v>4940.27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588</v>
      </c>
      <c r="B162" s="14" t="s">
        <v>858</v>
      </c>
      <c r="C162" s="14" t="s">
        <v>224</v>
      </c>
      <c r="D162" s="14" t="s">
        <v>859</v>
      </c>
      <c r="E162" s="14" t="s">
        <v>56</v>
      </c>
      <c r="F162" s="15" t="n">
        <v>770000</v>
      </c>
      <c r="G162" s="16" t="n">
        <v>0.65</v>
      </c>
      <c r="H162" s="16" t="n">
        <v>1.1</v>
      </c>
      <c r="I162" s="16" t="n">
        <v>0.9591</v>
      </c>
      <c r="J162" s="16" t="n">
        <v>0.53</v>
      </c>
      <c r="K162" s="15" t="n">
        <f aca="false">ROUND(F162/100*G162*H162*I162/J162,2)</f>
        <v>9962.88</v>
      </c>
      <c r="L162" s="15" t="n">
        <v>9962.88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669</v>
      </c>
      <c r="B163" s="3" t="s">
        <v>860</v>
      </c>
      <c r="C163" s="3" t="s">
        <v>462</v>
      </c>
      <c r="D163" s="3" t="s">
        <v>861</v>
      </c>
      <c r="E163" s="3" t="s">
        <v>50</v>
      </c>
      <c r="F163" s="12" t="n">
        <v>1950000</v>
      </c>
      <c r="G163" s="13" t="n">
        <v>0.8</v>
      </c>
      <c r="H163" s="13" t="n">
        <v>1.34</v>
      </c>
      <c r="I163" s="13" t="n">
        <v>0.9591</v>
      </c>
      <c r="J163" s="13" t="n">
        <v>0.53</v>
      </c>
      <c r="K163" s="12" t="n">
        <f aca="false">ROUND(F163/100*G163*H163*I163/J163,2)</f>
        <v>37828.35</v>
      </c>
      <c r="L163" s="12" t="n">
        <v>37828.35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594</v>
      </c>
      <c r="B164" s="14" t="s">
        <v>862</v>
      </c>
      <c r="C164" s="14" t="s">
        <v>174</v>
      </c>
      <c r="D164" s="14" t="s">
        <v>863</v>
      </c>
      <c r="E164" s="14" t="s">
        <v>56</v>
      </c>
      <c r="F164" s="15" t="n">
        <v>895000</v>
      </c>
      <c r="G164" s="16" t="n">
        <v>0.65</v>
      </c>
      <c r="H164" s="16" t="n">
        <v>1.55</v>
      </c>
      <c r="I164" s="16" t="n">
        <v>0.9591</v>
      </c>
      <c r="J164" s="16" t="n">
        <v>0.53</v>
      </c>
      <c r="K164" s="15" t="n">
        <f aca="false">ROUND(F164/100*G164*H164*I164/J164,2)</f>
        <v>16317.59</v>
      </c>
      <c r="L164" s="15" t="n">
        <v>16317.59</v>
      </c>
      <c r="M164" s="15" t="n">
        <f aca="false">L164-K164</f>
        <v>0</v>
      </c>
      <c r="N164" s="14" t="s">
        <v>51</v>
      </c>
      <c r="O164" s="14" t="s">
        <v>52</v>
      </c>
    </row>
    <row r="165" customFormat="false" ht="15" hidden="false" customHeight="false" outlineLevel="0" collapsed="false">
      <c r="A165" s="3" t="s">
        <v>604</v>
      </c>
      <c r="B165" s="3" t="s">
        <v>864</v>
      </c>
      <c r="C165" s="3" t="s">
        <v>89</v>
      </c>
      <c r="D165" s="3" t="s">
        <v>865</v>
      </c>
      <c r="E165" s="3" t="s">
        <v>50</v>
      </c>
      <c r="F165" s="12" t="n">
        <v>765000</v>
      </c>
      <c r="G165" s="13" t="n">
        <v>0.95</v>
      </c>
      <c r="H165" s="13" t="n">
        <v>1.35</v>
      </c>
      <c r="I165" s="13" t="n">
        <v>0.9591</v>
      </c>
      <c r="J165" s="13" t="n">
        <v>0.53</v>
      </c>
      <c r="K165" s="12" t="n">
        <f aca="false">ROUND(F165/100*G165*H165*I165/J165,2)</f>
        <v>17754.43</v>
      </c>
      <c r="L165" s="12" t="n">
        <v>17754.44</v>
      </c>
      <c r="M165" s="12" t="n">
        <f aca="false">L165-K165</f>
        <v>0.00999999999839929</v>
      </c>
      <c r="N165" s="3" t="s">
        <v>70</v>
      </c>
      <c r="O165" s="3" t="s">
        <v>52</v>
      </c>
    </row>
    <row r="166" customFormat="false" ht="15" hidden="false" customHeight="false" outlineLevel="0" collapsed="false">
      <c r="A166" s="14" t="s">
        <v>562</v>
      </c>
      <c r="B166" s="14" t="s">
        <v>866</v>
      </c>
      <c r="C166" s="14" t="s">
        <v>210</v>
      </c>
      <c r="D166" s="14" t="s">
        <v>867</v>
      </c>
      <c r="E166" s="14" t="s">
        <v>50</v>
      </c>
      <c r="F166" s="15" t="n">
        <v>1950000</v>
      </c>
      <c r="G166" s="16" t="n">
        <v>0.8</v>
      </c>
      <c r="H166" s="16" t="n">
        <v>1.21</v>
      </c>
      <c r="I166" s="16" t="n">
        <v>0.9591</v>
      </c>
      <c r="J166" s="16" t="n">
        <v>0.53</v>
      </c>
      <c r="K166" s="15" t="n">
        <f aca="false">ROUND(F166/100*G166*H166*I166/J166,2)</f>
        <v>34158.44</v>
      </c>
      <c r="L166" s="15" t="n">
        <v>34158.43</v>
      </c>
      <c r="M166" s="15" t="n">
        <f aca="false">L166-K166</f>
        <v>-0.0100000000020373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573</v>
      </c>
      <c r="B167" s="3" t="s">
        <v>868</v>
      </c>
      <c r="C167" s="3" t="s">
        <v>81</v>
      </c>
      <c r="D167" s="3" t="s">
        <v>869</v>
      </c>
      <c r="E167" s="3" t="s">
        <v>133</v>
      </c>
      <c r="F167" s="12" t="n">
        <v>710000</v>
      </c>
      <c r="G167" s="13" t="n">
        <v>0.38</v>
      </c>
      <c r="H167" s="13" t="n">
        <v>1.27</v>
      </c>
      <c r="I167" s="13" t="n">
        <v>0.9591</v>
      </c>
      <c r="J167" s="13" t="n">
        <v>0.53</v>
      </c>
      <c r="K167" s="12" t="n">
        <f aca="false">ROUND(F167/100*G167*H167*I167/J167,2)</f>
        <v>6200.6</v>
      </c>
      <c r="L167" s="12" t="n">
        <v>6200.6</v>
      </c>
      <c r="M167" s="12" t="n">
        <f aca="false">L167-K167</f>
        <v>0</v>
      </c>
      <c r="N167" s="3" t="s">
        <v>51</v>
      </c>
      <c r="O167" s="3" t="s">
        <v>52</v>
      </c>
    </row>
    <row r="168" customFormat="false" ht="15" hidden="false" customHeight="false" outlineLevel="0" collapsed="false">
      <c r="A168" s="14" t="s">
        <v>567</v>
      </c>
      <c r="B168" s="14" t="s">
        <v>870</v>
      </c>
      <c r="C168" s="14" t="s">
        <v>64</v>
      </c>
      <c r="D168" s="14" t="s">
        <v>871</v>
      </c>
      <c r="E168" s="14" t="s">
        <v>56</v>
      </c>
      <c r="F168" s="15" t="n">
        <v>660000</v>
      </c>
      <c r="G168" s="16" t="n">
        <v>0.65</v>
      </c>
      <c r="H168" s="16" t="n">
        <v>1.17</v>
      </c>
      <c r="I168" s="16" t="n">
        <v>0.9591</v>
      </c>
      <c r="J168" s="16" t="n">
        <v>0.53</v>
      </c>
      <c r="K168" s="15" t="n">
        <f aca="false">ROUND(F168/100*G168*H168*I168/J168,2)</f>
        <v>9083.04</v>
      </c>
      <c r="L168" s="15" t="n">
        <v>9083.04</v>
      </c>
      <c r="M168" s="15" t="n">
        <f aca="false">L168-K168</f>
        <v>0</v>
      </c>
      <c r="N168" s="14" t="s">
        <v>51</v>
      </c>
      <c r="O168" s="14" t="s">
        <v>52</v>
      </c>
    </row>
    <row r="169" customFormat="false" ht="15" hidden="false" customHeight="false" outlineLevel="0" collapsed="false">
      <c r="A169" s="3" t="s">
        <v>609</v>
      </c>
      <c r="B169" s="3" t="s">
        <v>872</v>
      </c>
      <c r="C169" s="3" t="s">
        <v>152</v>
      </c>
      <c r="D169" s="3" t="s">
        <v>165</v>
      </c>
      <c r="E169" s="3" t="s">
        <v>56</v>
      </c>
      <c r="F169" s="12" t="n">
        <v>920000</v>
      </c>
      <c r="G169" s="13" t="n">
        <v>0.65</v>
      </c>
      <c r="H169" s="13" t="n">
        <v>1</v>
      </c>
      <c r="I169" s="13" t="n">
        <v>0.9591</v>
      </c>
      <c r="J169" s="13" t="n">
        <v>0.53</v>
      </c>
      <c r="K169" s="12" t="n">
        <f aca="false">ROUND(F169/100*G169*H169*I169/J169,2)</f>
        <v>10821.54</v>
      </c>
      <c r="L169" s="12" t="n">
        <v>10821.54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678</v>
      </c>
      <c r="B170" s="14" t="s">
        <v>873</v>
      </c>
      <c r="C170" s="14" t="s">
        <v>48</v>
      </c>
      <c r="D170" s="14" t="s">
        <v>874</v>
      </c>
      <c r="E170" s="14" t="s">
        <v>56</v>
      </c>
      <c r="F170" s="15" t="n">
        <v>1390000</v>
      </c>
      <c r="G170" s="16" t="n">
        <v>0.55</v>
      </c>
      <c r="H170" s="16" t="n">
        <v>1.28</v>
      </c>
      <c r="I170" s="16" t="n">
        <v>0.9591</v>
      </c>
      <c r="J170" s="16" t="n">
        <v>0.53</v>
      </c>
      <c r="K170" s="15" t="n">
        <f aca="false">ROUND(F170/100*G170*H170*I170/J170,2)</f>
        <v>17708.24</v>
      </c>
      <c r="L170" s="15" t="n">
        <v>17708.25</v>
      </c>
      <c r="M170" s="15" t="n">
        <f aca="false">L170-K170</f>
        <v>0.00999999999839929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570</v>
      </c>
      <c r="B171" s="3" t="s">
        <v>875</v>
      </c>
      <c r="C171" s="3" t="s">
        <v>278</v>
      </c>
      <c r="D171" s="3" t="s">
        <v>876</v>
      </c>
      <c r="E171" s="3" t="s">
        <v>56</v>
      </c>
      <c r="F171" s="12" t="n">
        <v>770000</v>
      </c>
      <c r="G171" s="13" t="n">
        <v>0.65</v>
      </c>
      <c r="H171" s="13" t="n">
        <v>0.98</v>
      </c>
      <c r="I171" s="13" t="n">
        <v>0.9591</v>
      </c>
      <c r="J171" s="13" t="n">
        <v>0.53</v>
      </c>
      <c r="K171" s="12" t="n">
        <f aca="false">ROUND(F171/100*G171*H171*I171/J171,2)</f>
        <v>8876.02</v>
      </c>
      <c r="L171" s="12" t="n">
        <v>8876.02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559</v>
      </c>
      <c r="B172" s="14" t="s">
        <v>877</v>
      </c>
      <c r="C172" s="14" t="s">
        <v>217</v>
      </c>
      <c r="D172" s="14" t="s">
        <v>878</v>
      </c>
      <c r="E172" s="14" t="s">
        <v>56</v>
      </c>
      <c r="F172" s="15" t="n">
        <v>935000</v>
      </c>
      <c r="G172" s="16" t="n">
        <v>0.65</v>
      </c>
      <c r="H172" s="16" t="n">
        <v>1.3</v>
      </c>
      <c r="I172" s="16" t="n">
        <v>0.9591</v>
      </c>
      <c r="J172" s="16" t="n">
        <v>0.53</v>
      </c>
      <c r="K172" s="15" t="n">
        <f aca="false">ROUND(F172/100*G172*H172*I172/J172,2)</f>
        <v>14297.38</v>
      </c>
      <c r="L172" s="15" t="n">
        <v>14297.38</v>
      </c>
      <c r="M172" s="15" t="n">
        <f aca="false">L172-K172</f>
        <v>0</v>
      </c>
      <c r="N172" s="14" t="s">
        <v>70</v>
      </c>
      <c r="O172" s="14" t="s">
        <v>52</v>
      </c>
    </row>
    <row r="173" customFormat="false" ht="15" hidden="false" customHeight="false" outlineLevel="0" collapsed="false">
      <c r="A173" s="3" t="s">
        <v>567</v>
      </c>
      <c r="B173" s="3" t="s">
        <v>879</v>
      </c>
      <c r="C173" s="3" t="s">
        <v>159</v>
      </c>
      <c r="D173" s="3" t="s">
        <v>880</v>
      </c>
      <c r="E173" s="3" t="s">
        <v>56</v>
      </c>
      <c r="F173" s="12" t="n">
        <v>380000</v>
      </c>
      <c r="G173" s="13" t="n">
        <v>0.75</v>
      </c>
      <c r="H173" s="13" t="n">
        <v>1.15</v>
      </c>
      <c r="I173" s="13" t="n">
        <v>0.9591</v>
      </c>
      <c r="J173" s="13" t="n">
        <v>0.53</v>
      </c>
      <c r="K173" s="12" t="n">
        <f aca="false">ROUND(F173/100*G173*H173*I173/J173,2)</f>
        <v>5931.04</v>
      </c>
      <c r="L173" s="12" t="n">
        <v>5931.04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604</v>
      </c>
      <c r="B174" s="14" t="s">
        <v>881</v>
      </c>
      <c r="C174" s="14" t="s">
        <v>89</v>
      </c>
      <c r="D174" s="14" t="s">
        <v>882</v>
      </c>
      <c r="E174" s="14" t="s">
        <v>74</v>
      </c>
      <c r="F174" s="15" t="n">
        <v>920000</v>
      </c>
      <c r="G174" s="16" t="n">
        <v>0.43</v>
      </c>
      <c r="H174" s="16" t="n">
        <v>1.35</v>
      </c>
      <c r="I174" s="16" t="n">
        <v>0.9591</v>
      </c>
      <c r="J174" s="16" t="n">
        <v>0.53</v>
      </c>
      <c r="K174" s="15" t="n">
        <f aca="false">ROUND(F174/100*G174*H174*I174/J174,2)</f>
        <v>9664.47</v>
      </c>
      <c r="L174" s="15" t="n">
        <v>9664.47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567</v>
      </c>
      <c r="B175" s="3" t="s">
        <v>883</v>
      </c>
      <c r="C175" s="3" t="s">
        <v>230</v>
      </c>
      <c r="D175" s="3" t="s">
        <v>208</v>
      </c>
      <c r="E175" s="3" t="s">
        <v>56</v>
      </c>
      <c r="F175" s="12" t="n">
        <v>285000</v>
      </c>
      <c r="G175" s="13" t="n">
        <v>0.75</v>
      </c>
      <c r="H175" s="13" t="n">
        <v>1.09</v>
      </c>
      <c r="I175" s="13" t="n">
        <v>0.9591</v>
      </c>
      <c r="J175" s="13" t="n">
        <v>0.53</v>
      </c>
      <c r="K175" s="12" t="n">
        <f aca="false">ROUND(F175/100*G175*H175*I175/J175,2)</f>
        <v>4216.19</v>
      </c>
      <c r="L175" s="12" t="n">
        <v>4216.19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690</v>
      </c>
      <c r="B176" s="14" t="s">
        <v>884</v>
      </c>
      <c r="C176" s="14" t="s">
        <v>184</v>
      </c>
      <c r="D176" s="14" t="s">
        <v>885</v>
      </c>
      <c r="E176" s="14" t="s">
        <v>56</v>
      </c>
      <c r="F176" s="15" t="n">
        <v>260000</v>
      </c>
      <c r="G176" s="16" t="n">
        <v>0.75</v>
      </c>
      <c r="H176" s="16" t="n">
        <v>1.02</v>
      </c>
      <c r="I176" s="16" t="n">
        <v>0.9591</v>
      </c>
      <c r="J176" s="16" t="n">
        <v>0.53</v>
      </c>
      <c r="K176" s="15" t="n">
        <f aca="false">ROUND(F176/100*G176*H176*I176/J176,2)</f>
        <v>3599.34</v>
      </c>
      <c r="L176" s="15" t="n">
        <v>3599.34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773</v>
      </c>
      <c r="B177" s="3" t="s">
        <v>886</v>
      </c>
      <c r="C177" s="3" t="s">
        <v>887</v>
      </c>
      <c r="D177" s="3" t="s">
        <v>888</v>
      </c>
      <c r="E177" s="3" t="s">
        <v>56</v>
      </c>
      <c r="F177" s="12" t="n">
        <v>745000</v>
      </c>
      <c r="G177" s="13" t="n">
        <v>0.65</v>
      </c>
      <c r="H177" s="13" t="n">
        <v>1.37</v>
      </c>
      <c r="I177" s="13" t="n">
        <v>0.9591</v>
      </c>
      <c r="J177" s="13" t="n">
        <v>0.53</v>
      </c>
      <c r="K177" s="12" t="n">
        <f aca="false">ROUND(F177/100*G177*H177*I177/J177,2)</f>
        <v>12005.44</v>
      </c>
      <c r="L177" s="12" t="n">
        <v>12005.45</v>
      </c>
      <c r="M177" s="12" t="n">
        <f aca="false">L177-K177</f>
        <v>0.0100000000002183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602</v>
      </c>
      <c r="B178" s="14" t="s">
        <v>889</v>
      </c>
      <c r="C178" s="14" t="s">
        <v>275</v>
      </c>
      <c r="D178" s="14" t="s">
        <v>890</v>
      </c>
      <c r="E178" s="14" t="s">
        <v>50</v>
      </c>
      <c r="F178" s="15" t="n">
        <v>955000</v>
      </c>
      <c r="G178" s="16" t="n">
        <v>0.95</v>
      </c>
      <c r="H178" s="16" t="n">
        <v>1.19</v>
      </c>
      <c r="I178" s="16" t="n">
        <v>0.9591</v>
      </c>
      <c r="J178" s="16" t="n">
        <v>0.53</v>
      </c>
      <c r="K178" s="15" t="n">
        <f aca="false">ROUND(F178/100*G178*H178*I178/J178,2)</f>
        <v>19537.18</v>
      </c>
      <c r="L178" s="15" t="n">
        <v>19537.18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657</v>
      </c>
      <c r="B179" s="3" t="s">
        <v>891</v>
      </c>
      <c r="C179" s="3" t="s">
        <v>892</v>
      </c>
      <c r="D179" s="3" t="s">
        <v>893</v>
      </c>
      <c r="E179" s="3" t="s">
        <v>56</v>
      </c>
      <c r="F179" s="12" t="n">
        <v>710000</v>
      </c>
      <c r="G179" s="13" t="n">
        <v>0.65</v>
      </c>
      <c r="H179" s="13" t="n">
        <v>1.08</v>
      </c>
      <c r="I179" s="13" t="n">
        <v>0.9591</v>
      </c>
      <c r="J179" s="13" t="n">
        <v>0.53</v>
      </c>
      <c r="K179" s="12" t="n">
        <f aca="false">ROUND(F179/100*G179*H179*I179/J179,2)</f>
        <v>9019.52</v>
      </c>
      <c r="L179" s="12" t="n">
        <v>9019.52</v>
      </c>
      <c r="M179" s="12" t="n">
        <f aca="false">L179-K179</f>
        <v>0</v>
      </c>
      <c r="N179" s="3" t="s">
        <v>51</v>
      </c>
      <c r="O179" s="3" t="s">
        <v>52</v>
      </c>
    </row>
    <row r="180" customFormat="false" ht="15" hidden="false" customHeight="false" outlineLevel="0" collapsed="false">
      <c r="A180" s="14" t="s">
        <v>686</v>
      </c>
      <c r="B180" s="14" t="s">
        <v>894</v>
      </c>
      <c r="C180" s="14" t="s">
        <v>326</v>
      </c>
      <c r="D180" s="14" t="s">
        <v>895</v>
      </c>
      <c r="E180" s="14" t="s">
        <v>56</v>
      </c>
      <c r="F180" s="15" t="n">
        <v>885000</v>
      </c>
      <c r="G180" s="16" t="n">
        <v>0.65</v>
      </c>
      <c r="H180" s="16" t="n">
        <v>1.12</v>
      </c>
      <c r="I180" s="16" t="n">
        <v>0.9591</v>
      </c>
      <c r="J180" s="16" t="n">
        <v>0.53</v>
      </c>
      <c r="K180" s="15" t="n">
        <f aca="false">ROUND(F180/100*G180*H180*I180/J180,2)</f>
        <v>11659.04</v>
      </c>
      <c r="L180" s="15" t="n">
        <v>11659.04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620</v>
      </c>
      <c r="B181" s="3" t="s">
        <v>896</v>
      </c>
      <c r="C181" s="3" t="s">
        <v>152</v>
      </c>
      <c r="D181" s="3" t="s">
        <v>897</v>
      </c>
      <c r="E181" s="3" t="s">
        <v>74</v>
      </c>
      <c r="F181" s="12" t="n">
        <v>710000</v>
      </c>
      <c r="G181" s="13" t="n">
        <v>0.43</v>
      </c>
      <c r="H181" s="13" t="n">
        <v>1</v>
      </c>
      <c r="I181" s="13" t="n">
        <v>0.9591</v>
      </c>
      <c r="J181" s="13" t="n">
        <v>0.53</v>
      </c>
      <c r="K181" s="12" t="n">
        <f aca="false">ROUND(F181/100*G181*H181*I181/J181,2)</f>
        <v>5524.78</v>
      </c>
      <c r="L181" s="12" t="n">
        <v>5524.78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629</v>
      </c>
      <c r="B182" s="14" t="s">
        <v>898</v>
      </c>
      <c r="C182" s="14" t="s">
        <v>114</v>
      </c>
      <c r="D182" s="14" t="s">
        <v>427</v>
      </c>
      <c r="E182" s="14" t="s">
        <v>56</v>
      </c>
      <c r="F182" s="15" t="n">
        <v>770000</v>
      </c>
      <c r="G182" s="16" t="n">
        <v>0.65</v>
      </c>
      <c r="H182" s="16" t="n">
        <v>1.36</v>
      </c>
      <c r="I182" s="16" t="n">
        <v>0.9591</v>
      </c>
      <c r="J182" s="16" t="n">
        <v>0.53</v>
      </c>
      <c r="K182" s="15" t="n">
        <f aca="false">ROUND(F182/100*G182*H182*I182/J182,2)</f>
        <v>12317.74</v>
      </c>
      <c r="L182" s="15" t="n">
        <v>12317.74</v>
      </c>
      <c r="M182" s="15" t="n">
        <f aca="false">L182-K182</f>
        <v>0</v>
      </c>
      <c r="N182" s="14" t="s">
        <v>70</v>
      </c>
      <c r="O182" s="14" t="s">
        <v>52</v>
      </c>
    </row>
    <row r="183" customFormat="false" ht="15" hidden="false" customHeight="false" outlineLevel="0" collapsed="false">
      <c r="A183" s="3" t="s">
        <v>585</v>
      </c>
      <c r="B183" s="3" t="s">
        <v>899</v>
      </c>
      <c r="C183" s="3" t="s">
        <v>275</v>
      </c>
      <c r="D183" s="3" t="s">
        <v>900</v>
      </c>
      <c r="E183" s="3" t="s">
        <v>56</v>
      </c>
      <c r="F183" s="12" t="n">
        <v>1175000</v>
      </c>
      <c r="G183" s="13" t="n">
        <v>0.55</v>
      </c>
      <c r="H183" s="13" t="n">
        <v>1.19</v>
      </c>
      <c r="I183" s="13" t="n">
        <v>0.9591</v>
      </c>
      <c r="J183" s="13" t="n">
        <v>0.53</v>
      </c>
      <c r="K183" s="12" t="n">
        <f aca="false">ROUND(F183/100*G183*H183*I183/J183,2)</f>
        <v>13916.68</v>
      </c>
      <c r="L183" s="12" t="n">
        <v>13916.68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686</v>
      </c>
      <c r="B184" s="14" t="s">
        <v>901</v>
      </c>
      <c r="C184" s="14" t="s">
        <v>210</v>
      </c>
      <c r="D184" s="14" t="s">
        <v>902</v>
      </c>
      <c r="E184" s="14" t="s">
        <v>50</v>
      </c>
      <c r="F184" s="15" t="n">
        <v>1950000</v>
      </c>
      <c r="G184" s="16" t="n">
        <v>0.8</v>
      </c>
      <c r="H184" s="16" t="n">
        <v>1.21</v>
      </c>
      <c r="I184" s="16" t="n">
        <v>0.9591</v>
      </c>
      <c r="J184" s="16" t="n">
        <v>0.53</v>
      </c>
      <c r="K184" s="15" t="n">
        <f aca="false">ROUND(F184/100*G184*H184*I184/J184,2)</f>
        <v>34158.44</v>
      </c>
      <c r="L184" s="15" t="n">
        <v>34158.43</v>
      </c>
      <c r="M184" s="15" t="n">
        <f aca="false">L184-K184</f>
        <v>-0.0100000000020373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669</v>
      </c>
      <c r="B185" s="3" t="s">
        <v>903</v>
      </c>
      <c r="C185" s="3" t="s">
        <v>48</v>
      </c>
      <c r="D185" s="3" t="s">
        <v>904</v>
      </c>
      <c r="E185" s="3" t="s">
        <v>50</v>
      </c>
      <c r="F185" s="12" t="n">
        <v>770000</v>
      </c>
      <c r="G185" s="13" t="n">
        <v>0.95</v>
      </c>
      <c r="H185" s="13" t="n">
        <v>1.28</v>
      </c>
      <c r="I185" s="13" t="n">
        <v>0.9591</v>
      </c>
      <c r="J185" s="13" t="n">
        <v>0.53</v>
      </c>
      <c r="K185" s="12" t="n">
        <f aca="false">ROUND(F185/100*G185*H185*I185/J185,2)</f>
        <v>16943.86</v>
      </c>
      <c r="L185" s="12" t="n">
        <v>16943.86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660</v>
      </c>
      <c r="B186" s="14" t="s">
        <v>905</v>
      </c>
      <c r="C186" s="14" t="s">
        <v>152</v>
      </c>
      <c r="D186" s="14" t="s">
        <v>906</v>
      </c>
      <c r="E186" s="14" t="s">
        <v>157</v>
      </c>
      <c r="F186" s="15" t="n">
        <v>1950000</v>
      </c>
      <c r="G186" s="16" t="n">
        <v>0.68</v>
      </c>
      <c r="H186" s="16" t="n">
        <v>1</v>
      </c>
      <c r="I186" s="16" t="n">
        <v>0.9591</v>
      </c>
      <c r="J186" s="16" t="n">
        <v>0.53</v>
      </c>
      <c r="K186" s="15" t="n">
        <f aca="false">ROUND(F186/100*G186*H186*I186/J186,2)</f>
        <v>23995.6</v>
      </c>
      <c r="L186" s="15" t="n">
        <v>23995.6</v>
      </c>
      <c r="M186" s="15" t="n">
        <f aca="false">L186-K186</f>
        <v>0</v>
      </c>
      <c r="N186" s="14" t="s">
        <v>51</v>
      </c>
      <c r="O186" s="14" t="s">
        <v>52</v>
      </c>
    </row>
    <row r="187" customFormat="false" ht="15" hidden="false" customHeight="false" outlineLevel="0" collapsed="false">
      <c r="A187" s="3" t="s">
        <v>591</v>
      </c>
      <c r="B187" s="3" t="s">
        <v>907</v>
      </c>
      <c r="C187" s="3" t="s">
        <v>93</v>
      </c>
      <c r="D187" s="3" t="s">
        <v>908</v>
      </c>
      <c r="E187" s="3" t="s">
        <v>50</v>
      </c>
      <c r="F187" s="12" t="n">
        <v>365000</v>
      </c>
      <c r="G187" s="13" t="n">
        <v>1.15</v>
      </c>
      <c r="H187" s="13" t="n">
        <v>1.39</v>
      </c>
      <c r="I187" s="13" t="n">
        <v>0.9591</v>
      </c>
      <c r="J187" s="13" t="n">
        <v>0.53</v>
      </c>
      <c r="K187" s="12" t="n">
        <f aca="false">ROUND(F187/100*G187*H187*I187/J187,2)</f>
        <v>10558.29</v>
      </c>
      <c r="L187" s="12" t="n">
        <v>10558.29</v>
      </c>
      <c r="M187" s="12" t="n">
        <f aca="false">L187-K187</f>
        <v>0</v>
      </c>
      <c r="N187" s="3" t="s">
        <v>51</v>
      </c>
      <c r="O187" s="3" t="s">
        <v>52</v>
      </c>
    </row>
    <row r="188" customFormat="false" ht="15" hidden="false" customHeight="false" outlineLevel="0" collapsed="false">
      <c r="A188" s="14" t="s">
        <v>657</v>
      </c>
      <c r="B188" s="14" t="s">
        <v>909</v>
      </c>
      <c r="C188" s="14" t="s">
        <v>462</v>
      </c>
      <c r="D188" s="14" t="s">
        <v>810</v>
      </c>
      <c r="E188" s="14" t="s">
        <v>56</v>
      </c>
      <c r="F188" s="15" t="n">
        <v>415000</v>
      </c>
      <c r="G188" s="16" t="n">
        <v>0.75</v>
      </c>
      <c r="H188" s="16" t="n">
        <v>1.34</v>
      </c>
      <c r="I188" s="16" t="n">
        <v>0.9591</v>
      </c>
      <c r="J188" s="16" t="n">
        <v>0.53</v>
      </c>
      <c r="K188" s="15" t="n">
        <f aca="false">ROUND(F188/100*G188*H188*I188/J188,2)</f>
        <v>7547.48</v>
      </c>
      <c r="L188" s="15" t="n">
        <v>7547.48</v>
      </c>
      <c r="M188" s="15" t="n">
        <f aca="false">L188-K188</f>
        <v>0</v>
      </c>
      <c r="N188" s="14" t="s">
        <v>51</v>
      </c>
      <c r="O188" s="14" t="s">
        <v>52</v>
      </c>
    </row>
    <row r="189" customFormat="false" ht="15" hidden="false" customHeight="false" outlineLevel="0" collapsed="false">
      <c r="A189" s="3" t="s">
        <v>570</v>
      </c>
      <c r="B189" s="3" t="s">
        <v>910</v>
      </c>
      <c r="C189" s="3" t="s">
        <v>275</v>
      </c>
      <c r="D189" s="3" t="s">
        <v>492</v>
      </c>
      <c r="E189" s="3" t="s">
        <v>56</v>
      </c>
      <c r="F189" s="12" t="n">
        <v>680000</v>
      </c>
      <c r="G189" s="13" t="n">
        <v>0.65</v>
      </c>
      <c r="H189" s="13" t="n">
        <v>1.19</v>
      </c>
      <c r="I189" s="13" t="n">
        <v>0.9591</v>
      </c>
      <c r="J189" s="13" t="n">
        <v>0.53</v>
      </c>
      <c r="K189" s="12" t="n">
        <f aca="false">ROUND(F189/100*G189*H189*I189/J189,2)</f>
        <v>9518.25</v>
      </c>
      <c r="L189" s="12" t="n">
        <v>9518.25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609</v>
      </c>
      <c r="B190" s="14" t="s">
        <v>911</v>
      </c>
      <c r="C190" s="14" t="s">
        <v>887</v>
      </c>
      <c r="D190" s="14" t="s">
        <v>912</v>
      </c>
      <c r="E190" s="14" t="s">
        <v>50</v>
      </c>
      <c r="F190" s="15" t="n">
        <v>495000</v>
      </c>
      <c r="G190" s="16" t="n">
        <v>1.15</v>
      </c>
      <c r="H190" s="16" t="n">
        <v>1.37</v>
      </c>
      <c r="I190" s="16" t="n">
        <v>0.9591</v>
      </c>
      <c r="J190" s="16" t="n">
        <v>0.53</v>
      </c>
      <c r="K190" s="15" t="n">
        <f aca="false">ROUND(F190/100*G190*H190*I190/J190,2)</f>
        <v>14112.75</v>
      </c>
      <c r="L190" s="15" t="n">
        <v>14112.75</v>
      </c>
      <c r="M190" s="15" t="n">
        <f aca="false">L190-K190</f>
        <v>0</v>
      </c>
      <c r="N190" s="14" t="s">
        <v>51</v>
      </c>
      <c r="O190" s="14" t="s">
        <v>52</v>
      </c>
    </row>
    <row r="191" customFormat="false" ht="15" hidden="false" customHeight="false" outlineLevel="0" collapsed="false">
      <c r="A191" s="3" t="s">
        <v>602</v>
      </c>
      <c r="B191" s="3" t="s">
        <v>913</v>
      </c>
      <c r="C191" s="3" t="s">
        <v>93</v>
      </c>
      <c r="D191" s="3" t="s">
        <v>707</v>
      </c>
      <c r="E191" s="3" t="s">
        <v>50</v>
      </c>
      <c r="F191" s="12" t="n">
        <v>1200000</v>
      </c>
      <c r="G191" s="13" t="n">
        <v>0.8</v>
      </c>
      <c r="H191" s="13" t="n">
        <v>1.39</v>
      </c>
      <c r="I191" s="13" t="n">
        <v>0.9591</v>
      </c>
      <c r="J191" s="13" t="n">
        <v>0.53</v>
      </c>
      <c r="K191" s="12" t="n">
        <f aca="false">ROUND(F191/100*G191*H191*I191/J191,2)</f>
        <v>24147.6</v>
      </c>
      <c r="L191" s="12" t="n">
        <v>24147.61</v>
      </c>
      <c r="M191" s="12" t="n">
        <f aca="false">L191-K191</f>
        <v>0.0100000000020373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585</v>
      </c>
      <c r="B192" s="14" t="s">
        <v>914</v>
      </c>
      <c r="C192" s="14" t="s">
        <v>142</v>
      </c>
      <c r="D192" s="14" t="s">
        <v>751</v>
      </c>
      <c r="E192" s="14" t="s">
        <v>56</v>
      </c>
      <c r="F192" s="15" t="n">
        <v>790000</v>
      </c>
      <c r="G192" s="16" t="n">
        <v>0.65</v>
      </c>
      <c r="H192" s="16" t="n">
        <v>1.22</v>
      </c>
      <c r="I192" s="16" t="n">
        <v>0.9591</v>
      </c>
      <c r="J192" s="16" t="n">
        <v>0.53</v>
      </c>
      <c r="K192" s="15" t="n">
        <f aca="false">ROUND(F192/100*G192*H192*I192/J192,2)</f>
        <v>11336.74</v>
      </c>
      <c r="L192" s="15" t="n">
        <v>11336.74</v>
      </c>
      <c r="M192" s="15" t="n">
        <f aca="false">L192-K192</f>
        <v>0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578</v>
      </c>
      <c r="B193" s="3" t="s">
        <v>915</v>
      </c>
      <c r="C193" s="3" t="s">
        <v>105</v>
      </c>
      <c r="D193" s="3" t="s">
        <v>916</v>
      </c>
      <c r="E193" s="3" t="s">
        <v>56</v>
      </c>
      <c r="F193" s="12" t="n">
        <v>115000</v>
      </c>
      <c r="G193" s="13" t="n">
        <v>0.92</v>
      </c>
      <c r="H193" s="13" t="n">
        <v>0.99</v>
      </c>
      <c r="I193" s="13" t="n">
        <v>0.9591</v>
      </c>
      <c r="J193" s="13" t="n">
        <v>0.53</v>
      </c>
      <c r="K193" s="12" t="n">
        <f aca="false">ROUND(F193/100*G193*H193*I193/J193,2)</f>
        <v>1895.43</v>
      </c>
      <c r="L193" s="12" t="n">
        <v>1895.43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559</v>
      </c>
      <c r="B194" s="14" t="s">
        <v>917</v>
      </c>
      <c r="C194" s="14" t="s">
        <v>131</v>
      </c>
      <c r="D194" s="14" t="s">
        <v>918</v>
      </c>
      <c r="E194" s="14" t="s">
        <v>74</v>
      </c>
      <c r="F194" s="15" t="n">
        <v>640000</v>
      </c>
      <c r="G194" s="16" t="n">
        <v>0.43</v>
      </c>
      <c r="H194" s="16" t="n">
        <v>0.95</v>
      </c>
      <c r="I194" s="16" t="n">
        <v>0.9591</v>
      </c>
      <c r="J194" s="16" t="n">
        <v>0.53</v>
      </c>
      <c r="K194" s="15" t="n">
        <f aca="false">ROUND(F194/100*G194*H194*I194/J194,2)</f>
        <v>4731.08</v>
      </c>
      <c r="L194" s="15" t="n">
        <v>4731.08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660</v>
      </c>
      <c r="B195" s="3" t="s">
        <v>919</v>
      </c>
      <c r="C195" s="3" t="s">
        <v>278</v>
      </c>
      <c r="D195" s="3" t="s">
        <v>920</v>
      </c>
      <c r="E195" s="3" t="s">
        <v>74</v>
      </c>
      <c r="F195" s="12" t="n">
        <v>535000</v>
      </c>
      <c r="G195" s="13" t="n">
        <v>0.43</v>
      </c>
      <c r="H195" s="13" t="n">
        <v>0.98</v>
      </c>
      <c r="I195" s="13" t="n">
        <v>0.9591</v>
      </c>
      <c r="J195" s="13" t="n">
        <v>0.53</v>
      </c>
      <c r="K195" s="12" t="n">
        <f aca="false">ROUND(F195/100*G195*H195*I195/J195,2)</f>
        <v>4079.78</v>
      </c>
      <c r="L195" s="12" t="n">
        <v>4079.77</v>
      </c>
      <c r="M195" s="12" t="n">
        <f aca="false">L195-K195</f>
        <v>-0.0100000000002183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660</v>
      </c>
      <c r="B196" s="14" t="s">
        <v>921</v>
      </c>
      <c r="C196" s="14" t="s">
        <v>114</v>
      </c>
      <c r="D196" s="14" t="s">
        <v>754</v>
      </c>
      <c r="E196" s="14" t="s">
        <v>56</v>
      </c>
      <c r="F196" s="15" t="n">
        <v>1030000</v>
      </c>
      <c r="G196" s="16" t="n">
        <v>0.55</v>
      </c>
      <c r="H196" s="16" t="n">
        <v>1.36</v>
      </c>
      <c r="I196" s="16" t="n">
        <v>0.9591</v>
      </c>
      <c r="J196" s="16" t="n">
        <v>0.53</v>
      </c>
      <c r="K196" s="15" t="n">
        <f aca="false">ROUND(F196/100*G196*H196*I196/J196,2)</f>
        <v>13942.06</v>
      </c>
      <c r="L196" s="15" t="n">
        <v>13942.05</v>
      </c>
      <c r="M196" s="15" t="n">
        <f aca="false">L196-K196</f>
        <v>-0.0100000000002183</v>
      </c>
      <c r="N196" s="14" t="s">
        <v>51</v>
      </c>
      <c r="O196" s="14" t="s">
        <v>52</v>
      </c>
    </row>
    <row r="197" customFormat="false" ht="15" hidden="false" customHeight="false" outlineLevel="0" collapsed="false">
      <c r="A197" s="3" t="s">
        <v>594</v>
      </c>
      <c r="B197" s="3" t="s">
        <v>922</v>
      </c>
      <c r="C197" s="3" t="s">
        <v>224</v>
      </c>
      <c r="D197" s="3" t="s">
        <v>923</v>
      </c>
      <c r="E197" s="3" t="s">
        <v>56</v>
      </c>
      <c r="F197" s="12" t="n">
        <v>225000</v>
      </c>
      <c r="G197" s="13" t="n">
        <v>0.92</v>
      </c>
      <c r="H197" s="13" t="n">
        <v>1.1</v>
      </c>
      <c r="I197" s="13" t="n">
        <v>0.9591</v>
      </c>
      <c r="J197" s="13" t="n">
        <v>0.53</v>
      </c>
      <c r="K197" s="12" t="n">
        <f aca="false">ROUND(F197/100*G197*H197*I197/J197,2)</f>
        <v>4120.51</v>
      </c>
      <c r="L197" s="12" t="n">
        <v>4120.51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609</v>
      </c>
      <c r="B198" s="14" t="s">
        <v>924</v>
      </c>
      <c r="C198" s="14" t="s">
        <v>145</v>
      </c>
      <c r="D198" s="14" t="s">
        <v>925</v>
      </c>
      <c r="E198" s="14" t="s">
        <v>56</v>
      </c>
      <c r="F198" s="15" t="n">
        <v>460000</v>
      </c>
      <c r="G198" s="16" t="n">
        <v>0.75</v>
      </c>
      <c r="H198" s="16" t="n">
        <v>0.96</v>
      </c>
      <c r="I198" s="16" t="n">
        <v>0.9591</v>
      </c>
      <c r="J198" s="16" t="n">
        <v>0.53</v>
      </c>
      <c r="K198" s="15" t="n">
        <f aca="false">ROUND(F198/100*G198*H198*I198/J198,2)</f>
        <v>5993.47</v>
      </c>
      <c r="L198" s="15" t="n">
        <v>5993.47</v>
      </c>
      <c r="M198" s="15" t="n">
        <f aca="false">L198-K198</f>
        <v>0</v>
      </c>
      <c r="N198" s="14" t="s">
        <v>51</v>
      </c>
      <c r="O198" s="14" t="s">
        <v>52</v>
      </c>
    </row>
    <row r="199" customFormat="false" ht="15" hidden="false" customHeight="false" outlineLevel="0" collapsed="false">
      <c r="A199" s="3" t="s">
        <v>629</v>
      </c>
      <c r="B199" s="3" t="s">
        <v>926</v>
      </c>
      <c r="C199" s="3" t="s">
        <v>243</v>
      </c>
      <c r="D199" s="3" t="s">
        <v>927</v>
      </c>
      <c r="E199" s="3" t="s">
        <v>74</v>
      </c>
      <c r="F199" s="12" t="n">
        <v>1590000</v>
      </c>
      <c r="G199" s="13" t="n">
        <v>0.38</v>
      </c>
      <c r="H199" s="13" t="n">
        <v>1.14</v>
      </c>
      <c r="I199" s="13" t="n">
        <v>0.9591</v>
      </c>
      <c r="J199" s="13" t="n">
        <v>0.53</v>
      </c>
      <c r="K199" s="12" t="n">
        <f aca="false">ROUND(F199/100*G199*H199*I199/J199,2)</f>
        <v>12464.46</v>
      </c>
      <c r="L199" s="12" t="n">
        <v>12464.46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591</v>
      </c>
      <c r="B200" s="14" t="s">
        <v>928</v>
      </c>
      <c r="C200" s="14" t="s">
        <v>295</v>
      </c>
      <c r="D200" s="14" t="s">
        <v>925</v>
      </c>
      <c r="E200" s="14" t="s">
        <v>56</v>
      </c>
      <c r="F200" s="15" t="n">
        <v>1010000</v>
      </c>
      <c r="G200" s="16" t="n">
        <v>0.55</v>
      </c>
      <c r="H200" s="16" t="n">
        <v>1.2</v>
      </c>
      <c r="I200" s="16" t="n">
        <v>0.9591</v>
      </c>
      <c r="J200" s="16" t="n">
        <v>0.53</v>
      </c>
      <c r="K200" s="15" t="n">
        <f aca="false">ROUND(F200/100*G200*H200*I200/J200,2)</f>
        <v>12062.94</v>
      </c>
      <c r="L200" s="15" t="n">
        <v>12062.95</v>
      </c>
      <c r="M200" s="15" t="n">
        <f aca="false">L200-K200</f>
        <v>0.0100000000002183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573</v>
      </c>
      <c r="B201" s="3" t="s">
        <v>929</v>
      </c>
      <c r="C201" s="3" t="s">
        <v>892</v>
      </c>
      <c r="D201" s="3" t="s">
        <v>780</v>
      </c>
      <c r="E201" s="3" t="s">
        <v>56</v>
      </c>
      <c r="F201" s="12" t="n">
        <v>435000</v>
      </c>
      <c r="G201" s="13" t="n">
        <v>0.75</v>
      </c>
      <c r="H201" s="13" t="n">
        <v>1.08</v>
      </c>
      <c r="I201" s="13" t="n">
        <v>0.9591</v>
      </c>
      <c r="J201" s="13" t="n">
        <v>0.53</v>
      </c>
      <c r="K201" s="12" t="n">
        <f aca="false">ROUND(F201/100*G201*H201*I201/J201,2)</f>
        <v>6376.21</v>
      </c>
      <c r="L201" s="12" t="n">
        <v>6376.2</v>
      </c>
      <c r="M201" s="12" t="n">
        <f aca="false">L201-K201</f>
        <v>-0.0100000000002183</v>
      </c>
      <c r="N201" s="3" t="s">
        <v>51</v>
      </c>
      <c r="O201" s="3" t="s">
        <v>52</v>
      </c>
    </row>
    <row r="202" customFormat="false" ht="15" hidden="false" customHeight="false" outlineLevel="0" collapsed="false">
      <c r="A202" s="14" t="s">
        <v>573</v>
      </c>
      <c r="B202" s="14" t="s">
        <v>930</v>
      </c>
      <c r="C202" s="14" t="s">
        <v>417</v>
      </c>
      <c r="D202" s="14" t="s">
        <v>931</v>
      </c>
      <c r="E202" s="14" t="s">
        <v>56</v>
      </c>
      <c r="F202" s="15" t="n">
        <v>1230000</v>
      </c>
      <c r="G202" s="16" t="n">
        <v>0.55</v>
      </c>
      <c r="H202" s="16" t="n">
        <v>1.24</v>
      </c>
      <c r="I202" s="16" t="n">
        <v>0.9591</v>
      </c>
      <c r="J202" s="16" t="n">
        <v>0.53</v>
      </c>
      <c r="K202" s="15" t="n">
        <f aca="false">ROUND(F202/100*G202*H202*I202/J202,2)</f>
        <v>15180.2</v>
      </c>
      <c r="L202" s="15" t="n">
        <v>15180.2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646</v>
      </c>
      <c r="B203" s="3" t="s">
        <v>932</v>
      </c>
      <c r="C203" s="3" t="s">
        <v>89</v>
      </c>
      <c r="D203" s="3" t="s">
        <v>933</v>
      </c>
      <c r="E203" s="3" t="s">
        <v>56</v>
      </c>
      <c r="F203" s="12" t="n">
        <v>385000</v>
      </c>
      <c r="G203" s="13" t="n">
        <v>0.75</v>
      </c>
      <c r="H203" s="13" t="n">
        <v>1.35</v>
      </c>
      <c r="I203" s="13" t="n">
        <v>0.9591</v>
      </c>
      <c r="J203" s="13" t="n">
        <v>0.53</v>
      </c>
      <c r="K203" s="12" t="n">
        <f aca="false">ROUND(F203/100*G203*H203*I203/J203,2)</f>
        <v>7054.14</v>
      </c>
      <c r="L203" s="12" t="n">
        <v>7054.13</v>
      </c>
      <c r="M203" s="12" t="n">
        <f aca="false">L203-K203</f>
        <v>-0.0100000000002183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585</v>
      </c>
      <c r="B204" s="14" t="s">
        <v>934</v>
      </c>
      <c r="C204" s="14" t="s">
        <v>184</v>
      </c>
      <c r="D204" s="14" t="s">
        <v>935</v>
      </c>
      <c r="E204" s="14" t="s">
        <v>50</v>
      </c>
      <c r="F204" s="15" t="n">
        <v>455000</v>
      </c>
      <c r="G204" s="16" t="n">
        <v>1.15</v>
      </c>
      <c r="H204" s="16" t="n">
        <v>1.02</v>
      </c>
      <c r="I204" s="16" t="n">
        <v>0.9591</v>
      </c>
      <c r="J204" s="16" t="n">
        <v>0.53</v>
      </c>
      <c r="K204" s="15" t="n">
        <f aca="false">ROUND(F204/100*G204*H204*I204/J204,2)</f>
        <v>9658.23</v>
      </c>
      <c r="L204" s="15" t="n">
        <v>9658.22</v>
      </c>
      <c r="M204" s="15" t="n">
        <f aca="false">L204-K204</f>
        <v>-0.0100000000002183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660</v>
      </c>
      <c r="B205" s="3" t="s">
        <v>936</v>
      </c>
      <c r="C205" s="3" t="s">
        <v>266</v>
      </c>
      <c r="D205" s="3" t="s">
        <v>937</v>
      </c>
      <c r="E205" s="3" t="s">
        <v>56</v>
      </c>
      <c r="F205" s="12" t="n">
        <v>980000</v>
      </c>
      <c r="G205" s="13" t="n">
        <v>0.65</v>
      </c>
      <c r="H205" s="13" t="n">
        <v>1.1</v>
      </c>
      <c r="I205" s="13" t="n">
        <v>0.9591</v>
      </c>
      <c r="J205" s="13" t="n">
        <v>0.53</v>
      </c>
      <c r="K205" s="12" t="n">
        <f aca="false">ROUND(F205/100*G205*H205*I205/J205,2)</f>
        <v>12680.03</v>
      </c>
      <c r="L205" s="12" t="n">
        <v>12680.02</v>
      </c>
      <c r="M205" s="12" t="n">
        <f aca="false">L205-K205</f>
        <v>-0.0100000000002183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604</v>
      </c>
      <c r="B206" s="14" t="s">
        <v>938</v>
      </c>
      <c r="C206" s="14" t="s">
        <v>300</v>
      </c>
      <c r="D206" s="14" t="s">
        <v>939</v>
      </c>
      <c r="E206" s="14" t="s">
        <v>157</v>
      </c>
      <c r="F206" s="15" t="n">
        <v>485000</v>
      </c>
      <c r="G206" s="16" t="n">
        <v>0.88</v>
      </c>
      <c r="H206" s="16" t="n">
        <v>1.11</v>
      </c>
      <c r="I206" s="16" t="n">
        <v>0.9591</v>
      </c>
      <c r="J206" s="16" t="n">
        <v>0.53</v>
      </c>
      <c r="K206" s="15" t="n">
        <f aca="false">ROUND(F206/100*G206*H206*I206/J206,2)</f>
        <v>8573.05</v>
      </c>
      <c r="L206" s="15" t="n">
        <v>8573.05</v>
      </c>
      <c r="M206" s="15" t="n">
        <f aca="false">L206-K206</f>
        <v>0</v>
      </c>
      <c r="N206" s="14" t="s">
        <v>51</v>
      </c>
      <c r="O206" s="14" t="s">
        <v>52</v>
      </c>
    </row>
    <row r="207" customFormat="false" ht="15" hidden="false" customHeight="false" outlineLevel="0" collapsed="false">
      <c r="A207" s="3" t="s">
        <v>591</v>
      </c>
      <c r="B207" s="3" t="s">
        <v>940</v>
      </c>
      <c r="C207" s="3" t="s">
        <v>174</v>
      </c>
      <c r="D207" s="3" t="s">
        <v>941</v>
      </c>
      <c r="E207" s="3" t="s">
        <v>50</v>
      </c>
      <c r="F207" s="12" t="n">
        <v>835000</v>
      </c>
      <c r="G207" s="13" t="n">
        <v>0.95</v>
      </c>
      <c r="H207" s="13" t="n">
        <v>1.55</v>
      </c>
      <c r="I207" s="13" t="n">
        <v>0.9591</v>
      </c>
      <c r="J207" s="13" t="n">
        <v>0.53</v>
      </c>
      <c r="K207" s="12" t="n">
        <f aca="false">ROUND(F207/100*G207*H207*I207/J207,2)</f>
        <v>22249.99</v>
      </c>
      <c r="L207" s="12" t="n">
        <v>22249.99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562</v>
      </c>
      <c r="B208" s="14" t="s">
        <v>942</v>
      </c>
      <c r="C208" s="14" t="s">
        <v>117</v>
      </c>
      <c r="D208" s="14" t="s">
        <v>256</v>
      </c>
      <c r="E208" s="14" t="s">
        <v>56</v>
      </c>
      <c r="F208" s="15" t="n">
        <v>510000</v>
      </c>
      <c r="G208" s="16" t="n">
        <v>0.65</v>
      </c>
      <c r="H208" s="16" t="n">
        <v>0.91</v>
      </c>
      <c r="I208" s="16" t="n">
        <v>0.9591</v>
      </c>
      <c r="J208" s="16" t="n">
        <v>0.53</v>
      </c>
      <c r="K208" s="15" t="n">
        <f aca="false">ROUND(F208/100*G208*H208*I208/J208,2)</f>
        <v>5459</v>
      </c>
      <c r="L208" s="15" t="n">
        <v>5459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570</v>
      </c>
      <c r="B209" s="3" t="s">
        <v>943</v>
      </c>
      <c r="C209" s="3" t="s">
        <v>77</v>
      </c>
      <c r="D209" s="3" t="s">
        <v>944</v>
      </c>
      <c r="E209" s="3" t="s">
        <v>56</v>
      </c>
      <c r="F209" s="12" t="n">
        <v>580000</v>
      </c>
      <c r="G209" s="13" t="n">
        <v>0.65</v>
      </c>
      <c r="H209" s="13" t="n">
        <v>1.42</v>
      </c>
      <c r="I209" s="13" t="n">
        <v>0.9591</v>
      </c>
      <c r="J209" s="13" t="n">
        <v>0.53</v>
      </c>
      <c r="K209" s="12" t="n">
        <f aca="false">ROUND(F209/100*G209*H209*I209/J209,2)</f>
        <v>9687.63</v>
      </c>
      <c r="L209" s="12" t="n">
        <v>9687.63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660</v>
      </c>
      <c r="B210" s="14" t="s">
        <v>945</v>
      </c>
      <c r="C210" s="14" t="s">
        <v>159</v>
      </c>
      <c r="D210" s="14" t="s">
        <v>946</v>
      </c>
      <c r="E210" s="14" t="s">
        <v>56</v>
      </c>
      <c r="F210" s="15" t="n">
        <v>950000</v>
      </c>
      <c r="G210" s="16" t="n">
        <v>0.65</v>
      </c>
      <c r="H210" s="16" t="n">
        <v>1.15</v>
      </c>
      <c r="I210" s="16" t="n">
        <v>0.9591</v>
      </c>
      <c r="J210" s="16" t="n">
        <v>0.53</v>
      </c>
      <c r="K210" s="15" t="n">
        <f aca="false">ROUND(F210/100*G210*H210*I210/J210,2)</f>
        <v>12850.58</v>
      </c>
      <c r="L210" s="15" t="n">
        <v>12850.58</v>
      </c>
      <c r="M210" s="15" t="n">
        <f aca="false">L210-K210</f>
        <v>0</v>
      </c>
      <c r="N210" s="14" t="s">
        <v>70</v>
      </c>
      <c r="O210" s="14" t="s">
        <v>52</v>
      </c>
    </row>
    <row r="212" customFormat="false" ht="15" hidden="false" customHeight="false" outlineLevel="0" collapsed="false">
      <c r="A212" s="10" t="s">
        <v>551</v>
      </c>
      <c r="C212" s="17" t="n">
        <f aca="false">COUNTA(B5:B210)</f>
        <v>206</v>
      </c>
    </row>
    <row r="213" customFormat="false" ht="15" hidden="false" customHeight="false" outlineLevel="0" collapsed="false">
      <c r="A213" s="10" t="s">
        <v>552</v>
      </c>
      <c r="C213" s="17" t="n">
        <f aca="false">COUNTIF(O5:O210,"bound")</f>
        <v>144</v>
      </c>
    </row>
    <row r="214" customFormat="false" ht="15" hidden="false" customHeight="false" outlineLevel="0" collapsed="false">
      <c r="A214" s="10" t="s">
        <v>553</v>
      </c>
      <c r="C214" s="18" t="n">
        <f aca="false">AVERAGE(L5:L210)</f>
        <v>10339.15</v>
      </c>
    </row>
    <row r="215" customFormat="false" ht="15" hidden="false" customHeight="false" outlineLevel="0" collapsed="false">
      <c r="A215" s="10" t="s">
        <v>554</v>
      </c>
      <c r="C215" s="18" t="n">
        <f aca="false">AVERAGEIF(O5:O210,"bound",L5:L210)</f>
        <v>10439.0738888889</v>
      </c>
    </row>
    <row r="216" customFormat="false" ht="15" hidden="false" customHeight="false" outlineLevel="0" collapsed="false">
      <c r="A216" s="10" t="s">
        <v>555</v>
      </c>
      <c r="C216" s="18" t="n">
        <f aca="false">SUMIF(O5:O210,"bound",L5:L210)</f>
        <v>1503226.64</v>
      </c>
    </row>
    <row r="217" customFormat="false" ht="15" hidden="false" customHeight="false" outlineLevel="0" collapsed="false">
      <c r="A217" s="10" t="s">
        <v>556</v>
      </c>
      <c r="C217" s="19" t="n">
        <v>0.9591</v>
      </c>
    </row>
  </sheetData>
  <autoFilter ref="A4:O2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947</v>
      </c>
    </row>
    <row r="2" customFormat="false" ht="15" hidden="false" customHeight="false" outlineLevel="0" collapsed="false">
      <c r="A2" s="4" t="s">
        <v>948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949</v>
      </c>
      <c r="B5" s="3" t="s">
        <v>950</v>
      </c>
      <c r="C5" s="3" t="s">
        <v>89</v>
      </c>
      <c r="D5" s="3" t="s">
        <v>951</v>
      </c>
      <c r="E5" s="3" t="s">
        <v>74</v>
      </c>
      <c r="F5" s="12" t="n">
        <v>250000</v>
      </c>
      <c r="G5" s="13" t="n">
        <v>0.48</v>
      </c>
      <c r="H5" s="13" t="n">
        <v>1.35</v>
      </c>
      <c r="I5" s="13" t="n">
        <v>0.9691</v>
      </c>
      <c r="J5" s="13" t="n">
        <v>0.53</v>
      </c>
      <c r="K5" s="12" t="n">
        <f aca="false">ROUND(F5/100*G5*H5*I5/J5,2)</f>
        <v>2962.15</v>
      </c>
      <c r="L5" s="12" t="n">
        <v>2962.15</v>
      </c>
      <c r="M5" s="12" t="n">
        <f aca="false">L5-K5</f>
        <v>0</v>
      </c>
      <c r="N5" s="3" t="s">
        <v>70</v>
      </c>
      <c r="O5" s="3" t="s">
        <v>52</v>
      </c>
    </row>
    <row r="6" customFormat="false" ht="15" hidden="false" customHeight="false" outlineLevel="0" collapsed="false">
      <c r="A6" s="14" t="s">
        <v>952</v>
      </c>
      <c r="B6" s="14" t="s">
        <v>953</v>
      </c>
      <c r="C6" s="14" t="s">
        <v>128</v>
      </c>
      <c r="D6" s="14" t="s">
        <v>540</v>
      </c>
      <c r="E6" s="14" t="s">
        <v>56</v>
      </c>
      <c r="F6" s="15" t="n">
        <v>830000</v>
      </c>
      <c r="G6" s="16" t="n">
        <v>0.65</v>
      </c>
      <c r="H6" s="16" t="n">
        <v>1.25</v>
      </c>
      <c r="I6" s="16" t="n">
        <v>0.9691</v>
      </c>
      <c r="J6" s="16" t="n">
        <v>0.53</v>
      </c>
      <c r="K6" s="15" t="n">
        <f aca="false">ROUND(F6/100*G6*H6*I6/J6,2)</f>
        <v>12330.88</v>
      </c>
      <c r="L6" s="15" t="n">
        <v>12330.89</v>
      </c>
      <c r="M6" s="15" t="n">
        <f aca="false">L6-K6</f>
        <v>0.0100000000002183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954</v>
      </c>
      <c r="B7" s="3" t="s">
        <v>955</v>
      </c>
      <c r="C7" s="3" t="s">
        <v>128</v>
      </c>
      <c r="D7" s="3" t="s">
        <v>956</v>
      </c>
      <c r="E7" s="3" t="s">
        <v>74</v>
      </c>
      <c r="F7" s="12" t="n">
        <v>200000</v>
      </c>
      <c r="G7" s="13" t="n">
        <v>0.57</v>
      </c>
      <c r="H7" s="13" t="n">
        <v>1.25</v>
      </c>
      <c r="I7" s="13" t="n">
        <v>0.9691</v>
      </c>
      <c r="J7" s="13" t="n">
        <v>0.53</v>
      </c>
      <c r="K7" s="12" t="n">
        <f aca="false">ROUND(F7/100*G7*H7*I7/J7,2)</f>
        <v>2605.6</v>
      </c>
      <c r="L7" s="12" t="n">
        <v>2605.6</v>
      </c>
      <c r="M7" s="12" t="n">
        <f aca="false">L7-K7</f>
        <v>0</v>
      </c>
      <c r="N7" s="3" t="s">
        <v>51</v>
      </c>
      <c r="O7" s="3" t="s">
        <v>52</v>
      </c>
    </row>
    <row r="8" customFormat="false" ht="15" hidden="false" customHeight="false" outlineLevel="0" collapsed="false">
      <c r="A8" s="14" t="s">
        <v>954</v>
      </c>
      <c r="B8" s="14" t="s">
        <v>957</v>
      </c>
      <c r="C8" s="14" t="s">
        <v>120</v>
      </c>
      <c r="D8" s="14" t="s">
        <v>180</v>
      </c>
      <c r="E8" s="14" t="s">
        <v>56</v>
      </c>
      <c r="F8" s="15" t="n">
        <v>195000</v>
      </c>
      <c r="G8" s="16" t="n">
        <v>0.92</v>
      </c>
      <c r="H8" s="16" t="n">
        <v>1.15</v>
      </c>
      <c r="I8" s="16" t="n">
        <v>0.9691</v>
      </c>
      <c r="J8" s="16" t="n">
        <v>0.53</v>
      </c>
      <c r="K8" s="15" t="n">
        <f aca="false">ROUND(F8/100*G8*H8*I8/J8,2)</f>
        <v>3772.36</v>
      </c>
      <c r="L8" s="15" t="n">
        <v>3772.36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958</v>
      </c>
      <c r="B9" s="3" t="s">
        <v>959</v>
      </c>
      <c r="C9" s="3" t="s">
        <v>210</v>
      </c>
      <c r="D9" s="3" t="s">
        <v>761</v>
      </c>
      <c r="E9" s="3" t="s">
        <v>56</v>
      </c>
      <c r="F9" s="12" t="n">
        <v>715000</v>
      </c>
      <c r="G9" s="13" t="n">
        <v>0.65</v>
      </c>
      <c r="H9" s="13" t="n">
        <v>1.21</v>
      </c>
      <c r="I9" s="13" t="n">
        <v>0.9691</v>
      </c>
      <c r="J9" s="13" t="n">
        <v>0.53</v>
      </c>
      <c r="K9" s="12" t="n">
        <f aca="false">ROUND(F9/100*G9*H9*I9/J9,2)</f>
        <v>10282.47</v>
      </c>
      <c r="L9" s="12" t="n">
        <v>10282.47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960</v>
      </c>
      <c r="B10" s="14" t="s">
        <v>961</v>
      </c>
      <c r="C10" s="14" t="s">
        <v>68</v>
      </c>
      <c r="D10" s="14" t="s">
        <v>962</v>
      </c>
      <c r="E10" s="14" t="s">
        <v>56</v>
      </c>
      <c r="F10" s="15" t="n">
        <v>515000</v>
      </c>
      <c r="G10" s="16" t="n">
        <v>0.65</v>
      </c>
      <c r="H10" s="16" t="n">
        <v>1.38</v>
      </c>
      <c r="I10" s="16" t="n">
        <v>0.9691</v>
      </c>
      <c r="J10" s="16" t="n">
        <v>0.53</v>
      </c>
      <c r="K10" s="15" t="n">
        <f aca="false">ROUND(F10/100*G10*H10*I10/J10,2)</f>
        <v>8446.8</v>
      </c>
      <c r="L10" s="15" t="n">
        <v>8446.8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963</v>
      </c>
      <c r="B11" s="3" t="s">
        <v>964</v>
      </c>
      <c r="C11" s="3" t="s">
        <v>188</v>
      </c>
      <c r="D11" s="3" t="s">
        <v>965</v>
      </c>
      <c r="E11" s="3" t="s">
        <v>74</v>
      </c>
      <c r="F11" s="12" t="n">
        <v>1285000</v>
      </c>
      <c r="G11" s="13" t="n">
        <v>0.38</v>
      </c>
      <c r="H11" s="13" t="n">
        <v>1.35</v>
      </c>
      <c r="I11" s="13" t="n">
        <v>0.9691</v>
      </c>
      <c r="J11" s="13" t="n">
        <v>0.53</v>
      </c>
      <c r="K11" s="12" t="n">
        <f aca="false">ROUND(F11/100*G11*H11*I11/J11,2)</f>
        <v>12053.5</v>
      </c>
      <c r="L11" s="12" t="n">
        <v>12053.5</v>
      </c>
      <c r="M11" s="12" t="n">
        <f aca="false">L11-K11</f>
        <v>0</v>
      </c>
      <c r="N11" s="3" t="s">
        <v>51</v>
      </c>
      <c r="O11" s="3" t="s">
        <v>52</v>
      </c>
    </row>
    <row r="12" customFormat="false" ht="15" hidden="false" customHeight="false" outlineLevel="0" collapsed="false">
      <c r="A12" s="14" t="s">
        <v>966</v>
      </c>
      <c r="B12" s="14" t="s">
        <v>967</v>
      </c>
      <c r="C12" s="14" t="s">
        <v>89</v>
      </c>
      <c r="D12" s="14" t="s">
        <v>968</v>
      </c>
      <c r="E12" s="14" t="s">
        <v>50</v>
      </c>
      <c r="F12" s="15" t="n">
        <v>1150000</v>
      </c>
      <c r="G12" s="16" t="n">
        <v>0.8</v>
      </c>
      <c r="H12" s="16" t="n">
        <v>1.35</v>
      </c>
      <c r="I12" s="16" t="n">
        <v>0.9691</v>
      </c>
      <c r="J12" s="16" t="n">
        <v>0.53</v>
      </c>
      <c r="K12" s="15" t="n">
        <f aca="false">ROUND(F12/100*G12*H12*I12/J12,2)</f>
        <v>22709.85</v>
      </c>
      <c r="L12" s="15" t="n">
        <v>22709.85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949</v>
      </c>
      <c r="B13" s="3" t="s">
        <v>969</v>
      </c>
      <c r="C13" s="3" t="s">
        <v>174</v>
      </c>
      <c r="D13" s="3" t="s">
        <v>970</v>
      </c>
      <c r="E13" s="3" t="s">
        <v>56</v>
      </c>
      <c r="F13" s="12" t="n">
        <v>820000</v>
      </c>
      <c r="G13" s="13" t="n">
        <v>0.65</v>
      </c>
      <c r="H13" s="13" t="n">
        <v>1.55</v>
      </c>
      <c r="I13" s="13" t="n">
        <v>0.9691</v>
      </c>
      <c r="J13" s="13" t="n">
        <v>0.53</v>
      </c>
      <c r="K13" s="12" t="n">
        <f aca="false">ROUND(F13/100*G13*H13*I13/J13,2)</f>
        <v>15106.07</v>
      </c>
      <c r="L13" s="12" t="n">
        <v>15106.08</v>
      </c>
      <c r="M13" s="12" t="n">
        <f aca="false">L13-K13</f>
        <v>0.0100000000002183</v>
      </c>
      <c r="N13" s="3" t="s">
        <v>70</v>
      </c>
      <c r="O13" s="3" t="s">
        <v>52</v>
      </c>
    </row>
    <row r="14" customFormat="false" ht="15" hidden="false" customHeight="false" outlineLevel="0" collapsed="false">
      <c r="A14" s="14" t="s">
        <v>971</v>
      </c>
      <c r="B14" s="14" t="s">
        <v>972</v>
      </c>
      <c r="C14" s="14" t="s">
        <v>77</v>
      </c>
      <c r="D14" s="14" t="s">
        <v>715</v>
      </c>
      <c r="E14" s="14" t="s">
        <v>74</v>
      </c>
      <c r="F14" s="15" t="n">
        <v>740000</v>
      </c>
      <c r="G14" s="16" t="n">
        <v>0.43</v>
      </c>
      <c r="H14" s="16" t="n">
        <v>1.42</v>
      </c>
      <c r="I14" s="16" t="n">
        <v>0.9691</v>
      </c>
      <c r="J14" s="16" t="n">
        <v>0.53</v>
      </c>
      <c r="K14" s="15" t="n">
        <f aca="false">ROUND(F14/100*G14*H14*I14/J14,2)</f>
        <v>8261.92</v>
      </c>
      <c r="L14" s="15" t="n">
        <v>8261.93</v>
      </c>
      <c r="M14" s="15" t="n">
        <f aca="false">L14-K14</f>
        <v>0.0100000000002183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973</v>
      </c>
      <c r="B15" s="3" t="s">
        <v>974</v>
      </c>
      <c r="C15" s="3" t="s">
        <v>152</v>
      </c>
      <c r="D15" s="3" t="s">
        <v>682</v>
      </c>
      <c r="E15" s="3" t="s">
        <v>56</v>
      </c>
      <c r="F15" s="12" t="n">
        <v>335000</v>
      </c>
      <c r="G15" s="13" t="n">
        <v>0.75</v>
      </c>
      <c r="H15" s="13" t="n">
        <v>1</v>
      </c>
      <c r="I15" s="13" t="n">
        <v>0.9691</v>
      </c>
      <c r="J15" s="13" t="n">
        <v>0.53</v>
      </c>
      <c r="K15" s="12" t="n">
        <f aca="false">ROUND(F15/100*G15*H15*I15/J15,2)</f>
        <v>4594.08</v>
      </c>
      <c r="L15" s="12" t="n">
        <v>4594.09</v>
      </c>
      <c r="M15" s="12" t="n">
        <f aca="false">L15-K15</f>
        <v>0.0100000000002183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975</v>
      </c>
      <c r="B16" s="14" t="s">
        <v>976</v>
      </c>
      <c r="C16" s="14" t="s">
        <v>243</v>
      </c>
      <c r="D16" s="14" t="s">
        <v>705</v>
      </c>
      <c r="E16" s="14" t="s">
        <v>56</v>
      </c>
      <c r="F16" s="15" t="n">
        <v>825000</v>
      </c>
      <c r="G16" s="16" t="n">
        <v>0.65</v>
      </c>
      <c r="H16" s="16" t="n">
        <v>1.14</v>
      </c>
      <c r="I16" s="16" t="n">
        <v>0.9691</v>
      </c>
      <c r="J16" s="16" t="n">
        <v>0.53</v>
      </c>
      <c r="K16" s="15" t="n">
        <f aca="false">ROUND(F16/100*G16*H16*I16/J16,2)</f>
        <v>11178.02</v>
      </c>
      <c r="L16" s="15" t="n">
        <v>11178.02</v>
      </c>
      <c r="M16" s="15" t="n">
        <f aca="false">L16-K16</f>
        <v>0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966</v>
      </c>
      <c r="B17" s="3" t="s">
        <v>977</v>
      </c>
      <c r="C17" s="3" t="s">
        <v>159</v>
      </c>
      <c r="D17" s="3" t="s">
        <v>978</v>
      </c>
      <c r="E17" s="3" t="s">
        <v>56</v>
      </c>
      <c r="F17" s="12" t="n">
        <v>105000</v>
      </c>
      <c r="G17" s="13" t="n">
        <v>0.92</v>
      </c>
      <c r="H17" s="13" t="n">
        <v>1.15</v>
      </c>
      <c r="I17" s="13" t="n">
        <v>0.9691</v>
      </c>
      <c r="J17" s="13" t="n">
        <v>0.53</v>
      </c>
      <c r="K17" s="12" t="n">
        <f aca="false">ROUND(F17/100*G17*H17*I17/J17,2)</f>
        <v>2031.27</v>
      </c>
      <c r="L17" s="12" t="n">
        <v>2031.27</v>
      </c>
      <c r="M17" s="12" t="n">
        <f aca="false">L17-K17</f>
        <v>0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979</v>
      </c>
      <c r="B18" s="14" t="s">
        <v>980</v>
      </c>
      <c r="C18" s="14" t="s">
        <v>77</v>
      </c>
      <c r="D18" s="14" t="s">
        <v>165</v>
      </c>
      <c r="E18" s="14" t="s">
        <v>56</v>
      </c>
      <c r="F18" s="15" t="n">
        <v>535000</v>
      </c>
      <c r="G18" s="16" t="n">
        <v>0.65</v>
      </c>
      <c r="H18" s="16" t="n">
        <v>1.42</v>
      </c>
      <c r="I18" s="16" t="n">
        <v>0.9691</v>
      </c>
      <c r="J18" s="16" t="n">
        <v>0.53</v>
      </c>
      <c r="K18" s="15" t="n">
        <f aca="false">ROUND(F18/100*G18*H18*I18/J18,2)</f>
        <v>9029.18</v>
      </c>
      <c r="L18" s="15" t="n">
        <v>9029.18</v>
      </c>
      <c r="M18" s="15" t="n">
        <f aca="false">L18-K18</f>
        <v>0</v>
      </c>
      <c r="N18" s="14" t="s">
        <v>51</v>
      </c>
      <c r="O18" s="14" t="s">
        <v>52</v>
      </c>
    </row>
    <row r="19" customFormat="false" ht="15" hidden="false" customHeight="false" outlineLevel="0" collapsed="false">
      <c r="A19" s="3" t="s">
        <v>981</v>
      </c>
      <c r="B19" s="3" t="s">
        <v>982</v>
      </c>
      <c r="C19" s="3" t="s">
        <v>136</v>
      </c>
      <c r="D19" s="3" t="s">
        <v>348</v>
      </c>
      <c r="E19" s="3" t="s">
        <v>50</v>
      </c>
      <c r="F19" s="12" t="n">
        <v>610000</v>
      </c>
      <c r="G19" s="13" t="n">
        <v>0.95</v>
      </c>
      <c r="H19" s="13" t="n">
        <v>1.32</v>
      </c>
      <c r="I19" s="13" t="n">
        <v>0.9691</v>
      </c>
      <c r="J19" s="13" t="n">
        <v>0.53</v>
      </c>
      <c r="K19" s="12" t="n">
        <f aca="false">ROUND(F19/100*G19*H19*I19/J19,2)</f>
        <v>13986.86</v>
      </c>
      <c r="L19" s="12" t="n">
        <v>13986.86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949</v>
      </c>
      <c r="B20" s="14" t="s">
        <v>983</v>
      </c>
      <c r="C20" s="14" t="s">
        <v>224</v>
      </c>
      <c r="D20" s="14" t="s">
        <v>204</v>
      </c>
      <c r="E20" s="14" t="s">
        <v>74</v>
      </c>
      <c r="F20" s="15" t="n">
        <v>965000</v>
      </c>
      <c r="G20" s="16" t="n">
        <v>0.43</v>
      </c>
      <c r="H20" s="16" t="n">
        <v>1.1</v>
      </c>
      <c r="I20" s="16" t="n">
        <v>0.9691</v>
      </c>
      <c r="J20" s="16" t="n">
        <v>0.53</v>
      </c>
      <c r="K20" s="15" t="n">
        <f aca="false">ROUND(F20/100*G20*H20*I20/J20,2)</f>
        <v>8346.05</v>
      </c>
      <c r="L20" s="15" t="n">
        <v>8346.05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984</v>
      </c>
      <c r="B21" s="3" t="s">
        <v>985</v>
      </c>
      <c r="C21" s="3" t="s">
        <v>159</v>
      </c>
      <c r="D21" s="3" t="s">
        <v>986</v>
      </c>
      <c r="E21" s="3" t="s">
        <v>56</v>
      </c>
      <c r="F21" s="12" t="n">
        <v>530000</v>
      </c>
      <c r="G21" s="13" t="n">
        <v>0.65</v>
      </c>
      <c r="H21" s="13" t="n">
        <v>1.15</v>
      </c>
      <c r="I21" s="13" t="n">
        <v>0.9691</v>
      </c>
      <c r="J21" s="13" t="n">
        <v>0.53</v>
      </c>
      <c r="K21" s="12" t="n">
        <f aca="false">ROUND(F21/100*G21*H21*I21/J21,2)</f>
        <v>7244.02</v>
      </c>
      <c r="L21" s="12" t="n">
        <v>7244.02</v>
      </c>
      <c r="M21" s="12" t="n">
        <f aca="false">L21-K21</f>
        <v>0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987</v>
      </c>
      <c r="B22" s="14" t="s">
        <v>988</v>
      </c>
      <c r="C22" s="14" t="s">
        <v>136</v>
      </c>
      <c r="D22" s="14" t="s">
        <v>989</v>
      </c>
      <c r="E22" s="14" t="s">
        <v>56</v>
      </c>
      <c r="F22" s="15" t="n">
        <v>570000</v>
      </c>
      <c r="G22" s="16" t="n">
        <v>0.65</v>
      </c>
      <c r="H22" s="16" t="n">
        <v>1.32</v>
      </c>
      <c r="I22" s="16" t="n">
        <v>0.9691</v>
      </c>
      <c r="J22" s="16" t="n">
        <v>0.53</v>
      </c>
      <c r="K22" s="15" t="n">
        <f aca="false">ROUND(F22/100*G22*H22*I22/J22,2)</f>
        <v>8942.42</v>
      </c>
      <c r="L22" s="15" t="n">
        <v>8942.42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990</v>
      </c>
      <c r="B23" s="3" t="s">
        <v>991</v>
      </c>
      <c r="C23" s="3" t="s">
        <v>114</v>
      </c>
      <c r="D23" s="3" t="s">
        <v>992</v>
      </c>
      <c r="E23" s="3" t="s">
        <v>157</v>
      </c>
      <c r="F23" s="12" t="n">
        <v>1200000</v>
      </c>
      <c r="G23" s="13" t="n">
        <v>0.68</v>
      </c>
      <c r="H23" s="13" t="n">
        <v>1.36</v>
      </c>
      <c r="I23" s="13" t="n">
        <v>0.9691</v>
      </c>
      <c r="J23" s="13" t="n">
        <v>0.53</v>
      </c>
      <c r="K23" s="12" t="n">
        <f aca="false">ROUND(F23/100*G23*H23*I23/J23,2)</f>
        <v>20291.86</v>
      </c>
      <c r="L23" s="12" t="n">
        <v>20291.86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949</v>
      </c>
      <c r="B24" s="14" t="s">
        <v>993</v>
      </c>
      <c r="C24" s="14" t="s">
        <v>59</v>
      </c>
      <c r="D24" s="14" t="s">
        <v>757</v>
      </c>
      <c r="E24" s="14" t="s">
        <v>56</v>
      </c>
      <c r="F24" s="15" t="n">
        <v>400000</v>
      </c>
      <c r="G24" s="16" t="n">
        <v>0.75</v>
      </c>
      <c r="H24" s="16" t="n">
        <v>0.97</v>
      </c>
      <c r="I24" s="16" t="n">
        <v>0.9691</v>
      </c>
      <c r="J24" s="16" t="n">
        <v>0.53</v>
      </c>
      <c r="K24" s="15" t="n">
        <f aca="false">ROUND(F24/100*G24*H24*I24/J24,2)</f>
        <v>5320.91</v>
      </c>
      <c r="L24" s="15" t="n">
        <v>5320.91</v>
      </c>
      <c r="M24" s="15" t="n">
        <f aca="false">L24-K24</f>
        <v>0</v>
      </c>
      <c r="N24" s="14" t="s">
        <v>51</v>
      </c>
      <c r="O24" s="14" t="s">
        <v>52</v>
      </c>
    </row>
    <row r="25" customFormat="false" ht="15" hidden="false" customHeight="false" outlineLevel="0" collapsed="false">
      <c r="A25" s="3" t="s">
        <v>994</v>
      </c>
      <c r="B25" s="3" t="s">
        <v>995</v>
      </c>
      <c r="C25" s="3" t="s">
        <v>210</v>
      </c>
      <c r="D25" s="3" t="s">
        <v>90</v>
      </c>
      <c r="E25" s="3" t="s">
        <v>50</v>
      </c>
      <c r="F25" s="12" t="n">
        <v>1950000</v>
      </c>
      <c r="G25" s="13" t="n">
        <v>0.8</v>
      </c>
      <c r="H25" s="13" t="n">
        <v>1.21</v>
      </c>
      <c r="I25" s="13" t="n">
        <v>0.9691</v>
      </c>
      <c r="J25" s="13" t="n">
        <v>0.53</v>
      </c>
      <c r="K25" s="12" t="n">
        <f aca="false">ROUND(F25/100*G25*H25*I25/J25,2)</f>
        <v>34514.59</v>
      </c>
      <c r="L25" s="12" t="n">
        <v>34514.58</v>
      </c>
      <c r="M25" s="12" t="n">
        <f aca="false">L25-K25</f>
        <v>-0.00999999999476131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996</v>
      </c>
      <c r="B26" s="14" t="s">
        <v>997</v>
      </c>
      <c r="C26" s="14" t="s">
        <v>887</v>
      </c>
      <c r="D26" s="14" t="s">
        <v>998</v>
      </c>
      <c r="E26" s="14" t="s">
        <v>56</v>
      </c>
      <c r="F26" s="15" t="n">
        <v>705000</v>
      </c>
      <c r="G26" s="16" t="n">
        <v>0.65</v>
      </c>
      <c r="H26" s="16" t="n">
        <v>1.37</v>
      </c>
      <c r="I26" s="16" t="n">
        <v>0.9691</v>
      </c>
      <c r="J26" s="16" t="n">
        <v>0.53</v>
      </c>
      <c r="K26" s="15" t="n">
        <f aca="false">ROUND(F26/100*G26*H26*I26/J26,2)</f>
        <v>11479.31</v>
      </c>
      <c r="L26" s="15" t="n">
        <v>11479.31</v>
      </c>
      <c r="M26" s="15" t="n">
        <f aca="false">L26-K26</f>
        <v>0</v>
      </c>
      <c r="N26" s="14" t="s">
        <v>51</v>
      </c>
      <c r="O26" s="14" t="s">
        <v>52</v>
      </c>
    </row>
    <row r="27" customFormat="false" ht="15" hidden="false" customHeight="false" outlineLevel="0" collapsed="false">
      <c r="A27" s="3" t="s">
        <v>966</v>
      </c>
      <c r="B27" s="3" t="s">
        <v>999</v>
      </c>
      <c r="C27" s="3" t="s">
        <v>105</v>
      </c>
      <c r="D27" s="3" t="s">
        <v>1000</v>
      </c>
      <c r="E27" s="3" t="s">
        <v>56</v>
      </c>
      <c r="F27" s="12" t="n">
        <v>185000</v>
      </c>
      <c r="G27" s="13" t="n">
        <v>0.92</v>
      </c>
      <c r="H27" s="13" t="n">
        <v>0.99</v>
      </c>
      <c r="I27" s="13" t="n">
        <v>0.9691</v>
      </c>
      <c r="J27" s="13" t="n">
        <v>0.53</v>
      </c>
      <c r="K27" s="12" t="n">
        <f aca="false">ROUND(F27/100*G27*H27*I27/J27,2)</f>
        <v>3080.97</v>
      </c>
      <c r="L27" s="12" t="n">
        <v>3080.97</v>
      </c>
      <c r="M27" s="12" t="n">
        <f aca="false">L27-K27</f>
        <v>0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987</v>
      </c>
      <c r="B28" s="14" t="s">
        <v>1001</v>
      </c>
      <c r="C28" s="14" t="s">
        <v>139</v>
      </c>
      <c r="D28" s="14" t="s">
        <v>1002</v>
      </c>
      <c r="E28" s="14" t="s">
        <v>50</v>
      </c>
      <c r="F28" s="15" t="n">
        <v>455000</v>
      </c>
      <c r="G28" s="16" t="n">
        <v>1.15</v>
      </c>
      <c r="H28" s="16" t="n">
        <v>1.23</v>
      </c>
      <c r="I28" s="16" t="n">
        <v>0.9691</v>
      </c>
      <c r="J28" s="16" t="n">
        <v>0.53</v>
      </c>
      <c r="K28" s="15" t="n">
        <f aca="false">ROUND(F28/100*G28*H28*I28/J28,2)</f>
        <v>11768.12</v>
      </c>
      <c r="L28" s="15" t="n">
        <v>11768.12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954</v>
      </c>
      <c r="B29" s="3" t="s">
        <v>1003</v>
      </c>
      <c r="C29" s="3" t="s">
        <v>193</v>
      </c>
      <c r="D29" s="3" t="s">
        <v>1004</v>
      </c>
      <c r="E29" s="3" t="s">
        <v>157</v>
      </c>
      <c r="F29" s="12" t="n">
        <v>435000</v>
      </c>
      <c r="G29" s="13" t="n">
        <v>0.88</v>
      </c>
      <c r="H29" s="13" t="n">
        <v>1.25</v>
      </c>
      <c r="I29" s="13" t="n">
        <v>0.9691</v>
      </c>
      <c r="J29" s="13" t="n">
        <v>0.53</v>
      </c>
      <c r="K29" s="12" t="n">
        <f aca="false">ROUND(F29/100*G29*H29*I29/J29,2)</f>
        <v>8749.33</v>
      </c>
      <c r="L29" s="12" t="n">
        <v>8749.33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1005</v>
      </c>
      <c r="B30" s="14" t="s">
        <v>1006</v>
      </c>
      <c r="C30" s="14" t="s">
        <v>184</v>
      </c>
      <c r="D30" s="14" t="s">
        <v>1007</v>
      </c>
      <c r="E30" s="14" t="s">
        <v>50</v>
      </c>
      <c r="F30" s="15" t="n">
        <v>550000</v>
      </c>
      <c r="G30" s="16" t="n">
        <v>0.95</v>
      </c>
      <c r="H30" s="16" t="n">
        <v>1.02</v>
      </c>
      <c r="I30" s="16" t="n">
        <v>0.9691</v>
      </c>
      <c r="J30" s="16" t="n">
        <v>0.53</v>
      </c>
      <c r="K30" s="15" t="n">
        <f aca="false">ROUND(F30/100*G30*H30*I30/J30,2)</f>
        <v>9744.94</v>
      </c>
      <c r="L30" s="15" t="n">
        <v>9744.94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954</v>
      </c>
      <c r="B31" s="3" t="s">
        <v>1008</v>
      </c>
      <c r="C31" s="3" t="s">
        <v>68</v>
      </c>
      <c r="D31" s="3" t="s">
        <v>100</v>
      </c>
      <c r="E31" s="3" t="s">
        <v>56</v>
      </c>
      <c r="F31" s="12" t="n">
        <v>1190000</v>
      </c>
      <c r="G31" s="13" t="n">
        <v>0.55</v>
      </c>
      <c r="H31" s="13" t="n">
        <v>1.38</v>
      </c>
      <c r="I31" s="13" t="n">
        <v>0.9691</v>
      </c>
      <c r="J31" s="13" t="n">
        <v>0.53</v>
      </c>
      <c r="K31" s="12" t="n">
        <f aca="false">ROUND(F31/100*G31*H31*I31/J31,2)</f>
        <v>16515.11</v>
      </c>
      <c r="L31" s="12" t="n">
        <v>16515.11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954</v>
      </c>
      <c r="B32" s="14" t="s">
        <v>1009</v>
      </c>
      <c r="C32" s="14" t="s">
        <v>159</v>
      </c>
      <c r="D32" s="14" t="s">
        <v>1010</v>
      </c>
      <c r="E32" s="14" t="s">
        <v>56</v>
      </c>
      <c r="F32" s="15" t="n">
        <v>605000</v>
      </c>
      <c r="G32" s="16" t="n">
        <v>0.65</v>
      </c>
      <c r="H32" s="16" t="n">
        <v>1.15</v>
      </c>
      <c r="I32" s="16" t="n">
        <v>0.9691</v>
      </c>
      <c r="J32" s="16" t="n">
        <v>0.53</v>
      </c>
      <c r="K32" s="15" t="n">
        <f aca="false">ROUND(F32/100*G32*H32*I32/J32,2)</f>
        <v>8269.12</v>
      </c>
      <c r="L32" s="15" t="n">
        <v>8269.12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981</v>
      </c>
      <c r="B33" s="3" t="s">
        <v>1011</v>
      </c>
      <c r="C33" s="3" t="s">
        <v>217</v>
      </c>
      <c r="D33" s="3" t="s">
        <v>1012</v>
      </c>
      <c r="E33" s="3" t="s">
        <v>56</v>
      </c>
      <c r="F33" s="12" t="n">
        <v>190000</v>
      </c>
      <c r="G33" s="13" t="n">
        <v>0.92</v>
      </c>
      <c r="H33" s="13" t="n">
        <v>1.3</v>
      </c>
      <c r="I33" s="13" t="n">
        <v>0.9691</v>
      </c>
      <c r="J33" s="13" t="n">
        <v>0.53</v>
      </c>
      <c r="K33" s="12" t="n">
        <f aca="false">ROUND(F33/100*G33*H33*I33/J33,2)</f>
        <v>4155.06</v>
      </c>
      <c r="L33" s="12" t="n">
        <v>4155.06</v>
      </c>
      <c r="M33" s="12" t="n">
        <f aca="false">L33-K33</f>
        <v>0</v>
      </c>
      <c r="N33" s="3" t="s">
        <v>51</v>
      </c>
      <c r="O33" s="3" t="s">
        <v>52</v>
      </c>
    </row>
    <row r="34" customFormat="false" ht="15" hidden="false" customHeight="false" outlineLevel="0" collapsed="false">
      <c r="A34" s="14" t="s">
        <v>1013</v>
      </c>
      <c r="B34" s="14" t="s">
        <v>1014</v>
      </c>
      <c r="C34" s="14" t="s">
        <v>89</v>
      </c>
      <c r="D34" s="14" t="s">
        <v>170</v>
      </c>
      <c r="E34" s="14" t="s">
        <v>56</v>
      </c>
      <c r="F34" s="15" t="n">
        <v>740000</v>
      </c>
      <c r="G34" s="16" t="n">
        <v>0.65</v>
      </c>
      <c r="H34" s="16" t="n">
        <v>1.35</v>
      </c>
      <c r="I34" s="16" t="n">
        <v>0.9691</v>
      </c>
      <c r="J34" s="16" t="n">
        <v>0.53</v>
      </c>
      <c r="K34" s="15" t="n">
        <f aca="false">ROUND(F34/100*G34*H34*I34/J34,2)</f>
        <v>11873.3</v>
      </c>
      <c r="L34" s="15" t="n">
        <v>11873.31</v>
      </c>
      <c r="M34" s="15" t="n">
        <f aca="false">L34-K34</f>
        <v>0.0100000000002183</v>
      </c>
      <c r="N34" s="14" t="s">
        <v>51</v>
      </c>
      <c r="O34" s="14" t="s">
        <v>52</v>
      </c>
    </row>
    <row r="35" customFormat="false" ht="15" hidden="false" customHeight="false" outlineLevel="0" collapsed="false">
      <c r="A35" s="3" t="s">
        <v>958</v>
      </c>
      <c r="B35" s="3" t="s">
        <v>1015</v>
      </c>
      <c r="C35" s="3" t="s">
        <v>311</v>
      </c>
      <c r="D35" s="3" t="s">
        <v>1016</v>
      </c>
      <c r="E35" s="3" t="s">
        <v>56</v>
      </c>
      <c r="F35" s="12" t="n">
        <v>685000</v>
      </c>
      <c r="G35" s="13" t="n">
        <v>0.65</v>
      </c>
      <c r="H35" s="13" t="n">
        <v>1.06</v>
      </c>
      <c r="I35" s="13" t="n">
        <v>0.9691</v>
      </c>
      <c r="J35" s="13" t="n">
        <v>0.53</v>
      </c>
      <c r="K35" s="12" t="n">
        <f aca="false">ROUND(F35/100*G35*H35*I35/J35,2)</f>
        <v>8629.84</v>
      </c>
      <c r="L35" s="12" t="n">
        <v>8629.84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1017</v>
      </c>
      <c r="B36" s="14" t="s">
        <v>1018</v>
      </c>
      <c r="C36" s="14" t="s">
        <v>159</v>
      </c>
      <c r="D36" s="14" t="s">
        <v>867</v>
      </c>
      <c r="E36" s="14" t="s">
        <v>50</v>
      </c>
      <c r="F36" s="15" t="n">
        <v>1840000</v>
      </c>
      <c r="G36" s="16" t="n">
        <v>0.8</v>
      </c>
      <c r="H36" s="16" t="n">
        <v>1.15</v>
      </c>
      <c r="I36" s="16" t="n">
        <v>0.9691</v>
      </c>
      <c r="J36" s="16" t="n">
        <v>0.53</v>
      </c>
      <c r="K36" s="15" t="n">
        <f aca="false">ROUND(F36/100*G36*H36*I36/J36,2)</f>
        <v>30952.69</v>
      </c>
      <c r="L36" s="15" t="n">
        <v>30952.69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1019</v>
      </c>
      <c r="B37" s="3" t="s">
        <v>1020</v>
      </c>
      <c r="C37" s="3" t="s">
        <v>193</v>
      </c>
      <c r="D37" s="3" t="s">
        <v>1021</v>
      </c>
      <c r="E37" s="3" t="s">
        <v>133</v>
      </c>
      <c r="F37" s="12" t="n">
        <v>1815000</v>
      </c>
      <c r="G37" s="13" t="n">
        <v>0.34</v>
      </c>
      <c r="H37" s="13" t="n">
        <v>1.25</v>
      </c>
      <c r="I37" s="13" t="n">
        <v>0.9691</v>
      </c>
      <c r="J37" s="13" t="n">
        <v>0.53</v>
      </c>
      <c r="K37" s="12" t="n">
        <f aca="false">ROUND(F37/100*G37*H37*I37/J37,2)</f>
        <v>14104.52</v>
      </c>
      <c r="L37" s="12" t="n">
        <v>14104.52</v>
      </c>
      <c r="M37" s="12" t="n">
        <f aca="false">L37-K37</f>
        <v>0</v>
      </c>
      <c r="N37" s="3" t="s">
        <v>70</v>
      </c>
      <c r="O37" s="3" t="s">
        <v>52</v>
      </c>
    </row>
    <row r="38" customFormat="false" ht="15" hidden="false" customHeight="false" outlineLevel="0" collapsed="false">
      <c r="A38" s="14" t="s">
        <v>958</v>
      </c>
      <c r="B38" s="14" t="s">
        <v>1022</v>
      </c>
      <c r="C38" s="14" t="s">
        <v>300</v>
      </c>
      <c r="D38" s="14" t="s">
        <v>342</v>
      </c>
      <c r="E38" s="14" t="s">
        <v>56</v>
      </c>
      <c r="F38" s="15" t="n">
        <v>440000</v>
      </c>
      <c r="G38" s="16" t="n">
        <v>0.75</v>
      </c>
      <c r="H38" s="16" t="n">
        <v>1.11</v>
      </c>
      <c r="I38" s="16" t="n">
        <v>0.9691</v>
      </c>
      <c r="J38" s="16" t="n">
        <v>0.53</v>
      </c>
      <c r="K38" s="15" t="n">
        <f aca="false">ROUND(F38/100*G38*H38*I38/J38,2)</f>
        <v>6697.76</v>
      </c>
      <c r="L38" s="15" t="n">
        <v>6697.76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987</v>
      </c>
      <c r="B39" s="3" t="s">
        <v>1023</v>
      </c>
      <c r="C39" s="3" t="s">
        <v>117</v>
      </c>
      <c r="D39" s="3" t="s">
        <v>396</v>
      </c>
      <c r="E39" s="3" t="s">
        <v>56</v>
      </c>
      <c r="F39" s="12" t="n">
        <v>415000</v>
      </c>
      <c r="G39" s="13" t="n">
        <v>0.75</v>
      </c>
      <c r="H39" s="13" t="n">
        <v>0.91</v>
      </c>
      <c r="I39" s="13" t="n">
        <v>0.9691</v>
      </c>
      <c r="J39" s="13" t="n">
        <v>0.53</v>
      </c>
      <c r="K39" s="12" t="n">
        <f aca="false">ROUND(F39/100*G39*H39*I39/J39,2)</f>
        <v>5178.97</v>
      </c>
      <c r="L39" s="12" t="n">
        <v>5178.97</v>
      </c>
      <c r="M39" s="12" t="n">
        <f aca="false">L39-K39</f>
        <v>0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1024</v>
      </c>
      <c r="B40" s="14" t="s">
        <v>1025</v>
      </c>
      <c r="C40" s="14" t="s">
        <v>77</v>
      </c>
      <c r="D40" s="14" t="s">
        <v>140</v>
      </c>
      <c r="E40" s="14" t="s">
        <v>74</v>
      </c>
      <c r="F40" s="15" t="n">
        <v>730000</v>
      </c>
      <c r="G40" s="16" t="n">
        <v>0.43</v>
      </c>
      <c r="H40" s="16" t="n">
        <v>1.42</v>
      </c>
      <c r="I40" s="16" t="n">
        <v>0.9691</v>
      </c>
      <c r="J40" s="16" t="n">
        <v>0.53</v>
      </c>
      <c r="K40" s="15" t="n">
        <f aca="false">ROUND(F40/100*G40*H40*I40/J40,2)</f>
        <v>8150.28</v>
      </c>
      <c r="L40" s="15" t="n">
        <v>8150.28</v>
      </c>
      <c r="M40" s="15" t="n">
        <f aca="false">L40-K40</f>
        <v>0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1026</v>
      </c>
      <c r="B41" s="3" t="s">
        <v>1027</v>
      </c>
      <c r="C41" s="3" t="s">
        <v>159</v>
      </c>
      <c r="D41" s="3" t="s">
        <v>1028</v>
      </c>
      <c r="E41" s="3" t="s">
        <v>50</v>
      </c>
      <c r="F41" s="12" t="n">
        <v>265000</v>
      </c>
      <c r="G41" s="13" t="n">
        <v>1.15</v>
      </c>
      <c r="H41" s="13" t="n">
        <v>1.15</v>
      </c>
      <c r="I41" s="13" t="n">
        <v>0.9691</v>
      </c>
      <c r="J41" s="13" t="n">
        <v>0.53</v>
      </c>
      <c r="K41" s="12" t="n">
        <f aca="false">ROUND(F41/100*G41*H41*I41/J41,2)</f>
        <v>6408.17</v>
      </c>
      <c r="L41" s="12" t="n">
        <v>6408.17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1026</v>
      </c>
      <c r="B42" s="14" t="s">
        <v>1029</v>
      </c>
      <c r="C42" s="14" t="s">
        <v>220</v>
      </c>
      <c r="D42" s="14" t="s">
        <v>998</v>
      </c>
      <c r="E42" s="14" t="s">
        <v>56</v>
      </c>
      <c r="F42" s="15" t="n">
        <v>735000</v>
      </c>
      <c r="G42" s="16" t="n">
        <v>0.65</v>
      </c>
      <c r="H42" s="16" t="n">
        <v>1.01</v>
      </c>
      <c r="I42" s="16" t="n">
        <v>0.9691</v>
      </c>
      <c r="J42" s="16" t="n">
        <v>0.53</v>
      </c>
      <c r="K42" s="15" t="n">
        <f aca="false">ROUND(F42/100*G42*H42*I42/J42,2)</f>
        <v>8822.97</v>
      </c>
      <c r="L42" s="15" t="n">
        <v>8822.97</v>
      </c>
      <c r="M42" s="15" t="n">
        <f aca="false">L42-K42</f>
        <v>0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1024</v>
      </c>
      <c r="B43" s="3" t="s">
        <v>1030</v>
      </c>
      <c r="C43" s="3" t="s">
        <v>305</v>
      </c>
      <c r="D43" s="3" t="s">
        <v>741</v>
      </c>
      <c r="E43" s="3" t="s">
        <v>56</v>
      </c>
      <c r="F43" s="12" t="n">
        <v>295000</v>
      </c>
      <c r="G43" s="13" t="n">
        <v>0.75</v>
      </c>
      <c r="H43" s="13" t="n">
        <v>1.12</v>
      </c>
      <c r="I43" s="13" t="n">
        <v>0.9691</v>
      </c>
      <c r="J43" s="13" t="n">
        <v>0.53</v>
      </c>
      <c r="K43" s="12" t="n">
        <f aca="false">ROUND(F43/100*G43*H43*I43/J43,2)</f>
        <v>4531</v>
      </c>
      <c r="L43" s="12" t="n">
        <v>4531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1031</v>
      </c>
      <c r="B44" s="14" t="s">
        <v>1032</v>
      </c>
      <c r="C44" s="14" t="s">
        <v>85</v>
      </c>
      <c r="D44" s="14" t="s">
        <v>1033</v>
      </c>
      <c r="E44" s="14" t="s">
        <v>56</v>
      </c>
      <c r="F44" s="15" t="n">
        <v>455000</v>
      </c>
      <c r="G44" s="16" t="n">
        <v>0.75</v>
      </c>
      <c r="H44" s="16" t="n">
        <v>1.28</v>
      </c>
      <c r="I44" s="16" t="n">
        <v>0.9691</v>
      </c>
      <c r="J44" s="16" t="n">
        <v>0.53</v>
      </c>
      <c r="K44" s="15" t="n">
        <f aca="false">ROUND(F44/100*G44*H44*I44/J44,2)</f>
        <v>7986.85</v>
      </c>
      <c r="L44" s="15" t="n">
        <v>7986.85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1034</v>
      </c>
      <c r="B45" s="3" t="s">
        <v>1035</v>
      </c>
      <c r="C45" s="3" t="s">
        <v>217</v>
      </c>
      <c r="D45" s="3" t="s">
        <v>221</v>
      </c>
      <c r="E45" s="3" t="s">
        <v>50</v>
      </c>
      <c r="F45" s="12" t="n">
        <v>430000</v>
      </c>
      <c r="G45" s="13" t="n">
        <v>1.15</v>
      </c>
      <c r="H45" s="13" t="n">
        <v>1.3</v>
      </c>
      <c r="I45" s="13" t="n">
        <v>0.9691</v>
      </c>
      <c r="J45" s="13" t="n">
        <v>0.53</v>
      </c>
      <c r="K45" s="12" t="n">
        <f aca="false">ROUND(F45/100*G45*H45*I45/J45,2)</f>
        <v>11754.45</v>
      </c>
      <c r="L45" s="12" t="n">
        <v>11754.46</v>
      </c>
      <c r="M45" s="12" t="n">
        <f aca="false">L45-K45</f>
        <v>0.00999999999839929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984</v>
      </c>
      <c r="B46" s="14" t="s">
        <v>1036</v>
      </c>
      <c r="C46" s="14" t="s">
        <v>131</v>
      </c>
      <c r="D46" s="14" t="s">
        <v>1037</v>
      </c>
      <c r="E46" s="14" t="s">
        <v>50</v>
      </c>
      <c r="F46" s="15" t="n">
        <v>1730000</v>
      </c>
      <c r="G46" s="16" t="n">
        <v>0.8</v>
      </c>
      <c r="H46" s="16" t="n">
        <v>0.95</v>
      </c>
      <c r="I46" s="16" t="n">
        <v>0.9691</v>
      </c>
      <c r="J46" s="16" t="n">
        <v>0.53</v>
      </c>
      <c r="K46" s="15" t="n">
        <f aca="false">ROUND(F46/100*G46*H46*I46/J46,2)</f>
        <v>24040.99</v>
      </c>
      <c r="L46" s="15" t="n">
        <v>24041</v>
      </c>
      <c r="M46" s="15" t="n">
        <f aca="false">L46-K46</f>
        <v>0.00999999999839929</v>
      </c>
      <c r="N46" s="14" t="s">
        <v>51</v>
      </c>
      <c r="O46" s="14" t="s">
        <v>52</v>
      </c>
    </row>
    <row r="47" customFormat="false" ht="15" hidden="false" customHeight="false" outlineLevel="0" collapsed="false">
      <c r="A47" s="3" t="s">
        <v>966</v>
      </c>
      <c r="B47" s="3" t="s">
        <v>1038</v>
      </c>
      <c r="C47" s="3" t="s">
        <v>145</v>
      </c>
      <c r="D47" s="3" t="s">
        <v>1039</v>
      </c>
      <c r="E47" s="3" t="s">
        <v>74</v>
      </c>
      <c r="F47" s="12" t="n">
        <v>1365000</v>
      </c>
      <c r="G47" s="13" t="n">
        <v>0.38</v>
      </c>
      <c r="H47" s="13" t="n">
        <v>0.96</v>
      </c>
      <c r="I47" s="13" t="n">
        <v>0.9691</v>
      </c>
      <c r="J47" s="13" t="n">
        <v>0.53</v>
      </c>
      <c r="K47" s="12" t="n">
        <f aca="false">ROUND(F47/100*G47*H47*I47/J47,2)</f>
        <v>9105.01</v>
      </c>
      <c r="L47" s="12" t="n">
        <v>9105</v>
      </c>
      <c r="M47" s="12" t="n">
        <f aca="false">L47-K47</f>
        <v>-0.0100000000002183</v>
      </c>
      <c r="N47" s="3" t="s">
        <v>70</v>
      </c>
      <c r="O47" s="3" t="s">
        <v>52</v>
      </c>
    </row>
    <row r="48" customFormat="false" ht="15" hidden="false" customHeight="false" outlineLevel="0" collapsed="false">
      <c r="A48" s="14" t="s">
        <v>1040</v>
      </c>
      <c r="B48" s="14" t="s">
        <v>1041</v>
      </c>
      <c r="C48" s="14" t="s">
        <v>114</v>
      </c>
      <c r="D48" s="14" t="s">
        <v>55</v>
      </c>
      <c r="E48" s="14" t="s">
        <v>56</v>
      </c>
      <c r="F48" s="15" t="n">
        <v>510000</v>
      </c>
      <c r="G48" s="16" t="n">
        <v>0.65</v>
      </c>
      <c r="H48" s="16" t="n">
        <v>1.36</v>
      </c>
      <c r="I48" s="16" t="n">
        <v>0.9691</v>
      </c>
      <c r="J48" s="16" t="n">
        <v>0.53</v>
      </c>
      <c r="K48" s="15" t="n">
        <f aca="false">ROUND(F48/100*G48*H48*I48/J48,2)</f>
        <v>8243.57</v>
      </c>
      <c r="L48" s="15" t="n">
        <v>8243.57</v>
      </c>
      <c r="M48" s="15" t="n">
        <f aca="false">L48-K48</f>
        <v>0</v>
      </c>
      <c r="N48" s="14" t="s">
        <v>70</v>
      </c>
      <c r="O48" s="14" t="s">
        <v>52</v>
      </c>
    </row>
    <row r="49" customFormat="false" ht="15" hidden="false" customHeight="false" outlineLevel="0" collapsed="false">
      <c r="A49" s="3" t="s">
        <v>994</v>
      </c>
      <c r="B49" s="3" t="s">
        <v>1042</v>
      </c>
      <c r="C49" s="3" t="s">
        <v>81</v>
      </c>
      <c r="D49" s="3" t="s">
        <v>1043</v>
      </c>
      <c r="E49" s="3" t="s">
        <v>50</v>
      </c>
      <c r="F49" s="12" t="n">
        <v>915000</v>
      </c>
      <c r="G49" s="13" t="n">
        <v>0.95</v>
      </c>
      <c r="H49" s="13" t="n">
        <v>1.27</v>
      </c>
      <c r="I49" s="13" t="n">
        <v>0.9691</v>
      </c>
      <c r="J49" s="13" t="n">
        <v>0.53</v>
      </c>
      <c r="K49" s="12" t="n">
        <f aca="false">ROUND(F49/100*G49*H49*I49/J49,2)</f>
        <v>20185.58</v>
      </c>
      <c r="L49" s="12" t="n">
        <v>20185.58</v>
      </c>
      <c r="M49" s="12" t="n">
        <f aca="false">L49-K49</f>
        <v>0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1026</v>
      </c>
      <c r="B50" s="14" t="s">
        <v>1044</v>
      </c>
      <c r="C50" s="14" t="s">
        <v>278</v>
      </c>
      <c r="D50" s="14" t="s">
        <v>1045</v>
      </c>
      <c r="E50" s="14" t="s">
        <v>50</v>
      </c>
      <c r="F50" s="15" t="n">
        <v>825000</v>
      </c>
      <c r="G50" s="16" t="n">
        <v>0.95</v>
      </c>
      <c r="H50" s="16" t="n">
        <v>0.98</v>
      </c>
      <c r="I50" s="16" t="n">
        <v>0.9691</v>
      </c>
      <c r="J50" s="16" t="n">
        <v>0.53</v>
      </c>
      <c r="K50" s="15" t="n">
        <f aca="false">ROUND(F50/100*G50*H50*I50/J50,2)</f>
        <v>14044.18</v>
      </c>
      <c r="L50" s="15" t="n">
        <v>14044.18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954</v>
      </c>
      <c r="B51" s="3" t="s">
        <v>1046</v>
      </c>
      <c r="C51" s="3" t="s">
        <v>152</v>
      </c>
      <c r="D51" s="3" t="s">
        <v>293</v>
      </c>
      <c r="E51" s="3" t="s">
        <v>56</v>
      </c>
      <c r="F51" s="12" t="n">
        <v>740000</v>
      </c>
      <c r="G51" s="13" t="n">
        <v>0.65</v>
      </c>
      <c r="H51" s="13" t="n">
        <v>1</v>
      </c>
      <c r="I51" s="13" t="n">
        <v>0.9691</v>
      </c>
      <c r="J51" s="13" t="n">
        <v>0.53</v>
      </c>
      <c r="K51" s="12" t="n">
        <f aca="false">ROUND(F51/100*G51*H51*I51/J51,2)</f>
        <v>8795.04</v>
      </c>
      <c r="L51" s="12" t="n">
        <v>8795.04</v>
      </c>
      <c r="M51" s="12" t="n">
        <f aca="false">L51-K51</f>
        <v>0</v>
      </c>
      <c r="N51" s="3" t="s">
        <v>51</v>
      </c>
      <c r="O51" s="3" t="s">
        <v>52</v>
      </c>
    </row>
    <row r="52" customFormat="false" ht="15" hidden="false" customHeight="false" outlineLevel="0" collapsed="false">
      <c r="A52" s="14" t="s">
        <v>963</v>
      </c>
      <c r="B52" s="14" t="s">
        <v>1047</v>
      </c>
      <c r="C52" s="14" t="s">
        <v>300</v>
      </c>
      <c r="D52" s="14" t="s">
        <v>814</v>
      </c>
      <c r="E52" s="14" t="s">
        <v>56</v>
      </c>
      <c r="F52" s="15" t="n">
        <v>470000</v>
      </c>
      <c r="G52" s="16" t="n">
        <v>0.75</v>
      </c>
      <c r="H52" s="16" t="n">
        <v>1.11</v>
      </c>
      <c r="I52" s="16" t="n">
        <v>0.9691</v>
      </c>
      <c r="J52" s="16" t="n">
        <v>0.53</v>
      </c>
      <c r="K52" s="15" t="n">
        <f aca="false">ROUND(F52/100*G52*H52*I52/J52,2)</f>
        <v>7154.43</v>
      </c>
      <c r="L52" s="15" t="n">
        <v>7154.43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987</v>
      </c>
      <c r="B53" s="3" t="s">
        <v>1048</v>
      </c>
      <c r="C53" s="3" t="s">
        <v>243</v>
      </c>
      <c r="D53" s="3" t="s">
        <v>1049</v>
      </c>
      <c r="E53" s="3" t="s">
        <v>56</v>
      </c>
      <c r="F53" s="12" t="n">
        <v>765000</v>
      </c>
      <c r="G53" s="13" t="n">
        <v>0.65</v>
      </c>
      <c r="H53" s="13" t="n">
        <v>1.14</v>
      </c>
      <c r="I53" s="13" t="n">
        <v>0.9691</v>
      </c>
      <c r="J53" s="13" t="n">
        <v>0.53</v>
      </c>
      <c r="K53" s="12" t="n">
        <f aca="false">ROUND(F53/100*G53*H53*I53/J53,2)</f>
        <v>10365.07</v>
      </c>
      <c r="L53" s="12" t="n">
        <v>10365.08</v>
      </c>
      <c r="M53" s="12" t="n">
        <f aca="false">L53-K53</f>
        <v>0.0100000000002183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975</v>
      </c>
      <c r="B54" s="14" t="s">
        <v>1050</v>
      </c>
      <c r="C54" s="14" t="s">
        <v>48</v>
      </c>
      <c r="D54" s="14" t="s">
        <v>1051</v>
      </c>
      <c r="E54" s="14" t="s">
        <v>50</v>
      </c>
      <c r="F54" s="15" t="n">
        <v>1575000</v>
      </c>
      <c r="G54" s="16" t="n">
        <v>0.8</v>
      </c>
      <c r="H54" s="16" t="n">
        <v>1.28</v>
      </c>
      <c r="I54" s="16" t="n">
        <v>0.9691</v>
      </c>
      <c r="J54" s="16" t="n">
        <v>0.53</v>
      </c>
      <c r="K54" s="15" t="n">
        <f aca="false">ROUND(F54/100*G54*H54*I54/J54,2)</f>
        <v>29489.9</v>
      </c>
      <c r="L54" s="15" t="n">
        <v>29489.9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1052</v>
      </c>
      <c r="B55" s="3" t="s">
        <v>1053</v>
      </c>
      <c r="C55" s="3" t="s">
        <v>117</v>
      </c>
      <c r="D55" s="3" t="s">
        <v>1054</v>
      </c>
      <c r="E55" s="3" t="s">
        <v>74</v>
      </c>
      <c r="F55" s="12" t="n">
        <v>255000</v>
      </c>
      <c r="G55" s="13" t="n">
        <v>0.48</v>
      </c>
      <c r="H55" s="13" t="n">
        <v>0.91</v>
      </c>
      <c r="I55" s="13" t="n">
        <v>0.9691</v>
      </c>
      <c r="J55" s="13" t="n">
        <v>0.53</v>
      </c>
      <c r="K55" s="12" t="n">
        <f aca="false">ROUND(F55/100*G55*H55*I55/J55,2)</f>
        <v>2036.65</v>
      </c>
      <c r="L55" s="12" t="n">
        <v>2036.64</v>
      </c>
      <c r="M55" s="12" t="n">
        <f aca="false">L55-K55</f>
        <v>-0.00999999999999091</v>
      </c>
      <c r="N55" s="3" t="s">
        <v>51</v>
      </c>
      <c r="O55" s="3" t="s">
        <v>52</v>
      </c>
    </row>
    <row r="56" customFormat="false" ht="15" hidden="false" customHeight="false" outlineLevel="0" collapsed="false">
      <c r="A56" s="14" t="s">
        <v>954</v>
      </c>
      <c r="B56" s="14" t="s">
        <v>1055</v>
      </c>
      <c r="C56" s="14" t="s">
        <v>89</v>
      </c>
      <c r="D56" s="14" t="s">
        <v>1056</v>
      </c>
      <c r="E56" s="14" t="s">
        <v>50</v>
      </c>
      <c r="F56" s="15" t="n">
        <v>410000</v>
      </c>
      <c r="G56" s="16" t="n">
        <v>1.15</v>
      </c>
      <c r="H56" s="16" t="n">
        <v>1.35</v>
      </c>
      <c r="I56" s="16" t="n">
        <v>0.9691</v>
      </c>
      <c r="J56" s="16" t="n">
        <v>0.53</v>
      </c>
      <c r="K56" s="15" t="n">
        <f aca="false">ROUND(F56/100*G56*H56*I56/J56,2)</f>
        <v>11638.8</v>
      </c>
      <c r="L56" s="15" t="n">
        <v>11638.8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1026</v>
      </c>
      <c r="B57" s="3" t="s">
        <v>1057</v>
      </c>
      <c r="C57" s="3" t="s">
        <v>217</v>
      </c>
      <c r="D57" s="3" t="s">
        <v>743</v>
      </c>
      <c r="E57" s="3" t="s">
        <v>50</v>
      </c>
      <c r="F57" s="12" t="n">
        <v>455000</v>
      </c>
      <c r="G57" s="13" t="n">
        <v>1.15</v>
      </c>
      <c r="H57" s="13" t="n">
        <v>1.3</v>
      </c>
      <c r="I57" s="13" t="n">
        <v>0.9691</v>
      </c>
      <c r="J57" s="13" t="n">
        <v>0.53</v>
      </c>
      <c r="K57" s="12" t="n">
        <f aca="false">ROUND(F57/100*G57*H57*I57/J57,2)</f>
        <v>12437.85</v>
      </c>
      <c r="L57" s="12" t="n">
        <v>12437.85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1019</v>
      </c>
      <c r="B58" s="14" t="s">
        <v>1058</v>
      </c>
      <c r="C58" s="14" t="s">
        <v>64</v>
      </c>
      <c r="D58" s="14" t="s">
        <v>1059</v>
      </c>
      <c r="E58" s="14" t="s">
        <v>157</v>
      </c>
      <c r="F58" s="15" t="n">
        <v>730000</v>
      </c>
      <c r="G58" s="16" t="n">
        <v>0.78</v>
      </c>
      <c r="H58" s="16" t="n">
        <v>1.17</v>
      </c>
      <c r="I58" s="16" t="n">
        <v>0.9691</v>
      </c>
      <c r="J58" s="16" t="n">
        <v>0.53</v>
      </c>
      <c r="K58" s="15" t="n">
        <f aca="false">ROUND(F58/100*G58*H58*I58/J58,2)</f>
        <v>12181.37</v>
      </c>
      <c r="L58" s="15" t="n">
        <v>12181.36</v>
      </c>
      <c r="M58" s="15" t="n">
        <f aca="false">L58-K58</f>
        <v>-0.0100000000002183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954</v>
      </c>
      <c r="B59" s="3" t="s">
        <v>1060</v>
      </c>
      <c r="C59" s="3" t="s">
        <v>89</v>
      </c>
      <c r="D59" s="3" t="s">
        <v>1061</v>
      </c>
      <c r="E59" s="3" t="s">
        <v>56</v>
      </c>
      <c r="F59" s="12" t="n">
        <v>430000</v>
      </c>
      <c r="G59" s="13" t="n">
        <v>0.75</v>
      </c>
      <c r="H59" s="13" t="n">
        <v>1.35</v>
      </c>
      <c r="I59" s="13" t="n">
        <v>0.9691</v>
      </c>
      <c r="J59" s="13" t="n">
        <v>0.53</v>
      </c>
      <c r="K59" s="12" t="n">
        <f aca="false">ROUND(F59/100*G59*H59*I59/J59,2)</f>
        <v>7960.79</v>
      </c>
      <c r="L59" s="12" t="n">
        <v>7960.79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1052</v>
      </c>
      <c r="B60" s="14" t="s">
        <v>1062</v>
      </c>
      <c r="C60" s="14" t="s">
        <v>326</v>
      </c>
      <c r="D60" s="14" t="s">
        <v>1063</v>
      </c>
      <c r="E60" s="14" t="s">
        <v>56</v>
      </c>
      <c r="F60" s="15" t="n">
        <v>325000</v>
      </c>
      <c r="G60" s="16" t="n">
        <v>0.75</v>
      </c>
      <c r="H60" s="16" t="n">
        <v>1.12</v>
      </c>
      <c r="I60" s="16" t="n">
        <v>0.9691</v>
      </c>
      <c r="J60" s="16" t="n">
        <v>0.53</v>
      </c>
      <c r="K60" s="15" t="n">
        <f aca="false">ROUND(F60/100*G60*H60*I60/J60,2)</f>
        <v>4991.78</v>
      </c>
      <c r="L60" s="15" t="n">
        <v>4991.78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1017</v>
      </c>
      <c r="B61" s="3" t="s">
        <v>1064</v>
      </c>
      <c r="C61" s="3" t="s">
        <v>305</v>
      </c>
      <c r="D61" s="3" t="s">
        <v>1065</v>
      </c>
      <c r="E61" s="3" t="s">
        <v>74</v>
      </c>
      <c r="F61" s="12" t="n">
        <v>595000</v>
      </c>
      <c r="G61" s="13" t="n">
        <v>0.43</v>
      </c>
      <c r="H61" s="13" t="n">
        <v>1.12</v>
      </c>
      <c r="I61" s="13" t="n">
        <v>0.9691</v>
      </c>
      <c r="J61" s="13" t="n">
        <v>0.53</v>
      </c>
      <c r="K61" s="12" t="n">
        <f aca="false">ROUND(F61/100*G61*H61*I61/J61,2)</f>
        <v>5239.58</v>
      </c>
      <c r="L61" s="12" t="n">
        <v>5239.57</v>
      </c>
      <c r="M61" s="12" t="n">
        <f aca="false">L61-K61</f>
        <v>-0.0100000000002183</v>
      </c>
      <c r="N61" s="3" t="s">
        <v>51</v>
      </c>
      <c r="O61" s="3" t="s">
        <v>52</v>
      </c>
    </row>
    <row r="62" customFormat="false" ht="15" hidden="false" customHeight="false" outlineLevel="0" collapsed="false">
      <c r="A62" s="14" t="s">
        <v>954</v>
      </c>
      <c r="B62" s="14" t="s">
        <v>1066</v>
      </c>
      <c r="C62" s="14" t="s">
        <v>89</v>
      </c>
      <c r="D62" s="14" t="s">
        <v>548</v>
      </c>
      <c r="E62" s="14" t="s">
        <v>56</v>
      </c>
      <c r="F62" s="15" t="n">
        <v>420000</v>
      </c>
      <c r="G62" s="16" t="n">
        <v>0.75</v>
      </c>
      <c r="H62" s="16" t="n">
        <v>1.35</v>
      </c>
      <c r="I62" s="16" t="n">
        <v>0.9691</v>
      </c>
      <c r="J62" s="16" t="n">
        <v>0.53</v>
      </c>
      <c r="K62" s="15" t="n">
        <f aca="false">ROUND(F62/100*G62*H62*I62/J62,2)</f>
        <v>7775.66</v>
      </c>
      <c r="L62" s="15" t="n">
        <v>7775.65</v>
      </c>
      <c r="M62" s="15" t="n">
        <f aca="false">L62-K62</f>
        <v>-0.0100000000002183</v>
      </c>
      <c r="N62" s="14" t="s">
        <v>51</v>
      </c>
      <c r="O62" s="14" t="s">
        <v>52</v>
      </c>
    </row>
    <row r="63" customFormat="false" ht="15" hidden="false" customHeight="false" outlineLevel="0" collapsed="false">
      <c r="A63" s="3" t="s">
        <v>990</v>
      </c>
      <c r="B63" s="3" t="s">
        <v>1067</v>
      </c>
      <c r="C63" s="3" t="s">
        <v>89</v>
      </c>
      <c r="D63" s="3" t="s">
        <v>1068</v>
      </c>
      <c r="E63" s="3" t="s">
        <v>56</v>
      </c>
      <c r="F63" s="12" t="n">
        <v>395000</v>
      </c>
      <c r="G63" s="13" t="n">
        <v>0.75</v>
      </c>
      <c r="H63" s="13" t="n">
        <v>1.35</v>
      </c>
      <c r="I63" s="13" t="n">
        <v>0.9691</v>
      </c>
      <c r="J63" s="13" t="n">
        <v>0.53</v>
      </c>
      <c r="K63" s="12" t="n">
        <f aca="false">ROUND(F63/100*G63*H63*I63/J63,2)</f>
        <v>7312.82</v>
      </c>
      <c r="L63" s="12" t="n">
        <v>7312.82</v>
      </c>
      <c r="M63" s="12" t="n">
        <f aca="false">L63-K63</f>
        <v>0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973</v>
      </c>
      <c r="B64" s="14" t="s">
        <v>1069</v>
      </c>
      <c r="C64" s="14" t="s">
        <v>117</v>
      </c>
      <c r="D64" s="14" t="s">
        <v>1070</v>
      </c>
      <c r="E64" s="14" t="s">
        <v>74</v>
      </c>
      <c r="F64" s="15" t="n">
        <v>1560000</v>
      </c>
      <c r="G64" s="16" t="n">
        <v>0.38</v>
      </c>
      <c r="H64" s="16" t="n">
        <v>0.91</v>
      </c>
      <c r="I64" s="16" t="n">
        <v>0.9691</v>
      </c>
      <c r="J64" s="16" t="n">
        <v>0.53</v>
      </c>
      <c r="K64" s="15" t="n">
        <f aca="false">ROUND(F64/100*G64*H64*I64/J64,2)</f>
        <v>9863.76</v>
      </c>
      <c r="L64" s="15" t="n">
        <v>9863.75</v>
      </c>
      <c r="M64" s="15" t="n">
        <f aca="false">L64-K64</f>
        <v>-0.0100000000002183</v>
      </c>
      <c r="N64" s="14" t="s">
        <v>70</v>
      </c>
      <c r="O64" s="14" t="s">
        <v>52</v>
      </c>
    </row>
    <row r="65" customFormat="false" ht="15" hidden="false" customHeight="false" outlineLevel="0" collapsed="false">
      <c r="A65" s="3" t="s">
        <v>952</v>
      </c>
      <c r="B65" s="3" t="s">
        <v>1071</v>
      </c>
      <c r="C65" s="3" t="s">
        <v>305</v>
      </c>
      <c r="D65" s="3" t="s">
        <v>1072</v>
      </c>
      <c r="E65" s="3" t="s">
        <v>50</v>
      </c>
      <c r="F65" s="12" t="n">
        <v>950000</v>
      </c>
      <c r="G65" s="13" t="n">
        <v>0.95</v>
      </c>
      <c r="H65" s="13" t="n">
        <v>1.12</v>
      </c>
      <c r="I65" s="13" t="n">
        <v>0.9691</v>
      </c>
      <c r="J65" s="13" t="n">
        <v>0.53</v>
      </c>
      <c r="K65" s="12" t="n">
        <f aca="false">ROUND(F65/100*G65*H65*I65/J65,2)</f>
        <v>18482.38</v>
      </c>
      <c r="L65" s="12" t="n">
        <v>18482.38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1013</v>
      </c>
      <c r="B66" s="14" t="s">
        <v>1073</v>
      </c>
      <c r="C66" s="14" t="s">
        <v>77</v>
      </c>
      <c r="D66" s="14" t="s">
        <v>1074</v>
      </c>
      <c r="E66" s="14" t="s">
        <v>74</v>
      </c>
      <c r="F66" s="15" t="n">
        <v>795000</v>
      </c>
      <c r="G66" s="16" t="n">
        <v>0.43</v>
      </c>
      <c r="H66" s="16" t="n">
        <v>1.42</v>
      </c>
      <c r="I66" s="16" t="n">
        <v>0.9691</v>
      </c>
      <c r="J66" s="16" t="n">
        <v>0.53</v>
      </c>
      <c r="K66" s="15" t="n">
        <f aca="false">ROUND(F66/100*G66*H66*I66/J66,2)</f>
        <v>8875.99</v>
      </c>
      <c r="L66" s="15" t="n">
        <v>8875.99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990</v>
      </c>
      <c r="B67" s="3" t="s">
        <v>1075</v>
      </c>
      <c r="C67" s="3" t="s">
        <v>174</v>
      </c>
      <c r="D67" s="3" t="s">
        <v>1076</v>
      </c>
      <c r="E67" s="3" t="s">
        <v>56</v>
      </c>
      <c r="F67" s="12" t="n">
        <v>570000</v>
      </c>
      <c r="G67" s="13" t="n">
        <v>0.65</v>
      </c>
      <c r="H67" s="13" t="n">
        <v>1.55</v>
      </c>
      <c r="I67" s="13" t="n">
        <v>0.9691</v>
      </c>
      <c r="J67" s="13" t="n">
        <v>0.53</v>
      </c>
      <c r="K67" s="12" t="n">
        <f aca="false">ROUND(F67/100*G67*H67*I67/J67,2)</f>
        <v>10500.56</v>
      </c>
      <c r="L67" s="12" t="n">
        <v>10500.57</v>
      </c>
      <c r="M67" s="12" t="n">
        <f aca="false">L67-K67</f>
        <v>0.0100000000002183</v>
      </c>
      <c r="N67" s="3" t="s">
        <v>51</v>
      </c>
      <c r="O67" s="3" t="s">
        <v>52</v>
      </c>
    </row>
    <row r="68" customFormat="false" ht="15" hidden="false" customHeight="false" outlineLevel="0" collapsed="false">
      <c r="A68" s="14" t="s">
        <v>952</v>
      </c>
      <c r="B68" s="14" t="s">
        <v>1077</v>
      </c>
      <c r="C68" s="14" t="s">
        <v>266</v>
      </c>
      <c r="D68" s="14" t="s">
        <v>908</v>
      </c>
      <c r="E68" s="14" t="s">
        <v>50</v>
      </c>
      <c r="F68" s="15" t="n">
        <v>425000</v>
      </c>
      <c r="G68" s="16" t="n">
        <v>1.15</v>
      </c>
      <c r="H68" s="16" t="n">
        <v>1.1</v>
      </c>
      <c r="I68" s="16" t="n">
        <v>0.9691</v>
      </c>
      <c r="J68" s="16" t="n">
        <v>0.53</v>
      </c>
      <c r="K68" s="15" t="n">
        <f aca="false">ROUND(F68/100*G68*H68*I68/J68,2)</f>
        <v>9830.42</v>
      </c>
      <c r="L68" s="15" t="n">
        <v>9830.42</v>
      </c>
      <c r="M68" s="15" t="n">
        <f aca="false">L68-K68</f>
        <v>0</v>
      </c>
      <c r="N68" s="14" t="s">
        <v>51</v>
      </c>
      <c r="O68" s="14" t="s">
        <v>52</v>
      </c>
    </row>
    <row r="69" customFormat="false" ht="15" hidden="false" customHeight="false" outlineLevel="0" collapsed="false">
      <c r="A69" s="3" t="s">
        <v>1019</v>
      </c>
      <c r="B69" s="3" t="s">
        <v>1078</v>
      </c>
      <c r="C69" s="3" t="s">
        <v>128</v>
      </c>
      <c r="D69" s="3" t="s">
        <v>438</v>
      </c>
      <c r="E69" s="3" t="s">
        <v>50</v>
      </c>
      <c r="F69" s="12" t="n">
        <v>765000</v>
      </c>
      <c r="G69" s="13" t="n">
        <v>0.95</v>
      </c>
      <c r="H69" s="13" t="n">
        <v>1.25</v>
      </c>
      <c r="I69" s="13" t="n">
        <v>0.9691</v>
      </c>
      <c r="J69" s="13" t="n">
        <v>0.53</v>
      </c>
      <c r="K69" s="12" t="n">
        <f aca="false">ROUND(F69/100*G69*H69*I69/J69,2)</f>
        <v>16610.69</v>
      </c>
      <c r="L69" s="12" t="n">
        <v>16610.69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954</v>
      </c>
      <c r="B70" s="14" t="s">
        <v>1079</v>
      </c>
      <c r="C70" s="14" t="s">
        <v>108</v>
      </c>
      <c r="D70" s="14" t="s">
        <v>561</v>
      </c>
      <c r="E70" s="14" t="s">
        <v>157</v>
      </c>
      <c r="F70" s="15" t="n">
        <v>790000</v>
      </c>
      <c r="G70" s="16" t="n">
        <v>0.78</v>
      </c>
      <c r="H70" s="16" t="n">
        <v>0.93</v>
      </c>
      <c r="I70" s="16" t="n">
        <v>0.9691</v>
      </c>
      <c r="J70" s="16" t="n">
        <v>0.53</v>
      </c>
      <c r="K70" s="15" t="n">
        <f aca="false">ROUND(F70/100*G70*H70*I70/J70,2)</f>
        <v>10478.46</v>
      </c>
      <c r="L70" s="15" t="n">
        <v>10478.46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1013</v>
      </c>
      <c r="B71" s="3" t="s">
        <v>1080</v>
      </c>
      <c r="C71" s="3" t="s">
        <v>48</v>
      </c>
      <c r="D71" s="3" t="s">
        <v>1081</v>
      </c>
      <c r="E71" s="3" t="s">
        <v>50</v>
      </c>
      <c r="F71" s="12" t="n">
        <v>1950000</v>
      </c>
      <c r="G71" s="13" t="n">
        <v>0.8</v>
      </c>
      <c r="H71" s="13" t="n">
        <v>1.28</v>
      </c>
      <c r="I71" s="13" t="n">
        <v>0.9691</v>
      </c>
      <c r="J71" s="13" t="n">
        <v>0.53</v>
      </c>
      <c r="K71" s="12" t="n">
        <f aca="false">ROUND(F71/100*G71*H71*I71/J71,2)</f>
        <v>36511.3</v>
      </c>
      <c r="L71" s="12" t="n">
        <v>36511.3</v>
      </c>
      <c r="M71" s="12" t="n">
        <f aca="false">L71-K71</f>
        <v>0</v>
      </c>
      <c r="N71" s="3" t="s">
        <v>61</v>
      </c>
      <c r="O71" s="3" t="s">
        <v>62</v>
      </c>
    </row>
    <row r="72" customFormat="false" ht="15" hidden="false" customHeight="false" outlineLevel="0" collapsed="false">
      <c r="A72" s="14" t="s">
        <v>960</v>
      </c>
      <c r="B72" s="14" t="s">
        <v>1082</v>
      </c>
      <c r="C72" s="14" t="s">
        <v>210</v>
      </c>
      <c r="D72" s="14" t="s">
        <v>182</v>
      </c>
      <c r="E72" s="14" t="s">
        <v>56</v>
      </c>
      <c r="F72" s="15" t="n">
        <v>340000</v>
      </c>
      <c r="G72" s="16" t="n">
        <v>0.75</v>
      </c>
      <c r="H72" s="16" t="n">
        <v>1.21</v>
      </c>
      <c r="I72" s="16" t="n">
        <v>0.9691</v>
      </c>
      <c r="J72" s="16" t="n">
        <v>0.53</v>
      </c>
      <c r="K72" s="15" t="n">
        <f aca="false">ROUND(F72/100*G72*H72*I72/J72,2)</f>
        <v>5641.81</v>
      </c>
      <c r="L72" s="15" t="n">
        <v>5641.81</v>
      </c>
      <c r="M72" s="15" t="n">
        <f aca="false">L72-K72</f>
        <v>0</v>
      </c>
      <c r="N72" s="14" t="s">
        <v>51</v>
      </c>
      <c r="O72" s="14" t="s">
        <v>52</v>
      </c>
    </row>
    <row r="73" customFormat="false" ht="15" hidden="false" customHeight="false" outlineLevel="0" collapsed="false">
      <c r="A73" s="3" t="s">
        <v>1083</v>
      </c>
      <c r="B73" s="3" t="s">
        <v>1084</v>
      </c>
      <c r="C73" s="3" t="s">
        <v>266</v>
      </c>
      <c r="D73" s="3" t="s">
        <v>1085</v>
      </c>
      <c r="E73" s="3" t="s">
        <v>56</v>
      </c>
      <c r="F73" s="12" t="n">
        <v>325000</v>
      </c>
      <c r="G73" s="13" t="n">
        <v>0.75</v>
      </c>
      <c r="H73" s="13" t="n">
        <v>1.1</v>
      </c>
      <c r="I73" s="13" t="n">
        <v>0.9691</v>
      </c>
      <c r="J73" s="13" t="n">
        <v>0.53</v>
      </c>
      <c r="K73" s="12" t="n">
        <f aca="false">ROUND(F73/100*G73*H73*I73/J73,2)</f>
        <v>4902.64</v>
      </c>
      <c r="L73" s="12" t="n">
        <v>4902.64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1017</v>
      </c>
      <c r="B74" s="14" t="s">
        <v>1086</v>
      </c>
      <c r="C74" s="14" t="s">
        <v>48</v>
      </c>
      <c r="D74" s="14" t="s">
        <v>1087</v>
      </c>
      <c r="E74" s="14" t="s">
        <v>50</v>
      </c>
      <c r="F74" s="15" t="n">
        <v>250000</v>
      </c>
      <c r="G74" s="16" t="n">
        <v>1.15</v>
      </c>
      <c r="H74" s="16" t="n">
        <v>1.28</v>
      </c>
      <c r="I74" s="16" t="n">
        <v>0.9691</v>
      </c>
      <c r="J74" s="16" t="n">
        <v>0.53</v>
      </c>
      <c r="K74" s="15" t="n">
        <f aca="false">ROUND(F74/100*G74*H74*I74/J74,2)</f>
        <v>6728.85</v>
      </c>
      <c r="L74" s="15" t="n">
        <v>6728.85</v>
      </c>
      <c r="M74" s="15" t="n">
        <f aca="false">L74-K74</f>
        <v>0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1031</v>
      </c>
      <c r="B75" s="3" t="s">
        <v>1088</v>
      </c>
      <c r="C75" s="3" t="s">
        <v>224</v>
      </c>
      <c r="D75" s="3" t="s">
        <v>1089</v>
      </c>
      <c r="E75" s="3" t="s">
        <v>74</v>
      </c>
      <c r="F75" s="12" t="n">
        <v>550000</v>
      </c>
      <c r="G75" s="13" t="n">
        <v>0.43</v>
      </c>
      <c r="H75" s="13" t="n">
        <v>1.1</v>
      </c>
      <c r="I75" s="13" t="n">
        <v>0.9691</v>
      </c>
      <c r="J75" s="13" t="n">
        <v>0.53</v>
      </c>
      <c r="K75" s="12" t="n">
        <f aca="false">ROUND(F75/100*G75*H75*I75/J75,2)</f>
        <v>4756.82</v>
      </c>
      <c r="L75" s="12" t="n">
        <v>4756.82</v>
      </c>
      <c r="M75" s="12" t="n">
        <f aca="false">L75-K75</f>
        <v>0</v>
      </c>
      <c r="N75" s="3" t="s">
        <v>51</v>
      </c>
      <c r="O75" s="3" t="s">
        <v>52</v>
      </c>
    </row>
    <row r="76" customFormat="false" ht="15" hidden="false" customHeight="false" outlineLevel="0" collapsed="false">
      <c r="A76" s="14" t="s">
        <v>1019</v>
      </c>
      <c r="B76" s="14" t="s">
        <v>1090</v>
      </c>
      <c r="C76" s="14" t="s">
        <v>887</v>
      </c>
      <c r="D76" s="14" t="s">
        <v>160</v>
      </c>
      <c r="E76" s="14" t="s">
        <v>50</v>
      </c>
      <c r="F76" s="15" t="n">
        <v>845000</v>
      </c>
      <c r="G76" s="16" t="n">
        <v>0.95</v>
      </c>
      <c r="H76" s="16" t="n">
        <v>1.37</v>
      </c>
      <c r="I76" s="16" t="n">
        <v>0.9691</v>
      </c>
      <c r="J76" s="16" t="n">
        <v>0.53</v>
      </c>
      <c r="K76" s="15" t="n">
        <f aca="false">ROUND(F76/100*G76*H76*I76/J76,2)</f>
        <v>20109.14</v>
      </c>
      <c r="L76" s="15" t="n">
        <v>20109.14</v>
      </c>
      <c r="M76" s="15" t="n">
        <f aca="false">L76-K76</f>
        <v>0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952</v>
      </c>
      <c r="B77" s="3" t="s">
        <v>1091</v>
      </c>
      <c r="C77" s="3" t="s">
        <v>409</v>
      </c>
      <c r="D77" s="3" t="s">
        <v>1092</v>
      </c>
      <c r="E77" s="3" t="s">
        <v>50</v>
      </c>
      <c r="F77" s="12" t="n">
        <v>595000</v>
      </c>
      <c r="G77" s="13" t="n">
        <v>0.95</v>
      </c>
      <c r="H77" s="13" t="n">
        <v>1.3</v>
      </c>
      <c r="I77" s="13" t="n">
        <v>0.9691</v>
      </c>
      <c r="J77" s="13" t="n">
        <v>0.53</v>
      </c>
      <c r="K77" s="12" t="n">
        <f aca="false">ROUND(F77/100*G77*H77*I77/J77,2)</f>
        <v>13436.21</v>
      </c>
      <c r="L77" s="12" t="n">
        <v>13436.2</v>
      </c>
      <c r="M77" s="12" t="n">
        <f aca="false">L77-K77</f>
        <v>-0.00999999999839929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975</v>
      </c>
      <c r="B78" s="14" t="s">
        <v>1093</v>
      </c>
      <c r="C78" s="14" t="s">
        <v>193</v>
      </c>
      <c r="D78" s="14" t="s">
        <v>715</v>
      </c>
      <c r="E78" s="14" t="s">
        <v>74</v>
      </c>
      <c r="F78" s="15" t="n">
        <v>555000</v>
      </c>
      <c r="G78" s="16" t="n">
        <v>0.43</v>
      </c>
      <c r="H78" s="16" t="n">
        <v>1.25</v>
      </c>
      <c r="I78" s="16" t="n">
        <v>0.9691</v>
      </c>
      <c r="J78" s="16" t="n">
        <v>0.53</v>
      </c>
      <c r="K78" s="15" t="n">
        <f aca="false">ROUND(F78/100*G78*H78*I78/J78,2)</f>
        <v>5454.62</v>
      </c>
      <c r="L78" s="15" t="n">
        <v>5454.62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971</v>
      </c>
      <c r="B79" s="3" t="s">
        <v>1094</v>
      </c>
      <c r="C79" s="3" t="s">
        <v>266</v>
      </c>
      <c r="D79" s="3" t="s">
        <v>1095</v>
      </c>
      <c r="E79" s="3" t="s">
        <v>133</v>
      </c>
      <c r="F79" s="12" t="n">
        <v>630000</v>
      </c>
      <c r="G79" s="13" t="n">
        <v>0.38</v>
      </c>
      <c r="H79" s="13" t="n">
        <v>1.1</v>
      </c>
      <c r="I79" s="13" t="n">
        <v>0.9691</v>
      </c>
      <c r="J79" s="13" t="n">
        <v>0.53</v>
      </c>
      <c r="K79" s="12" t="n">
        <f aca="false">ROUND(F79/100*G79*H79*I79/J79,2)</f>
        <v>4815.15</v>
      </c>
      <c r="L79" s="12" t="n">
        <v>4815.15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1026</v>
      </c>
      <c r="B80" s="14" t="s">
        <v>1096</v>
      </c>
      <c r="C80" s="14" t="s">
        <v>152</v>
      </c>
      <c r="D80" s="14" t="s">
        <v>1097</v>
      </c>
      <c r="E80" s="14" t="s">
        <v>74</v>
      </c>
      <c r="F80" s="15" t="n">
        <v>625000</v>
      </c>
      <c r="G80" s="16" t="n">
        <v>0.43</v>
      </c>
      <c r="H80" s="16" t="n">
        <v>1</v>
      </c>
      <c r="I80" s="16" t="n">
        <v>0.9691</v>
      </c>
      <c r="J80" s="16" t="n">
        <v>0.53</v>
      </c>
      <c r="K80" s="15" t="n">
        <f aca="false">ROUND(F80/100*G80*H80*I80/J80,2)</f>
        <v>4914.07</v>
      </c>
      <c r="L80" s="15" t="n">
        <v>4914.06</v>
      </c>
      <c r="M80" s="15" t="n">
        <f aca="false">L80-K80</f>
        <v>-0.00999999999930878</v>
      </c>
      <c r="N80" s="14" t="s">
        <v>51</v>
      </c>
      <c r="O80" s="14" t="s">
        <v>52</v>
      </c>
    </row>
    <row r="81" customFormat="false" ht="15" hidden="false" customHeight="false" outlineLevel="0" collapsed="false">
      <c r="A81" s="3" t="s">
        <v>990</v>
      </c>
      <c r="B81" s="3" t="s">
        <v>1098</v>
      </c>
      <c r="C81" s="3" t="s">
        <v>128</v>
      </c>
      <c r="D81" s="3" t="s">
        <v>1099</v>
      </c>
      <c r="E81" s="3" t="s">
        <v>56</v>
      </c>
      <c r="F81" s="12" t="n">
        <v>645000</v>
      </c>
      <c r="G81" s="13" t="n">
        <v>0.65</v>
      </c>
      <c r="H81" s="13" t="n">
        <v>1.25</v>
      </c>
      <c r="I81" s="13" t="n">
        <v>0.9691</v>
      </c>
      <c r="J81" s="13" t="n">
        <v>0.53</v>
      </c>
      <c r="K81" s="12" t="n">
        <f aca="false">ROUND(F81/100*G81*H81*I81/J81,2)</f>
        <v>9582.43</v>
      </c>
      <c r="L81" s="12" t="n">
        <v>9582.43</v>
      </c>
      <c r="M81" s="12" t="n">
        <f aca="false">L81-K81</f>
        <v>0</v>
      </c>
      <c r="N81" s="3" t="s">
        <v>51</v>
      </c>
      <c r="O81" s="3" t="s">
        <v>52</v>
      </c>
    </row>
    <row r="82" customFormat="false" ht="15" hidden="false" customHeight="false" outlineLevel="0" collapsed="false">
      <c r="A82" s="14" t="s">
        <v>1005</v>
      </c>
      <c r="B82" s="14" t="s">
        <v>1100</v>
      </c>
      <c r="C82" s="14" t="s">
        <v>77</v>
      </c>
      <c r="D82" s="14" t="s">
        <v>1101</v>
      </c>
      <c r="E82" s="14" t="s">
        <v>56</v>
      </c>
      <c r="F82" s="15" t="n">
        <v>245000</v>
      </c>
      <c r="G82" s="16" t="n">
        <v>0.92</v>
      </c>
      <c r="H82" s="16" t="n">
        <v>1.42</v>
      </c>
      <c r="I82" s="16" t="n">
        <v>0.9691</v>
      </c>
      <c r="J82" s="16" t="n">
        <v>0.53</v>
      </c>
      <c r="K82" s="15" t="n">
        <f aca="false">ROUND(F82/100*G82*H82*I82/J82,2)</f>
        <v>5852.41</v>
      </c>
      <c r="L82" s="15" t="n">
        <v>5852.41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1024</v>
      </c>
      <c r="B83" s="3" t="s">
        <v>1102</v>
      </c>
      <c r="C83" s="3" t="s">
        <v>93</v>
      </c>
      <c r="D83" s="3" t="s">
        <v>1103</v>
      </c>
      <c r="E83" s="3" t="s">
        <v>56</v>
      </c>
      <c r="F83" s="12" t="n">
        <v>240000</v>
      </c>
      <c r="G83" s="13" t="n">
        <v>0.92</v>
      </c>
      <c r="H83" s="13" t="n">
        <v>1.39</v>
      </c>
      <c r="I83" s="13" t="n">
        <v>0.9691</v>
      </c>
      <c r="J83" s="13" t="n">
        <v>0.53</v>
      </c>
      <c r="K83" s="12" t="n">
        <f aca="false">ROUND(F83/100*G83*H83*I83/J83,2)</f>
        <v>5611.86</v>
      </c>
      <c r="L83" s="12" t="n">
        <v>5611.85</v>
      </c>
      <c r="M83" s="12" t="n">
        <f aca="false">L83-K83</f>
        <v>-0.00999999999930878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1017</v>
      </c>
      <c r="B84" s="14" t="s">
        <v>1104</v>
      </c>
      <c r="C84" s="14" t="s">
        <v>89</v>
      </c>
      <c r="D84" s="14" t="s">
        <v>931</v>
      </c>
      <c r="E84" s="14" t="s">
        <v>56</v>
      </c>
      <c r="F84" s="15" t="n">
        <v>435000</v>
      </c>
      <c r="G84" s="16" t="n">
        <v>0.75</v>
      </c>
      <c r="H84" s="16" t="n">
        <v>1.35</v>
      </c>
      <c r="I84" s="16" t="n">
        <v>0.9691</v>
      </c>
      <c r="J84" s="16" t="n">
        <v>0.53</v>
      </c>
      <c r="K84" s="15" t="n">
        <f aca="false">ROUND(F84/100*G84*H84*I84/J84,2)</f>
        <v>8053.36</v>
      </c>
      <c r="L84" s="15" t="n">
        <v>8053.36</v>
      </c>
      <c r="M84" s="15" t="n">
        <f aca="false">L84-K84</f>
        <v>0</v>
      </c>
      <c r="N84" s="14" t="s">
        <v>51</v>
      </c>
      <c r="O84" s="14" t="s">
        <v>52</v>
      </c>
    </row>
    <row r="85" customFormat="false" ht="15" hidden="false" customHeight="false" outlineLevel="0" collapsed="false">
      <c r="A85" s="3" t="s">
        <v>1031</v>
      </c>
      <c r="B85" s="3" t="s">
        <v>1105</v>
      </c>
      <c r="C85" s="3" t="s">
        <v>89</v>
      </c>
      <c r="D85" s="3" t="s">
        <v>700</v>
      </c>
      <c r="E85" s="3" t="s">
        <v>74</v>
      </c>
      <c r="F85" s="12" t="n">
        <v>765000</v>
      </c>
      <c r="G85" s="13" t="n">
        <v>0.43</v>
      </c>
      <c r="H85" s="13" t="n">
        <v>1.35</v>
      </c>
      <c r="I85" s="13" t="n">
        <v>0.9691</v>
      </c>
      <c r="J85" s="13" t="n">
        <v>0.53</v>
      </c>
      <c r="K85" s="12" t="n">
        <f aca="false">ROUND(F85/100*G85*H85*I85/J85,2)</f>
        <v>8120.01</v>
      </c>
      <c r="L85" s="12" t="n">
        <v>8120.01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1083</v>
      </c>
      <c r="B86" s="14" t="s">
        <v>1106</v>
      </c>
      <c r="C86" s="14" t="s">
        <v>159</v>
      </c>
      <c r="D86" s="14" t="s">
        <v>968</v>
      </c>
      <c r="E86" s="14" t="s">
        <v>50</v>
      </c>
      <c r="F86" s="15" t="n">
        <v>1050000</v>
      </c>
      <c r="G86" s="16" t="n">
        <v>0.8</v>
      </c>
      <c r="H86" s="16" t="n">
        <v>1.15</v>
      </c>
      <c r="I86" s="16" t="n">
        <v>0.9691</v>
      </c>
      <c r="J86" s="16" t="n">
        <v>0.53</v>
      </c>
      <c r="K86" s="15" t="n">
        <f aca="false">ROUND(F86/100*G86*H86*I86/J86,2)</f>
        <v>17663.22</v>
      </c>
      <c r="L86" s="15" t="n">
        <v>17663.22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1107</v>
      </c>
      <c r="B87" s="3" t="s">
        <v>1108</v>
      </c>
      <c r="C87" s="3" t="s">
        <v>152</v>
      </c>
      <c r="D87" s="3" t="s">
        <v>498</v>
      </c>
      <c r="E87" s="3" t="s">
        <v>56</v>
      </c>
      <c r="F87" s="12" t="n">
        <v>960000</v>
      </c>
      <c r="G87" s="13" t="n">
        <v>0.65</v>
      </c>
      <c r="H87" s="13" t="n">
        <v>1</v>
      </c>
      <c r="I87" s="13" t="n">
        <v>0.9691</v>
      </c>
      <c r="J87" s="13" t="n">
        <v>0.53</v>
      </c>
      <c r="K87" s="12" t="n">
        <f aca="false">ROUND(F87/100*G87*H87*I87/J87,2)</f>
        <v>11409.78</v>
      </c>
      <c r="L87" s="12" t="n">
        <v>11409.78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1024</v>
      </c>
      <c r="B88" s="14" t="s">
        <v>1109</v>
      </c>
      <c r="C88" s="14" t="s">
        <v>85</v>
      </c>
      <c r="D88" s="14" t="s">
        <v>1110</v>
      </c>
      <c r="E88" s="14" t="s">
        <v>56</v>
      </c>
      <c r="F88" s="15" t="n">
        <v>520000</v>
      </c>
      <c r="G88" s="16" t="n">
        <v>0.65</v>
      </c>
      <c r="H88" s="16" t="n">
        <v>1.28</v>
      </c>
      <c r="I88" s="16" t="n">
        <v>0.9691</v>
      </c>
      <c r="J88" s="16" t="n">
        <v>0.53</v>
      </c>
      <c r="K88" s="15" t="n">
        <f aca="false">ROUND(F88/100*G88*H88*I88/J88,2)</f>
        <v>7910.78</v>
      </c>
      <c r="L88" s="15" t="n">
        <v>7910.78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963</v>
      </c>
      <c r="B89" s="3" t="s">
        <v>1111</v>
      </c>
      <c r="C89" s="3" t="s">
        <v>159</v>
      </c>
      <c r="D89" s="3" t="s">
        <v>1112</v>
      </c>
      <c r="E89" s="3" t="s">
        <v>50</v>
      </c>
      <c r="F89" s="12" t="n">
        <v>1500000</v>
      </c>
      <c r="G89" s="13" t="n">
        <v>0.8</v>
      </c>
      <c r="H89" s="13" t="n">
        <v>1.15</v>
      </c>
      <c r="I89" s="13" t="n">
        <v>0.9691</v>
      </c>
      <c r="J89" s="13" t="n">
        <v>0.53</v>
      </c>
      <c r="K89" s="12" t="n">
        <f aca="false">ROUND(F89/100*G89*H89*I89/J89,2)</f>
        <v>25233.17</v>
      </c>
      <c r="L89" s="12" t="n">
        <v>25233.17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1034</v>
      </c>
      <c r="B90" s="14" t="s">
        <v>1113</v>
      </c>
      <c r="C90" s="14" t="s">
        <v>887</v>
      </c>
      <c r="D90" s="14" t="s">
        <v>1054</v>
      </c>
      <c r="E90" s="14" t="s">
        <v>74</v>
      </c>
      <c r="F90" s="15" t="n">
        <v>565000</v>
      </c>
      <c r="G90" s="16" t="n">
        <v>0.43</v>
      </c>
      <c r="H90" s="16" t="n">
        <v>1.37</v>
      </c>
      <c r="I90" s="16" t="n">
        <v>0.9691</v>
      </c>
      <c r="J90" s="16" t="n">
        <v>0.53</v>
      </c>
      <c r="K90" s="15" t="n">
        <f aca="false">ROUND(F90/100*G90*H90*I90/J90,2)</f>
        <v>6085.98</v>
      </c>
      <c r="L90" s="15" t="n">
        <v>6085.98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1114</v>
      </c>
      <c r="B91" s="3" t="s">
        <v>1115</v>
      </c>
      <c r="C91" s="3" t="s">
        <v>224</v>
      </c>
      <c r="D91" s="3" t="s">
        <v>769</v>
      </c>
      <c r="E91" s="3" t="s">
        <v>56</v>
      </c>
      <c r="F91" s="12" t="n">
        <v>910000</v>
      </c>
      <c r="G91" s="13" t="n">
        <v>0.65</v>
      </c>
      <c r="H91" s="13" t="n">
        <v>1.1</v>
      </c>
      <c r="I91" s="13" t="n">
        <v>0.9691</v>
      </c>
      <c r="J91" s="13" t="n">
        <v>0.53</v>
      </c>
      <c r="K91" s="12" t="n">
        <f aca="false">ROUND(F91/100*G91*H91*I91/J91,2)</f>
        <v>11897.07</v>
      </c>
      <c r="L91" s="12" t="n">
        <v>11897.08</v>
      </c>
      <c r="M91" s="12" t="n">
        <f aca="false">L91-K91</f>
        <v>0.0100000000002183</v>
      </c>
      <c r="N91" s="3" t="s">
        <v>51</v>
      </c>
      <c r="O91" s="3" t="s">
        <v>52</v>
      </c>
    </row>
    <row r="92" customFormat="false" ht="15" hidden="false" customHeight="false" outlineLevel="0" collapsed="false">
      <c r="A92" s="14" t="s">
        <v>1019</v>
      </c>
      <c r="B92" s="14" t="s">
        <v>1116</v>
      </c>
      <c r="C92" s="14" t="s">
        <v>220</v>
      </c>
      <c r="D92" s="14" t="s">
        <v>1117</v>
      </c>
      <c r="E92" s="14" t="s">
        <v>133</v>
      </c>
      <c r="F92" s="15" t="n">
        <v>1950000</v>
      </c>
      <c r="G92" s="16" t="n">
        <v>0.34</v>
      </c>
      <c r="H92" s="16" t="n">
        <v>1.01</v>
      </c>
      <c r="I92" s="16" t="n">
        <v>0.9691</v>
      </c>
      <c r="J92" s="16" t="n">
        <v>0.53</v>
      </c>
      <c r="K92" s="15" t="n">
        <f aca="false">ROUND(F92/100*G92*H92*I92/J92,2)</f>
        <v>12244.12</v>
      </c>
      <c r="L92" s="15" t="n">
        <v>12244.12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1034</v>
      </c>
      <c r="B93" s="3" t="s">
        <v>1118</v>
      </c>
      <c r="C93" s="3" t="s">
        <v>93</v>
      </c>
      <c r="D93" s="3" t="s">
        <v>747</v>
      </c>
      <c r="E93" s="3" t="s">
        <v>56</v>
      </c>
      <c r="F93" s="12" t="n">
        <v>1330000</v>
      </c>
      <c r="G93" s="13" t="n">
        <v>0.55</v>
      </c>
      <c r="H93" s="13" t="n">
        <v>1.39</v>
      </c>
      <c r="I93" s="13" t="n">
        <v>0.9691</v>
      </c>
      <c r="J93" s="13" t="n">
        <v>0.53</v>
      </c>
      <c r="K93" s="12" t="n">
        <f aca="false">ROUND(F93/100*G93*H93*I93/J93,2)</f>
        <v>18591.82</v>
      </c>
      <c r="L93" s="12" t="n">
        <v>18591.82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1019</v>
      </c>
      <c r="B94" s="14" t="s">
        <v>1119</v>
      </c>
      <c r="C94" s="14" t="s">
        <v>77</v>
      </c>
      <c r="D94" s="14" t="s">
        <v>941</v>
      </c>
      <c r="E94" s="14" t="s">
        <v>50</v>
      </c>
      <c r="F94" s="15" t="n">
        <v>390000</v>
      </c>
      <c r="G94" s="16" t="n">
        <v>1.15</v>
      </c>
      <c r="H94" s="16" t="n">
        <v>1.42</v>
      </c>
      <c r="I94" s="16" t="n">
        <v>0.9691</v>
      </c>
      <c r="J94" s="16" t="n">
        <v>0.53</v>
      </c>
      <c r="K94" s="15" t="n">
        <f aca="false">ROUND(F94/100*G94*H94*I94/J94,2)</f>
        <v>11645.11</v>
      </c>
      <c r="L94" s="15" t="n">
        <v>11645.11</v>
      </c>
      <c r="M94" s="15" t="n">
        <f aca="false">L94-K94</f>
        <v>0</v>
      </c>
      <c r="N94" s="14" t="s">
        <v>51</v>
      </c>
      <c r="O94" s="14" t="s">
        <v>52</v>
      </c>
    </row>
    <row r="95" customFormat="false" ht="15" hidden="false" customHeight="false" outlineLevel="0" collapsed="false">
      <c r="A95" s="3" t="s">
        <v>979</v>
      </c>
      <c r="B95" s="3" t="s">
        <v>1120</v>
      </c>
      <c r="C95" s="3" t="s">
        <v>174</v>
      </c>
      <c r="D95" s="3" t="s">
        <v>1121</v>
      </c>
      <c r="E95" s="3" t="s">
        <v>50</v>
      </c>
      <c r="F95" s="12" t="n">
        <v>760000</v>
      </c>
      <c r="G95" s="13" t="n">
        <v>0.95</v>
      </c>
      <c r="H95" s="13" t="n">
        <v>1.55</v>
      </c>
      <c r="I95" s="13" t="n">
        <v>0.9691</v>
      </c>
      <c r="J95" s="13" t="n">
        <v>0.53</v>
      </c>
      <c r="K95" s="12" t="n">
        <f aca="false">ROUND(F95/100*G95*H95*I95/J95,2)</f>
        <v>20462.64</v>
      </c>
      <c r="L95" s="12" t="n">
        <v>20462.63</v>
      </c>
      <c r="M95" s="12" t="n">
        <f aca="false">L95-K95</f>
        <v>-0.00999999999839929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979</v>
      </c>
      <c r="B96" s="14" t="s">
        <v>1122</v>
      </c>
      <c r="C96" s="14" t="s">
        <v>300</v>
      </c>
      <c r="D96" s="14" t="s">
        <v>1123</v>
      </c>
      <c r="E96" s="14" t="s">
        <v>157</v>
      </c>
      <c r="F96" s="15" t="n">
        <v>1660000</v>
      </c>
      <c r="G96" s="16" t="n">
        <v>0.68</v>
      </c>
      <c r="H96" s="16" t="n">
        <v>1.11</v>
      </c>
      <c r="I96" s="16" t="n">
        <v>0.9691</v>
      </c>
      <c r="J96" s="16" t="n">
        <v>0.53</v>
      </c>
      <c r="K96" s="15" t="n">
        <f aca="false">ROUND(F96/100*G96*H96*I96/J96,2)</f>
        <v>22910.4</v>
      </c>
      <c r="L96" s="15" t="n">
        <v>22910.41</v>
      </c>
      <c r="M96" s="15" t="n">
        <f aca="false">L96-K96</f>
        <v>0.00999999999839929</v>
      </c>
      <c r="N96" s="14" t="s">
        <v>51</v>
      </c>
      <c r="O96" s="14" t="s">
        <v>52</v>
      </c>
    </row>
    <row r="97" customFormat="false" ht="15" hidden="false" customHeight="false" outlineLevel="0" collapsed="false">
      <c r="A97" s="3" t="s">
        <v>1124</v>
      </c>
      <c r="B97" s="3" t="s">
        <v>1125</v>
      </c>
      <c r="C97" s="3" t="s">
        <v>93</v>
      </c>
      <c r="D97" s="3" t="s">
        <v>769</v>
      </c>
      <c r="E97" s="3" t="s">
        <v>56</v>
      </c>
      <c r="F97" s="12" t="n">
        <v>1325000</v>
      </c>
      <c r="G97" s="13" t="n">
        <v>0.55</v>
      </c>
      <c r="H97" s="13" t="n">
        <v>1.39</v>
      </c>
      <c r="I97" s="13" t="n">
        <v>0.9691</v>
      </c>
      <c r="J97" s="13" t="n">
        <v>0.53</v>
      </c>
      <c r="K97" s="12" t="n">
        <f aca="false">ROUND(F97/100*G97*H97*I97/J97,2)</f>
        <v>18521.92</v>
      </c>
      <c r="L97" s="12" t="n">
        <v>18521.92</v>
      </c>
      <c r="M97" s="12" t="n">
        <f aca="false">L97-K97</f>
        <v>0</v>
      </c>
      <c r="N97" s="3" t="s">
        <v>51</v>
      </c>
      <c r="O97" s="3" t="s">
        <v>52</v>
      </c>
    </row>
    <row r="98" customFormat="false" ht="15" hidden="false" customHeight="false" outlineLevel="0" collapsed="false">
      <c r="A98" s="14" t="s">
        <v>975</v>
      </c>
      <c r="B98" s="14" t="s">
        <v>1126</v>
      </c>
      <c r="C98" s="14" t="s">
        <v>152</v>
      </c>
      <c r="D98" s="14" t="s">
        <v>498</v>
      </c>
      <c r="E98" s="14" t="s">
        <v>56</v>
      </c>
      <c r="F98" s="15" t="n">
        <v>505000</v>
      </c>
      <c r="G98" s="16" t="n">
        <v>0.65</v>
      </c>
      <c r="H98" s="16" t="n">
        <v>1</v>
      </c>
      <c r="I98" s="16" t="n">
        <v>0.9691</v>
      </c>
      <c r="J98" s="16" t="n">
        <v>0.53</v>
      </c>
      <c r="K98" s="15" t="n">
        <f aca="false">ROUND(F98/100*G98*H98*I98/J98,2)</f>
        <v>6002.02</v>
      </c>
      <c r="L98" s="15" t="n">
        <v>6002.02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1052</v>
      </c>
      <c r="B99" s="3" t="s">
        <v>1127</v>
      </c>
      <c r="C99" s="3" t="s">
        <v>196</v>
      </c>
      <c r="D99" s="3" t="s">
        <v>204</v>
      </c>
      <c r="E99" s="3" t="s">
        <v>74</v>
      </c>
      <c r="F99" s="12" t="n">
        <v>1775000</v>
      </c>
      <c r="G99" s="13" t="n">
        <v>0.38</v>
      </c>
      <c r="H99" s="13" t="n">
        <v>1.04</v>
      </c>
      <c r="I99" s="13" t="n">
        <v>0.9691</v>
      </c>
      <c r="J99" s="13" t="n">
        <v>0.53</v>
      </c>
      <c r="K99" s="12" t="n">
        <f aca="false">ROUND(F99/100*G99*H99*I99/J99,2)</f>
        <v>12826.5</v>
      </c>
      <c r="L99" s="12" t="n">
        <v>12826.49</v>
      </c>
      <c r="M99" s="12" t="n">
        <f aca="false">L99-K99</f>
        <v>-0.0100000000002183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1019</v>
      </c>
      <c r="B100" s="14" t="s">
        <v>1128</v>
      </c>
      <c r="C100" s="14" t="s">
        <v>77</v>
      </c>
      <c r="D100" s="14" t="s">
        <v>1129</v>
      </c>
      <c r="E100" s="14" t="s">
        <v>50</v>
      </c>
      <c r="F100" s="15" t="n">
        <v>835000</v>
      </c>
      <c r="G100" s="16" t="n">
        <v>0.95</v>
      </c>
      <c r="H100" s="16" t="n">
        <v>1.42</v>
      </c>
      <c r="I100" s="16" t="n">
        <v>0.9691</v>
      </c>
      <c r="J100" s="16" t="n">
        <v>0.53</v>
      </c>
      <c r="K100" s="15" t="n">
        <f aca="false">ROUND(F100/100*G100*H100*I100/J100,2)</f>
        <v>20596.39</v>
      </c>
      <c r="L100" s="15" t="n">
        <v>20596.39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958</v>
      </c>
      <c r="B101" s="3" t="s">
        <v>1130</v>
      </c>
      <c r="C101" s="3" t="s">
        <v>887</v>
      </c>
      <c r="D101" s="3" t="s">
        <v>1131</v>
      </c>
      <c r="E101" s="3" t="s">
        <v>157</v>
      </c>
      <c r="F101" s="12" t="n">
        <v>275000</v>
      </c>
      <c r="G101" s="13" t="n">
        <v>0.88</v>
      </c>
      <c r="H101" s="13" t="n">
        <v>1.37</v>
      </c>
      <c r="I101" s="13" t="n">
        <v>0.9691</v>
      </c>
      <c r="J101" s="13" t="n">
        <v>0.53</v>
      </c>
      <c r="K101" s="12" t="n">
        <f aca="false">ROUND(F101/100*G101*H101*I101/J101,2)</f>
        <v>6062.18</v>
      </c>
      <c r="L101" s="12" t="n">
        <v>6062.18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1026</v>
      </c>
      <c r="B102" s="14" t="s">
        <v>1132</v>
      </c>
      <c r="C102" s="14" t="s">
        <v>85</v>
      </c>
      <c r="D102" s="14" t="s">
        <v>540</v>
      </c>
      <c r="E102" s="14" t="s">
        <v>56</v>
      </c>
      <c r="F102" s="15" t="n">
        <v>325000</v>
      </c>
      <c r="G102" s="16" t="n">
        <v>0.75</v>
      </c>
      <c r="H102" s="16" t="n">
        <v>1.28</v>
      </c>
      <c r="I102" s="16" t="n">
        <v>0.9691</v>
      </c>
      <c r="J102" s="16" t="n">
        <v>0.53</v>
      </c>
      <c r="K102" s="15" t="n">
        <f aca="false">ROUND(F102/100*G102*H102*I102/J102,2)</f>
        <v>5704.89</v>
      </c>
      <c r="L102" s="15" t="n">
        <v>5704.89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954</v>
      </c>
      <c r="B103" s="3" t="s">
        <v>1133</v>
      </c>
      <c r="C103" s="3" t="s">
        <v>59</v>
      </c>
      <c r="D103" s="3" t="s">
        <v>1103</v>
      </c>
      <c r="E103" s="3" t="s">
        <v>56</v>
      </c>
      <c r="F103" s="12" t="n">
        <v>245000</v>
      </c>
      <c r="G103" s="13" t="n">
        <v>0.92</v>
      </c>
      <c r="H103" s="13" t="n">
        <v>0.97</v>
      </c>
      <c r="I103" s="13" t="n">
        <v>0.9691</v>
      </c>
      <c r="J103" s="13" t="n">
        <v>0.53</v>
      </c>
      <c r="K103" s="12" t="n">
        <f aca="false">ROUND(F103/100*G103*H103*I103/J103,2)</f>
        <v>3997.78</v>
      </c>
      <c r="L103" s="12" t="n">
        <v>3997.78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994</v>
      </c>
      <c r="B104" s="14" t="s">
        <v>1134</v>
      </c>
      <c r="C104" s="14" t="s">
        <v>193</v>
      </c>
      <c r="D104" s="14" t="s">
        <v>970</v>
      </c>
      <c r="E104" s="14" t="s">
        <v>56</v>
      </c>
      <c r="F104" s="15" t="n">
        <v>970000</v>
      </c>
      <c r="G104" s="16" t="n">
        <v>0.65</v>
      </c>
      <c r="H104" s="16" t="n">
        <v>1.25</v>
      </c>
      <c r="I104" s="16" t="n">
        <v>0.9691</v>
      </c>
      <c r="J104" s="16" t="n">
        <v>0.53</v>
      </c>
      <c r="K104" s="15" t="n">
        <f aca="false">ROUND(F104/100*G104*H104*I104/J104,2)</f>
        <v>14410.79</v>
      </c>
      <c r="L104" s="15" t="n">
        <v>14410.79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981</v>
      </c>
      <c r="B105" s="3" t="s">
        <v>1135</v>
      </c>
      <c r="C105" s="3" t="s">
        <v>128</v>
      </c>
      <c r="D105" s="3" t="s">
        <v>507</v>
      </c>
      <c r="E105" s="3" t="s">
        <v>50</v>
      </c>
      <c r="F105" s="12" t="n">
        <v>1440000</v>
      </c>
      <c r="G105" s="13" t="n">
        <v>0.8</v>
      </c>
      <c r="H105" s="13" t="n">
        <v>1.25</v>
      </c>
      <c r="I105" s="13" t="n">
        <v>0.9691</v>
      </c>
      <c r="J105" s="13" t="n">
        <v>0.53</v>
      </c>
      <c r="K105" s="12" t="n">
        <f aca="false">ROUND(F105/100*G105*H105*I105/J105,2)</f>
        <v>26330.26</v>
      </c>
      <c r="L105" s="12" t="n">
        <v>26330.26</v>
      </c>
      <c r="M105" s="12" t="n">
        <f aca="false">L105-K105</f>
        <v>0</v>
      </c>
      <c r="N105" s="3" t="s">
        <v>51</v>
      </c>
      <c r="O105" s="3" t="s">
        <v>52</v>
      </c>
    </row>
    <row r="106" customFormat="false" ht="15" hidden="false" customHeight="false" outlineLevel="0" collapsed="false">
      <c r="A106" s="14" t="s">
        <v>1034</v>
      </c>
      <c r="B106" s="14" t="s">
        <v>1136</v>
      </c>
      <c r="C106" s="14" t="s">
        <v>136</v>
      </c>
      <c r="D106" s="14" t="s">
        <v>1137</v>
      </c>
      <c r="E106" s="14" t="s">
        <v>56</v>
      </c>
      <c r="F106" s="15" t="n">
        <v>640000</v>
      </c>
      <c r="G106" s="16" t="n">
        <v>0.65</v>
      </c>
      <c r="H106" s="16" t="n">
        <v>1.32</v>
      </c>
      <c r="I106" s="16" t="n">
        <v>0.9691</v>
      </c>
      <c r="J106" s="16" t="n">
        <v>0.53</v>
      </c>
      <c r="K106" s="15" t="n">
        <f aca="false">ROUND(F106/100*G106*H106*I106/J106,2)</f>
        <v>10040.61</v>
      </c>
      <c r="L106" s="15" t="n">
        <v>10040.6</v>
      </c>
      <c r="M106" s="15" t="n">
        <f aca="false">L106-K106</f>
        <v>-0.0100000000002183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994</v>
      </c>
      <c r="B107" s="3" t="s">
        <v>1138</v>
      </c>
      <c r="C107" s="3" t="s">
        <v>159</v>
      </c>
      <c r="D107" s="3" t="s">
        <v>1139</v>
      </c>
      <c r="E107" s="3" t="s">
        <v>56</v>
      </c>
      <c r="F107" s="12" t="n">
        <v>530000</v>
      </c>
      <c r="G107" s="13" t="n">
        <v>0.65</v>
      </c>
      <c r="H107" s="13" t="n">
        <v>1.15</v>
      </c>
      <c r="I107" s="13" t="n">
        <v>0.9691</v>
      </c>
      <c r="J107" s="13" t="n">
        <v>0.53</v>
      </c>
      <c r="K107" s="12" t="n">
        <f aca="false">ROUND(F107/100*G107*H107*I107/J107,2)</f>
        <v>7244.02</v>
      </c>
      <c r="L107" s="12" t="n">
        <v>7244.02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1024</v>
      </c>
      <c r="B108" s="14" t="s">
        <v>1140</v>
      </c>
      <c r="C108" s="14" t="s">
        <v>131</v>
      </c>
      <c r="D108" s="14" t="s">
        <v>260</v>
      </c>
      <c r="E108" s="14" t="s">
        <v>56</v>
      </c>
      <c r="F108" s="15" t="n">
        <v>390000</v>
      </c>
      <c r="G108" s="16" t="n">
        <v>0.75</v>
      </c>
      <c r="H108" s="16" t="n">
        <v>0.95</v>
      </c>
      <c r="I108" s="16" t="n">
        <v>0.9691</v>
      </c>
      <c r="J108" s="16" t="n">
        <v>0.53</v>
      </c>
      <c r="K108" s="15" t="n">
        <f aca="false">ROUND(F108/100*G108*H108*I108/J108,2)</f>
        <v>5080.92</v>
      </c>
      <c r="L108" s="15" t="n">
        <v>5080.91</v>
      </c>
      <c r="M108" s="15" t="n">
        <f aca="false">L108-K108</f>
        <v>-0.0100000000002183</v>
      </c>
      <c r="N108" s="14" t="s">
        <v>70</v>
      </c>
      <c r="O108" s="14" t="s">
        <v>52</v>
      </c>
    </row>
    <row r="109" customFormat="false" ht="15" hidden="false" customHeight="false" outlineLevel="0" collapsed="false">
      <c r="A109" s="3" t="s">
        <v>1031</v>
      </c>
      <c r="B109" s="3" t="s">
        <v>1141</v>
      </c>
      <c r="C109" s="3" t="s">
        <v>305</v>
      </c>
      <c r="D109" s="3" t="s">
        <v>1142</v>
      </c>
      <c r="E109" s="3" t="s">
        <v>157</v>
      </c>
      <c r="F109" s="12" t="n">
        <v>240000</v>
      </c>
      <c r="G109" s="13" t="n">
        <v>1.05</v>
      </c>
      <c r="H109" s="13" t="n">
        <v>1.12</v>
      </c>
      <c r="I109" s="13" t="n">
        <v>0.9691</v>
      </c>
      <c r="J109" s="13" t="n">
        <v>0.53</v>
      </c>
      <c r="K109" s="12" t="n">
        <f aca="false">ROUND(F109/100*G109*H109*I109/J109,2)</f>
        <v>5160.73</v>
      </c>
      <c r="L109" s="12" t="n">
        <v>5160.73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973</v>
      </c>
      <c r="B110" s="14" t="s">
        <v>1143</v>
      </c>
      <c r="C110" s="14" t="s">
        <v>64</v>
      </c>
      <c r="D110" s="14" t="s">
        <v>593</v>
      </c>
      <c r="E110" s="14" t="s">
        <v>56</v>
      </c>
      <c r="F110" s="15" t="n">
        <v>380000</v>
      </c>
      <c r="G110" s="16" t="n">
        <v>0.75</v>
      </c>
      <c r="H110" s="16" t="n">
        <v>1.17</v>
      </c>
      <c r="I110" s="16" t="n">
        <v>0.9691</v>
      </c>
      <c r="J110" s="16" t="n">
        <v>0.53</v>
      </c>
      <c r="K110" s="15" t="n">
        <f aca="false">ROUND(F110/100*G110*H110*I110/J110,2)</f>
        <v>6097.1</v>
      </c>
      <c r="L110" s="15" t="n">
        <v>6097.1</v>
      </c>
      <c r="M110" s="15" t="n">
        <f aca="false">L110-K110</f>
        <v>0</v>
      </c>
      <c r="N110" s="14" t="s">
        <v>51</v>
      </c>
      <c r="O110" s="14" t="s">
        <v>52</v>
      </c>
    </row>
    <row r="111" customFormat="false" ht="15" hidden="false" customHeight="false" outlineLevel="0" collapsed="false">
      <c r="A111" s="3" t="s">
        <v>1107</v>
      </c>
      <c r="B111" s="3" t="s">
        <v>1144</v>
      </c>
      <c r="C111" s="3" t="s">
        <v>159</v>
      </c>
      <c r="D111" s="3" t="s">
        <v>502</v>
      </c>
      <c r="E111" s="3" t="s">
        <v>56</v>
      </c>
      <c r="F111" s="12" t="n">
        <v>405000</v>
      </c>
      <c r="G111" s="13" t="n">
        <v>0.75</v>
      </c>
      <c r="H111" s="13" t="n">
        <v>1.15</v>
      </c>
      <c r="I111" s="13" t="n">
        <v>0.9691</v>
      </c>
      <c r="J111" s="13" t="n">
        <v>0.53</v>
      </c>
      <c r="K111" s="12" t="n">
        <f aca="false">ROUND(F111/100*G111*H111*I111/J111,2)</f>
        <v>6387.15</v>
      </c>
      <c r="L111" s="12" t="n">
        <v>6387.14</v>
      </c>
      <c r="M111" s="12" t="n">
        <f aca="false">L111-K111</f>
        <v>-0.00999999999930878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1013</v>
      </c>
      <c r="B112" s="14" t="s">
        <v>1145</v>
      </c>
      <c r="C112" s="14" t="s">
        <v>68</v>
      </c>
      <c r="D112" s="14" t="s">
        <v>1146</v>
      </c>
      <c r="E112" s="14" t="s">
        <v>56</v>
      </c>
      <c r="F112" s="15" t="n">
        <v>250000</v>
      </c>
      <c r="G112" s="16" t="n">
        <v>0.75</v>
      </c>
      <c r="H112" s="16" t="n">
        <v>1.38</v>
      </c>
      <c r="I112" s="16" t="n">
        <v>0.9691</v>
      </c>
      <c r="J112" s="16" t="n">
        <v>0.53</v>
      </c>
      <c r="K112" s="15" t="n">
        <f aca="false">ROUND(F112/100*G112*H112*I112/J112,2)</f>
        <v>4731.22</v>
      </c>
      <c r="L112" s="15" t="n">
        <v>4731.22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963</v>
      </c>
      <c r="B113" s="3" t="s">
        <v>1147</v>
      </c>
      <c r="C113" s="3" t="s">
        <v>311</v>
      </c>
      <c r="D113" s="3" t="s">
        <v>1148</v>
      </c>
      <c r="E113" s="3" t="s">
        <v>56</v>
      </c>
      <c r="F113" s="12" t="n">
        <v>345000</v>
      </c>
      <c r="G113" s="13" t="n">
        <v>0.75</v>
      </c>
      <c r="H113" s="13" t="n">
        <v>1.06</v>
      </c>
      <c r="I113" s="13" t="n">
        <v>0.9691</v>
      </c>
      <c r="J113" s="13" t="n">
        <v>0.53</v>
      </c>
      <c r="K113" s="12" t="n">
        <f aca="false">ROUND(F113/100*G113*H113*I113/J113,2)</f>
        <v>5015.09</v>
      </c>
      <c r="L113" s="12" t="n">
        <v>5015.09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975</v>
      </c>
      <c r="B114" s="14" t="s">
        <v>1149</v>
      </c>
      <c r="C114" s="14" t="s">
        <v>120</v>
      </c>
      <c r="D114" s="14" t="s">
        <v>1150</v>
      </c>
      <c r="E114" s="14" t="s">
        <v>56</v>
      </c>
      <c r="F114" s="15" t="n">
        <v>1540000</v>
      </c>
      <c r="G114" s="16" t="n">
        <v>0.55</v>
      </c>
      <c r="H114" s="16" t="n">
        <v>1.15</v>
      </c>
      <c r="I114" s="16" t="n">
        <v>0.9691</v>
      </c>
      <c r="J114" s="16" t="n">
        <v>0.53</v>
      </c>
      <c r="K114" s="15" t="n">
        <f aca="false">ROUND(F114/100*G114*H114*I114/J114,2)</f>
        <v>17810.41</v>
      </c>
      <c r="L114" s="15" t="n">
        <v>17810.41</v>
      </c>
      <c r="M114" s="15" t="n">
        <f aca="false">L114-K114</f>
        <v>0</v>
      </c>
      <c r="N114" s="14" t="s">
        <v>51</v>
      </c>
      <c r="O114" s="14" t="s">
        <v>52</v>
      </c>
    </row>
    <row r="115" customFormat="false" ht="15" hidden="false" customHeight="false" outlineLevel="0" collapsed="false">
      <c r="A115" s="3" t="s">
        <v>979</v>
      </c>
      <c r="B115" s="3" t="s">
        <v>1151</v>
      </c>
      <c r="C115" s="3" t="s">
        <v>81</v>
      </c>
      <c r="D115" s="3" t="s">
        <v>1152</v>
      </c>
      <c r="E115" s="3" t="s">
        <v>50</v>
      </c>
      <c r="F115" s="12" t="n">
        <v>1950000</v>
      </c>
      <c r="G115" s="13" t="n">
        <v>0.8</v>
      </c>
      <c r="H115" s="13" t="n">
        <v>1.27</v>
      </c>
      <c r="I115" s="13" t="n">
        <v>0.9691</v>
      </c>
      <c r="J115" s="13" t="n">
        <v>0.53</v>
      </c>
      <c r="K115" s="12" t="n">
        <f aca="false">ROUND(F115/100*G115*H115*I115/J115,2)</f>
        <v>36226.06</v>
      </c>
      <c r="L115" s="12" t="n">
        <v>36226.05</v>
      </c>
      <c r="M115" s="12" t="n">
        <f aca="false">L115-K115</f>
        <v>-0.00999999999476131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1107</v>
      </c>
      <c r="B116" s="14" t="s">
        <v>1153</v>
      </c>
      <c r="C116" s="14" t="s">
        <v>139</v>
      </c>
      <c r="D116" s="14" t="s">
        <v>1154</v>
      </c>
      <c r="E116" s="14" t="s">
        <v>50</v>
      </c>
      <c r="F116" s="15" t="n">
        <v>660000</v>
      </c>
      <c r="G116" s="16" t="n">
        <v>0.95</v>
      </c>
      <c r="H116" s="16" t="n">
        <v>1.23</v>
      </c>
      <c r="I116" s="16" t="n">
        <v>0.9691</v>
      </c>
      <c r="J116" s="16" t="n">
        <v>0.53</v>
      </c>
      <c r="K116" s="15" t="n">
        <f aca="false">ROUND(F116/100*G116*H116*I116/J116,2)</f>
        <v>14101.5</v>
      </c>
      <c r="L116" s="15" t="n">
        <v>14101.5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975</v>
      </c>
      <c r="B117" s="3" t="s">
        <v>1155</v>
      </c>
      <c r="C117" s="3" t="s">
        <v>77</v>
      </c>
      <c r="D117" s="3" t="s">
        <v>1156</v>
      </c>
      <c r="E117" s="3" t="s">
        <v>56</v>
      </c>
      <c r="F117" s="12" t="n">
        <v>745000</v>
      </c>
      <c r="G117" s="13" t="n">
        <v>0.65</v>
      </c>
      <c r="H117" s="13" t="n">
        <v>1.42</v>
      </c>
      <c r="I117" s="13" t="n">
        <v>0.9691</v>
      </c>
      <c r="J117" s="13" t="n">
        <v>0.53</v>
      </c>
      <c r="K117" s="12" t="n">
        <f aca="false">ROUND(F117/100*G117*H117*I117/J117,2)</f>
        <v>12573.34</v>
      </c>
      <c r="L117" s="12" t="n">
        <v>12573.35</v>
      </c>
      <c r="M117" s="12" t="n">
        <f aca="false">L117-K117</f>
        <v>0.0100000000002183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979</v>
      </c>
      <c r="B118" s="14" t="s">
        <v>1157</v>
      </c>
      <c r="C118" s="14" t="s">
        <v>117</v>
      </c>
      <c r="D118" s="14" t="s">
        <v>617</v>
      </c>
      <c r="E118" s="14" t="s">
        <v>56</v>
      </c>
      <c r="F118" s="15" t="n">
        <v>295000</v>
      </c>
      <c r="G118" s="16" t="n">
        <v>0.75</v>
      </c>
      <c r="H118" s="16" t="n">
        <v>0.91</v>
      </c>
      <c r="I118" s="16" t="n">
        <v>0.9691</v>
      </c>
      <c r="J118" s="16" t="n">
        <v>0.53</v>
      </c>
      <c r="K118" s="15" t="n">
        <f aca="false">ROUND(F118/100*G118*H118*I118/J118,2)</f>
        <v>3681.44</v>
      </c>
      <c r="L118" s="15" t="n">
        <v>3681.44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973</v>
      </c>
      <c r="B119" s="3" t="s">
        <v>1158</v>
      </c>
      <c r="C119" s="3" t="s">
        <v>64</v>
      </c>
      <c r="D119" s="3" t="s">
        <v>1159</v>
      </c>
      <c r="E119" s="3" t="s">
        <v>50</v>
      </c>
      <c r="F119" s="12" t="n">
        <v>535000</v>
      </c>
      <c r="G119" s="13" t="n">
        <v>0.95</v>
      </c>
      <c r="H119" s="13" t="n">
        <v>1.17</v>
      </c>
      <c r="I119" s="13" t="n">
        <v>0.9691</v>
      </c>
      <c r="J119" s="13" t="n">
        <v>0.53</v>
      </c>
      <c r="K119" s="12" t="n">
        <f aca="false">ROUND(F119/100*G119*H119*I119/J119,2)</f>
        <v>10873.16</v>
      </c>
      <c r="L119" s="12" t="n">
        <v>10873.17</v>
      </c>
      <c r="M119" s="12" t="n">
        <f aca="false">L119-K119</f>
        <v>0.0100000000002183</v>
      </c>
      <c r="N119" s="3" t="s">
        <v>51</v>
      </c>
      <c r="O119" s="3" t="s">
        <v>52</v>
      </c>
    </row>
    <row r="120" customFormat="false" ht="15" hidden="false" customHeight="false" outlineLevel="0" collapsed="false">
      <c r="A120" s="14" t="s">
        <v>971</v>
      </c>
      <c r="B120" s="14" t="s">
        <v>1160</v>
      </c>
      <c r="C120" s="14" t="s">
        <v>305</v>
      </c>
      <c r="D120" s="14" t="s">
        <v>1161</v>
      </c>
      <c r="E120" s="14" t="s">
        <v>133</v>
      </c>
      <c r="F120" s="15" t="n">
        <v>665000</v>
      </c>
      <c r="G120" s="16" t="n">
        <v>0.38</v>
      </c>
      <c r="H120" s="16" t="n">
        <v>1.12</v>
      </c>
      <c r="I120" s="16" t="n">
        <v>0.9691</v>
      </c>
      <c r="J120" s="16" t="n">
        <v>0.53</v>
      </c>
      <c r="K120" s="15" t="n">
        <f aca="false">ROUND(F120/100*G120*H120*I120/J120,2)</f>
        <v>5175.07</v>
      </c>
      <c r="L120" s="15" t="n">
        <v>5175.07</v>
      </c>
      <c r="M120" s="15" t="n">
        <f aca="false">L120-K120</f>
        <v>0</v>
      </c>
      <c r="N120" s="14" t="s">
        <v>70</v>
      </c>
      <c r="O120" s="14" t="s">
        <v>52</v>
      </c>
    </row>
    <row r="121" customFormat="false" ht="15" hidden="false" customHeight="false" outlineLevel="0" collapsed="false">
      <c r="A121" s="3" t="s">
        <v>1034</v>
      </c>
      <c r="B121" s="3" t="s">
        <v>1162</v>
      </c>
      <c r="C121" s="3" t="s">
        <v>326</v>
      </c>
      <c r="D121" s="3" t="s">
        <v>1163</v>
      </c>
      <c r="E121" s="3" t="s">
        <v>50</v>
      </c>
      <c r="F121" s="12" t="n">
        <v>1165000</v>
      </c>
      <c r="G121" s="13" t="n">
        <v>0.8</v>
      </c>
      <c r="H121" s="13" t="n">
        <v>1.12</v>
      </c>
      <c r="I121" s="13" t="n">
        <v>0.9691</v>
      </c>
      <c r="J121" s="13" t="n">
        <v>0.53</v>
      </c>
      <c r="K121" s="12" t="n">
        <f aca="false">ROUND(F121/100*G121*H121*I121/J121,2)</f>
        <v>19086.52</v>
      </c>
      <c r="L121" s="12" t="n">
        <v>19086.51</v>
      </c>
      <c r="M121" s="12" t="n">
        <f aca="false">L121-K121</f>
        <v>-0.0100000000020373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984</v>
      </c>
      <c r="B122" s="14" t="s">
        <v>1164</v>
      </c>
      <c r="C122" s="14" t="s">
        <v>193</v>
      </c>
      <c r="D122" s="14" t="s">
        <v>642</v>
      </c>
      <c r="E122" s="14" t="s">
        <v>56</v>
      </c>
      <c r="F122" s="15" t="n">
        <v>1185000</v>
      </c>
      <c r="G122" s="16" t="n">
        <v>0.55</v>
      </c>
      <c r="H122" s="16" t="n">
        <v>1.25</v>
      </c>
      <c r="I122" s="16" t="n">
        <v>0.9691</v>
      </c>
      <c r="J122" s="16" t="n">
        <v>0.53</v>
      </c>
      <c r="K122" s="15" t="n">
        <f aca="false">ROUND(F122/100*G122*H122*I122/J122,2)</f>
        <v>14896.48</v>
      </c>
      <c r="L122" s="15" t="n">
        <v>14896.48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966</v>
      </c>
      <c r="B123" s="3" t="s">
        <v>1165</v>
      </c>
      <c r="C123" s="3" t="s">
        <v>142</v>
      </c>
      <c r="D123" s="3" t="s">
        <v>1166</v>
      </c>
      <c r="E123" s="3" t="s">
        <v>50</v>
      </c>
      <c r="F123" s="12" t="n">
        <v>1950000</v>
      </c>
      <c r="G123" s="13" t="n">
        <v>0.8</v>
      </c>
      <c r="H123" s="13" t="n">
        <v>1.22</v>
      </c>
      <c r="I123" s="13" t="n">
        <v>0.9691</v>
      </c>
      <c r="J123" s="13" t="n">
        <v>0.53</v>
      </c>
      <c r="K123" s="12" t="n">
        <f aca="false">ROUND(F123/100*G123*H123*I123/J123,2)</f>
        <v>34799.83</v>
      </c>
      <c r="L123" s="12" t="n">
        <v>34799.83</v>
      </c>
      <c r="M123" s="12" t="n">
        <f aca="false">L123-K123</f>
        <v>0</v>
      </c>
      <c r="N123" s="3" t="s">
        <v>70</v>
      </c>
      <c r="O123" s="3" t="s">
        <v>52</v>
      </c>
    </row>
    <row r="124" customFormat="false" ht="15" hidden="false" customHeight="false" outlineLevel="0" collapsed="false">
      <c r="A124" s="14" t="s">
        <v>1124</v>
      </c>
      <c r="B124" s="14" t="s">
        <v>1167</v>
      </c>
      <c r="C124" s="14" t="s">
        <v>145</v>
      </c>
      <c r="D124" s="14" t="s">
        <v>1168</v>
      </c>
      <c r="E124" s="14" t="s">
        <v>56</v>
      </c>
      <c r="F124" s="15" t="n">
        <v>420000</v>
      </c>
      <c r="G124" s="16" t="n">
        <v>0.75</v>
      </c>
      <c r="H124" s="16" t="n">
        <v>0.96</v>
      </c>
      <c r="I124" s="16" t="n">
        <v>0.9691</v>
      </c>
      <c r="J124" s="16" t="n">
        <v>0.53</v>
      </c>
      <c r="K124" s="15" t="n">
        <f aca="false">ROUND(F124/100*G124*H124*I124/J124,2)</f>
        <v>5529.36</v>
      </c>
      <c r="L124" s="15" t="n">
        <v>5529.36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990</v>
      </c>
      <c r="B125" s="3" t="s">
        <v>1169</v>
      </c>
      <c r="C125" s="3" t="s">
        <v>305</v>
      </c>
      <c r="D125" s="3" t="s">
        <v>1170</v>
      </c>
      <c r="E125" s="3" t="s">
        <v>74</v>
      </c>
      <c r="F125" s="12" t="n">
        <v>655000</v>
      </c>
      <c r="G125" s="13" t="n">
        <v>0.43</v>
      </c>
      <c r="H125" s="13" t="n">
        <v>1.12</v>
      </c>
      <c r="I125" s="13" t="n">
        <v>0.9691</v>
      </c>
      <c r="J125" s="13" t="n">
        <v>0.53</v>
      </c>
      <c r="K125" s="12" t="n">
        <f aca="false">ROUND(F125/100*G125*H125*I125/J125,2)</f>
        <v>5767.94</v>
      </c>
      <c r="L125" s="12" t="n">
        <v>5767.94</v>
      </c>
      <c r="M125" s="12" t="n">
        <f aca="false">L125-K125</f>
        <v>0</v>
      </c>
      <c r="N125" s="3" t="s">
        <v>51</v>
      </c>
      <c r="O125" s="3" t="s">
        <v>52</v>
      </c>
    </row>
    <row r="126" customFormat="false" ht="15" hidden="false" customHeight="false" outlineLevel="0" collapsed="false">
      <c r="A126" s="14" t="s">
        <v>1005</v>
      </c>
      <c r="B126" s="14" t="s">
        <v>1171</v>
      </c>
      <c r="C126" s="14" t="s">
        <v>326</v>
      </c>
      <c r="D126" s="14" t="s">
        <v>709</v>
      </c>
      <c r="E126" s="14" t="s">
        <v>56</v>
      </c>
      <c r="F126" s="15" t="n">
        <v>310000</v>
      </c>
      <c r="G126" s="16" t="n">
        <v>0.75</v>
      </c>
      <c r="H126" s="16" t="n">
        <v>1.12</v>
      </c>
      <c r="I126" s="16" t="n">
        <v>0.9691</v>
      </c>
      <c r="J126" s="16" t="n">
        <v>0.53</v>
      </c>
      <c r="K126" s="15" t="n">
        <f aca="false">ROUND(F126/100*G126*H126*I126/J126,2)</f>
        <v>4761.39</v>
      </c>
      <c r="L126" s="15" t="n">
        <v>4761.39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1024</v>
      </c>
      <c r="B127" s="3" t="s">
        <v>1172</v>
      </c>
      <c r="C127" s="3" t="s">
        <v>210</v>
      </c>
      <c r="D127" s="3" t="s">
        <v>1173</v>
      </c>
      <c r="E127" s="3" t="s">
        <v>56</v>
      </c>
      <c r="F127" s="12" t="n">
        <v>1035000</v>
      </c>
      <c r="G127" s="13" t="n">
        <v>0.55</v>
      </c>
      <c r="H127" s="13" t="n">
        <v>1.21</v>
      </c>
      <c r="I127" s="13" t="n">
        <v>0.9691</v>
      </c>
      <c r="J127" s="13" t="n">
        <v>0.53</v>
      </c>
      <c r="K127" s="12" t="n">
        <f aca="false">ROUND(F127/100*G127*H127*I127/J127,2)</f>
        <v>12594.51</v>
      </c>
      <c r="L127" s="12" t="n">
        <v>12594.5</v>
      </c>
      <c r="M127" s="12" t="n">
        <f aca="false">L127-K127</f>
        <v>-0.0100000000002183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1024</v>
      </c>
      <c r="B128" s="14" t="s">
        <v>1174</v>
      </c>
      <c r="C128" s="14" t="s">
        <v>136</v>
      </c>
      <c r="D128" s="14" t="s">
        <v>1175</v>
      </c>
      <c r="E128" s="14" t="s">
        <v>56</v>
      </c>
      <c r="F128" s="15" t="n">
        <v>545000</v>
      </c>
      <c r="G128" s="16" t="n">
        <v>0.65</v>
      </c>
      <c r="H128" s="16" t="n">
        <v>1.32</v>
      </c>
      <c r="I128" s="16" t="n">
        <v>0.9691</v>
      </c>
      <c r="J128" s="16" t="n">
        <v>0.53</v>
      </c>
      <c r="K128" s="15" t="n">
        <f aca="false">ROUND(F128/100*G128*H128*I128/J128,2)</f>
        <v>8550.2</v>
      </c>
      <c r="L128" s="15" t="n">
        <v>8550.2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990</v>
      </c>
      <c r="B129" s="3" t="s">
        <v>1176</v>
      </c>
      <c r="C129" s="3" t="s">
        <v>159</v>
      </c>
      <c r="D129" s="3" t="s">
        <v>387</v>
      </c>
      <c r="E129" s="3" t="s">
        <v>50</v>
      </c>
      <c r="F129" s="12" t="n">
        <v>1355000</v>
      </c>
      <c r="G129" s="13" t="n">
        <v>0.8</v>
      </c>
      <c r="H129" s="13" t="n">
        <v>1.15</v>
      </c>
      <c r="I129" s="13" t="n">
        <v>0.9691</v>
      </c>
      <c r="J129" s="13" t="n">
        <v>0.53</v>
      </c>
      <c r="K129" s="12" t="n">
        <f aca="false">ROUND(F129/100*G129*H129*I129/J129,2)</f>
        <v>22793.96</v>
      </c>
      <c r="L129" s="12" t="n">
        <v>22793.96</v>
      </c>
      <c r="M129" s="12" t="n">
        <f aca="false">L129-K129</f>
        <v>0</v>
      </c>
      <c r="N129" s="3" t="s">
        <v>51</v>
      </c>
      <c r="O129" s="3" t="s">
        <v>52</v>
      </c>
    </row>
    <row r="130" customFormat="false" ht="15" hidden="false" customHeight="false" outlineLevel="0" collapsed="false">
      <c r="A130" s="14" t="s">
        <v>971</v>
      </c>
      <c r="B130" s="14" t="s">
        <v>1177</v>
      </c>
      <c r="C130" s="14" t="s">
        <v>48</v>
      </c>
      <c r="D130" s="14" t="s">
        <v>1178</v>
      </c>
      <c r="E130" s="14" t="s">
        <v>56</v>
      </c>
      <c r="F130" s="15" t="n">
        <v>765000</v>
      </c>
      <c r="G130" s="16" t="n">
        <v>0.65</v>
      </c>
      <c r="H130" s="16" t="n">
        <v>1.28</v>
      </c>
      <c r="I130" s="16" t="n">
        <v>0.9691</v>
      </c>
      <c r="J130" s="16" t="n">
        <v>0.53</v>
      </c>
      <c r="K130" s="15" t="n">
        <f aca="false">ROUND(F130/100*G130*H130*I130/J130,2)</f>
        <v>11637.98</v>
      </c>
      <c r="L130" s="15" t="n">
        <v>11637.98</v>
      </c>
      <c r="M130" s="15" t="n">
        <f aca="false">L130-K130</f>
        <v>0</v>
      </c>
      <c r="N130" s="14" t="s">
        <v>70</v>
      </c>
      <c r="O130" s="14" t="s">
        <v>52</v>
      </c>
    </row>
    <row r="131" customFormat="false" ht="15" hidden="false" customHeight="false" outlineLevel="0" collapsed="false">
      <c r="A131" s="3" t="s">
        <v>1026</v>
      </c>
      <c r="B131" s="3" t="s">
        <v>1179</v>
      </c>
      <c r="C131" s="3" t="s">
        <v>300</v>
      </c>
      <c r="D131" s="3" t="s">
        <v>1180</v>
      </c>
      <c r="E131" s="3" t="s">
        <v>50</v>
      </c>
      <c r="F131" s="12" t="n">
        <v>1060000</v>
      </c>
      <c r="G131" s="13" t="n">
        <v>0.8</v>
      </c>
      <c r="H131" s="13" t="n">
        <v>1.11</v>
      </c>
      <c r="I131" s="13" t="n">
        <v>0.9691</v>
      </c>
      <c r="J131" s="13" t="n">
        <v>0.53</v>
      </c>
      <c r="K131" s="12" t="n">
        <f aca="false">ROUND(F131/100*G131*H131*I131/J131,2)</f>
        <v>17211.22</v>
      </c>
      <c r="L131" s="12" t="n">
        <v>17211.22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1031</v>
      </c>
      <c r="B132" s="14" t="s">
        <v>1181</v>
      </c>
      <c r="C132" s="14" t="s">
        <v>105</v>
      </c>
      <c r="D132" s="14" t="s">
        <v>1182</v>
      </c>
      <c r="E132" s="14" t="s">
        <v>50</v>
      </c>
      <c r="F132" s="15" t="n">
        <v>1155000</v>
      </c>
      <c r="G132" s="16" t="n">
        <v>0.8</v>
      </c>
      <c r="H132" s="16" t="n">
        <v>0.99</v>
      </c>
      <c r="I132" s="16" t="n">
        <v>0.9691</v>
      </c>
      <c r="J132" s="16" t="n">
        <v>0.53</v>
      </c>
      <c r="K132" s="15" t="n">
        <f aca="false">ROUND(F132/100*G132*H132*I132/J132,2)</f>
        <v>16726.3</v>
      </c>
      <c r="L132" s="15" t="n">
        <v>16726.3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1019</v>
      </c>
      <c r="B133" s="3" t="s">
        <v>1183</v>
      </c>
      <c r="C133" s="3" t="s">
        <v>409</v>
      </c>
      <c r="D133" s="3" t="s">
        <v>1184</v>
      </c>
      <c r="E133" s="3" t="s">
        <v>50</v>
      </c>
      <c r="F133" s="12" t="n">
        <v>460000</v>
      </c>
      <c r="G133" s="13" t="n">
        <v>1.15</v>
      </c>
      <c r="H133" s="13" t="n">
        <v>1.3</v>
      </c>
      <c r="I133" s="13" t="n">
        <v>0.9691</v>
      </c>
      <c r="J133" s="13" t="n">
        <v>0.53</v>
      </c>
      <c r="K133" s="12" t="n">
        <f aca="false">ROUND(F133/100*G133*H133*I133/J133,2)</f>
        <v>12574.53</v>
      </c>
      <c r="L133" s="12" t="n">
        <v>12574.53</v>
      </c>
      <c r="M133" s="12" t="n">
        <f aca="false">L133-K133</f>
        <v>0</v>
      </c>
      <c r="N133" s="3" t="s">
        <v>51</v>
      </c>
      <c r="O133" s="3" t="s">
        <v>52</v>
      </c>
    </row>
    <row r="134" customFormat="false" ht="15" hidden="false" customHeight="false" outlineLevel="0" collapsed="false">
      <c r="A134" s="14" t="s">
        <v>1107</v>
      </c>
      <c r="B134" s="14" t="s">
        <v>1185</v>
      </c>
      <c r="C134" s="14" t="s">
        <v>305</v>
      </c>
      <c r="D134" s="14" t="s">
        <v>1186</v>
      </c>
      <c r="E134" s="14" t="s">
        <v>56</v>
      </c>
      <c r="F134" s="15" t="n">
        <v>770000</v>
      </c>
      <c r="G134" s="16" t="n">
        <v>0.65</v>
      </c>
      <c r="H134" s="16" t="n">
        <v>1.12</v>
      </c>
      <c r="I134" s="16" t="n">
        <v>0.9691</v>
      </c>
      <c r="J134" s="16" t="n">
        <v>0.53</v>
      </c>
      <c r="K134" s="15" t="n">
        <f aca="false">ROUND(F134/100*G134*H134*I134/J134,2)</f>
        <v>10249.79</v>
      </c>
      <c r="L134" s="15" t="n">
        <v>10249.78</v>
      </c>
      <c r="M134" s="15" t="n">
        <f aca="false">L134-K134</f>
        <v>-0.0100000000002183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1052</v>
      </c>
      <c r="B135" s="3" t="s">
        <v>1187</v>
      </c>
      <c r="C135" s="3" t="s">
        <v>89</v>
      </c>
      <c r="D135" s="3" t="s">
        <v>1188</v>
      </c>
      <c r="E135" s="3" t="s">
        <v>56</v>
      </c>
      <c r="F135" s="12" t="n">
        <v>1250000</v>
      </c>
      <c r="G135" s="13" t="n">
        <v>0.55</v>
      </c>
      <c r="H135" s="13" t="n">
        <v>1.35</v>
      </c>
      <c r="I135" s="13" t="n">
        <v>0.9691</v>
      </c>
      <c r="J135" s="13" t="n">
        <v>0.53</v>
      </c>
      <c r="K135" s="12" t="n">
        <f aca="false">ROUND(F135/100*G135*H135*I135/J135,2)</f>
        <v>16970.68</v>
      </c>
      <c r="L135" s="12" t="n">
        <v>16970.68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1107</v>
      </c>
      <c r="B136" s="14" t="s">
        <v>1189</v>
      </c>
      <c r="C136" s="14" t="s">
        <v>169</v>
      </c>
      <c r="D136" s="14" t="s">
        <v>1190</v>
      </c>
      <c r="E136" s="14" t="s">
        <v>50</v>
      </c>
      <c r="F136" s="15" t="n">
        <v>1520000</v>
      </c>
      <c r="G136" s="16" t="n">
        <v>0.8</v>
      </c>
      <c r="H136" s="16" t="n">
        <v>1.07</v>
      </c>
      <c r="I136" s="16" t="n">
        <v>0.9691</v>
      </c>
      <c r="J136" s="16" t="n">
        <v>0.53</v>
      </c>
      <c r="K136" s="15" t="n">
        <f aca="false">ROUND(F136/100*G136*H136*I136/J136,2)</f>
        <v>23790.86</v>
      </c>
      <c r="L136" s="15" t="n">
        <v>23790.85</v>
      </c>
      <c r="M136" s="15" t="n">
        <f aca="false">L136-K136</f>
        <v>-0.0100000000020373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1013</v>
      </c>
      <c r="B137" s="3" t="s">
        <v>1191</v>
      </c>
      <c r="C137" s="3" t="s">
        <v>237</v>
      </c>
      <c r="D137" s="3" t="s">
        <v>920</v>
      </c>
      <c r="E137" s="3" t="s">
        <v>74</v>
      </c>
      <c r="F137" s="12" t="n">
        <v>855000</v>
      </c>
      <c r="G137" s="13" t="n">
        <v>0.43</v>
      </c>
      <c r="H137" s="13" t="n">
        <v>1.33</v>
      </c>
      <c r="I137" s="13" t="n">
        <v>0.9691</v>
      </c>
      <c r="J137" s="13" t="n">
        <v>0.53</v>
      </c>
      <c r="K137" s="12" t="n">
        <f aca="false">ROUND(F137/100*G137*H137*I137/J137,2)</f>
        <v>8940.85</v>
      </c>
      <c r="L137" s="12" t="n">
        <v>8940.85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949</v>
      </c>
      <c r="B138" s="14" t="s">
        <v>1192</v>
      </c>
      <c r="C138" s="14" t="s">
        <v>275</v>
      </c>
      <c r="D138" s="14" t="s">
        <v>1056</v>
      </c>
      <c r="E138" s="14" t="s">
        <v>50</v>
      </c>
      <c r="F138" s="15" t="n">
        <v>440000</v>
      </c>
      <c r="G138" s="16" t="n">
        <v>1.15</v>
      </c>
      <c r="H138" s="16" t="n">
        <v>1.19</v>
      </c>
      <c r="I138" s="16" t="n">
        <v>0.9691</v>
      </c>
      <c r="J138" s="16" t="n">
        <v>0.53</v>
      </c>
      <c r="K138" s="15" t="n">
        <f aca="false">ROUND(F138/100*G138*H138*I138/J138,2)</f>
        <v>11010.07</v>
      </c>
      <c r="L138" s="15" t="n">
        <v>11010.07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1083</v>
      </c>
      <c r="B139" s="3" t="s">
        <v>1193</v>
      </c>
      <c r="C139" s="3" t="s">
        <v>114</v>
      </c>
      <c r="D139" s="3" t="s">
        <v>396</v>
      </c>
      <c r="E139" s="3" t="s">
        <v>56</v>
      </c>
      <c r="F139" s="12" t="n">
        <v>450000</v>
      </c>
      <c r="G139" s="13" t="n">
        <v>0.75</v>
      </c>
      <c r="H139" s="13" t="n">
        <v>1.36</v>
      </c>
      <c r="I139" s="13" t="n">
        <v>0.9691</v>
      </c>
      <c r="J139" s="13" t="n">
        <v>0.53</v>
      </c>
      <c r="K139" s="12" t="n">
        <f aca="false">ROUND(F139/100*G139*H139*I139/J139,2)</f>
        <v>8392.77</v>
      </c>
      <c r="L139" s="12" t="n">
        <v>8392.77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966</v>
      </c>
      <c r="B140" s="14" t="s">
        <v>1194</v>
      </c>
      <c r="C140" s="14" t="s">
        <v>174</v>
      </c>
      <c r="D140" s="14" t="s">
        <v>1195</v>
      </c>
      <c r="E140" s="14" t="s">
        <v>74</v>
      </c>
      <c r="F140" s="15" t="n">
        <v>600000</v>
      </c>
      <c r="G140" s="16" t="n">
        <v>0.43</v>
      </c>
      <c r="H140" s="16" t="n">
        <v>1.55</v>
      </c>
      <c r="I140" s="16" t="n">
        <v>0.9691</v>
      </c>
      <c r="J140" s="16" t="n">
        <v>0.53</v>
      </c>
      <c r="K140" s="15" t="n">
        <f aca="false">ROUND(F140/100*G140*H140*I140/J140,2)</f>
        <v>7312.13</v>
      </c>
      <c r="L140" s="15" t="n">
        <v>7312.13</v>
      </c>
      <c r="M140" s="15" t="n">
        <f aca="false">L140-K140</f>
        <v>0</v>
      </c>
      <c r="N140" s="14" t="s">
        <v>51</v>
      </c>
      <c r="O140" s="14" t="s">
        <v>52</v>
      </c>
    </row>
    <row r="141" customFormat="false" ht="15" hidden="false" customHeight="false" outlineLevel="0" collapsed="false">
      <c r="A141" s="3" t="s">
        <v>952</v>
      </c>
      <c r="B141" s="3" t="s">
        <v>1196</v>
      </c>
      <c r="C141" s="3" t="s">
        <v>193</v>
      </c>
      <c r="D141" s="3" t="s">
        <v>1197</v>
      </c>
      <c r="E141" s="3" t="s">
        <v>56</v>
      </c>
      <c r="F141" s="12" t="n">
        <v>735000</v>
      </c>
      <c r="G141" s="13" t="n">
        <v>0.65</v>
      </c>
      <c r="H141" s="13" t="n">
        <v>1.25</v>
      </c>
      <c r="I141" s="13" t="n">
        <v>0.9691</v>
      </c>
      <c r="J141" s="13" t="n">
        <v>0.53</v>
      </c>
      <c r="K141" s="12" t="n">
        <f aca="false">ROUND(F141/100*G141*H141*I141/J141,2)</f>
        <v>10919.52</v>
      </c>
      <c r="L141" s="12" t="n">
        <v>10919.52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973</v>
      </c>
      <c r="B142" s="14" t="s">
        <v>1198</v>
      </c>
      <c r="C142" s="14" t="s">
        <v>193</v>
      </c>
      <c r="D142" s="14" t="s">
        <v>846</v>
      </c>
      <c r="E142" s="14" t="s">
        <v>56</v>
      </c>
      <c r="F142" s="15" t="n">
        <v>585000</v>
      </c>
      <c r="G142" s="16" t="n">
        <v>0.65</v>
      </c>
      <c r="H142" s="16" t="n">
        <v>1.25</v>
      </c>
      <c r="I142" s="16" t="n">
        <v>0.9691</v>
      </c>
      <c r="J142" s="16" t="n">
        <v>0.53</v>
      </c>
      <c r="K142" s="15" t="n">
        <f aca="false">ROUND(F142/100*G142*H142*I142/J142,2)</f>
        <v>8691.04</v>
      </c>
      <c r="L142" s="15" t="n">
        <v>8691.04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958</v>
      </c>
      <c r="B143" s="3" t="s">
        <v>1199</v>
      </c>
      <c r="C143" s="3" t="s">
        <v>892</v>
      </c>
      <c r="D143" s="3" t="s">
        <v>160</v>
      </c>
      <c r="E143" s="3" t="s">
        <v>50</v>
      </c>
      <c r="F143" s="12" t="n">
        <v>875000</v>
      </c>
      <c r="G143" s="13" t="n">
        <v>0.95</v>
      </c>
      <c r="H143" s="13" t="n">
        <v>1.08</v>
      </c>
      <c r="I143" s="13" t="n">
        <v>0.9691</v>
      </c>
      <c r="J143" s="13" t="n">
        <v>0.53</v>
      </c>
      <c r="K143" s="12" t="n">
        <f aca="false">ROUND(F143/100*G143*H143*I143/J143,2)</f>
        <v>16415.27</v>
      </c>
      <c r="L143" s="12" t="n">
        <v>16415.27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954</v>
      </c>
      <c r="B144" s="14" t="s">
        <v>1200</v>
      </c>
      <c r="C144" s="14" t="s">
        <v>120</v>
      </c>
      <c r="D144" s="14" t="s">
        <v>1201</v>
      </c>
      <c r="E144" s="14" t="s">
        <v>56</v>
      </c>
      <c r="F144" s="15" t="n">
        <v>345000</v>
      </c>
      <c r="G144" s="16" t="n">
        <v>0.75</v>
      </c>
      <c r="H144" s="16" t="n">
        <v>1.15</v>
      </c>
      <c r="I144" s="16" t="n">
        <v>0.9691</v>
      </c>
      <c r="J144" s="16" t="n">
        <v>0.53</v>
      </c>
      <c r="K144" s="15" t="n">
        <f aca="false">ROUND(F144/100*G144*H144*I144/J144,2)</f>
        <v>5440.9</v>
      </c>
      <c r="L144" s="15" t="n">
        <v>5440.91</v>
      </c>
      <c r="M144" s="15" t="n">
        <f aca="false">L144-K144</f>
        <v>0.0100000000002183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949</v>
      </c>
      <c r="B145" s="3" t="s">
        <v>1202</v>
      </c>
      <c r="C145" s="3" t="s">
        <v>152</v>
      </c>
      <c r="D145" s="3" t="s">
        <v>1203</v>
      </c>
      <c r="E145" s="3" t="s">
        <v>50</v>
      </c>
      <c r="F145" s="12" t="n">
        <v>925000</v>
      </c>
      <c r="G145" s="13" t="n">
        <v>0.95</v>
      </c>
      <c r="H145" s="13" t="n">
        <v>1</v>
      </c>
      <c r="I145" s="13" t="n">
        <v>0.9691</v>
      </c>
      <c r="J145" s="13" t="n">
        <v>0.53</v>
      </c>
      <c r="K145" s="12" t="n">
        <f aca="false">ROUND(F145/100*G145*H145*I145/J145,2)</f>
        <v>16067.86</v>
      </c>
      <c r="L145" s="12" t="n">
        <v>16067.86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990</v>
      </c>
      <c r="B146" s="14" t="s">
        <v>1204</v>
      </c>
      <c r="C146" s="14" t="s">
        <v>139</v>
      </c>
      <c r="D146" s="14" t="s">
        <v>338</v>
      </c>
      <c r="E146" s="14" t="s">
        <v>56</v>
      </c>
      <c r="F146" s="15" t="n">
        <v>800000</v>
      </c>
      <c r="G146" s="16" t="n">
        <v>0.65</v>
      </c>
      <c r="H146" s="16" t="n">
        <v>1.23</v>
      </c>
      <c r="I146" s="16" t="n">
        <v>0.9691</v>
      </c>
      <c r="J146" s="16" t="n">
        <v>0.53</v>
      </c>
      <c r="K146" s="15" t="n">
        <f aca="false">ROUND(F146/100*G146*H146*I146/J146,2)</f>
        <v>11695.03</v>
      </c>
      <c r="L146" s="15" t="n">
        <v>11695.02</v>
      </c>
      <c r="M146" s="15" t="n">
        <f aca="false">L146-K146</f>
        <v>-0.0100000000002183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1017</v>
      </c>
      <c r="B147" s="3" t="s">
        <v>1205</v>
      </c>
      <c r="C147" s="3" t="s">
        <v>59</v>
      </c>
      <c r="D147" s="3" t="s">
        <v>1206</v>
      </c>
      <c r="E147" s="3" t="s">
        <v>56</v>
      </c>
      <c r="F147" s="12" t="n">
        <v>1145000</v>
      </c>
      <c r="G147" s="13" t="n">
        <v>0.55</v>
      </c>
      <c r="H147" s="13" t="n">
        <v>0.97</v>
      </c>
      <c r="I147" s="13" t="n">
        <v>0.9691</v>
      </c>
      <c r="J147" s="13" t="n">
        <v>0.53</v>
      </c>
      <c r="K147" s="12" t="n">
        <f aca="false">ROUND(F147/100*G147*H147*I147/J147,2)</f>
        <v>11169.47</v>
      </c>
      <c r="L147" s="12" t="n">
        <v>11169.47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1019</v>
      </c>
      <c r="B148" s="14" t="s">
        <v>1207</v>
      </c>
      <c r="C148" s="14" t="s">
        <v>120</v>
      </c>
      <c r="D148" s="14" t="s">
        <v>745</v>
      </c>
      <c r="E148" s="14" t="s">
        <v>56</v>
      </c>
      <c r="F148" s="15" t="n">
        <v>270000</v>
      </c>
      <c r="G148" s="16" t="n">
        <v>0.75</v>
      </c>
      <c r="H148" s="16" t="n">
        <v>1.15</v>
      </c>
      <c r="I148" s="16" t="n">
        <v>0.9691</v>
      </c>
      <c r="J148" s="16" t="n">
        <v>0.53</v>
      </c>
      <c r="K148" s="15" t="n">
        <f aca="false">ROUND(F148/100*G148*H148*I148/J148,2)</f>
        <v>4258.1</v>
      </c>
      <c r="L148" s="15" t="n">
        <v>4258.1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1114</v>
      </c>
      <c r="B149" s="3" t="s">
        <v>1208</v>
      </c>
      <c r="C149" s="3" t="s">
        <v>174</v>
      </c>
      <c r="D149" s="3" t="s">
        <v>1209</v>
      </c>
      <c r="E149" s="3" t="s">
        <v>157</v>
      </c>
      <c r="F149" s="12" t="n">
        <v>415000</v>
      </c>
      <c r="G149" s="13" t="n">
        <v>0.88</v>
      </c>
      <c r="H149" s="13" t="n">
        <v>1.55</v>
      </c>
      <c r="I149" s="13" t="n">
        <v>0.9691</v>
      </c>
      <c r="J149" s="13" t="n">
        <v>0.53</v>
      </c>
      <c r="K149" s="12" t="n">
        <f aca="false">ROUND(F149/100*G149*H149*I149/J149,2)</f>
        <v>10350.35</v>
      </c>
      <c r="L149" s="12" t="n">
        <v>10350.36</v>
      </c>
      <c r="M149" s="12" t="n">
        <f aca="false">L149-K149</f>
        <v>0.0100000000002183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987</v>
      </c>
      <c r="B150" s="14" t="s">
        <v>1210</v>
      </c>
      <c r="C150" s="14" t="s">
        <v>128</v>
      </c>
      <c r="D150" s="14" t="s">
        <v>1180</v>
      </c>
      <c r="E150" s="14" t="s">
        <v>50</v>
      </c>
      <c r="F150" s="15" t="n">
        <v>1050000</v>
      </c>
      <c r="G150" s="16" t="n">
        <v>0.8</v>
      </c>
      <c r="H150" s="16" t="n">
        <v>1.25</v>
      </c>
      <c r="I150" s="16" t="n">
        <v>0.9691</v>
      </c>
      <c r="J150" s="16" t="n">
        <v>0.53</v>
      </c>
      <c r="K150" s="15" t="n">
        <f aca="false">ROUND(F150/100*G150*H150*I150/J150,2)</f>
        <v>19199.15</v>
      </c>
      <c r="L150" s="15" t="n">
        <v>19199.15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996</v>
      </c>
      <c r="B151" s="3" t="s">
        <v>1211</v>
      </c>
      <c r="C151" s="3" t="s">
        <v>114</v>
      </c>
      <c r="D151" s="3" t="s">
        <v>668</v>
      </c>
      <c r="E151" s="3" t="s">
        <v>74</v>
      </c>
      <c r="F151" s="12" t="n">
        <v>1145000</v>
      </c>
      <c r="G151" s="13" t="n">
        <v>0.38</v>
      </c>
      <c r="H151" s="13" t="n">
        <v>1.36</v>
      </c>
      <c r="I151" s="13" t="n">
        <v>0.9691</v>
      </c>
      <c r="J151" s="13" t="n">
        <v>0.53</v>
      </c>
      <c r="K151" s="12" t="n">
        <f aca="false">ROUND(F151/100*G151*H151*I151/J151,2)</f>
        <v>10819.84</v>
      </c>
      <c r="L151" s="12" t="n">
        <v>10819.84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990</v>
      </c>
      <c r="B152" s="14" t="s">
        <v>1212</v>
      </c>
      <c r="C152" s="14" t="s">
        <v>131</v>
      </c>
      <c r="D152" s="14" t="s">
        <v>1213</v>
      </c>
      <c r="E152" s="14" t="s">
        <v>56</v>
      </c>
      <c r="F152" s="15" t="n">
        <v>310000</v>
      </c>
      <c r="G152" s="16" t="n">
        <v>0.75</v>
      </c>
      <c r="H152" s="16" t="n">
        <v>0.95</v>
      </c>
      <c r="I152" s="16" t="n">
        <v>0.9691</v>
      </c>
      <c r="J152" s="16" t="n">
        <v>0.53</v>
      </c>
      <c r="K152" s="15" t="n">
        <f aca="false">ROUND(F152/100*G152*H152*I152/J152,2)</f>
        <v>4038.68</v>
      </c>
      <c r="L152" s="15" t="n">
        <v>4038.68</v>
      </c>
      <c r="M152" s="15" t="n">
        <f aca="false">L152-K152</f>
        <v>0</v>
      </c>
      <c r="N152" s="14" t="s">
        <v>51</v>
      </c>
      <c r="O152" s="14" t="s">
        <v>52</v>
      </c>
    </row>
    <row r="153" customFormat="false" ht="15" hidden="false" customHeight="false" outlineLevel="0" collapsed="false">
      <c r="A153" s="3" t="s">
        <v>973</v>
      </c>
      <c r="B153" s="3" t="s">
        <v>1214</v>
      </c>
      <c r="C153" s="3" t="s">
        <v>105</v>
      </c>
      <c r="D153" s="3" t="s">
        <v>1215</v>
      </c>
      <c r="E153" s="3" t="s">
        <v>56</v>
      </c>
      <c r="F153" s="12" t="n">
        <v>1130000</v>
      </c>
      <c r="G153" s="13" t="n">
        <v>0.55</v>
      </c>
      <c r="H153" s="13" t="n">
        <v>0.99</v>
      </c>
      <c r="I153" s="13" t="n">
        <v>0.9691</v>
      </c>
      <c r="J153" s="13" t="n">
        <v>0.53</v>
      </c>
      <c r="K153" s="12" t="n">
        <f aca="false">ROUND(F153/100*G153*H153*I153/J153,2)</f>
        <v>11250.43</v>
      </c>
      <c r="L153" s="12" t="n">
        <v>11250.43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949</v>
      </c>
      <c r="B154" s="14" t="s">
        <v>1216</v>
      </c>
      <c r="C154" s="14" t="s">
        <v>68</v>
      </c>
      <c r="D154" s="14" t="s">
        <v>1217</v>
      </c>
      <c r="E154" s="14" t="s">
        <v>56</v>
      </c>
      <c r="F154" s="15" t="n">
        <v>500000</v>
      </c>
      <c r="G154" s="16" t="n">
        <v>0.65</v>
      </c>
      <c r="H154" s="16" t="n">
        <v>1.38</v>
      </c>
      <c r="I154" s="16" t="n">
        <v>0.9691</v>
      </c>
      <c r="J154" s="16" t="n">
        <v>0.53</v>
      </c>
      <c r="K154" s="15" t="n">
        <f aca="false">ROUND(F154/100*G154*H154*I154/J154,2)</f>
        <v>8200.78</v>
      </c>
      <c r="L154" s="15" t="n">
        <v>8200.78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1031</v>
      </c>
      <c r="B155" s="3" t="s">
        <v>1218</v>
      </c>
      <c r="C155" s="3" t="s">
        <v>108</v>
      </c>
      <c r="D155" s="3" t="s">
        <v>1219</v>
      </c>
      <c r="E155" s="3" t="s">
        <v>50</v>
      </c>
      <c r="F155" s="12" t="n">
        <v>580000</v>
      </c>
      <c r="G155" s="13" t="n">
        <v>0.95</v>
      </c>
      <c r="H155" s="13" t="n">
        <v>0.93</v>
      </c>
      <c r="I155" s="13" t="n">
        <v>0.9691</v>
      </c>
      <c r="J155" s="13" t="n">
        <v>0.53</v>
      </c>
      <c r="K155" s="12" t="n">
        <f aca="false">ROUND(F155/100*G155*H155*I155/J155,2)</f>
        <v>9369.73</v>
      </c>
      <c r="L155" s="12" t="n">
        <v>9369.73</v>
      </c>
      <c r="M155" s="12" t="n">
        <f aca="false">L155-K155</f>
        <v>0</v>
      </c>
      <c r="N155" s="3" t="s">
        <v>51</v>
      </c>
      <c r="O155" s="3" t="s">
        <v>52</v>
      </c>
    </row>
    <row r="156" customFormat="false" ht="15" hidden="false" customHeight="false" outlineLevel="0" collapsed="false">
      <c r="A156" s="14" t="s">
        <v>996</v>
      </c>
      <c r="B156" s="14" t="s">
        <v>1220</v>
      </c>
      <c r="C156" s="14" t="s">
        <v>224</v>
      </c>
      <c r="D156" s="14" t="s">
        <v>373</v>
      </c>
      <c r="E156" s="14" t="s">
        <v>56</v>
      </c>
      <c r="F156" s="15" t="n">
        <v>560000</v>
      </c>
      <c r="G156" s="16" t="n">
        <v>0.65</v>
      </c>
      <c r="H156" s="16" t="n">
        <v>1.1</v>
      </c>
      <c r="I156" s="16" t="n">
        <v>0.9691</v>
      </c>
      <c r="J156" s="16" t="n">
        <v>0.53</v>
      </c>
      <c r="K156" s="15" t="n">
        <f aca="false">ROUND(F156/100*G156*H156*I156/J156,2)</f>
        <v>7321.28</v>
      </c>
      <c r="L156" s="15" t="n">
        <v>7321.28</v>
      </c>
      <c r="M156" s="15" t="n">
        <f aca="false">L156-K156</f>
        <v>0</v>
      </c>
      <c r="N156" s="14" t="s">
        <v>51</v>
      </c>
      <c r="O156" s="14" t="s">
        <v>52</v>
      </c>
    </row>
    <row r="157" customFormat="false" ht="15" hidden="false" customHeight="false" outlineLevel="0" collapsed="false">
      <c r="A157" s="3" t="s">
        <v>1031</v>
      </c>
      <c r="B157" s="3" t="s">
        <v>1221</v>
      </c>
      <c r="C157" s="3" t="s">
        <v>108</v>
      </c>
      <c r="D157" s="3" t="s">
        <v>823</v>
      </c>
      <c r="E157" s="3" t="s">
        <v>50</v>
      </c>
      <c r="F157" s="12" t="n">
        <v>605000</v>
      </c>
      <c r="G157" s="13" t="n">
        <v>0.95</v>
      </c>
      <c r="H157" s="13" t="n">
        <v>0.93</v>
      </c>
      <c r="I157" s="13" t="n">
        <v>0.9691</v>
      </c>
      <c r="J157" s="13" t="n">
        <v>0.53</v>
      </c>
      <c r="K157" s="12" t="n">
        <f aca="false">ROUND(F157/100*G157*H157*I157/J157,2)</f>
        <v>9773.6</v>
      </c>
      <c r="L157" s="12" t="n">
        <v>9773.61</v>
      </c>
      <c r="M157" s="12" t="n">
        <f aca="false">L157-K157</f>
        <v>0.0100000000002183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975</v>
      </c>
      <c r="B158" s="14" t="s">
        <v>1222</v>
      </c>
      <c r="C158" s="14" t="s">
        <v>48</v>
      </c>
      <c r="D158" s="14" t="s">
        <v>1007</v>
      </c>
      <c r="E158" s="14" t="s">
        <v>50</v>
      </c>
      <c r="F158" s="15" t="n">
        <v>655000</v>
      </c>
      <c r="G158" s="16" t="n">
        <v>0.95</v>
      </c>
      <c r="H158" s="16" t="n">
        <v>1.28</v>
      </c>
      <c r="I158" s="16" t="n">
        <v>0.9691</v>
      </c>
      <c r="J158" s="16" t="n">
        <v>0.53</v>
      </c>
      <c r="K158" s="15" t="n">
        <f aca="false">ROUND(F158/100*G158*H158*I158/J158,2)</f>
        <v>14563.56</v>
      </c>
      <c r="L158" s="15" t="n">
        <v>14563.56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1026</v>
      </c>
      <c r="B159" s="3" t="s">
        <v>1223</v>
      </c>
      <c r="C159" s="3" t="s">
        <v>237</v>
      </c>
      <c r="D159" s="3" t="s">
        <v>1224</v>
      </c>
      <c r="E159" s="3" t="s">
        <v>74</v>
      </c>
      <c r="F159" s="12" t="n">
        <v>830000</v>
      </c>
      <c r="G159" s="13" t="n">
        <v>0.43</v>
      </c>
      <c r="H159" s="13" t="n">
        <v>1.33</v>
      </c>
      <c r="I159" s="13" t="n">
        <v>0.9691</v>
      </c>
      <c r="J159" s="13" t="n">
        <v>0.53</v>
      </c>
      <c r="K159" s="12" t="n">
        <f aca="false">ROUND(F159/100*G159*H159*I159/J159,2)</f>
        <v>8679.42</v>
      </c>
      <c r="L159" s="12" t="n">
        <v>8679.42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975</v>
      </c>
      <c r="B160" s="14" t="s">
        <v>1225</v>
      </c>
      <c r="C160" s="14" t="s">
        <v>117</v>
      </c>
      <c r="D160" s="14" t="s">
        <v>1226</v>
      </c>
      <c r="E160" s="14" t="s">
        <v>74</v>
      </c>
      <c r="F160" s="15" t="n">
        <v>935000</v>
      </c>
      <c r="G160" s="16" t="n">
        <v>0.43</v>
      </c>
      <c r="H160" s="16" t="n">
        <v>0.91</v>
      </c>
      <c r="I160" s="16" t="n">
        <v>0.9691</v>
      </c>
      <c r="J160" s="16" t="n">
        <v>0.53</v>
      </c>
      <c r="K160" s="15" t="n">
        <f aca="false">ROUND(F160/100*G160*H160*I160/J160,2)</f>
        <v>6689.82</v>
      </c>
      <c r="L160" s="15" t="n">
        <v>6689.81</v>
      </c>
      <c r="M160" s="15" t="n">
        <f aca="false">L160-K160</f>
        <v>-0.00999999999930878</v>
      </c>
      <c r="N160" s="14" t="s">
        <v>70</v>
      </c>
      <c r="O160" s="14" t="s">
        <v>52</v>
      </c>
    </row>
    <row r="161" customFormat="false" ht="15" hidden="false" customHeight="false" outlineLevel="0" collapsed="false">
      <c r="A161" s="3" t="s">
        <v>1013</v>
      </c>
      <c r="B161" s="3" t="s">
        <v>1227</v>
      </c>
      <c r="C161" s="3" t="s">
        <v>159</v>
      </c>
      <c r="D161" s="3" t="s">
        <v>1228</v>
      </c>
      <c r="E161" s="3" t="s">
        <v>133</v>
      </c>
      <c r="F161" s="12" t="n">
        <v>420000</v>
      </c>
      <c r="G161" s="13" t="n">
        <v>0.42</v>
      </c>
      <c r="H161" s="13" t="n">
        <v>1.15</v>
      </c>
      <c r="I161" s="13" t="n">
        <v>0.9691</v>
      </c>
      <c r="J161" s="13" t="n">
        <v>0.53</v>
      </c>
      <c r="K161" s="12" t="n">
        <f aca="false">ROUND(F161/100*G161*H161*I161/J161,2)</f>
        <v>3709.28</v>
      </c>
      <c r="L161" s="12" t="n">
        <v>3709.28</v>
      </c>
      <c r="M161" s="12" t="n">
        <f aca="false">L161-K161</f>
        <v>0</v>
      </c>
      <c r="N161" s="3" t="s">
        <v>51</v>
      </c>
      <c r="O161" s="3" t="s">
        <v>52</v>
      </c>
    </row>
    <row r="162" customFormat="false" ht="15" hidden="false" customHeight="false" outlineLevel="0" collapsed="false">
      <c r="A162" s="14" t="s">
        <v>994</v>
      </c>
      <c r="B162" s="14" t="s">
        <v>1229</v>
      </c>
      <c r="C162" s="14" t="s">
        <v>93</v>
      </c>
      <c r="D162" s="14" t="s">
        <v>759</v>
      </c>
      <c r="E162" s="14" t="s">
        <v>56</v>
      </c>
      <c r="F162" s="15" t="n">
        <v>650000</v>
      </c>
      <c r="G162" s="16" t="n">
        <v>0.65</v>
      </c>
      <c r="H162" s="16" t="n">
        <v>1.39</v>
      </c>
      <c r="I162" s="16" t="n">
        <v>0.9691</v>
      </c>
      <c r="J162" s="16" t="n">
        <v>0.53</v>
      </c>
      <c r="K162" s="15" t="n">
        <f aca="false">ROUND(F162/100*G162*H162*I162/J162,2)</f>
        <v>10738.27</v>
      </c>
      <c r="L162" s="15" t="n">
        <v>10738.27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975</v>
      </c>
      <c r="B163" s="3" t="s">
        <v>1230</v>
      </c>
      <c r="C163" s="3" t="s">
        <v>159</v>
      </c>
      <c r="D163" s="3" t="s">
        <v>838</v>
      </c>
      <c r="E163" s="3" t="s">
        <v>56</v>
      </c>
      <c r="F163" s="12" t="n">
        <v>285000</v>
      </c>
      <c r="G163" s="13" t="n">
        <v>0.75</v>
      </c>
      <c r="H163" s="13" t="n">
        <v>1.15</v>
      </c>
      <c r="I163" s="13" t="n">
        <v>0.9691</v>
      </c>
      <c r="J163" s="13" t="n">
        <v>0.53</v>
      </c>
      <c r="K163" s="12" t="n">
        <f aca="false">ROUND(F163/100*G163*H163*I163/J163,2)</f>
        <v>4494.66</v>
      </c>
      <c r="L163" s="12" t="n">
        <v>4494.66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966</v>
      </c>
      <c r="B164" s="14" t="s">
        <v>1231</v>
      </c>
      <c r="C164" s="14" t="s">
        <v>105</v>
      </c>
      <c r="D164" s="14" t="s">
        <v>634</v>
      </c>
      <c r="E164" s="14" t="s">
        <v>56</v>
      </c>
      <c r="F164" s="15" t="n">
        <v>285000</v>
      </c>
      <c r="G164" s="16" t="n">
        <v>0.75</v>
      </c>
      <c r="H164" s="16" t="n">
        <v>0.99</v>
      </c>
      <c r="I164" s="16" t="n">
        <v>0.9691</v>
      </c>
      <c r="J164" s="16" t="n">
        <v>0.53</v>
      </c>
      <c r="K164" s="15" t="n">
        <f aca="false">ROUND(F164/100*G164*H164*I164/J164,2)</f>
        <v>3869.31</v>
      </c>
      <c r="L164" s="15" t="n">
        <v>3869.32</v>
      </c>
      <c r="M164" s="15" t="n">
        <f aca="false">L164-K164</f>
        <v>0.0100000000002183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981</v>
      </c>
      <c r="B165" s="3" t="s">
        <v>1232</v>
      </c>
      <c r="C165" s="3" t="s">
        <v>224</v>
      </c>
      <c r="D165" s="3" t="s">
        <v>962</v>
      </c>
      <c r="E165" s="3" t="s">
        <v>56</v>
      </c>
      <c r="F165" s="12" t="n">
        <v>905000</v>
      </c>
      <c r="G165" s="13" t="n">
        <v>0.65</v>
      </c>
      <c r="H165" s="13" t="n">
        <v>1.1</v>
      </c>
      <c r="I165" s="13" t="n">
        <v>0.9691</v>
      </c>
      <c r="J165" s="13" t="n">
        <v>0.53</v>
      </c>
      <c r="K165" s="12" t="n">
        <f aca="false">ROUND(F165/100*G165*H165*I165/J165,2)</f>
        <v>11831.71</v>
      </c>
      <c r="L165" s="12" t="n">
        <v>11831.7</v>
      </c>
      <c r="M165" s="12" t="n">
        <f aca="false">L165-K165</f>
        <v>-0.00999999999839929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1017</v>
      </c>
      <c r="B166" s="14" t="s">
        <v>1233</v>
      </c>
      <c r="C166" s="14" t="s">
        <v>193</v>
      </c>
      <c r="D166" s="14" t="s">
        <v>1234</v>
      </c>
      <c r="E166" s="14" t="s">
        <v>56</v>
      </c>
      <c r="F166" s="15" t="n">
        <v>465000</v>
      </c>
      <c r="G166" s="16" t="n">
        <v>0.75</v>
      </c>
      <c r="H166" s="16" t="n">
        <v>1.25</v>
      </c>
      <c r="I166" s="16" t="n">
        <v>0.9691</v>
      </c>
      <c r="J166" s="16" t="n">
        <v>0.53</v>
      </c>
      <c r="K166" s="15" t="n">
        <f aca="false">ROUND(F166/100*G166*H166*I166/J166,2)</f>
        <v>7971.08</v>
      </c>
      <c r="L166" s="15" t="n">
        <v>7971.08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987</v>
      </c>
      <c r="B167" s="3" t="s">
        <v>1235</v>
      </c>
      <c r="C167" s="3" t="s">
        <v>196</v>
      </c>
      <c r="D167" s="3" t="s">
        <v>1236</v>
      </c>
      <c r="E167" s="3" t="s">
        <v>50</v>
      </c>
      <c r="F167" s="12" t="n">
        <v>1450000</v>
      </c>
      <c r="G167" s="13" t="n">
        <v>0.8</v>
      </c>
      <c r="H167" s="13" t="n">
        <v>1.04</v>
      </c>
      <c r="I167" s="13" t="n">
        <v>0.9691</v>
      </c>
      <c r="J167" s="13" t="n">
        <v>0.53</v>
      </c>
      <c r="K167" s="12" t="n">
        <f aca="false">ROUND(F167/100*G167*H167*I167/J167,2)</f>
        <v>22058.91</v>
      </c>
      <c r="L167" s="12" t="n">
        <v>22058.91</v>
      </c>
      <c r="M167" s="12" t="n">
        <f aca="false">L167-K167</f>
        <v>0</v>
      </c>
      <c r="N167" s="3" t="s">
        <v>51</v>
      </c>
      <c r="O167" s="3" t="s">
        <v>52</v>
      </c>
    </row>
    <row r="168" customFormat="false" ht="15" hidden="false" customHeight="false" outlineLevel="0" collapsed="false">
      <c r="A168" s="14" t="s">
        <v>958</v>
      </c>
      <c r="B168" s="14" t="s">
        <v>1237</v>
      </c>
      <c r="C168" s="14" t="s">
        <v>224</v>
      </c>
      <c r="D168" s="14" t="s">
        <v>1238</v>
      </c>
      <c r="E168" s="14" t="s">
        <v>56</v>
      </c>
      <c r="F168" s="15" t="n">
        <v>255000</v>
      </c>
      <c r="G168" s="16" t="n">
        <v>0.75</v>
      </c>
      <c r="H168" s="16" t="n">
        <v>1.1</v>
      </c>
      <c r="I168" s="16" t="n">
        <v>0.9691</v>
      </c>
      <c r="J168" s="16" t="n">
        <v>0.53</v>
      </c>
      <c r="K168" s="15" t="n">
        <f aca="false">ROUND(F168/100*G168*H168*I168/J168,2)</f>
        <v>3846.69</v>
      </c>
      <c r="L168" s="15" t="n">
        <v>3846.69</v>
      </c>
      <c r="M168" s="15" t="n">
        <f aca="false">L168-K168</f>
        <v>0</v>
      </c>
      <c r="N168" s="14" t="s">
        <v>51</v>
      </c>
      <c r="O168" s="14" t="s">
        <v>52</v>
      </c>
    </row>
    <row r="169" customFormat="false" ht="15" hidden="false" customHeight="false" outlineLevel="0" collapsed="false">
      <c r="A169" s="3" t="s">
        <v>966</v>
      </c>
      <c r="B169" s="3" t="s">
        <v>1239</v>
      </c>
      <c r="C169" s="3" t="s">
        <v>174</v>
      </c>
      <c r="D169" s="3" t="s">
        <v>1240</v>
      </c>
      <c r="E169" s="3" t="s">
        <v>74</v>
      </c>
      <c r="F169" s="12" t="n">
        <v>1095000</v>
      </c>
      <c r="G169" s="13" t="n">
        <v>0.38</v>
      </c>
      <c r="H169" s="13" t="n">
        <v>1.55</v>
      </c>
      <c r="I169" s="13" t="n">
        <v>0.9691</v>
      </c>
      <c r="J169" s="13" t="n">
        <v>0.53</v>
      </c>
      <c r="K169" s="12" t="n">
        <f aca="false">ROUND(F169/100*G169*H169*I169/J169,2)</f>
        <v>11792.94</v>
      </c>
      <c r="L169" s="12" t="n">
        <v>11792.94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1017</v>
      </c>
      <c r="B170" s="14" t="s">
        <v>1241</v>
      </c>
      <c r="C170" s="14" t="s">
        <v>48</v>
      </c>
      <c r="D170" s="14" t="s">
        <v>1242</v>
      </c>
      <c r="E170" s="14" t="s">
        <v>56</v>
      </c>
      <c r="F170" s="15" t="n">
        <v>395000</v>
      </c>
      <c r="G170" s="16" t="n">
        <v>0.75</v>
      </c>
      <c r="H170" s="16" t="n">
        <v>1.28</v>
      </c>
      <c r="I170" s="16" t="n">
        <v>0.9691</v>
      </c>
      <c r="J170" s="16" t="n">
        <v>0.53</v>
      </c>
      <c r="K170" s="15" t="n">
        <f aca="false">ROUND(F170/100*G170*H170*I170/J170,2)</f>
        <v>6933.64</v>
      </c>
      <c r="L170" s="15" t="n">
        <v>6933.64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958</v>
      </c>
      <c r="B171" s="3" t="s">
        <v>1243</v>
      </c>
      <c r="C171" s="3" t="s">
        <v>417</v>
      </c>
      <c r="D171" s="3" t="s">
        <v>1244</v>
      </c>
      <c r="E171" s="3" t="s">
        <v>50</v>
      </c>
      <c r="F171" s="12" t="n">
        <v>1200000</v>
      </c>
      <c r="G171" s="13" t="n">
        <v>0.8</v>
      </c>
      <c r="H171" s="13" t="n">
        <v>1.24</v>
      </c>
      <c r="I171" s="13" t="n">
        <v>0.9691</v>
      </c>
      <c r="J171" s="13" t="n">
        <v>0.53</v>
      </c>
      <c r="K171" s="12" t="n">
        <f aca="false">ROUND(F171/100*G171*H171*I171/J171,2)</f>
        <v>21766.35</v>
      </c>
      <c r="L171" s="12" t="n">
        <v>21766.35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1013</v>
      </c>
      <c r="B172" s="14" t="s">
        <v>1245</v>
      </c>
      <c r="C172" s="14" t="s">
        <v>105</v>
      </c>
      <c r="D172" s="14" t="s">
        <v>548</v>
      </c>
      <c r="E172" s="14" t="s">
        <v>56</v>
      </c>
      <c r="F172" s="15" t="n">
        <v>245000</v>
      </c>
      <c r="G172" s="16" t="n">
        <v>0.92</v>
      </c>
      <c r="H172" s="16" t="n">
        <v>0.99</v>
      </c>
      <c r="I172" s="16" t="n">
        <v>0.9691</v>
      </c>
      <c r="J172" s="16" t="n">
        <v>0.53</v>
      </c>
      <c r="K172" s="15" t="n">
        <f aca="false">ROUND(F172/100*G172*H172*I172/J172,2)</f>
        <v>4080.2</v>
      </c>
      <c r="L172" s="15" t="n">
        <v>4080.2</v>
      </c>
      <c r="M172" s="15" t="n">
        <f aca="false">L172-K172</f>
        <v>0</v>
      </c>
      <c r="N172" s="14" t="s">
        <v>51</v>
      </c>
      <c r="O172" s="14" t="s">
        <v>52</v>
      </c>
    </row>
    <row r="173" customFormat="false" ht="15" hidden="false" customHeight="false" outlineLevel="0" collapsed="false">
      <c r="A173" s="3" t="s">
        <v>1124</v>
      </c>
      <c r="B173" s="3" t="s">
        <v>1246</v>
      </c>
      <c r="C173" s="3" t="s">
        <v>77</v>
      </c>
      <c r="D173" s="3" t="s">
        <v>1247</v>
      </c>
      <c r="E173" s="3" t="s">
        <v>133</v>
      </c>
      <c r="F173" s="12" t="n">
        <v>985000</v>
      </c>
      <c r="G173" s="13" t="n">
        <v>0.38</v>
      </c>
      <c r="H173" s="13" t="n">
        <v>1.42</v>
      </c>
      <c r="I173" s="13" t="n">
        <v>0.9691</v>
      </c>
      <c r="J173" s="13" t="n">
        <v>0.53</v>
      </c>
      <c r="K173" s="12" t="n">
        <f aca="false">ROUND(F173/100*G173*H173*I173/J173,2)</f>
        <v>9718.54</v>
      </c>
      <c r="L173" s="12" t="n">
        <v>9718.54</v>
      </c>
      <c r="M173" s="12" t="n">
        <f aca="false">L173-K173</f>
        <v>0</v>
      </c>
      <c r="N173" s="3" t="s">
        <v>51</v>
      </c>
      <c r="O173" s="3" t="s">
        <v>52</v>
      </c>
    </row>
    <row r="174" customFormat="false" ht="15" hidden="false" customHeight="false" outlineLevel="0" collapsed="false">
      <c r="A174" s="14" t="s">
        <v>984</v>
      </c>
      <c r="B174" s="14" t="s">
        <v>1248</v>
      </c>
      <c r="C174" s="14" t="s">
        <v>237</v>
      </c>
      <c r="D174" s="14" t="s">
        <v>882</v>
      </c>
      <c r="E174" s="14" t="s">
        <v>74</v>
      </c>
      <c r="F174" s="15" t="n">
        <v>1360000</v>
      </c>
      <c r="G174" s="16" t="n">
        <v>0.38</v>
      </c>
      <c r="H174" s="16" t="n">
        <v>1.33</v>
      </c>
      <c r="I174" s="16" t="n">
        <v>0.9691</v>
      </c>
      <c r="J174" s="16" t="n">
        <v>0.53</v>
      </c>
      <c r="K174" s="15" t="n">
        <f aca="false">ROUND(F174/100*G174*H174*I174/J174,2)</f>
        <v>12568.02</v>
      </c>
      <c r="L174" s="15" t="n">
        <v>12568.02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954</v>
      </c>
      <c r="B175" s="3" t="s">
        <v>1249</v>
      </c>
      <c r="C175" s="3" t="s">
        <v>237</v>
      </c>
      <c r="D175" s="3" t="s">
        <v>1150</v>
      </c>
      <c r="E175" s="3" t="s">
        <v>56</v>
      </c>
      <c r="F175" s="12" t="n">
        <v>850000</v>
      </c>
      <c r="G175" s="13" t="n">
        <v>0.65</v>
      </c>
      <c r="H175" s="13" t="n">
        <v>1.33</v>
      </c>
      <c r="I175" s="13" t="n">
        <v>0.9691</v>
      </c>
      <c r="J175" s="13" t="n">
        <v>0.53</v>
      </c>
      <c r="K175" s="12" t="n">
        <f aca="false">ROUND(F175/100*G175*H175*I175/J175,2)</f>
        <v>13436.21</v>
      </c>
      <c r="L175" s="12" t="n">
        <v>13436.2</v>
      </c>
      <c r="M175" s="12" t="n">
        <f aca="false">L175-K175</f>
        <v>-0.00999999999839929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952</v>
      </c>
      <c r="B176" s="14" t="s">
        <v>1250</v>
      </c>
      <c r="C176" s="14" t="s">
        <v>305</v>
      </c>
      <c r="D176" s="14" t="s">
        <v>1251</v>
      </c>
      <c r="E176" s="14" t="s">
        <v>50</v>
      </c>
      <c r="F176" s="15" t="n">
        <v>615000</v>
      </c>
      <c r="G176" s="16" t="n">
        <v>0.95</v>
      </c>
      <c r="H176" s="16" t="n">
        <v>1.12</v>
      </c>
      <c r="I176" s="16" t="n">
        <v>0.9691</v>
      </c>
      <c r="J176" s="16" t="n">
        <v>0.53</v>
      </c>
      <c r="K176" s="15" t="n">
        <f aca="false">ROUND(F176/100*G176*H176*I176/J176,2)</f>
        <v>11964.91</v>
      </c>
      <c r="L176" s="15" t="n">
        <v>11964.92</v>
      </c>
      <c r="M176" s="15" t="n">
        <f aca="false">L176-K176</f>
        <v>0.0100000000002183</v>
      </c>
      <c r="N176" s="14" t="s">
        <v>51</v>
      </c>
      <c r="O176" s="14" t="s">
        <v>52</v>
      </c>
    </row>
    <row r="177" customFormat="false" ht="15" hidden="false" customHeight="false" outlineLevel="0" collapsed="false">
      <c r="A177" s="3" t="s">
        <v>984</v>
      </c>
      <c r="B177" s="3" t="s">
        <v>1252</v>
      </c>
      <c r="C177" s="3" t="s">
        <v>68</v>
      </c>
      <c r="D177" s="3" t="s">
        <v>344</v>
      </c>
      <c r="E177" s="3" t="s">
        <v>50</v>
      </c>
      <c r="F177" s="12" t="n">
        <v>1215000</v>
      </c>
      <c r="G177" s="13" t="n">
        <v>0.8</v>
      </c>
      <c r="H177" s="13" t="n">
        <v>1.38</v>
      </c>
      <c r="I177" s="13" t="n">
        <v>0.9691</v>
      </c>
      <c r="J177" s="13" t="n">
        <v>0.53</v>
      </c>
      <c r="K177" s="12" t="n">
        <f aca="false">ROUND(F177/100*G177*H177*I177/J177,2)</f>
        <v>24526.64</v>
      </c>
      <c r="L177" s="12" t="n">
        <v>24526.64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1019</v>
      </c>
      <c r="B178" s="14" t="s">
        <v>1253</v>
      </c>
      <c r="C178" s="14" t="s">
        <v>174</v>
      </c>
      <c r="D178" s="14" t="s">
        <v>722</v>
      </c>
      <c r="E178" s="14" t="s">
        <v>50</v>
      </c>
      <c r="F178" s="15" t="n">
        <v>1950000</v>
      </c>
      <c r="G178" s="16" t="n">
        <v>0.8</v>
      </c>
      <c r="H178" s="16" t="n">
        <v>1.55</v>
      </c>
      <c r="I178" s="16" t="n">
        <v>0.9691</v>
      </c>
      <c r="J178" s="16" t="n">
        <v>0.53</v>
      </c>
      <c r="K178" s="15" t="n">
        <f aca="false">ROUND(F178/100*G178*H178*I178/J178,2)</f>
        <v>44212.9</v>
      </c>
      <c r="L178" s="15" t="n">
        <v>44212.9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1034</v>
      </c>
      <c r="B179" s="3" t="s">
        <v>1254</v>
      </c>
      <c r="C179" s="3" t="s">
        <v>184</v>
      </c>
      <c r="D179" s="3" t="s">
        <v>1255</v>
      </c>
      <c r="E179" s="3" t="s">
        <v>50</v>
      </c>
      <c r="F179" s="12" t="n">
        <v>575000</v>
      </c>
      <c r="G179" s="13" t="n">
        <v>0.95</v>
      </c>
      <c r="H179" s="13" t="n">
        <v>1.02</v>
      </c>
      <c r="I179" s="13" t="n">
        <v>0.9691</v>
      </c>
      <c r="J179" s="13" t="n">
        <v>0.53</v>
      </c>
      <c r="K179" s="12" t="n">
        <f aca="false">ROUND(F179/100*G179*H179*I179/J179,2)</f>
        <v>10187.89</v>
      </c>
      <c r="L179" s="12" t="n">
        <v>10187.9</v>
      </c>
      <c r="M179" s="12" t="n">
        <f aca="false">L179-K179</f>
        <v>0.0100000000002183</v>
      </c>
      <c r="N179" s="3" t="s">
        <v>51</v>
      </c>
      <c r="O179" s="3" t="s">
        <v>52</v>
      </c>
    </row>
    <row r="180" customFormat="false" ht="15" hidden="false" customHeight="false" outlineLevel="0" collapsed="false">
      <c r="A180" s="14" t="s">
        <v>1005</v>
      </c>
      <c r="B180" s="14" t="s">
        <v>1256</v>
      </c>
      <c r="C180" s="14" t="s">
        <v>77</v>
      </c>
      <c r="D180" s="14" t="s">
        <v>634</v>
      </c>
      <c r="E180" s="14" t="s">
        <v>56</v>
      </c>
      <c r="F180" s="15" t="n">
        <v>390000</v>
      </c>
      <c r="G180" s="16" t="n">
        <v>0.75</v>
      </c>
      <c r="H180" s="16" t="n">
        <v>1.42</v>
      </c>
      <c r="I180" s="16" t="n">
        <v>0.9691</v>
      </c>
      <c r="J180" s="16" t="n">
        <v>0.53</v>
      </c>
      <c r="K180" s="15" t="n">
        <f aca="false">ROUND(F180/100*G180*H180*I180/J180,2)</f>
        <v>7594.64</v>
      </c>
      <c r="L180" s="15" t="n">
        <v>7594.63</v>
      </c>
      <c r="M180" s="15" t="n">
        <f aca="false">L180-K180</f>
        <v>-0.0100000000002183</v>
      </c>
      <c r="N180" s="14" t="s">
        <v>51</v>
      </c>
      <c r="O180" s="14" t="s">
        <v>52</v>
      </c>
    </row>
    <row r="181" customFormat="false" ht="15" hidden="false" customHeight="false" outlineLevel="0" collapsed="false">
      <c r="A181" s="3" t="s">
        <v>971</v>
      </c>
      <c r="B181" s="3" t="s">
        <v>1257</v>
      </c>
      <c r="C181" s="3" t="s">
        <v>217</v>
      </c>
      <c r="D181" s="3" t="s">
        <v>1258</v>
      </c>
      <c r="E181" s="3" t="s">
        <v>50</v>
      </c>
      <c r="F181" s="12" t="n">
        <v>1185000</v>
      </c>
      <c r="G181" s="13" t="n">
        <v>0.8</v>
      </c>
      <c r="H181" s="13" t="n">
        <v>1.3</v>
      </c>
      <c r="I181" s="13" t="n">
        <v>0.9691</v>
      </c>
      <c r="J181" s="13" t="n">
        <v>0.53</v>
      </c>
      <c r="K181" s="12" t="n">
        <f aca="false">ROUND(F181/100*G181*H181*I181/J181,2)</f>
        <v>22534.32</v>
      </c>
      <c r="L181" s="12" t="n">
        <v>22534.32</v>
      </c>
      <c r="M181" s="12" t="n">
        <f aca="false">L181-K181</f>
        <v>0</v>
      </c>
      <c r="N181" s="3" t="s">
        <v>51</v>
      </c>
      <c r="O181" s="3" t="s">
        <v>52</v>
      </c>
    </row>
    <row r="182" customFormat="false" ht="15" hidden="false" customHeight="false" outlineLevel="0" collapsed="false">
      <c r="A182" s="14" t="s">
        <v>1114</v>
      </c>
      <c r="B182" s="14" t="s">
        <v>1259</v>
      </c>
      <c r="C182" s="14" t="s">
        <v>114</v>
      </c>
      <c r="D182" s="14" t="s">
        <v>1152</v>
      </c>
      <c r="E182" s="14" t="s">
        <v>50</v>
      </c>
      <c r="F182" s="15" t="n">
        <v>795000</v>
      </c>
      <c r="G182" s="16" t="n">
        <v>0.95</v>
      </c>
      <c r="H182" s="16" t="n">
        <v>1.36</v>
      </c>
      <c r="I182" s="16" t="n">
        <v>0.9691</v>
      </c>
      <c r="J182" s="16" t="n">
        <v>0.53</v>
      </c>
      <c r="K182" s="15" t="n">
        <f aca="false">ROUND(F182/100*G182*H182*I182/J182,2)</f>
        <v>18781.16</v>
      </c>
      <c r="L182" s="15" t="n">
        <v>18781.16</v>
      </c>
      <c r="M182" s="15" t="n">
        <f aca="false">L182-K182</f>
        <v>0</v>
      </c>
      <c r="N182" s="14" t="s">
        <v>51</v>
      </c>
      <c r="O182" s="14" t="s">
        <v>52</v>
      </c>
    </row>
    <row r="183" customFormat="false" ht="15" hidden="false" customHeight="false" outlineLevel="0" collapsed="false">
      <c r="A183" s="3" t="s">
        <v>1017</v>
      </c>
      <c r="B183" s="3" t="s">
        <v>1260</v>
      </c>
      <c r="C183" s="3" t="s">
        <v>243</v>
      </c>
      <c r="D183" s="3" t="s">
        <v>1261</v>
      </c>
      <c r="E183" s="3" t="s">
        <v>74</v>
      </c>
      <c r="F183" s="12" t="n">
        <v>365000</v>
      </c>
      <c r="G183" s="13" t="n">
        <v>0.48</v>
      </c>
      <c r="H183" s="13" t="n">
        <v>1.14</v>
      </c>
      <c r="I183" s="13" t="n">
        <v>0.9691</v>
      </c>
      <c r="J183" s="13" t="n">
        <v>0.53</v>
      </c>
      <c r="K183" s="12" t="n">
        <f aca="false">ROUND(F183/100*G183*H183*I183/J183,2)</f>
        <v>3652.01</v>
      </c>
      <c r="L183" s="12" t="n">
        <v>3652</v>
      </c>
      <c r="M183" s="12" t="n">
        <f aca="false">L183-K183</f>
        <v>-0.0100000000002183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994</v>
      </c>
      <c r="B184" s="14" t="s">
        <v>1262</v>
      </c>
      <c r="C184" s="14" t="s">
        <v>89</v>
      </c>
      <c r="D184" s="14" t="s">
        <v>1263</v>
      </c>
      <c r="E184" s="14" t="s">
        <v>56</v>
      </c>
      <c r="F184" s="15" t="n">
        <v>710000</v>
      </c>
      <c r="G184" s="16" t="n">
        <v>0.65</v>
      </c>
      <c r="H184" s="16" t="n">
        <v>1.35</v>
      </c>
      <c r="I184" s="16" t="n">
        <v>0.9691</v>
      </c>
      <c r="J184" s="16" t="n">
        <v>0.53</v>
      </c>
      <c r="K184" s="15" t="n">
        <f aca="false">ROUND(F184/100*G184*H184*I184/J184,2)</f>
        <v>11391.95</v>
      </c>
      <c r="L184" s="15" t="n">
        <v>11391.95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954</v>
      </c>
      <c r="B185" s="3" t="s">
        <v>1264</v>
      </c>
      <c r="C185" s="3" t="s">
        <v>193</v>
      </c>
      <c r="D185" s="3" t="s">
        <v>1265</v>
      </c>
      <c r="E185" s="3" t="s">
        <v>133</v>
      </c>
      <c r="F185" s="12" t="n">
        <v>1365000</v>
      </c>
      <c r="G185" s="13" t="n">
        <v>0.34</v>
      </c>
      <c r="H185" s="13" t="n">
        <v>1.25</v>
      </c>
      <c r="I185" s="13" t="n">
        <v>0.9691</v>
      </c>
      <c r="J185" s="13" t="n">
        <v>0.53</v>
      </c>
      <c r="K185" s="12" t="n">
        <f aca="false">ROUND(F185/100*G185*H185*I185/J185,2)</f>
        <v>10607.53</v>
      </c>
      <c r="L185" s="12" t="n">
        <v>10607.53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954</v>
      </c>
      <c r="B186" s="14" t="s">
        <v>1266</v>
      </c>
      <c r="C186" s="14" t="s">
        <v>159</v>
      </c>
      <c r="D186" s="14" t="s">
        <v>782</v>
      </c>
      <c r="E186" s="14" t="s">
        <v>56</v>
      </c>
      <c r="F186" s="15" t="n">
        <v>460000</v>
      </c>
      <c r="G186" s="16" t="n">
        <v>0.75</v>
      </c>
      <c r="H186" s="16" t="n">
        <v>1.15</v>
      </c>
      <c r="I186" s="16" t="n">
        <v>0.9691</v>
      </c>
      <c r="J186" s="16" t="n">
        <v>0.53</v>
      </c>
      <c r="K186" s="15" t="n">
        <f aca="false">ROUND(F186/100*G186*H186*I186/J186,2)</f>
        <v>7254.54</v>
      </c>
      <c r="L186" s="15" t="n">
        <v>7254.54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1114</v>
      </c>
      <c r="B187" s="3" t="s">
        <v>1267</v>
      </c>
      <c r="C187" s="3" t="s">
        <v>59</v>
      </c>
      <c r="D187" s="3" t="s">
        <v>1268</v>
      </c>
      <c r="E187" s="3" t="s">
        <v>50</v>
      </c>
      <c r="F187" s="12" t="n">
        <v>980000</v>
      </c>
      <c r="G187" s="13" t="n">
        <v>0.95</v>
      </c>
      <c r="H187" s="13" t="n">
        <v>0.97</v>
      </c>
      <c r="I187" s="13" t="n">
        <v>0.9691</v>
      </c>
      <c r="J187" s="13" t="n">
        <v>0.53</v>
      </c>
      <c r="K187" s="12" t="n">
        <f aca="false">ROUND(F187/100*G187*H187*I187/J187,2)</f>
        <v>16512.55</v>
      </c>
      <c r="L187" s="12" t="n">
        <v>16512.55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949</v>
      </c>
      <c r="B188" s="14" t="s">
        <v>1269</v>
      </c>
      <c r="C188" s="14" t="s">
        <v>188</v>
      </c>
      <c r="D188" s="14" t="s">
        <v>1270</v>
      </c>
      <c r="E188" s="14" t="s">
        <v>74</v>
      </c>
      <c r="F188" s="15" t="n">
        <v>290000</v>
      </c>
      <c r="G188" s="16" t="n">
        <v>0.48</v>
      </c>
      <c r="H188" s="16" t="n">
        <v>1.35</v>
      </c>
      <c r="I188" s="16" t="n">
        <v>0.9691</v>
      </c>
      <c r="J188" s="16" t="n">
        <v>0.53</v>
      </c>
      <c r="K188" s="15" t="n">
        <f aca="false">ROUND(F188/100*G188*H188*I188/J188,2)</f>
        <v>3436.1</v>
      </c>
      <c r="L188" s="15" t="n">
        <v>3436.1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960</v>
      </c>
      <c r="B189" s="3" t="s">
        <v>1271</v>
      </c>
      <c r="C189" s="3" t="s">
        <v>139</v>
      </c>
      <c r="D189" s="3" t="s">
        <v>1272</v>
      </c>
      <c r="E189" s="3" t="s">
        <v>74</v>
      </c>
      <c r="F189" s="12" t="n">
        <v>665000</v>
      </c>
      <c r="G189" s="13" t="n">
        <v>0.43</v>
      </c>
      <c r="H189" s="13" t="n">
        <v>1.23</v>
      </c>
      <c r="I189" s="13" t="n">
        <v>0.9691</v>
      </c>
      <c r="J189" s="13" t="n">
        <v>0.53</v>
      </c>
      <c r="K189" s="12" t="n">
        <f aca="false">ROUND(F189/100*G189*H189*I189/J189,2)</f>
        <v>6431.14</v>
      </c>
      <c r="L189" s="12" t="n">
        <v>6431.14</v>
      </c>
      <c r="M189" s="12" t="n">
        <f aca="false">L189-K189</f>
        <v>0</v>
      </c>
      <c r="N189" s="3" t="s">
        <v>51</v>
      </c>
      <c r="O189" s="3" t="s">
        <v>52</v>
      </c>
    </row>
    <row r="190" customFormat="false" ht="15" hidden="false" customHeight="false" outlineLevel="0" collapsed="false">
      <c r="A190" s="14" t="s">
        <v>973</v>
      </c>
      <c r="B190" s="14" t="s">
        <v>1273</v>
      </c>
      <c r="C190" s="14" t="s">
        <v>114</v>
      </c>
      <c r="D190" s="14" t="s">
        <v>1103</v>
      </c>
      <c r="E190" s="14" t="s">
        <v>56</v>
      </c>
      <c r="F190" s="15" t="n">
        <v>900000</v>
      </c>
      <c r="G190" s="16" t="n">
        <v>0.65</v>
      </c>
      <c r="H190" s="16" t="n">
        <v>1.36</v>
      </c>
      <c r="I190" s="16" t="n">
        <v>0.9691</v>
      </c>
      <c r="J190" s="16" t="n">
        <v>0.53</v>
      </c>
      <c r="K190" s="15" t="n">
        <f aca="false">ROUND(F190/100*G190*H190*I190/J190,2)</f>
        <v>14547.47</v>
      </c>
      <c r="L190" s="15" t="n">
        <v>14547.47</v>
      </c>
      <c r="M190" s="15" t="n">
        <f aca="false">L190-K190</f>
        <v>0</v>
      </c>
      <c r="N190" s="14" t="s">
        <v>51</v>
      </c>
      <c r="O190" s="14" t="s">
        <v>52</v>
      </c>
    </row>
    <row r="191" customFormat="false" ht="15" hidden="false" customHeight="false" outlineLevel="0" collapsed="false">
      <c r="A191" s="3" t="s">
        <v>960</v>
      </c>
      <c r="B191" s="3" t="s">
        <v>1274</v>
      </c>
      <c r="C191" s="3" t="s">
        <v>237</v>
      </c>
      <c r="D191" s="3" t="s">
        <v>645</v>
      </c>
      <c r="E191" s="3" t="s">
        <v>56</v>
      </c>
      <c r="F191" s="12" t="n">
        <v>930000</v>
      </c>
      <c r="G191" s="13" t="n">
        <v>0.65</v>
      </c>
      <c r="H191" s="13" t="n">
        <v>1.33</v>
      </c>
      <c r="I191" s="13" t="n">
        <v>0.9691</v>
      </c>
      <c r="J191" s="13" t="n">
        <v>0.53</v>
      </c>
      <c r="K191" s="12" t="n">
        <f aca="false">ROUND(F191/100*G191*H191*I191/J191,2)</f>
        <v>14700.79</v>
      </c>
      <c r="L191" s="12" t="n">
        <v>14700.79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1005</v>
      </c>
      <c r="B192" s="14" t="s">
        <v>1275</v>
      </c>
      <c r="C192" s="14" t="s">
        <v>89</v>
      </c>
      <c r="D192" s="14" t="s">
        <v>1276</v>
      </c>
      <c r="E192" s="14" t="s">
        <v>56</v>
      </c>
      <c r="F192" s="15" t="n">
        <v>280000</v>
      </c>
      <c r="G192" s="16" t="n">
        <v>0.75</v>
      </c>
      <c r="H192" s="16" t="n">
        <v>1.35</v>
      </c>
      <c r="I192" s="16" t="n">
        <v>0.9691</v>
      </c>
      <c r="J192" s="16" t="n">
        <v>0.53</v>
      </c>
      <c r="K192" s="15" t="n">
        <f aca="false">ROUND(F192/100*G192*H192*I192/J192,2)</f>
        <v>5183.77</v>
      </c>
      <c r="L192" s="15" t="n">
        <v>5183.77</v>
      </c>
      <c r="M192" s="15" t="n">
        <f aca="false">L192-K192</f>
        <v>0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1005</v>
      </c>
      <c r="B193" s="3" t="s">
        <v>1277</v>
      </c>
      <c r="C193" s="3" t="s">
        <v>217</v>
      </c>
      <c r="D193" s="3" t="s">
        <v>846</v>
      </c>
      <c r="E193" s="3" t="s">
        <v>56</v>
      </c>
      <c r="F193" s="12" t="n">
        <v>750000</v>
      </c>
      <c r="G193" s="13" t="n">
        <v>0.65</v>
      </c>
      <c r="H193" s="13" t="n">
        <v>1.3</v>
      </c>
      <c r="I193" s="13" t="n">
        <v>0.9691</v>
      </c>
      <c r="J193" s="13" t="n">
        <v>0.53</v>
      </c>
      <c r="K193" s="12" t="n">
        <f aca="false">ROUND(F193/100*G193*H193*I193/J193,2)</f>
        <v>11588.06</v>
      </c>
      <c r="L193" s="12" t="n">
        <v>11588.06</v>
      </c>
      <c r="M193" s="12" t="n">
        <f aca="false">L193-K193</f>
        <v>0</v>
      </c>
      <c r="N193" s="3" t="s">
        <v>51</v>
      </c>
      <c r="O193" s="3" t="s">
        <v>52</v>
      </c>
    </row>
    <row r="194" customFormat="false" ht="15" hidden="false" customHeight="false" outlineLevel="0" collapsed="false">
      <c r="A194" s="14" t="s">
        <v>958</v>
      </c>
      <c r="B194" s="14" t="s">
        <v>1278</v>
      </c>
      <c r="C194" s="14" t="s">
        <v>435</v>
      </c>
      <c r="D194" s="14" t="s">
        <v>1279</v>
      </c>
      <c r="E194" s="14" t="s">
        <v>133</v>
      </c>
      <c r="F194" s="15" t="n">
        <v>1935000</v>
      </c>
      <c r="G194" s="16" t="n">
        <v>0.34</v>
      </c>
      <c r="H194" s="16" t="n">
        <v>1.13</v>
      </c>
      <c r="I194" s="16" t="n">
        <v>0.9691</v>
      </c>
      <c r="J194" s="16" t="n">
        <v>0.53</v>
      </c>
      <c r="K194" s="15" t="n">
        <f aca="false">ROUND(F194/100*G194*H194*I194/J194,2)</f>
        <v>13593.49</v>
      </c>
      <c r="L194" s="15" t="n">
        <v>13593.49</v>
      </c>
      <c r="M194" s="15" t="n">
        <f aca="false">L194-K194</f>
        <v>0</v>
      </c>
      <c r="N194" s="14" t="s">
        <v>70</v>
      </c>
      <c r="O194" s="14" t="s">
        <v>52</v>
      </c>
    </row>
    <row r="195" customFormat="false" ht="15" hidden="false" customHeight="false" outlineLevel="0" collapsed="false">
      <c r="A195" s="3" t="s">
        <v>963</v>
      </c>
      <c r="B195" s="3" t="s">
        <v>1280</v>
      </c>
      <c r="C195" s="3" t="s">
        <v>326</v>
      </c>
      <c r="D195" s="3" t="s">
        <v>1281</v>
      </c>
      <c r="E195" s="3" t="s">
        <v>74</v>
      </c>
      <c r="F195" s="12" t="n">
        <v>295000</v>
      </c>
      <c r="G195" s="13" t="n">
        <v>0.48</v>
      </c>
      <c r="H195" s="13" t="n">
        <v>1.12</v>
      </c>
      <c r="I195" s="13" t="n">
        <v>0.9691</v>
      </c>
      <c r="J195" s="13" t="n">
        <v>0.53</v>
      </c>
      <c r="K195" s="12" t="n">
        <f aca="false">ROUND(F195/100*G195*H195*I195/J195,2)</f>
        <v>2899.84</v>
      </c>
      <c r="L195" s="12" t="n">
        <v>2899.84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987</v>
      </c>
      <c r="B196" s="14" t="s">
        <v>1282</v>
      </c>
      <c r="C196" s="14" t="s">
        <v>152</v>
      </c>
      <c r="D196" s="14" t="s">
        <v>1283</v>
      </c>
      <c r="E196" s="14" t="s">
        <v>56</v>
      </c>
      <c r="F196" s="15" t="n">
        <v>1245000</v>
      </c>
      <c r="G196" s="16" t="n">
        <v>0.55</v>
      </c>
      <c r="H196" s="16" t="n">
        <v>1</v>
      </c>
      <c r="I196" s="16" t="n">
        <v>0.9691</v>
      </c>
      <c r="J196" s="16" t="n">
        <v>0.53</v>
      </c>
      <c r="K196" s="15" t="n">
        <f aca="false">ROUND(F196/100*G196*H196*I196/J196,2)</f>
        <v>12520.59</v>
      </c>
      <c r="L196" s="15" t="n">
        <v>12520.59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1124</v>
      </c>
      <c r="B197" s="3" t="s">
        <v>1284</v>
      </c>
      <c r="C197" s="3" t="s">
        <v>193</v>
      </c>
      <c r="D197" s="3" t="s">
        <v>1285</v>
      </c>
      <c r="E197" s="3" t="s">
        <v>50</v>
      </c>
      <c r="F197" s="12" t="n">
        <v>680000</v>
      </c>
      <c r="G197" s="13" t="n">
        <v>0.95</v>
      </c>
      <c r="H197" s="13" t="n">
        <v>1.25</v>
      </c>
      <c r="I197" s="13" t="n">
        <v>0.9691</v>
      </c>
      <c r="J197" s="13" t="n">
        <v>0.53</v>
      </c>
      <c r="K197" s="12" t="n">
        <f aca="false">ROUND(F197/100*G197*H197*I197/J197,2)</f>
        <v>14765.06</v>
      </c>
      <c r="L197" s="12" t="n">
        <v>14765.06</v>
      </c>
      <c r="M197" s="12" t="n">
        <f aca="false">L197-K197</f>
        <v>0</v>
      </c>
      <c r="N197" s="3" t="s">
        <v>51</v>
      </c>
      <c r="O197" s="3" t="s">
        <v>52</v>
      </c>
    </row>
    <row r="198" customFormat="false" ht="15" hidden="false" customHeight="false" outlineLevel="0" collapsed="false">
      <c r="A198" s="14" t="s">
        <v>971</v>
      </c>
      <c r="B198" s="14" t="s">
        <v>1286</v>
      </c>
      <c r="C198" s="14" t="s">
        <v>77</v>
      </c>
      <c r="D198" s="14" t="s">
        <v>782</v>
      </c>
      <c r="E198" s="14" t="s">
        <v>56</v>
      </c>
      <c r="F198" s="15" t="n">
        <v>235000</v>
      </c>
      <c r="G198" s="16" t="n">
        <v>0.92</v>
      </c>
      <c r="H198" s="16" t="n">
        <v>1.42</v>
      </c>
      <c r="I198" s="16" t="n">
        <v>0.9691</v>
      </c>
      <c r="J198" s="16" t="n">
        <v>0.53</v>
      </c>
      <c r="K198" s="15" t="n">
        <f aca="false">ROUND(F198/100*G198*H198*I198/J198,2)</f>
        <v>5613.54</v>
      </c>
      <c r="L198" s="15" t="n">
        <v>5613.54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949</v>
      </c>
      <c r="B199" s="3" t="s">
        <v>1287</v>
      </c>
      <c r="C199" s="3" t="s">
        <v>89</v>
      </c>
      <c r="D199" s="3" t="s">
        <v>1288</v>
      </c>
      <c r="E199" s="3" t="s">
        <v>56</v>
      </c>
      <c r="F199" s="12" t="n">
        <v>465000</v>
      </c>
      <c r="G199" s="13" t="n">
        <v>0.75</v>
      </c>
      <c r="H199" s="13" t="n">
        <v>1.35</v>
      </c>
      <c r="I199" s="13" t="n">
        <v>0.9691</v>
      </c>
      <c r="J199" s="13" t="n">
        <v>0.53</v>
      </c>
      <c r="K199" s="12" t="n">
        <f aca="false">ROUND(F199/100*G199*H199*I199/J199,2)</f>
        <v>8608.76</v>
      </c>
      <c r="L199" s="12" t="n">
        <v>8608.76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1019</v>
      </c>
      <c r="B200" s="14" t="s">
        <v>1289</v>
      </c>
      <c r="C200" s="14" t="s">
        <v>224</v>
      </c>
      <c r="D200" s="14" t="s">
        <v>1290</v>
      </c>
      <c r="E200" s="14" t="s">
        <v>56</v>
      </c>
      <c r="F200" s="15" t="n">
        <v>845000</v>
      </c>
      <c r="G200" s="16" t="n">
        <v>0.65</v>
      </c>
      <c r="H200" s="16" t="n">
        <v>1.1</v>
      </c>
      <c r="I200" s="16" t="n">
        <v>0.9691</v>
      </c>
      <c r="J200" s="16" t="n">
        <v>0.53</v>
      </c>
      <c r="K200" s="15" t="n">
        <f aca="false">ROUND(F200/100*G200*H200*I200/J200,2)</f>
        <v>11047.28</v>
      </c>
      <c r="L200" s="15" t="n">
        <v>11047.28</v>
      </c>
      <c r="M200" s="15" t="n">
        <f aca="false">L200-K200</f>
        <v>0</v>
      </c>
      <c r="N200" s="14" t="s">
        <v>51</v>
      </c>
      <c r="O200" s="14" t="s">
        <v>52</v>
      </c>
    </row>
    <row r="201" customFormat="false" ht="15" hidden="false" customHeight="false" outlineLevel="0" collapsed="false">
      <c r="A201" s="3" t="s">
        <v>990</v>
      </c>
      <c r="B201" s="3" t="s">
        <v>1291</v>
      </c>
      <c r="C201" s="3" t="s">
        <v>77</v>
      </c>
      <c r="D201" s="3" t="s">
        <v>1292</v>
      </c>
      <c r="E201" s="3" t="s">
        <v>56</v>
      </c>
      <c r="F201" s="12" t="n">
        <v>415000</v>
      </c>
      <c r="G201" s="13" t="n">
        <v>0.75</v>
      </c>
      <c r="H201" s="13" t="n">
        <v>1.42</v>
      </c>
      <c r="I201" s="13" t="n">
        <v>0.9691</v>
      </c>
      <c r="J201" s="13" t="n">
        <v>0.53</v>
      </c>
      <c r="K201" s="12" t="n">
        <f aca="false">ROUND(F201/100*G201*H201*I201/J201,2)</f>
        <v>8081.47</v>
      </c>
      <c r="L201" s="12" t="n">
        <v>8081.47</v>
      </c>
      <c r="M201" s="12" t="n">
        <f aca="false">L201-K201</f>
        <v>0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1013</v>
      </c>
      <c r="B202" s="14" t="s">
        <v>1293</v>
      </c>
      <c r="C202" s="14" t="s">
        <v>48</v>
      </c>
      <c r="D202" s="14" t="s">
        <v>1294</v>
      </c>
      <c r="E202" s="14" t="s">
        <v>50</v>
      </c>
      <c r="F202" s="15" t="n">
        <v>570000</v>
      </c>
      <c r="G202" s="16" t="n">
        <v>0.95</v>
      </c>
      <c r="H202" s="16" t="n">
        <v>1.28</v>
      </c>
      <c r="I202" s="16" t="n">
        <v>0.9691</v>
      </c>
      <c r="J202" s="16" t="n">
        <v>0.53</v>
      </c>
      <c r="K202" s="15" t="n">
        <f aca="false">ROUND(F202/100*G202*H202*I202/J202,2)</f>
        <v>12673.63</v>
      </c>
      <c r="L202" s="15" t="n">
        <v>12673.64</v>
      </c>
      <c r="M202" s="15" t="n">
        <f aca="false">L202-K202</f>
        <v>0.0100000000002183</v>
      </c>
      <c r="N202" s="14" t="s">
        <v>51</v>
      </c>
      <c r="O202" s="14" t="s">
        <v>52</v>
      </c>
    </row>
    <row r="203" customFormat="false" ht="15" hidden="false" customHeight="false" outlineLevel="0" collapsed="false">
      <c r="A203" s="3" t="s">
        <v>1019</v>
      </c>
      <c r="B203" s="3" t="s">
        <v>1295</v>
      </c>
      <c r="C203" s="3" t="s">
        <v>81</v>
      </c>
      <c r="D203" s="3" t="s">
        <v>385</v>
      </c>
      <c r="E203" s="3" t="s">
        <v>56</v>
      </c>
      <c r="F203" s="12" t="n">
        <v>200000</v>
      </c>
      <c r="G203" s="13" t="n">
        <v>0.92</v>
      </c>
      <c r="H203" s="13" t="n">
        <v>1.27</v>
      </c>
      <c r="I203" s="13" t="n">
        <v>0.9691</v>
      </c>
      <c r="J203" s="13" t="n">
        <v>0.53</v>
      </c>
      <c r="K203" s="12" t="n">
        <f aca="false">ROUND(F203/100*G203*H203*I203/J203,2)</f>
        <v>4272.82</v>
      </c>
      <c r="L203" s="12" t="n">
        <v>4272.82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971</v>
      </c>
      <c r="B204" s="14" t="s">
        <v>1296</v>
      </c>
      <c r="C204" s="14" t="s">
        <v>887</v>
      </c>
      <c r="D204" s="14" t="s">
        <v>1297</v>
      </c>
      <c r="E204" s="14" t="s">
        <v>56</v>
      </c>
      <c r="F204" s="15" t="n">
        <v>380000</v>
      </c>
      <c r="G204" s="16" t="n">
        <v>0.75</v>
      </c>
      <c r="H204" s="16" t="n">
        <v>1.37</v>
      </c>
      <c r="I204" s="16" t="n">
        <v>0.9691</v>
      </c>
      <c r="J204" s="16" t="n">
        <v>0.53</v>
      </c>
      <c r="K204" s="15" t="n">
        <f aca="false">ROUND(F204/100*G204*H204*I204/J204,2)</f>
        <v>7139.34</v>
      </c>
      <c r="L204" s="15" t="n">
        <v>7139.34</v>
      </c>
      <c r="M204" s="15" t="n">
        <f aca="false">L204-K204</f>
        <v>0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1107</v>
      </c>
      <c r="B205" s="3" t="s">
        <v>1298</v>
      </c>
      <c r="C205" s="3" t="s">
        <v>224</v>
      </c>
      <c r="D205" s="3" t="s">
        <v>1299</v>
      </c>
      <c r="E205" s="3" t="s">
        <v>50</v>
      </c>
      <c r="F205" s="12" t="n">
        <v>705000</v>
      </c>
      <c r="G205" s="13" t="n">
        <v>0.95</v>
      </c>
      <c r="H205" s="13" t="n">
        <v>1.1</v>
      </c>
      <c r="I205" s="13" t="n">
        <v>0.9691</v>
      </c>
      <c r="J205" s="13" t="n">
        <v>0.53</v>
      </c>
      <c r="K205" s="12" t="n">
        <f aca="false">ROUND(F205/100*G205*H205*I205/J205,2)</f>
        <v>13470.95</v>
      </c>
      <c r="L205" s="12" t="n">
        <v>13470.95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960</v>
      </c>
      <c r="B206" s="14" t="s">
        <v>1300</v>
      </c>
      <c r="C206" s="14" t="s">
        <v>230</v>
      </c>
      <c r="D206" s="14" t="s">
        <v>1301</v>
      </c>
      <c r="E206" s="14" t="s">
        <v>56</v>
      </c>
      <c r="F206" s="15" t="n">
        <v>575000</v>
      </c>
      <c r="G206" s="16" t="n">
        <v>0.65</v>
      </c>
      <c r="H206" s="16" t="n">
        <v>1.09</v>
      </c>
      <c r="I206" s="16" t="n">
        <v>0.9691</v>
      </c>
      <c r="J206" s="16" t="n">
        <v>0.53</v>
      </c>
      <c r="K206" s="15" t="n">
        <f aca="false">ROUND(F206/100*G206*H206*I206/J206,2)</f>
        <v>7449.04</v>
      </c>
      <c r="L206" s="15" t="n">
        <v>7449.05</v>
      </c>
      <c r="M206" s="15" t="n">
        <f aca="false">L206-K206</f>
        <v>0.0100000000002183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1114</v>
      </c>
      <c r="B207" s="3" t="s">
        <v>1302</v>
      </c>
      <c r="C207" s="3" t="s">
        <v>142</v>
      </c>
      <c r="D207" s="3" t="s">
        <v>1148</v>
      </c>
      <c r="E207" s="3" t="s">
        <v>56</v>
      </c>
      <c r="F207" s="12" t="n">
        <v>915000</v>
      </c>
      <c r="G207" s="13" t="n">
        <v>0.65</v>
      </c>
      <c r="H207" s="13" t="n">
        <v>1.22</v>
      </c>
      <c r="I207" s="13" t="n">
        <v>0.9691</v>
      </c>
      <c r="J207" s="13" t="n">
        <v>0.53</v>
      </c>
      <c r="K207" s="12" t="n">
        <f aca="false">ROUND(F207/100*G207*H207*I207/J207,2)</f>
        <v>13267.44</v>
      </c>
      <c r="L207" s="12" t="n">
        <v>13267.43</v>
      </c>
      <c r="M207" s="12" t="n">
        <f aca="false">L207-K207</f>
        <v>-0.0100000000002183</v>
      </c>
      <c r="N207" s="3" t="s">
        <v>51</v>
      </c>
      <c r="O207" s="3" t="s">
        <v>52</v>
      </c>
    </row>
    <row r="208" customFormat="false" ht="15" hidden="false" customHeight="false" outlineLevel="0" collapsed="false">
      <c r="A208" s="14" t="s">
        <v>1124</v>
      </c>
      <c r="B208" s="14" t="s">
        <v>1303</v>
      </c>
      <c r="C208" s="14" t="s">
        <v>275</v>
      </c>
      <c r="D208" s="14" t="s">
        <v>1304</v>
      </c>
      <c r="E208" s="14" t="s">
        <v>56</v>
      </c>
      <c r="F208" s="15" t="n">
        <v>640000</v>
      </c>
      <c r="G208" s="16" t="n">
        <v>0.65</v>
      </c>
      <c r="H208" s="16" t="n">
        <v>1.19</v>
      </c>
      <c r="I208" s="16" t="n">
        <v>0.9691</v>
      </c>
      <c r="J208" s="16" t="n">
        <v>0.53</v>
      </c>
      <c r="K208" s="15" t="n">
        <f aca="false">ROUND(F208/100*G208*H208*I208/J208,2)</f>
        <v>9051.76</v>
      </c>
      <c r="L208" s="15" t="n">
        <v>9051.76</v>
      </c>
      <c r="M208" s="15" t="n">
        <f aca="false">L208-K208</f>
        <v>0</v>
      </c>
      <c r="N208" s="14" t="s">
        <v>51</v>
      </c>
      <c r="O208" s="14" t="s">
        <v>52</v>
      </c>
    </row>
    <row r="209" customFormat="false" ht="15" hidden="false" customHeight="false" outlineLevel="0" collapsed="false">
      <c r="A209" s="3" t="s">
        <v>958</v>
      </c>
      <c r="B209" s="3" t="s">
        <v>1305</v>
      </c>
      <c r="C209" s="3" t="s">
        <v>68</v>
      </c>
      <c r="D209" s="3" t="s">
        <v>1306</v>
      </c>
      <c r="E209" s="3" t="s">
        <v>133</v>
      </c>
      <c r="F209" s="12" t="n">
        <v>1110000</v>
      </c>
      <c r="G209" s="13" t="n">
        <v>0.34</v>
      </c>
      <c r="H209" s="13" t="n">
        <v>1.38</v>
      </c>
      <c r="I209" s="13" t="n">
        <v>0.9691</v>
      </c>
      <c r="J209" s="13" t="n">
        <v>0.53</v>
      </c>
      <c r="K209" s="12" t="n">
        <f aca="false">ROUND(F209/100*G209*H209*I209/J209,2)</f>
        <v>9523</v>
      </c>
      <c r="L209" s="12" t="n">
        <v>9523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1013</v>
      </c>
      <c r="B210" s="14" t="s">
        <v>1307</v>
      </c>
      <c r="C210" s="14" t="s">
        <v>892</v>
      </c>
      <c r="D210" s="14" t="s">
        <v>861</v>
      </c>
      <c r="E210" s="14" t="s">
        <v>50</v>
      </c>
      <c r="F210" s="15" t="n">
        <v>535000</v>
      </c>
      <c r="G210" s="16" t="n">
        <v>0.95</v>
      </c>
      <c r="H210" s="16" t="n">
        <v>1.08</v>
      </c>
      <c r="I210" s="16" t="n">
        <v>0.9691</v>
      </c>
      <c r="J210" s="16" t="n">
        <v>0.53</v>
      </c>
      <c r="K210" s="15" t="n">
        <f aca="false">ROUND(F210/100*G210*H210*I210/J210,2)</f>
        <v>10036.77</v>
      </c>
      <c r="L210" s="15" t="n">
        <v>10036.77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949</v>
      </c>
      <c r="B211" s="3" t="s">
        <v>1308</v>
      </c>
      <c r="C211" s="3" t="s">
        <v>159</v>
      </c>
      <c r="D211" s="3" t="s">
        <v>511</v>
      </c>
      <c r="E211" s="3" t="s">
        <v>56</v>
      </c>
      <c r="F211" s="12" t="n">
        <v>520000</v>
      </c>
      <c r="G211" s="13" t="n">
        <v>0.65</v>
      </c>
      <c r="H211" s="13" t="n">
        <v>1.15</v>
      </c>
      <c r="I211" s="13" t="n">
        <v>0.9691</v>
      </c>
      <c r="J211" s="13" t="n">
        <v>0.53</v>
      </c>
      <c r="K211" s="12" t="n">
        <f aca="false">ROUND(F211/100*G211*H211*I211/J211,2)</f>
        <v>7107.34</v>
      </c>
      <c r="L211" s="12" t="n">
        <v>7107.34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949</v>
      </c>
      <c r="B212" s="14" t="s">
        <v>1309</v>
      </c>
      <c r="C212" s="14" t="s">
        <v>93</v>
      </c>
      <c r="D212" s="14" t="s">
        <v>584</v>
      </c>
      <c r="E212" s="14" t="s">
        <v>50</v>
      </c>
      <c r="F212" s="15" t="n">
        <v>290000</v>
      </c>
      <c r="G212" s="16" t="n">
        <v>1.15</v>
      </c>
      <c r="H212" s="16" t="n">
        <v>1.39</v>
      </c>
      <c r="I212" s="16" t="n">
        <v>0.9691</v>
      </c>
      <c r="J212" s="16" t="n">
        <v>0.53</v>
      </c>
      <c r="K212" s="15" t="n">
        <f aca="false">ROUND(F212/100*G212*H212*I212/J212,2)</f>
        <v>8476.24</v>
      </c>
      <c r="L212" s="15" t="n">
        <v>8476.24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963</v>
      </c>
      <c r="B213" s="3" t="s">
        <v>1310</v>
      </c>
      <c r="C213" s="3" t="s">
        <v>237</v>
      </c>
      <c r="D213" s="3" t="s">
        <v>880</v>
      </c>
      <c r="E213" s="3" t="s">
        <v>56</v>
      </c>
      <c r="F213" s="12" t="n">
        <v>1390000</v>
      </c>
      <c r="G213" s="13" t="n">
        <v>0.55</v>
      </c>
      <c r="H213" s="13" t="n">
        <v>1.33</v>
      </c>
      <c r="I213" s="13" t="n">
        <v>0.9691</v>
      </c>
      <c r="J213" s="13" t="n">
        <v>0.53</v>
      </c>
      <c r="K213" s="12" t="n">
        <f aca="false">ROUND(F213/100*G213*H213*I213/J213,2)</f>
        <v>18591.82</v>
      </c>
      <c r="L213" s="12" t="n">
        <v>18591.82</v>
      </c>
      <c r="M213" s="12" t="n">
        <f aca="false">L213-K213</f>
        <v>0</v>
      </c>
      <c r="N213" s="3" t="s">
        <v>70</v>
      </c>
      <c r="O213" s="3" t="s">
        <v>52</v>
      </c>
    </row>
    <row r="214" customFormat="false" ht="15" hidden="false" customHeight="false" outlineLevel="0" collapsed="false">
      <c r="A214" s="14" t="s">
        <v>1031</v>
      </c>
      <c r="B214" s="14" t="s">
        <v>1311</v>
      </c>
      <c r="C214" s="14" t="s">
        <v>305</v>
      </c>
      <c r="D214" s="14" t="s">
        <v>1312</v>
      </c>
      <c r="E214" s="14" t="s">
        <v>133</v>
      </c>
      <c r="F214" s="15" t="n">
        <v>1105000</v>
      </c>
      <c r="G214" s="16" t="n">
        <v>0.34</v>
      </c>
      <c r="H214" s="16" t="n">
        <v>1.12</v>
      </c>
      <c r="I214" s="16" t="n">
        <v>0.9691</v>
      </c>
      <c r="J214" s="16" t="n">
        <v>0.53</v>
      </c>
      <c r="K214" s="15" t="n">
        <f aca="false">ROUND(F214/100*G214*H214*I214/J214,2)</f>
        <v>7694</v>
      </c>
      <c r="L214" s="15" t="n">
        <v>7694</v>
      </c>
      <c r="M214" s="15" t="n">
        <f aca="false">L214-K214</f>
        <v>0</v>
      </c>
      <c r="N214" s="14" t="s">
        <v>70</v>
      </c>
      <c r="O214" s="14" t="s">
        <v>52</v>
      </c>
    </row>
    <row r="215" customFormat="false" ht="15" hidden="false" customHeight="false" outlineLevel="0" collapsed="false">
      <c r="A215" s="3" t="s">
        <v>949</v>
      </c>
      <c r="B215" s="3" t="s">
        <v>1313</v>
      </c>
      <c r="C215" s="3" t="s">
        <v>184</v>
      </c>
      <c r="D215" s="3" t="s">
        <v>745</v>
      </c>
      <c r="E215" s="3" t="s">
        <v>56</v>
      </c>
      <c r="F215" s="12" t="n">
        <v>685000</v>
      </c>
      <c r="G215" s="13" t="n">
        <v>0.65</v>
      </c>
      <c r="H215" s="13" t="n">
        <v>1.02</v>
      </c>
      <c r="I215" s="13" t="n">
        <v>0.9691</v>
      </c>
      <c r="J215" s="13" t="n">
        <v>0.53</v>
      </c>
      <c r="K215" s="12" t="n">
        <f aca="false">ROUND(F215/100*G215*H215*I215/J215,2)</f>
        <v>8304.18</v>
      </c>
      <c r="L215" s="12" t="n">
        <v>8304.18</v>
      </c>
      <c r="M215" s="12" t="n">
        <f aca="false">L215-K215</f>
        <v>0</v>
      </c>
      <c r="N215" s="3" t="s">
        <v>51</v>
      </c>
      <c r="O215" s="3" t="s">
        <v>52</v>
      </c>
    </row>
    <row r="216" customFormat="false" ht="15" hidden="false" customHeight="false" outlineLevel="0" collapsed="false">
      <c r="A216" s="14" t="s">
        <v>1040</v>
      </c>
      <c r="B216" s="14" t="s">
        <v>1314</v>
      </c>
      <c r="C216" s="14" t="s">
        <v>278</v>
      </c>
      <c r="D216" s="14" t="s">
        <v>1315</v>
      </c>
      <c r="E216" s="14" t="s">
        <v>56</v>
      </c>
      <c r="F216" s="15" t="n">
        <v>1950000</v>
      </c>
      <c r="G216" s="16" t="n">
        <v>0.55</v>
      </c>
      <c r="H216" s="16" t="n">
        <v>0.98</v>
      </c>
      <c r="I216" s="16" t="n">
        <v>0.9691</v>
      </c>
      <c r="J216" s="16" t="n">
        <v>0.53</v>
      </c>
      <c r="K216" s="15" t="n">
        <f aca="false">ROUND(F216/100*G216*H216*I216/J216,2)</f>
        <v>19218.35</v>
      </c>
      <c r="L216" s="15" t="n">
        <v>19218.35</v>
      </c>
      <c r="M216" s="15" t="n">
        <f aca="false">L216-K216</f>
        <v>0</v>
      </c>
      <c r="N216" s="14" t="s">
        <v>70</v>
      </c>
      <c r="O216" s="14" t="s">
        <v>52</v>
      </c>
    </row>
    <row r="217" customFormat="false" ht="15" hidden="false" customHeight="false" outlineLevel="0" collapsed="false">
      <c r="A217" s="3" t="s">
        <v>994</v>
      </c>
      <c r="B217" s="3" t="s">
        <v>1316</v>
      </c>
      <c r="C217" s="3" t="s">
        <v>48</v>
      </c>
      <c r="D217" s="3" t="s">
        <v>1317</v>
      </c>
      <c r="E217" s="3" t="s">
        <v>50</v>
      </c>
      <c r="F217" s="12" t="n">
        <v>960000</v>
      </c>
      <c r="G217" s="13" t="n">
        <v>0.95</v>
      </c>
      <c r="H217" s="13" t="n">
        <v>1.28</v>
      </c>
      <c r="I217" s="13" t="n">
        <v>0.9691</v>
      </c>
      <c r="J217" s="13" t="n">
        <v>0.53</v>
      </c>
      <c r="K217" s="12" t="n">
        <f aca="false">ROUND(F217/100*G217*H217*I217/J217,2)</f>
        <v>21345.07</v>
      </c>
      <c r="L217" s="12" t="n">
        <v>21345.07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1114</v>
      </c>
      <c r="B218" s="14" t="s">
        <v>1318</v>
      </c>
      <c r="C218" s="14" t="s">
        <v>77</v>
      </c>
      <c r="D218" s="14" t="s">
        <v>1319</v>
      </c>
      <c r="E218" s="14" t="s">
        <v>133</v>
      </c>
      <c r="F218" s="15" t="n">
        <v>1800000</v>
      </c>
      <c r="G218" s="16" t="n">
        <v>0.34</v>
      </c>
      <c r="H218" s="16" t="n">
        <v>1.42</v>
      </c>
      <c r="I218" s="16" t="n">
        <v>0.9691</v>
      </c>
      <c r="J218" s="16" t="n">
        <v>0.53</v>
      </c>
      <c r="K218" s="15" t="n">
        <f aca="false">ROUND(F218/100*G218*H218*I218/J218,2)</f>
        <v>15890.31</v>
      </c>
      <c r="L218" s="15" t="n">
        <v>15890.31</v>
      </c>
      <c r="M218" s="15" t="n">
        <f aca="false">L218-K218</f>
        <v>0</v>
      </c>
      <c r="N218" s="14" t="s">
        <v>70</v>
      </c>
      <c r="O218" s="14" t="s">
        <v>52</v>
      </c>
    </row>
    <row r="219" customFormat="false" ht="15" hidden="false" customHeight="false" outlineLevel="0" collapsed="false">
      <c r="A219" s="3" t="s">
        <v>987</v>
      </c>
      <c r="B219" s="3" t="s">
        <v>1320</v>
      </c>
      <c r="C219" s="3" t="s">
        <v>311</v>
      </c>
      <c r="D219" s="3" t="s">
        <v>1321</v>
      </c>
      <c r="E219" s="3" t="s">
        <v>56</v>
      </c>
      <c r="F219" s="12" t="n">
        <v>275000</v>
      </c>
      <c r="G219" s="13" t="n">
        <v>0.75</v>
      </c>
      <c r="H219" s="13" t="n">
        <v>1.06</v>
      </c>
      <c r="I219" s="13" t="n">
        <v>0.9691</v>
      </c>
      <c r="J219" s="13" t="n">
        <v>0.53</v>
      </c>
      <c r="K219" s="12" t="n">
        <f aca="false">ROUND(F219/100*G219*H219*I219/J219,2)</f>
        <v>3997.54</v>
      </c>
      <c r="L219" s="12" t="n">
        <v>3997.54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996</v>
      </c>
      <c r="B220" s="14" t="s">
        <v>1322</v>
      </c>
      <c r="C220" s="14" t="s">
        <v>105</v>
      </c>
      <c r="D220" s="14" t="s">
        <v>1323</v>
      </c>
      <c r="E220" s="14" t="s">
        <v>50</v>
      </c>
      <c r="F220" s="15" t="n">
        <v>270000</v>
      </c>
      <c r="G220" s="16" t="n">
        <v>1.15</v>
      </c>
      <c r="H220" s="16" t="n">
        <v>0.99</v>
      </c>
      <c r="I220" s="16" t="n">
        <v>0.9691</v>
      </c>
      <c r="J220" s="16" t="n">
        <v>0.53</v>
      </c>
      <c r="K220" s="15" t="n">
        <f aca="false">ROUND(F220/100*G220*H220*I220/J220,2)</f>
        <v>5620.69</v>
      </c>
      <c r="L220" s="15" t="n">
        <v>5620.69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1107</v>
      </c>
      <c r="B221" s="3" t="s">
        <v>1324</v>
      </c>
      <c r="C221" s="3" t="s">
        <v>89</v>
      </c>
      <c r="D221" s="3" t="s">
        <v>1325</v>
      </c>
      <c r="E221" s="3" t="s">
        <v>56</v>
      </c>
      <c r="F221" s="12" t="n">
        <v>225000</v>
      </c>
      <c r="G221" s="13" t="n">
        <v>0.92</v>
      </c>
      <c r="H221" s="13" t="n">
        <v>1.35</v>
      </c>
      <c r="I221" s="13" t="n">
        <v>0.9691</v>
      </c>
      <c r="J221" s="13" t="n">
        <v>0.53</v>
      </c>
      <c r="K221" s="12" t="n">
        <f aca="false">ROUND(F221/100*G221*H221*I221/J221,2)</f>
        <v>5109.72</v>
      </c>
      <c r="L221" s="12" t="n">
        <v>5109.72</v>
      </c>
      <c r="M221" s="12" t="n">
        <f aca="false">L221-K221</f>
        <v>0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971</v>
      </c>
      <c r="B222" s="14" t="s">
        <v>1326</v>
      </c>
      <c r="C222" s="14" t="s">
        <v>77</v>
      </c>
      <c r="D222" s="14" t="s">
        <v>1110</v>
      </c>
      <c r="E222" s="14" t="s">
        <v>56</v>
      </c>
      <c r="F222" s="15" t="n">
        <v>200000</v>
      </c>
      <c r="G222" s="16" t="n">
        <v>0.92</v>
      </c>
      <c r="H222" s="16" t="n">
        <v>1.42</v>
      </c>
      <c r="I222" s="16" t="n">
        <v>0.9691</v>
      </c>
      <c r="J222" s="16" t="n">
        <v>0.53</v>
      </c>
      <c r="K222" s="15" t="n">
        <f aca="false">ROUND(F222/100*G222*H222*I222/J222,2)</f>
        <v>4777.48</v>
      </c>
      <c r="L222" s="15" t="n">
        <v>4777.48</v>
      </c>
      <c r="M222" s="15" t="n">
        <f aca="false">L222-K222</f>
        <v>0</v>
      </c>
      <c r="N222" s="14" t="s">
        <v>61</v>
      </c>
      <c r="O222" s="14" t="s">
        <v>62</v>
      </c>
    </row>
    <row r="223" customFormat="false" ht="15" hidden="false" customHeight="false" outlineLevel="0" collapsed="false">
      <c r="A223" s="3" t="s">
        <v>996</v>
      </c>
      <c r="B223" s="3" t="s">
        <v>1327</v>
      </c>
      <c r="C223" s="3" t="s">
        <v>305</v>
      </c>
      <c r="D223" s="3" t="s">
        <v>1328</v>
      </c>
      <c r="E223" s="3" t="s">
        <v>56</v>
      </c>
      <c r="F223" s="12" t="n">
        <v>590000</v>
      </c>
      <c r="G223" s="13" t="n">
        <v>0.65</v>
      </c>
      <c r="H223" s="13" t="n">
        <v>1.12</v>
      </c>
      <c r="I223" s="13" t="n">
        <v>0.9691</v>
      </c>
      <c r="J223" s="13" t="n">
        <v>0.53</v>
      </c>
      <c r="K223" s="12" t="n">
        <f aca="false">ROUND(F223/100*G223*H223*I223/J223,2)</f>
        <v>7853.73</v>
      </c>
      <c r="L223" s="12" t="n">
        <v>7853.73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1034</v>
      </c>
      <c r="B224" s="14" t="s">
        <v>1329</v>
      </c>
      <c r="C224" s="14" t="s">
        <v>89</v>
      </c>
      <c r="D224" s="14" t="s">
        <v>1330</v>
      </c>
      <c r="E224" s="14" t="s">
        <v>56</v>
      </c>
      <c r="F224" s="15" t="n">
        <v>895000</v>
      </c>
      <c r="G224" s="16" t="n">
        <v>0.65</v>
      </c>
      <c r="H224" s="16" t="n">
        <v>1.35</v>
      </c>
      <c r="I224" s="16" t="n">
        <v>0.9691</v>
      </c>
      <c r="J224" s="16" t="n">
        <v>0.53</v>
      </c>
      <c r="K224" s="15" t="n">
        <f aca="false">ROUND(F224/100*G224*H224*I224/J224,2)</f>
        <v>14360.28</v>
      </c>
      <c r="L224" s="15" t="n">
        <v>14360.28</v>
      </c>
      <c r="M224" s="15" t="n">
        <f aca="false">L224-K224</f>
        <v>0</v>
      </c>
      <c r="N224" s="14" t="s">
        <v>51</v>
      </c>
      <c r="O224" s="14" t="s">
        <v>52</v>
      </c>
    </row>
    <row r="225" customFormat="false" ht="15" hidden="false" customHeight="false" outlineLevel="0" collapsed="false">
      <c r="A225" s="3" t="s">
        <v>1083</v>
      </c>
      <c r="B225" s="3" t="s">
        <v>1331</v>
      </c>
      <c r="C225" s="3" t="s">
        <v>887</v>
      </c>
      <c r="D225" s="3" t="s">
        <v>1332</v>
      </c>
      <c r="E225" s="3" t="s">
        <v>50</v>
      </c>
      <c r="F225" s="12" t="n">
        <v>665000</v>
      </c>
      <c r="G225" s="13" t="n">
        <v>0.95</v>
      </c>
      <c r="H225" s="13" t="n">
        <v>1.37</v>
      </c>
      <c r="I225" s="13" t="n">
        <v>0.9691</v>
      </c>
      <c r="J225" s="13" t="n">
        <v>0.53</v>
      </c>
      <c r="K225" s="12" t="n">
        <f aca="false">ROUND(F225/100*G225*H225*I225/J225,2)</f>
        <v>15825.54</v>
      </c>
      <c r="L225" s="12" t="n">
        <v>15825.54</v>
      </c>
      <c r="M225" s="12" t="n">
        <f aca="false">L225-K225</f>
        <v>0</v>
      </c>
      <c r="N225" s="3" t="s">
        <v>61</v>
      </c>
      <c r="O225" s="3" t="s">
        <v>62</v>
      </c>
    </row>
    <row r="226" customFormat="false" ht="15" hidden="false" customHeight="false" outlineLevel="0" collapsed="false">
      <c r="A226" s="14" t="s">
        <v>960</v>
      </c>
      <c r="B226" s="14" t="s">
        <v>1333</v>
      </c>
      <c r="C226" s="14" t="s">
        <v>136</v>
      </c>
      <c r="D226" s="14" t="s">
        <v>680</v>
      </c>
      <c r="E226" s="14" t="s">
        <v>56</v>
      </c>
      <c r="F226" s="15" t="n">
        <v>290000</v>
      </c>
      <c r="G226" s="16" t="n">
        <v>0.75</v>
      </c>
      <c r="H226" s="16" t="n">
        <v>1.32</v>
      </c>
      <c r="I226" s="16" t="n">
        <v>0.9691</v>
      </c>
      <c r="J226" s="16" t="n">
        <v>0.53</v>
      </c>
      <c r="K226" s="15" t="n">
        <f aca="false">ROUND(F226/100*G226*H226*I226/J226,2)</f>
        <v>5249.6</v>
      </c>
      <c r="L226" s="15" t="n">
        <v>5249.6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1013</v>
      </c>
      <c r="B227" s="3" t="s">
        <v>1334</v>
      </c>
      <c r="C227" s="3" t="s">
        <v>48</v>
      </c>
      <c r="D227" s="3" t="s">
        <v>1335</v>
      </c>
      <c r="E227" s="3" t="s">
        <v>56</v>
      </c>
      <c r="F227" s="12" t="n">
        <v>525000</v>
      </c>
      <c r="G227" s="13" t="n">
        <v>0.65</v>
      </c>
      <c r="H227" s="13" t="n">
        <v>1.28</v>
      </c>
      <c r="I227" s="13" t="n">
        <v>0.9691</v>
      </c>
      <c r="J227" s="13" t="n">
        <v>0.53</v>
      </c>
      <c r="K227" s="12" t="n">
        <f aca="false">ROUND(F227/100*G227*H227*I227/J227,2)</f>
        <v>7986.85</v>
      </c>
      <c r="L227" s="12" t="n">
        <v>7986.85</v>
      </c>
      <c r="M227" s="12" t="n">
        <f aca="false">L227-K227</f>
        <v>0</v>
      </c>
      <c r="N227" s="3" t="s">
        <v>70</v>
      </c>
      <c r="O227" s="3" t="s">
        <v>52</v>
      </c>
    </row>
    <row r="228" customFormat="false" ht="15" hidden="false" customHeight="false" outlineLevel="0" collapsed="false">
      <c r="A228" s="14" t="s">
        <v>1031</v>
      </c>
      <c r="B228" s="14" t="s">
        <v>1336</v>
      </c>
      <c r="C228" s="14" t="s">
        <v>81</v>
      </c>
      <c r="D228" s="14" t="s">
        <v>1337</v>
      </c>
      <c r="E228" s="14" t="s">
        <v>157</v>
      </c>
      <c r="F228" s="15" t="n">
        <v>480000</v>
      </c>
      <c r="G228" s="16" t="n">
        <v>0.88</v>
      </c>
      <c r="H228" s="16" t="n">
        <v>1.27</v>
      </c>
      <c r="I228" s="16" t="n">
        <v>0.9691</v>
      </c>
      <c r="J228" s="16" t="n">
        <v>0.53</v>
      </c>
      <c r="K228" s="15" t="n">
        <f aca="false">ROUND(F228/100*G228*H228*I228/J228,2)</f>
        <v>9808.9</v>
      </c>
      <c r="L228" s="15" t="n">
        <v>9808.9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994</v>
      </c>
      <c r="B229" s="3" t="s">
        <v>1338</v>
      </c>
      <c r="C229" s="3" t="s">
        <v>311</v>
      </c>
      <c r="D229" s="3" t="s">
        <v>1339</v>
      </c>
      <c r="E229" s="3" t="s">
        <v>50</v>
      </c>
      <c r="F229" s="12" t="n">
        <v>1950000</v>
      </c>
      <c r="G229" s="13" t="n">
        <v>0.8</v>
      </c>
      <c r="H229" s="13" t="n">
        <v>1.06</v>
      </c>
      <c r="I229" s="13" t="n">
        <v>0.9691</v>
      </c>
      <c r="J229" s="13" t="n">
        <v>0.53</v>
      </c>
      <c r="K229" s="12" t="n">
        <f aca="false">ROUND(F229/100*G229*H229*I229/J229,2)</f>
        <v>30235.92</v>
      </c>
      <c r="L229" s="12" t="n">
        <v>30235.92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1124</v>
      </c>
      <c r="B230" s="14" t="s">
        <v>1340</v>
      </c>
      <c r="C230" s="14" t="s">
        <v>48</v>
      </c>
      <c r="D230" s="14" t="s">
        <v>1341</v>
      </c>
      <c r="E230" s="14" t="s">
        <v>56</v>
      </c>
      <c r="F230" s="15" t="n">
        <v>1115000</v>
      </c>
      <c r="G230" s="16" t="n">
        <v>0.55</v>
      </c>
      <c r="H230" s="16" t="n">
        <v>1.28</v>
      </c>
      <c r="I230" s="16" t="n">
        <v>0.9691</v>
      </c>
      <c r="J230" s="16" t="n">
        <v>0.53</v>
      </c>
      <c r="K230" s="15" t="n">
        <f aca="false">ROUND(F230/100*G230*H230*I230/J230,2)</f>
        <v>14352.92</v>
      </c>
      <c r="L230" s="15" t="n">
        <v>14352.92</v>
      </c>
      <c r="M230" s="15" t="n">
        <f aca="false">L230-K230</f>
        <v>0</v>
      </c>
      <c r="N230" s="14" t="s">
        <v>70</v>
      </c>
      <c r="O230" s="14" t="s">
        <v>52</v>
      </c>
    </row>
    <row r="231" customFormat="false" ht="15" hidden="false" customHeight="false" outlineLevel="0" collapsed="false">
      <c r="A231" s="3" t="s">
        <v>954</v>
      </c>
      <c r="B231" s="3" t="s">
        <v>1342</v>
      </c>
      <c r="C231" s="3" t="s">
        <v>435</v>
      </c>
      <c r="D231" s="3" t="s">
        <v>322</v>
      </c>
      <c r="E231" s="3" t="s">
        <v>56</v>
      </c>
      <c r="F231" s="12" t="n">
        <v>1090000</v>
      </c>
      <c r="G231" s="13" t="n">
        <v>0.55</v>
      </c>
      <c r="H231" s="13" t="n">
        <v>1.13</v>
      </c>
      <c r="I231" s="13" t="n">
        <v>0.9691</v>
      </c>
      <c r="J231" s="13" t="n">
        <v>0.53</v>
      </c>
      <c r="K231" s="12" t="n">
        <f aca="false">ROUND(F231/100*G231*H231*I231/J231,2)</f>
        <v>12386.84</v>
      </c>
      <c r="L231" s="12" t="n">
        <v>12386.83</v>
      </c>
      <c r="M231" s="12" t="n">
        <f aca="false">L231-K231</f>
        <v>-0.0100000000002183</v>
      </c>
      <c r="N231" s="3" t="s">
        <v>70</v>
      </c>
      <c r="O231" s="3" t="s">
        <v>52</v>
      </c>
    </row>
    <row r="232" customFormat="false" ht="15" hidden="false" customHeight="false" outlineLevel="0" collapsed="false">
      <c r="A232" s="14" t="s">
        <v>960</v>
      </c>
      <c r="B232" s="14" t="s">
        <v>1343</v>
      </c>
      <c r="C232" s="14" t="s">
        <v>114</v>
      </c>
      <c r="D232" s="14" t="s">
        <v>1344</v>
      </c>
      <c r="E232" s="14" t="s">
        <v>56</v>
      </c>
      <c r="F232" s="15" t="n">
        <v>325000</v>
      </c>
      <c r="G232" s="16" t="n">
        <v>0.75</v>
      </c>
      <c r="H232" s="16" t="n">
        <v>1.36</v>
      </c>
      <c r="I232" s="16" t="n">
        <v>0.9691</v>
      </c>
      <c r="J232" s="16" t="n">
        <v>0.53</v>
      </c>
      <c r="K232" s="15" t="n">
        <f aca="false">ROUND(F232/100*G232*H232*I232/J232,2)</f>
        <v>6061.45</v>
      </c>
      <c r="L232" s="15" t="n">
        <v>6061.45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1124</v>
      </c>
      <c r="B233" s="3" t="s">
        <v>1345</v>
      </c>
      <c r="C233" s="3" t="s">
        <v>417</v>
      </c>
      <c r="D233" s="3" t="s">
        <v>162</v>
      </c>
      <c r="E233" s="3" t="s">
        <v>74</v>
      </c>
      <c r="F233" s="12" t="n">
        <v>850000</v>
      </c>
      <c r="G233" s="13" t="n">
        <v>0.43</v>
      </c>
      <c r="H233" s="13" t="n">
        <v>1.24</v>
      </c>
      <c r="I233" s="13" t="n">
        <v>0.9691</v>
      </c>
      <c r="J233" s="13" t="n">
        <v>0.53</v>
      </c>
      <c r="K233" s="12" t="n">
        <f aca="false">ROUND(F233/100*G233*H233*I233/J233,2)</f>
        <v>8287.08</v>
      </c>
      <c r="L233" s="12" t="n">
        <v>8287.08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971</v>
      </c>
      <c r="B234" s="14" t="s">
        <v>1346</v>
      </c>
      <c r="C234" s="14" t="s">
        <v>193</v>
      </c>
      <c r="D234" s="14" t="s">
        <v>1347</v>
      </c>
      <c r="E234" s="14" t="s">
        <v>74</v>
      </c>
      <c r="F234" s="15" t="n">
        <v>310000</v>
      </c>
      <c r="G234" s="16" t="n">
        <v>0.48</v>
      </c>
      <c r="H234" s="16" t="n">
        <v>1.25</v>
      </c>
      <c r="I234" s="16" t="n">
        <v>0.9691</v>
      </c>
      <c r="J234" s="16" t="n">
        <v>0.53</v>
      </c>
      <c r="K234" s="15" t="n">
        <f aca="false">ROUND(F234/100*G234*H234*I234/J234,2)</f>
        <v>3400.99</v>
      </c>
      <c r="L234" s="15" t="n">
        <v>3400.99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966</v>
      </c>
      <c r="B235" s="3" t="s">
        <v>1348</v>
      </c>
      <c r="C235" s="3" t="s">
        <v>117</v>
      </c>
      <c r="D235" s="3" t="s">
        <v>682</v>
      </c>
      <c r="E235" s="3" t="s">
        <v>56</v>
      </c>
      <c r="F235" s="12" t="n">
        <v>245000</v>
      </c>
      <c r="G235" s="13" t="n">
        <v>0.92</v>
      </c>
      <c r="H235" s="13" t="n">
        <v>0.91</v>
      </c>
      <c r="I235" s="13" t="n">
        <v>0.9691</v>
      </c>
      <c r="J235" s="13" t="n">
        <v>0.53</v>
      </c>
      <c r="K235" s="12" t="n">
        <f aca="false">ROUND(F235/100*G235*H235*I235/J235,2)</f>
        <v>3750.49</v>
      </c>
      <c r="L235" s="12" t="n">
        <v>3750.49</v>
      </c>
      <c r="M235" s="12" t="n">
        <f aca="false">L235-K235</f>
        <v>0</v>
      </c>
      <c r="N235" s="3" t="s">
        <v>51</v>
      </c>
      <c r="O235" s="3" t="s">
        <v>52</v>
      </c>
    </row>
    <row r="236" customFormat="false" ht="15" hidden="false" customHeight="false" outlineLevel="0" collapsed="false">
      <c r="A236" s="14" t="s">
        <v>952</v>
      </c>
      <c r="B236" s="14" t="s">
        <v>1349</v>
      </c>
      <c r="C236" s="14" t="s">
        <v>89</v>
      </c>
      <c r="D236" s="14" t="s">
        <v>617</v>
      </c>
      <c r="E236" s="14" t="s">
        <v>56</v>
      </c>
      <c r="F236" s="15" t="n">
        <v>410000</v>
      </c>
      <c r="G236" s="16" t="n">
        <v>0.75</v>
      </c>
      <c r="H236" s="16" t="n">
        <v>1.35</v>
      </c>
      <c r="I236" s="16" t="n">
        <v>0.9691</v>
      </c>
      <c r="J236" s="16" t="n">
        <v>0.53</v>
      </c>
      <c r="K236" s="15" t="n">
        <f aca="false">ROUND(F236/100*G236*H236*I236/J236,2)</f>
        <v>7590.52</v>
      </c>
      <c r="L236" s="15" t="n">
        <v>7590.52</v>
      </c>
      <c r="M236" s="15" t="n">
        <f aca="false">L236-K236</f>
        <v>0</v>
      </c>
      <c r="N236" s="14" t="s">
        <v>51</v>
      </c>
      <c r="O236" s="14" t="s">
        <v>52</v>
      </c>
    </row>
    <row r="237" customFormat="false" ht="15" hidden="false" customHeight="false" outlineLevel="0" collapsed="false">
      <c r="A237" s="3" t="s">
        <v>1031</v>
      </c>
      <c r="B237" s="3" t="s">
        <v>1350</v>
      </c>
      <c r="C237" s="3" t="s">
        <v>188</v>
      </c>
      <c r="D237" s="3" t="s">
        <v>842</v>
      </c>
      <c r="E237" s="3" t="s">
        <v>56</v>
      </c>
      <c r="F237" s="12" t="n">
        <v>180000</v>
      </c>
      <c r="G237" s="13" t="n">
        <v>0.92</v>
      </c>
      <c r="H237" s="13" t="n">
        <v>1.35</v>
      </c>
      <c r="I237" s="13" t="n">
        <v>0.9691</v>
      </c>
      <c r="J237" s="13" t="n">
        <v>0.53</v>
      </c>
      <c r="K237" s="12" t="n">
        <f aca="false">ROUND(F237/100*G237*H237*I237/J237,2)</f>
        <v>4087.77</v>
      </c>
      <c r="L237" s="12" t="n">
        <v>4087.77</v>
      </c>
      <c r="M237" s="12" t="n">
        <f aca="false">L237-K237</f>
        <v>0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1031</v>
      </c>
      <c r="B238" s="14" t="s">
        <v>1351</v>
      </c>
      <c r="C238" s="14" t="s">
        <v>152</v>
      </c>
      <c r="D238" s="14" t="s">
        <v>1352</v>
      </c>
      <c r="E238" s="14" t="s">
        <v>50</v>
      </c>
      <c r="F238" s="15" t="n">
        <v>1930000</v>
      </c>
      <c r="G238" s="16" t="n">
        <v>0.8</v>
      </c>
      <c r="H238" s="16" t="n">
        <v>1</v>
      </c>
      <c r="I238" s="16" t="n">
        <v>0.9691</v>
      </c>
      <c r="J238" s="16" t="n">
        <v>0.53</v>
      </c>
      <c r="K238" s="15" t="n">
        <f aca="false">ROUND(F238/100*G238*H238*I238/J238,2)</f>
        <v>28231.89</v>
      </c>
      <c r="L238" s="15" t="n">
        <v>28231.9</v>
      </c>
      <c r="M238" s="15" t="n">
        <f aca="false">L238-K238</f>
        <v>0.0100000000020373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958</v>
      </c>
      <c r="B239" s="3" t="s">
        <v>1353</v>
      </c>
      <c r="C239" s="3" t="s">
        <v>409</v>
      </c>
      <c r="D239" s="3" t="s">
        <v>682</v>
      </c>
      <c r="E239" s="3" t="s">
        <v>56</v>
      </c>
      <c r="F239" s="12" t="n">
        <v>1025000</v>
      </c>
      <c r="G239" s="13" t="n">
        <v>0.55</v>
      </c>
      <c r="H239" s="13" t="n">
        <v>1.3</v>
      </c>
      <c r="I239" s="13" t="n">
        <v>0.9691</v>
      </c>
      <c r="J239" s="13" t="n">
        <v>0.53</v>
      </c>
      <c r="K239" s="12" t="n">
        <f aca="false">ROUND(F239/100*G239*H239*I239/J239,2)</f>
        <v>13400.55</v>
      </c>
      <c r="L239" s="12" t="n">
        <v>13400.55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1034</v>
      </c>
      <c r="B240" s="14" t="s">
        <v>1354</v>
      </c>
      <c r="C240" s="14" t="s">
        <v>193</v>
      </c>
      <c r="D240" s="14" t="s">
        <v>1219</v>
      </c>
      <c r="E240" s="14" t="s">
        <v>50</v>
      </c>
      <c r="F240" s="15" t="n">
        <v>1045000</v>
      </c>
      <c r="G240" s="16" t="n">
        <v>0.8</v>
      </c>
      <c r="H240" s="16" t="n">
        <v>1.25</v>
      </c>
      <c r="I240" s="16" t="n">
        <v>0.9691</v>
      </c>
      <c r="J240" s="16" t="n">
        <v>0.53</v>
      </c>
      <c r="K240" s="15" t="n">
        <f aca="false">ROUND(F240/100*G240*H240*I240/J240,2)</f>
        <v>19107.73</v>
      </c>
      <c r="L240" s="15" t="n">
        <v>19107.73</v>
      </c>
      <c r="M240" s="15" t="n">
        <f aca="false">L240-K240</f>
        <v>0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1124</v>
      </c>
      <c r="B241" s="3" t="s">
        <v>1355</v>
      </c>
      <c r="C241" s="3" t="s">
        <v>169</v>
      </c>
      <c r="D241" s="3" t="s">
        <v>231</v>
      </c>
      <c r="E241" s="3" t="s">
        <v>56</v>
      </c>
      <c r="F241" s="12" t="n">
        <v>575000</v>
      </c>
      <c r="G241" s="13" t="n">
        <v>0.65</v>
      </c>
      <c r="H241" s="13" t="n">
        <v>1.07</v>
      </c>
      <c r="I241" s="13" t="n">
        <v>0.9691</v>
      </c>
      <c r="J241" s="13" t="n">
        <v>0.53</v>
      </c>
      <c r="K241" s="12" t="n">
        <f aca="false">ROUND(F241/100*G241*H241*I241/J241,2)</f>
        <v>7312.36</v>
      </c>
      <c r="L241" s="12" t="n">
        <v>7312.36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994</v>
      </c>
      <c r="B242" s="14" t="s">
        <v>1356</v>
      </c>
      <c r="C242" s="14" t="s">
        <v>169</v>
      </c>
      <c r="D242" s="14" t="s">
        <v>904</v>
      </c>
      <c r="E242" s="14" t="s">
        <v>50</v>
      </c>
      <c r="F242" s="15" t="n">
        <v>1095000</v>
      </c>
      <c r="G242" s="16" t="n">
        <v>0.8</v>
      </c>
      <c r="H242" s="16" t="n">
        <v>1.07</v>
      </c>
      <c r="I242" s="16" t="n">
        <v>0.9691</v>
      </c>
      <c r="J242" s="16" t="n">
        <v>0.53</v>
      </c>
      <c r="K242" s="15" t="n">
        <f aca="false">ROUND(F242/100*G242*H242*I242/J242,2)</f>
        <v>17138.81</v>
      </c>
      <c r="L242" s="15" t="n">
        <v>17138.8</v>
      </c>
      <c r="M242" s="15" t="n">
        <f aca="false">L242-K242</f>
        <v>-0.0100000000020373</v>
      </c>
      <c r="N242" s="14" t="s">
        <v>61</v>
      </c>
      <c r="O242" s="14" t="s">
        <v>62</v>
      </c>
    </row>
    <row r="243" customFormat="false" ht="15" hidden="false" customHeight="false" outlineLevel="0" collapsed="false">
      <c r="A243" s="3" t="s">
        <v>1083</v>
      </c>
      <c r="B243" s="3" t="s">
        <v>1357</v>
      </c>
      <c r="C243" s="3" t="s">
        <v>114</v>
      </c>
      <c r="D243" s="3" t="s">
        <v>383</v>
      </c>
      <c r="E243" s="3" t="s">
        <v>50</v>
      </c>
      <c r="F243" s="12" t="n">
        <v>415000</v>
      </c>
      <c r="G243" s="13" t="n">
        <v>1.15</v>
      </c>
      <c r="H243" s="13" t="n">
        <v>1.36</v>
      </c>
      <c r="I243" s="13" t="n">
        <v>0.9691</v>
      </c>
      <c r="J243" s="13" t="n">
        <v>0.53</v>
      </c>
      <c r="K243" s="12" t="n">
        <f aca="false">ROUND(F243/100*G243*H243*I243/J243,2)</f>
        <v>11868</v>
      </c>
      <c r="L243" s="12" t="n">
        <v>11868.01</v>
      </c>
      <c r="M243" s="12" t="n">
        <f aca="false">L243-K243</f>
        <v>0.0100000000002183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975</v>
      </c>
      <c r="B244" s="14" t="s">
        <v>1358</v>
      </c>
      <c r="C244" s="14" t="s">
        <v>68</v>
      </c>
      <c r="D244" s="14" t="s">
        <v>167</v>
      </c>
      <c r="E244" s="14" t="s">
        <v>74</v>
      </c>
      <c r="F244" s="15" t="n">
        <v>1950000</v>
      </c>
      <c r="G244" s="16" t="n">
        <v>0.38</v>
      </c>
      <c r="H244" s="16" t="n">
        <v>1.38</v>
      </c>
      <c r="I244" s="16" t="n">
        <v>0.9691</v>
      </c>
      <c r="J244" s="16" t="n">
        <v>0.53</v>
      </c>
      <c r="K244" s="15" t="n">
        <f aca="false">ROUND(F244/100*G244*H244*I244/J244,2)</f>
        <v>18697.78</v>
      </c>
      <c r="L244" s="15" t="n">
        <v>18697.78</v>
      </c>
      <c r="M244" s="15" t="n">
        <f aca="false">L244-K244</f>
        <v>0</v>
      </c>
      <c r="N244" s="14" t="s">
        <v>51</v>
      </c>
      <c r="O244" s="14" t="s">
        <v>52</v>
      </c>
    </row>
    <row r="245" customFormat="false" ht="15" hidden="false" customHeight="false" outlineLevel="0" collapsed="false">
      <c r="A245" s="3" t="s">
        <v>1083</v>
      </c>
      <c r="B245" s="3" t="s">
        <v>1359</v>
      </c>
      <c r="C245" s="3" t="s">
        <v>435</v>
      </c>
      <c r="D245" s="3" t="s">
        <v>1360</v>
      </c>
      <c r="E245" s="3" t="s">
        <v>56</v>
      </c>
      <c r="F245" s="12" t="n">
        <v>790000</v>
      </c>
      <c r="G245" s="13" t="n">
        <v>0.65</v>
      </c>
      <c r="H245" s="13" t="n">
        <v>1.13</v>
      </c>
      <c r="I245" s="13" t="n">
        <v>0.9691</v>
      </c>
      <c r="J245" s="13" t="n">
        <v>0.53</v>
      </c>
      <c r="K245" s="12" t="n">
        <f aca="false">ROUND(F245/100*G245*H245*I245/J245,2)</f>
        <v>10609.91</v>
      </c>
      <c r="L245" s="12" t="n">
        <v>10609.91</v>
      </c>
      <c r="M245" s="12" t="n">
        <f aca="false">L245-K245</f>
        <v>0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1114</v>
      </c>
      <c r="B246" s="14" t="s">
        <v>1361</v>
      </c>
      <c r="C246" s="14" t="s">
        <v>77</v>
      </c>
      <c r="D246" s="14" t="s">
        <v>730</v>
      </c>
      <c r="E246" s="14" t="s">
        <v>56</v>
      </c>
      <c r="F246" s="15" t="n">
        <v>870000</v>
      </c>
      <c r="G246" s="16" t="n">
        <v>0.65</v>
      </c>
      <c r="H246" s="16" t="n">
        <v>1.42</v>
      </c>
      <c r="I246" s="16" t="n">
        <v>0.9691</v>
      </c>
      <c r="J246" s="16" t="n">
        <v>0.53</v>
      </c>
      <c r="K246" s="15" t="n">
        <f aca="false">ROUND(F246/100*G246*H246*I246/J246,2)</f>
        <v>14682.96</v>
      </c>
      <c r="L246" s="15" t="n">
        <v>14682.96</v>
      </c>
      <c r="M246" s="15" t="n">
        <f aca="false">L246-K246</f>
        <v>0</v>
      </c>
      <c r="N246" s="14" t="s">
        <v>51</v>
      </c>
      <c r="O246" s="14" t="s">
        <v>52</v>
      </c>
    </row>
    <row r="247" customFormat="false" ht="15" hidden="false" customHeight="false" outlineLevel="0" collapsed="false">
      <c r="A247" s="3" t="s">
        <v>1013</v>
      </c>
      <c r="B247" s="3" t="s">
        <v>1362</v>
      </c>
      <c r="C247" s="3" t="s">
        <v>159</v>
      </c>
      <c r="D247" s="3" t="s">
        <v>1363</v>
      </c>
      <c r="E247" s="3" t="s">
        <v>50</v>
      </c>
      <c r="F247" s="12" t="n">
        <v>375000</v>
      </c>
      <c r="G247" s="13" t="n">
        <v>1.15</v>
      </c>
      <c r="H247" s="13" t="n">
        <v>1.15</v>
      </c>
      <c r="I247" s="13" t="n">
        <v>0.9691</v>
      </c>
      <c r="J247" s="13" t="n">
        <v>0.53</v>
      </c>
      <c r="K247" s="12" t="n">
        <f aca="false">ROUND(F247/100*G247*H247*I247/J247,2)</f>
        <v>9068.17</v>
      </c>
      <c r="L247" s="12" t="n">
        <v>9068.17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979</v>
      </c>
      <c r="B248" s="14" t="s">
        <v>1364</v>
      </c>
      <c r="C248" s="14" t="s">
        <v>117</v>
      </c>
      <c r="D248" s="14" t="s">
        <v>1365</v>
      </c>
      <c r="E248" s="14" t="s">
        <v>50</v>
      </c>
      <c r="F248" s="15" t="n">
        <v>665000</v>
      </c>
      <c r="G248" s="16" t="n">
        <v>0.95</v>
      </c>
      <c r="H248" s="16" t="n">
        <v>0.91</v>
      </c>
      <c r="I248" s="16" t="n">
        <v>0.9691</v>
      </c>
      <c r="J248" s="16" t="n">
        <v>0.53</v>
      </c>
      <c r="K248" s="15" t="n">
        <f aca="false">ROUND(F248/100*G248*H248*I248/J248,2)</f>
        <v>10511.86</v>
      </c>
      <c r="L248" s="15" t="n">
        <v>10511.86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994</v>
      </c>
      <c r="B249" s="3" t="s">
        <v>1366</v>
      </c>
      <c r="C249" s="3" t="s">
        <v>108</v>
      </c>
      <c r="D249" s="3" t="s">
        <v>1123</v>
      </c>
      <c r="E249" s="3" t="s">
        <v>157</v>
      </c>
      <c r="F249" s="12" t="n">
        <v>485000</v>
      </c>
      <c r="G249" s="13" t="n">
        <v>0.88</v>
      </c>
      <c r="H249" s="13" t="n">
        <v>0.93</v>
      </c>
      <c r="I249" s="13" t="n">
        <v>0.9691</v>
      </c>
      <c r="J249" s="13" t="n">
        <v>0.53</v>
      </c>
      <c r="K249" s="12" t="n">
        <f aca="false">ROUND(F249/100*G249*H249*I249/J249,2)</f>
        <v>7257.72</v>
      </c>
      <c r="L249" s="12" t="n">
        <v>7257.72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1005</v>
      </c>
      <c r="B250" s="14" t="s">
        <v>1367</v>
      </c>
      <c r="C250" s="14" t="s">
        <v>230</v>
      </c>
      <c r="D250" s="14" t="s">
        <v>1368</v>
      </c>
      <c r="E250" s="14" t="s">
        <v>157</v>
      </c>
      <c r="F250" s="15" t="n">
        <v>1640000</v>
      </c>
      <c r="G250" s="16" t="n">
        <v>0.68</v>
      </c>
      <c r="H250" s="16" t="n">
        <v>1.09</v>
      </c>
      <c r="I250" s="16" t="n">
        <v>0.9691</v>
      </c>
      <c r="J250" s="16" t="n">
        <v>0.53</v>
      </c>
      <c r="K250" s="15" t="n">
        <f aca="false">ROUND(F250/100*G250*H250*I250/J250,2)</f>
        <v>22226.55</v>
      </c>
      <c r="L250" s="15" t="n">
        <v>22226.55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996</v>
      </c>
      <c r="B251" s="3" t="s">
        <v>1369</v>
      </c>
      <c r="C251" s="3" t="s">
        <v>77</v>
      </c>
      <c r="D251" s="3" t="s">
        <v>1370</v>
      </c>
      <c r="E251" s="3" t="s">
        <v>157</v>
      </c>
      <c r="F251" s="12" t="n">
        <v>255000</v>
      </c>
      <c r="G251" s="13" t="n">
        <v>0.88</v>
      </c>
      <c r="H251" s="13" t="n">
        <v>1.42</v>
      </c>
      <c r="I251" s="13" t="n">
        <v>0.9691</v>
      </c>
      <c r="J251" s="13" t="n">
        <v>0.53</v>
      </c>
      <c r="K251" s="12" t="n">
        <f aca="false">ROUND(F251/100*G251*H251*I251/J251,2)</f>
        <v>5826.45</v>
      </c>
      <c r="L251" s="12" t="n">
        <v>5826.45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960</v>
      </c>
      <c r="B252" s="14" t="s">
        <v>1371</v>
      </c>
      <c r="C252" s="14" t="s">
        <v>142</v>
      </c>
      <c r="D252" s="14" t="s">
        <v>759</v>
      </c>
      <c r="E252" s="14" t="s">
        <v>56</v>
      </c>
      <c r="F252" s="15" t="n">
        <v>785000</v>
      </c>
      <c r="G252" s="16" t="n">
        <v>0.65</v>
      </c>
      <c r="H252" s="16" t="n">
        <v>1.22</v>
      </c>
      <c r="I252" s="16" t="n">
        <v>0.9691</v>
      </c>
      <c r="J252" s="16" t="n">
        <v>0.53</v>
      </c>
      <c r="K252" s="15" t="n">
        <f aca="false">ROUND(F252/100*G252*H252*I252/J252,2)</f>
        <v>11382.45</v>
      </c>
      <c r="L252" s="15" t="n">
        <v>11382.45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1005</v>
      </c>
      <c r="B253" s="3" t="s">
        <v>1372</v>
      </c>
      <c r="C253" s="3" t="s">
        <v>48</v>
      </c>
      <c r="D253" s="3" t="s">
        <v>165</v>
      </c>
      <c r="E253" s="3" t="s">
        <v>56</v>
      </c>
      <c r="F253" s="12" t="n">
        <v>235000</v>
      </c>
      <c r="G253" s="13" t="n">
        <v>0.92</v>
      </c>
      <c r="H253" s="13" t="n">
        <v>1.28</v>
      </c>
      <c r="I253" s="13" t="n">
        <v>0.9691</v>
      </c>
      <c r="J253" s="13" t="n">
        <v>0.53</v>
      </c>
      <c r="K253" s="12" t="n">
        <f aca="false">ROUND(F253/100*G253*H253*I253/J253,2)</f>
        <v>5060.09</v>
      </c>
      <c r="L253" s="12" t="n">
        <v>5060.09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971</v>
      </c>
      <c r="B254" s="14" t="s">
        <v>1373</v>
      </c>
      <c r="C254" s="14" t="s">
        <v>145</v>
      </c>
      <c r="D254" s="14" t="s">
        <v>628</v>
      </c>
      <c r="E254" s="14" t="s">
        <v>56</v>
      </c>
      <c r="F254" s="15" t="n">
        <v>655000</v>
      </c>
      <c r="G254" s="16" t="n">
        <v>0.65</v>
      </c>
      <c r="H254" s="16" t="n">
        <v>0.96</v>
      </c>
      <c r="I254" s="16" t="n">
        <v>0.9691</v>
      </c>
      <c r="J254" s="16" t="n">
        <v>0.53</v>
      </c>
      <c r="K254" s="15" t="n">
        <f aca="false">ROUND(F254/100*G254*H254*I254/J254,2)</f>
        <v>7473.41</v>
      </c>
      <c r="L254" s="15" t="n">
        <v>7473.41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1017</v>
      </c>
      <c r="B255" s="3" t="s">
        <v>1374</v>
      </c>
      <c r="C255" s="3" t="s">
        <v>85</v>
      </c>
      <c r="D255" s="3" t="s">
        <v>1375</v>
      </c>
      <c r="E255" s="3" t="s">
        <v>50</v>
      </c>
      <c r="F255" s="12" t="n">
        <v>1170000</v>
      </c>
      <c r="G255" s="13" t="n">
        <v>0.8</v>
      </c>
      <c r="H255" s="13" t="n">
        <v>1.28</v>
      </c>
      <c r="I255" s="13" t="n">
        <v>0.9691</v>
      </c>
      <c r="J255" s="13" t="n">
        <v>0.53</v>
      </c>
      <c r="K255" s="12" t="n">
        <f aca="false">ROUND(F255/100*G255*H255*I255/J255,2)</f>
        <v>21906.78</v>
      </c>
      <c r="L255" s="12" t="n">
        <v>21906.78</v>
      </c>
      <c r="M255" s="12" t="n">
        <f aca="false">L255-K255</f>
        <v>0</v>
      </c>
      <c r="N255" s="3" t="s">
        <v>61</v>
      </c>
      <c r="O255" s="3" t="s">
        <v>62</v>
      </c>
    </row>
    <row r="257" customFormat="false" ht="15" hidden="false" customHeight="false" outlineLevel="0" collapsed="false">
      <c r="A257" s="10" t="s">
        <v>551</v>
      </c>
      <c r="C257" s="17" t="n">
        <f aca="false">COUNTA(B5:B255)</f>
        <v>251</v>
      </c>
    </row>
    <row r="258" customFormat="false" ht="15" hidden="false" customHeight="false" outlineLevel="0" collapsed="false">
      <c r="A258" s="10" t="s">
        <v>552</v>
      </c>
      <c r="C258" s="17" t="n">
        <f aca="false">COUNTIF(O5:O255,"bound")</f>
        <v>174</v>
      </c>
    </row>
    <row r="259" customFormat="false" ht="15" hidden="false" customHeight="false" outlineLevel="0" collapsed="false">
      <c r="A259" s="10" t="s">
        <v>553</v>
      </c>
      <c r="C259" s="18" t="n">
        <f aca="false">AVERAGE(L5:L255)</f>
        <v>11319.8623904382</v>
      </c>
    </row>
    <row r="260" customFormat="false" ht="15" hidden="false" customHeight="false" outlineLevel="0" collapsed="false">
      <c r="A260" s="10" t="s">
        <v>554</v>
      </c>
      <c r="C260" s="18" t="n">
        <f aca="false">AVERAGEIF(O5:O255,"bound",L5:L255)</f>
        <v>11382.8716666667</v>
      </c>
    </row>
    <row r="261" customFormat="false" ht="15" hidden="false" customHeight="false" outlineLevel="0" collapsed="false">
      <c r="A261" s="10" t="s">
        <v>555</v>
      </c>
      <c r="C261" s="18" t="n">
        <f aca="false">SUMIF(O5:O255,"bound",L5:L255)</f>
        <v>1980619.67</v>
      </c>
    </row>
    <row r="262" customFormat="false" ht="15" hidden="false" customHeight="false" outlineLevel="0" collapsed="false">
      <c r="A262" s="10" t="s">
        <v>556</v>
      </c>
      <c r="C262" s="19" t="n">
        <v>0.9691</v>
      </c>
    </row>
  </sheetData>
  <autoFilter ref="A4:O2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1376</v>
      </c>
    </row>
    <row r="2" customFormat="false" ht="15" hidden="false" customHeight="false" outlineLevel="0" collapsed="false">
      <c r="A2" s="4" t="s">
        <v>1377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1378</v>
      </c>
      <c r="B5" s="3" t="s">
        <v>1379</v>
      </c>
      <c r="C5" s="3" t="s">
        <v>311</v>
      </c>
      <c r="D5" s="3" t="s">
        <v>1380</v>
      </c>
      <c r="E5" s="3" t="s">
        <v>157</v>
      </c>
      <c r="F5" s="12" t="n">
        <v>1340000</v>
      </c>
      <c r="G5" s="13" t="n">
        <v>0.68</v>
      </c>
      <c r="H5" s="13" t="n">
        <v>1.06</v>
      </c>
      <c r="I5" s="13" t="n">
        <v>0.9194</v>
      </c>
      <c r="J5" s="13" t="n">
        <v>0.53</v>
      </c>
      <c r="K5" s="12" t="n">
        <f aca="false">ROUND(F5/100*G5*H5*I5/J5,2)</f>
        <v>16755.15</v>
      </c>
      <c r="L5" s="12" t="n">
        <v>16755.15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1381</v>
      </c>
      <c r="B6" s="14" t="s">
        <v>1382</v>
      </c>
      <c r="C6" s="14" t="s">
        <v>462</v>
      </c>
      <c r="D6" s="14" t="s">
        <v>842</v>
      </c>
      <c r="E6" s="14" t="s">
        <v>56</v>
      </c>
      <c r="F6" s="15" t="n">
        <v>270000</v>
      </c>
      <c r="G6" s="16" t="n">
        <v>0.75</v>
      </c>
      <c r="H6" s="16" t="n">
        <v>1.34</v>
      </c>
      <c r="I6" s="16" t="n">
        <v>0.9194</v>
      </c>
      <c r="J6" s="16" t="n">
        <v>0.53</v>
      </c>
      <c r="K6" s="15" t="n">
        <f aca="false">ROUND(F6/100*G6*H6*I6/J6,2)</f>
        <v>4707.15</v>
      </c>
      <c r="L6" s="15" t="n">
        <v>4707.15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1383</v>
      </c>
      <c r="B7" s="3" t="s">
        <v>1384</v>
      </c>
      <c r="C7" s="3" t="s">
        <v>366</v>
      </c>
      <c r="D7" s="3" t="s">
        <v>1385</v>
      </c>
      <c r="E7" s="3" t="s">
        <v>74</v>
      </c>
      <c r="F7" s="12" t="n">
        <v>1630000</v>
      </c>
      <c r="G7" s="13" t="n">
        <v>0.38</v>
      </c>
      <c r="H7" s="13" t="n">
        <v>1.26</v>
      </c>
      <c r="I7" s="13" t="n">
        <v>0.9194</v>
      </c>
      <c r="J7" s="13" t="n">
        <v>0.53</v>
      </c>
      <c r="K7" s="12" t="n">
        <f aca="false">ROUND(F7/100*G7*H7*I7/J7,2)</f>
        <v>13538.49</v>
      </c>
      <c r="L7" s="12" t="n">
        <v>13538.5</v>
      </c>
      <c r="M7" s="12" t="n">
        <f aca="false">L7-K7</f>
        <v>0.0100000000002183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1386</v>
      </c>
      <c r="B8" s="14" t="s">
        <v>1387</v>
      </c>
      <c r="C8" s="14" t="s">
        <v>48</v>
      </c>
      <c r="D8" s="14" t="s">
        <v>1388</v>
      </c>
      <c r="E8" s="14" t="s">
        <v>50</v>
      </c>
      <c r="F8" s="15" t="n">
        <v>1950000</v>
      </c>
      <c r="G8" s="16" t="n">
        <v>0.8</v>
      </c>
      <c r="H8" s="16" t="n">
        <v>1.28</v>
      </c>
      <c r="I8" s="16" t="n">
        <v>0.9194</v>
      </c>
      <c r="J8" s="16" t="n">
        <v>0.53</v>
      </c>
      <c r="K8" s="15" t="n">
        <f aca="false">ROUND(F8/100*G8*H8*I8/J8,2)</f>
        <v>34638.83</v>
      </c>
      <c r="L8" s="15" t="n">
        <v>34638.83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1389</v>
      </c>
      <c r="B9" s="3" t="s">
        <v>1390</v>
      </c>
      <c r="C9" s="3" t="s">
        <v>266</v>
      </c>
      <c r="D9" s="3" t="s">
        <v>798</v>
      </c>
      <c r="E9" s="3" t="s">
        <v>56</v>
      </c>
      <c r="F9" s="12" t="n">
        <v>810000</v>
      </c>
      <c r="G9" s="13" t="n">
        <v>0.65</v>
      </c>
      <c r="H9" s="13" t="n">
        <v>1.1</v>
      </c>
      <c r="I9" s="13" t="n">
        <v>0.9194</v>
      </c>
      <c r="J9" s="13" t="n">
        <v>0.53</v>
      </c>
      <c r="K9" s="12" t="n">
        <f aca="false">ROUND(F9/100*G9*H9*I9/J9,2)</f>
        <v>10046.61</v>
      </c>
      <c r="L9" s="12" t="n">
        <v>10046.61</v>
      </c>
      <c r="M9" s="12" t="n">
        <f aca="false">L9-K9</f>
        <v>0</v>
      </c>
      <c r="N9" s="3" t="s">
        <v>51</v>
      </c>
      <c r="O9" s="3" t="s">
        <v>52</v>
      </c>
    </row>
    <row r="10" customFormat="false" ht="15" hidden="false" customHeight="false" outlineLevel="0" collapsed="false">
      <c r="A10" s="14" t="s">
        <v>1391</v>
      </c>
      <c r="B10" s="14" t="s">
        <v>1392</v>
      </c>
      <c r="C10" s="14" t="s">
        <v>152</v>
      </c>
      <c r="D10" s="14" t="s">
        <v>1186</v>
      </c>
      <c r="E10" s="14" t="s">
        <v>56</v>
      </c>
      <c r="F10" s="15" t="n">
        <v>1090000</v>
      </c>
      <c r="G10" s="16" t="n">
        <v>0.55</v>
      </c>
      <c r="H10" s="16" t="n">
        <v>1</v>
      </c>
      <c r="I10" s="16" t="n">
        <v>0.9194</v>
      </c>
      <c r="J10" s="16" t="n">
        <v>0.53</v>
      </c>
      <c r="K10" s="15" t="n">
        <f aca="false">ROUND(F10/100*G10*H10*I10/J10,2)</f>
        <v>10399.63</v>
      </c>
      <c r="L10" s="15" t="n">
        <v>10399.63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1393</v>
      </c>
      <c r="B11" s="3" t="s">
        <v>1394</v>
      </c>
      <c r="C11" s="3" t="s">
        <v>81</v>
      </c>
      <c r="D11" s="3" t="s">
        <v>419</v>
      </c>
      <c r="E11" s="3" t="s">
        <v>56</v>
      </c>
      <c r="F11" s="12" t="n">
        <v>335000</v>
      </c>
      <c r="G11" s="13" t="n">
        <v>0.75</v>
      </c>
      <c r="H11" s="13" t="n">
        <v>1.27</v>
      </c>
      <c r="I11" s="13" t="n">
        <v>0.9194</v>
      </c>
      <c r="J11" s="13" t="n">
        <v>0.53</v>
      </c>
      <c r="K11" s="12" t="n">
        <f aca="false">ROUND(F11/100*G11*H11*I11/J11,2)</f>
        <v>5535.27</v>
      </c>
      <c r="L11" s="12" t="n">
        <v>5535.27</v>
      </c>
      <c r="M11" s="12" t="n">
        <f aca="false">L11-K11</f>
        <v>0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1395</v>
      </c>
      <c r="B12" s="14" t="s">
        <v>1396</v>
      </c>
      <c r="C12" s="14" t="s">
        <v>136</v>
      </c>
      <c r="D12" s="14" t="s">
        <v>1397</v>
      </c>
      <c r="E12" s="14" t="s">
        <v>157</v>
      </c>
      <c r="F12" s="15" t="n">
        <v>1015000</v>
      </c>
      <c r="G12" s="16" t="n">
        <v>0.68</v>
      </c>
      <c r="H12" s="16" t="n">
        <v>1.32</v>
      </c>
      <c r="I12" s="16" t="n">
        <v>0.9194</v>
      </c>
      <c r="J12" s="16" t="n">
        <v>0.53</v>
      </c>
      <c r="K12" s="15" t="n">
        <f aca="false">ROUND(F12/100*G12*H12*I12/J12,2)</f>
        <v>15804.38</v>
      </c>
      <c r="L12" s="15" t="n">
        <v>15804.38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1398</v>
      </c>
      <c r="B13" s="3" t="s">
        <v>1399</v>
      </c>
      <c r="C13" s="3" t="s">
        <v>89</v>
      </c>
      <c r="D13" s="3" t="s">
        <v>1168</v>
      </c>
      <c r="E13" s="3" t="s">
        <v>56</v>
      </c>
      <c r="F13" s="12" t="n">
        <v>475000</v>
      </c>
      <c r="G13" s="13" t="n">
        <v>0.75</v>
      </c>
      <c r="H13" s="13" t="n">
        <v>1.35</v>
      </c>
      <c r="I13" s="13" t="n">
        <v>0.9194</v>
      </c>
      <c r="J13" s="13" t="n">
        <v>0.53</v>
      </c>
      <c r="K13" s="12" t="n">
        <f aca="false">ROUND(F13/100*G13*H13*I13/J13,2)</f>
        <v>8342.9</v>
      </c>
      <c r="L13" s="12" t="n">
        <v>8342.9</v>
      </c>
      <c r="M13" s="12" t="n">
        <f aca="false">L13-K13</f>
        <v>0</v>
      </c>
      <c r="N13" s="3" t="s">
        <v>70</v>
      </c>
      <c r="O13" s="3" t="s">
        <v>52</v>
      </c>
    </row>
    <row r="14" customFormat="false" ht="15" hidden="false" customHeight="false" outlineLevel="0" collapsed="false">
      <c r="A14" s="14" t="s">
        <v>1400</v>
      </c>
      <c r="B14" s="14" t="s">
        <v>1401</v>
      </c>
      <c r="C14" s="14" t="s">
        <v>89</v>
      </c>
      <c r="D14" s="14" t="s">
        <v>457</v>
      </c>
      <c r="E14" s="14" t="s">
        <v>56</v>
      </c>
      <c r="F14" s="15" t="n">
        <v>865000</v>
      </c>
      <c r="G14" s="16" t="n">
        <v>0.65</v>
      </c>
      <c r="H14" s="16" t="n">
        <v>1.35</v>
      </c>
      <c r="I14" s="16" t="n">
        <v>0.9194</v>
      </c>
      <c r="J14" s="16" t="n">
        <v>0.53</v>
      </c>
      <c r="K14" s="15" t="n">
        <f aca="false">ROUND(F14/100*G14*H14*I14/J14,2)</f>
        <v>13167.15</v>
      </c>
      <c r="L14" s="15" t="n">
        <v>13167.15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1402</v>
      </c>
      <c r="B15" s="3" t="s">
        <v>1403</v>
      </c>
      <c r="C15" s="3" t="s">
        <v>64</v>
      </c>
      <c r="D15" s="3" t="s">
        <v>745</v>
      </c>
      <c r="E15" s="3" t="s">
        <v>56</v>
      </c>
      <c r="F15" s="12" t="n">
        <v>330000</v>
      </c>
      <c r="G15" s="13" t="n">
        <v>0.75</v>
      </c>
      <c r="H15" s="13" t="n">
        <v>1.17</v>
      </c>
      <c r="I15" s="13" t="n">
        <v>0.9194</v>
      </c>
      <c r="J15" s="13" t="n">
        <v>0.53</v>
      </c>
      <c r="K15" s="12" t="n">
        <f aca="false">ROUND(F15/100*G15*H15*I15/J15,2)</f>
        <v>5023.31</v>
      </c>
      <c r="L15" s="12" t="n">
        <v>5023.31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1404</v>
      </c>
      <c r="B16" s="14" t="s">
        <v>1405</v>
      </c>
      <c r="C16" s="14" t="s">
        <v>243</v>
      </c>
      <c r="D16" s="14" t="s">
        <v>1406</v>
      </c>
      <c r="E16" s="14" t="s">
        <v>133</v>
      </c>
      <c r="F16" s="15" t="n">
        <v>380000</v>
      </c>
      <c r="G16" s="16" t="n">
        <v>0.42</v>
      </c>
      <c r="H16" s="16" t="n">
        <v>1.14</v>
      </c>
      <c r="I16" s="16" t="n">
        <v>0.9194</v>
      </c>
      <c r="J16" s="16" t="n">
        <v>0.53</v>
      </c>
      <c r="K16" s="15" t="n">
        <f aca="false">ROUND(F16/100*G16*H16*I16/J16,2)</f>
        <v>3156.21</v>
      </c>
      <c r="L16" s="15" t="n">
        <v>3156.22</v>
      </c>
      <c r="M16" s="15" t="n">
        <f aca="false">L16-K16</f>
        <v>0.00999999999976353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1389</v>
      </c>
      <c r="B17" s="3" t="s">
        <v>1407</v>
      </c>
      <c r="C17" s="3" t="s">
        <v>409</v>
      </c>
      <c r="D17" s="3" t="s">
        <v>215</v>
      </c>
      <c r="E17" s="3" t="s">
        <v>56</v>
      </c>
      <c r="F17" s="12" t="n">
        <v>305000</v>
      </c>
      <c r="G17" s="13" t="n">
        <v>0.75</v>
      </c>
      <c r="H17" s="13" t="n">
        <v>1.3</v>
      </c>
      <c r="I17" s="13" t="n">
        <v>0.9194</v>
      </c>
      <c r="J17" s="13" t="n">
        <v>0.53</v>
      </c>
      <c r="K17" s="12" t="n">
        <f aca="false">ROUND(F17/100*G17*H17*I17/J17,2)</f>
        <v>5158.61</v>
      </c>
      <c r="L17" s="12" t="n">
        <v>5158.62</v>
      </c>
      <c r="M17" s="12" t="n">
        <f aca="false">L17-K17</f>
        <v>0.0100000000002183</v>
      </c>
      <c r="N17" s="3" t="s">
        <v>51</v>
      </c>
      <c r="O17" s="3" t="s">
        <v>52</v>
      </c>
    </row>
    <row r="18" customFormat="false" ht="15" hidden="false" customHeight="false" outlineLevel="0" collapsed="false">
      <c r="A18" s="14" t="s">
        <v>1383</v>
      </c>
      <c r="B18" s="14" t="s">
        <v>1408</v>
      </c>
      <c r="C18" s="14" t="s">
        <v>68</v>
      </c>
      <c r="D18" s="14" t="s">
        <v>1409</v>
      </c>
      <c r="E18" s="14" t="s">
        <v>157</v>
      </c>
      <c r="F18" s="15" t="n">
        <v>660000</v>
      </c>
      <c r="G18" s="16" t="n">
        <v>0.78</v>
      </c>
      <c r="H18" s="16" t="n">
        <v>1.38</v>
      </c>
      <c r="I18" s="16" t="n">
        <v>0.9194</v>
      </c>
      <c r="J18" s="16" t="n">
        <v>0.53</v>
      </c>
      <c r="K18" s="15" t="n">
        <f aca="false">ROUND(F18/100*G18*H18*I18/J18,2)</f>
        <v>12323.85</v>
      </c>
      <c r="L18" s="15" t="n">
        <v>12323.85</v>
      </c>
      <c r="M18" s="15" t="n">
        <f aca="false">L18-K18</f>
        <v>0</v>
      </c>
      <c r="N18" s="14" t="s">
        <v>70</v>
      </c>
      <c r="O18" s="14" t="s">
        <v>52</v>
      </c>
    </row>
    <row r="19" customFormat="false" ht="15" hidden="false" customHeight="false" outlineLevel="0" collapsed="false">
      <c r="A19" s="3" t="s">
        <v>1410</v>
      </c>
      <c r="B19" s="3" t="s">
        <v>1411</v>
      </c>
      <c r="C19" s="3" t="s">
        <v>68</v>
      </c>
      <c r="D19" s="3" t="s">
        <v>1412</v>
      </c>
      <c r="E19" s="3" t="s">
        <v>50</v>
      </c>
      <c r="F19" s="12" t="n">
        <v>780000</v>
      </c>
      <c r="G19" s="13" t="n">
        <v>0.95</v>
      </c>
      <c r="H19" s="13" t="n">
        <v>1.38</v>
      </c>
      <c r="I19" s="13" t="n">
        <v>0.9194</v>
      </c>
      <c r="J19" s="13" t="n">
        <v>0.53</v>
      </c>
      <c r="K19" s="12" t="n">
        <f aca="false">ROUND(F19/100*G19*H19*I19/J19,2)</f>
        <v>17738.87</v>
      </c>
      <c r="L19" s="12" t="n">
        <v>17738.87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1402</v>
      </c>
      <c r="B20" s="14" t="s">
        <v>1413</v>
      </c>
      <c r="C20" s="14" t="s">
        <v>89</v>
      </c>
      <c r="D20" s="14" t="s">
        <v>1414</v>
      </c>
      <c r="E20" s="14" t="s">
        <v>56</v>
      </c>
      <c r="F20" s="15" t="n">
        <v>670000</v>
      </c>
      <c r="G20" s="16" t="n">
        <v>0.65</v>
      </c>
      <c r="H20" s="16" t="n">
        <v>1.35</v>
      </c>
      <c r="I20" s="16" t="n">
        <v>0.9194</v>
      </c>
      <c r="J20" s="16" t="n">
        <v>0.53</v>
      </c>
      <c r="K20" s="15" t="n">
        <f aca="false">ROUND(F20/100*G20*H20*I20/J20,2)</f>
        <v>10198.83</v>
      </c>
      <c r="L20" s="15" t="n">
        <v>10198.83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1415</v>
      </c>
      <c r="B21" s="3" t="s">
        <v>1416</v>
      </c>
      <c r="C21" s="3" t="s">
        <v>48</v>
      </c>
      <c r="D21" s="3" t="s">
        <v>1417</v>
      </c>
      <c r="E21" s="3" t="s">
        <v>56</v>
      </c>
      <c r="F21" s="12" t="n">
        <v>745000</v>
      </c>
      <c r="G21" s="13" t="n">
        <v>0.65</v>
      </c>
      <c r="H21" s="13" t="n">
        <v>1.28</v>
      </c>
      <c r="I21" s="13" t="n">
        <v>0.9194</v>
      </c>
      <c r="J21" s="13" t="n">
        <v>0.53</v>
      </c>
      <c r="K21" s="12" t="n">
        <f aca="false">ROUND(F21/100*G21*H21*I21/J21,2)</f>
        <v>10752.47</v>
      </c>
      <c r="L21" s="12" t="n">
        <v>10752.47</v>
      </c>
      <c r="M21" s="12" t="n">
        <f aca="false">L21-K21</f>
        <v>0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1418</v>
      </c>
      <c r="B22" s="14" t="s">
        <v>1419</v>
      </c>
      <c r="C22" s="14" t="s">
        <v>159</v>
      </c>
      <c r="D22" s="14" t="s">
        <v>482</v>
      </c>
      <c r="E22" s="14" t="s">
        <v>56</v>
      </c>
      <c r="F22" s="15" t="n">
        <v>555000</v>
      </c>
      <c r="G22" s="16" t="n">
        <v>0.65</v>
      </c>
      <c r="H22" s="16" t="n">
        <v>1.15</v>
      </c>
      <c r="I22" s="16" t="n">
        <v>0.9194</v>
      </c>
      <c r="J22" s="16" t="n">
        <v>0.53</v>
      </c>
      <c r="K22" s="15" t="n">
        <f aca="false">ROUND(F22/100*G22*H22*I22/J22,2)</f>
        <v>7196.69</v>
      </c>
      <c r="L22" s="15" t="n">
        <v>7196.69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1420</v>
      </c>
      <c r="B23" s="3" t="s">
        <v>1421</v>
      </c>
      <c r="C23" s="3" t="s">
        <v>145</v>
      </c>
      <c r="D23" s="3" t="s">
        <v>1422</v>
      </c>
      <c r="E23" s="3" t="s">
        <v>56</v>
      </c>
      <c r="F23" s="12" t="n">
        <v>300000</v>
      </c>
      <c r="G23" s="13" t="n">
        <v>0.75</v>
      </c>
      <c r="H23" s="13" t="n">
        <v>0.96</v>
      </c>
      <c r="I23" s="13" t="n">
        <v>0.9194</v>
      </c>
      <c r="J23" s="13" t="n">
        <v>0.53</v>
      </c>
      <c r="K23" s="12" t="n">
        <f aca="false">ROUND(F23/100*G23*H23*I23/J23,2)</f>
        <v>3746.99</v>
      </c>
      <c r="L23" s="12" t="n">
        <v>3746.99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1423</v>
      </c>
      <c r="B24" s="14" t="s">
        <v>1424</v>
      </c>
      <c r="C24" s="14" t="s">
        <v>188</v>
      </c>
      <c r="D24" s="14" t="s">
        <v>1425</v>
      </c>
      <c r="E24" s="14" t="s">
        <v>50</v>
      </c>
      <c r="F24" s="15" t="n">
        <v>1405000</v>
      </c>
      <c r="G24" s="16" t="n">
        <v>0.8</v>
      </c>
      <c r="H24" s="16" t="n">
        <v>1.35</v>
      </c>
      <c r="I24" s="16" t="n">
        <v>0.9194</v>
      </c>
      <c r="J24" s="16" t="n">
        <v>0.53</v>
      </c>
      <c r="K24" s="15" t="n">
        <f aca="false">ROUND(F24/100*G24*H24*I24/J24,2)</f>
        <v>26322.6</v>
      </c>
      <c r="L24" s="15" t="n">
        <v>26322.6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1404</v>
      </c>
      <c r="B25" s="3" t="s">
        <v>1426</v>
      </c>
      <c r="C25" s="3" t="s">
        <v>48</v>
      </c>
      <c r="D25" s="3" t="s">
        <v>324</v>
      </c>
      <c r="E25" s="3" t="s">
        <v>56</v>
      </c>
      <c r="F25" s="12" t="n">
        <v>530000</v>
      </c>
      <c r="G25" s="13" t="n">
        <v>0.65</v>
      </c>
      <c r="H25" s="13" t="n">
        <v>1.28</v>
      </c>
      <c r="I25" s="13" t="n">
        <v>0.9194</v>
      </c>
      <c r="J25" s="13" t="n">
        <v>0.53</v>
      </c>
      <c r="K25" s="12" t="n">
        <f aca="false">ROUND(F25/100*G25*H25*I25/J25,2)</f>
        <v>7649.41</v>
      </c>
      <c r="L25" s="12" t="n">
        <v>7649.41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1427</v>
      </c>
      <c r="B26" s="14" t="s">
        <v>1428</v>
      </c>
      <c r="C26" s="14" t="s">
        <v>117</v>
      </c>
      <c r="D26" s="14" t="s">
        <v>775</v>
      </c>
      <c r="E26" s="14" t="s">
        <v>50</v>
      </c>
      <c r="F26" s="15" t="n">
        <v>1145000</v>
      </c>
      <c r="G26" s="16" t="n">
        <v>0.8</v>
      </c>
      <c r="H26" s="16" t="n">
        <v>0.91</v>
      </c>
      <c r="I26" s="16" t="n">
        <v>0.9194</v>
      </c>
      <c r="J26" s="16" t="n">
        <v>0.53</v>
      </c>
      <c r="K26" s="15" t="n">
        <f aca="false">ROUND(F26/100*G26*H26*I26/J26,2)</f>
        <v>14459.91</v>
      </c>
      <c r="L26" s="15" t="n">
        <v>14459.91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1429</v>
      </c>
      <c r="B27" s="3" t="s">
        <v>1430</v>
      </c>
      <c r="C27" s="3" t="s">
        <v>295</v>
      </c>
      <c r="D27" s="3" t="s">
        <v>356</v>
      </c>
      <c r="E27" s="3" t="s">
        <v>56</v>
      </c>
      <c r="F27" s="12" t="n">
        <v>600000</v>
      </c>
      <c r="G27" s="13" t="n">
        <v>0.65</v>
      </c>
      <c r="H27" s="13" t="n">
        <v>1.2</v>
      </c>
      <c r="I27" s="13" t="n">
        <v>0.9194</v>
      </c>
      <c r="J27" s="13" t="n">
        <v>0.53</v>
      </c>
      <c r="K27" s="12" t="n">
        <f aca="false">ROUND(F27/100*G27*H27*I27/J27,2)</f>
        <v>8118.48</v>
      </c>
      <c r="L27" s="12" t="n">
        <v>8118.48</v>
      </c>
      <c r="M27" s="12" t="n">
        <f aca="false">L27-K27</f>
        <v>0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1381</v>
      </c>
      <c r="B28" s="14" t="s">
        <v>1431</v>
      </c>
      <c r="C28" s="14" t="s">
        <v>89</v>
      </c>
      <c r="D28" s="14" t="s">
        <v>1432</v>
      </c>
      <c r="E28" s="14" t="s">
        <v>56</v>
      </c>
      <c r="F28" s="15" t="n">
        <v>645000</v>
      </c>
      <c r="G28" s="16" t="n">
        <v>0.65</v>
      </c>
      <c r="H28" s="16" t="n">
        <v>1.35</v>
      </c>
      <c r="I28" s="16" t="n">
        <v>0.9194</v>
      </c>
      <c r="J28" s="16" t="n">
        <v>0.53</v>
      </c>
      <c r="K28" s="15" t="n">
        <f aca="false">ROUND(F28/100*G28*H28*I28/J28,2)</f>
        <v>9818.28</v>
      </c>
      <c r="L28" s="15" t="n">
        <v>9818.28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1410</v>
      </c>
      <c r="B29" s="3" t="s">
        <v>1433</v>
      </c>
      <c r="C29" s="3" t="s">
        <v>326</v>
      </c>
      <c r="D29" s="3" t="s">
        <v>1434</v>
      </c>
      <c r="E29" s="3" t="s">
        <v>56</v>
      </c>
      <c r="F29" s="12" t="n">
        <v>505000</v>
      </c>
      <c r="G29" s="13" t="n">
        <v>0.65</v>
      </c>
      <c r="H29" s="13" t="n">
        <v>1.12</v>
      </c>
      <c r="I29" s="13" t="n">
        <v>0.9194</v>
      </c>
      <c r="J29" s="13" t="n">
        <v>0.53</v>
      </c>
      <c r="K29" s="12" t="n">
        <f aca="false">ROUND(F29/100*G29*H29*I29/J29,2)</f>
        <v>6377.51</v>
      </c>
      <c r="L29" s="12" t="n">
        <v>6377.51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1435</v>
      </c>
      <c r="B30" s="14" t="s">
        <v>1436</v>
      </c>
      <c r="C30" s="14" t="s">
        <v>278</v>
      </c>
      <c r="D30" s="14" t="s">
        <v>285</v>
      </c>
      <c r="E30" s="14" t="s">
        <v>56</v>
      </c>
      <c r="F30" s="15" t="n">
        <v>315000</v>
      </c>
      <c r="G30" s="16" t="n">
        <v>0.75</v>
      </c>
      <c r="H30" s="16" t="n">
        <v>0.98</v>
      </c>
      <c r="I30" s="16" t="n">
        <v>0.9194</v>
      </c>
      <c r="J30" s="16" t="n">
        <v>0.53</v>
      </c>
      <c r="K30" s="15" t="n">
        <f aca="false">ROUND(F30/100*G30*H30*I30/J30,2)</f>
        <v>4016.3</v>
      </c>
      <c r="L30" s="15" t="n">
        <v>4016.31</v>
      </c>
      <c r="M30" s="15" t="n">
        <f aca="false">L30-K30</f>
        <v>0.00999999999976353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1398</v>
      </c>
      <c r="B31" s="3" t="s">
        <v>1437</v>
      </c>
      <c r="C31" s="3" t="s">
        <v>89</v>
      </c>
      <c r="D31" s="3" t="s">
        <v>751</v>
      </c>
      <c r="E31" s="3" t="s">
        <v>56</v>
      </c>
      <c r="F31" s="12" t="n">
        <v>475000</v>
      </c>
      <c r="G31" s="13" t="n">
        <v>0.75</v>
      </c>
      <c r="H31" s="13" t="n">
        <v>1.35</v>
      </c>
      <c r="I31" s="13" t="n">
        <v>0.9194</v>
      </c>
      <c r="J31" s="13" t="n">
        <v>0.53</v>
      </c>
      <c r="K31" s="12" t="n">
        <f aca="false">ROUND(F31/100*G31*H31*I31/J31,2)</f>
        <v>8342.9</v>
      </c>
      <c r="L31" s="12" t="n">
        <v>8342.9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1438</v>
      </c>
      <c r="B32" s="14" t="s">
        <v>1439</v>
      </c>
      <c r="C32" s="14" t="s">
        <v>152</v>
      </c>
      <c r="D32" s="14" t="s">
        <v>1440</v>
      </c>
      <c r="E32" s="14" t="s">
        <v>56</v>
      </c>
      <c r="F32" s="15" t="n">
        <v>565000</v>
      </c>
      <c r="G32" s="16" t="n">
        <v>0.65</v>
      </c>
      <c r="H32" s="16" t="n">
        <v>1</v>
      </c>
      <c r="I32" s="16" t="n">
        <v>0.9194</v>
      </c>
      <c r="J32" s="16" t="n">
        <v>0.53</v>
      </c>
      <c r="K32" s="15" t="n">
        <f aca="false">ROUND(F32/100*G32*H32*I32/J32,2)</f>
        <v>6370.75</v>
      </c>
      <c r="L32" s="15" t="n">
        <v>6370.75</v>
      </c>
      <c r="M32" s="15" t="n">
        <f aca="false">L32-K32</f>
        <v>0</v>
      </c>
      <c r="N32" s="14" t="s">
        <v>70</v>
      </c>
      <c r="O32" s="14" t="s">
        <v>52</v>
      </c>
    </row>
    <row r="33" customFormat="false" ht="15" hidden="false" customHeight="false" outlineLevel="0" collapsed="false">
      <c r="A33" s="3" t="s">
        <v>1420</v>
      </c>
      <c r="B33" s="3" t="s">
        <v>1441</v>
      </c>
      <c r="C33" s="3" t="s">
        <v>243</v>
      </c>
      <c r="D33" s="3" t="s">
        <v>1442</v>
      </c>
      <c r="E33" s="3" t="s">
        <v>50</v>
      </c>
      <c r="F33" s="12" t="n">
        <v>815000</v>
      </c>
      <c r="G33" s="13" t="n">
        <v>0.95</v>
      </c>
      <c r="H33" s="13" t="n">
        <v>1.14</v>
      </c>
      <c r="I33" s="13" t="n">
        <v>0.9194</v>
      </c>
      <c r="J33" s="13" t="n">
        <v>0.53</v>
      </c>
      <c r="K33" s="12" t="n">
        <f aca="false">ROUND(F33/100*G33*H33*I33/J33,2)</f>
        <v>15311.39</v>
      </c>
      <c r="L33" s="12" t="n">
        <v>15311.39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1443</v>
      </c>
      <c r="B34" s="14" t="s">
        <v>1444</v>
      </c>
      <c r="C34" s="14" t="s">
        <v>114</v>
      </c>
      <c r="D34" s="14" t="s">
        <v>1445</v>
      </c>
      <c r="E34" s="14" t="s">
        <v>74</v>
      </c>
      <c r="F34" s="15" t="n">
        <v>660000</v>
      </c>
      <c r="G34" s="16" t="n">
        <v>0.43</v>
      </c>
      <c r="H34" s="16" t="n">
        <v>1.36</v>
      </c>
      <c r="I34" s="16" t="n">
        <v>0.9194</v>
      </c>
      <c r="J34" s="16" t="n">
        <v>0.53</v>
      </c>
      <c r="K34" s="15" t="n">
        <f aca="false">ROUND(F34/100*G34*H34*I34/J34,2)</f>
        <v>6695.45</v>
      </c>
      <c r="L34" s="15" t="n">
        <v>6695.46</v>
      </c>
      <c r="M34" s="15" t="n">
        <f aca="false">L34-K34</f>
        <v>0.0100000000002183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1427</v>
      </c>
      <c r="B35" s="3" t="s">
        <v>1446</v>
      </c>
      <c r="C35" s="3" t="s">
        <v>892</v>
      </c>
      <c r="D35" s="3" t="s">
        <v>1447</v>
      </c>
      <c r="E35" s="3" t="s">
        <v>56</v>
      </c>
      <c r="F35" s="12" t="n">
        <v>985000</v>
      </c>
      <c r="G35" s="13" t="n">
        <v>0.65</v>
      </c>
      <c r="H35" s="13" t="n">
        <v>1.08</v>
      </c>
      <c r="I35" s="13" t="n">
        <v>0.9194</v>
      </c>
      <c r="J35" s="13" t="n">
        <v>0.53</v>
      </c>
      <c r="K35" s="12" t="n">
        <f aca="false">ROUND(F35/100*G35*H35*I35/J35,2)</f>
        <v>11995.05</v>
      </c>
      <c r="L35" s="12" t="n">
        <v>11995.04</v>
      </c>
      <c r="M35" s="12" t="n">
        <f aca="false">L35-K35</f>
        <v>-0.00999999999839929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1415</v>
      </c>
      <c r="B36" s="14" t="s">
        <v>1448</v>
      </c>
      <c r="C36" s="14" t="s">
        <v>77</v>
      </c>
      <c r="D36" s="14" t="s">
        <v>1449</v>
      </c>
      <c r="E36" s="14" t="s">
        <v>74</v>
      </c>
      <c r="F36" s="15" t="n">
        <v>370000</v>
      </c>
      <c r="G36" s="16" t="n">
        <v>0.48</v>
      </c>
      <c r="H36" s="16" t="n">
        <v>1.42</v>
      </c>
      <c r="I36" s="16" t="n">
        <v>0.9194</v>
      </c>
      <c r="J36" s="16" t="n">
        <v>0.53</v>
      </c>
      <c r="K36" s="15" t="n">
        <f aca="false">ROUND(F36/100*G36*H36*I36/J36,2)</f>
        <v>4374.82</v>
      </c>
      <c r="L36" s="15" t="n">
        <v>4374.82</v>
      </c>
      <c r="M36" s="15" t="n">
        <f aca="false">L36-K36</f>
        <v>0</v>
      </c>
      <c r="N36" s="14" t="s">
        <v>51</v>
      </c>
      <c r="O36" s="14" t="s">
        <v>52</v>
      </c>
    </row>
    <row r="37" customFormat="false" ht="15" hidden="false" customHeight="false" outlineLevel="0" collapsed="false">
      <c r="A37" s="3" t="s">
        <v>1450</v>
      </c>
      <c r="B37" s="3" t="s">
        <v>1451</v>
      </c>
      <c r="C37" s="3" t="s">
        <v>89</v>
      </c>
      <c r="D37" s="3" t="s">
        <v>1452</v>
      </c>
      <c r="E37" s="3" t="s">
        <v>50</v>
      </c>
      <c r="F37" s="12" t="n">
        <v>785000</v>
      </c>
      <c r="G37" s="13" t="n">
        <v>0.95</v>
      </c>
      <c r="H37" s="13" t="n">
        <v>1.35</v>
      </c>
      <c r="I37" s="13" t="n">
        <v>0.9194</v>
      </c>
      <c r="J37" s="13" t="n">
        <v>0.53</v>
      </c>
      <c r="K37" s="12" t="n">
        <f aca="false">ROUND(F37/100*G37*H37*I37/J37,2)</f>
        <v>17464.48</v>
      </c>
      <c r="L37" s="12" t="n">
        <v>17464.48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1378</v>
      </c>
      <c r="B38" s="14" t="s">
        <v>1453</v>
      </c>
      <c r="C38" s="14" t="s">
        <v>174</v>
      </c>
      <c r="D38" s="14" t="s">
        <v>1454</v>
      </c>
      <c r="E38" s="14" t="s">
        <v>56</v>
      </c>
      <c r="F38" s="15" t="n">
        <v>925000</v>
      </c>
      <c r="G38" s="16" t="n">
        <v>0.65</v>
      </c>
      <c r="H38" s="16" t="n">
        <v>1.55</v>
      </c>
      <c r="I38" s="16" t="n">
        <v>0.9194</v>
      </c>
      <c r="J38" s="16" t="n">
        <v>0.53</v>
      </c>
      <c r="K38" s="15" t="n">
        <f aca="false">ROUND(F38/100*G38*H38*I38/J38,2)</f>
        <v>16166.48</v>
      </c>
      <c r="L38" s="15" t="n">
        <v>16166.48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1455</v>
      </c>
      <c r="B39" s="3" t="s">
        <v>1456</v>
      </c>
      <c r="C39" s="3" t="s">
        <v>89</v>
      </c>
      <c r="D39" s="3" t="s">
        <v>1457</v>
      </c>
      <c r="E39" s="3" t="s">
        <v>157</v>
      </c>
      <c r="F39" s="12" t="n">
        <v>190000</v>
      </c>
      <c r="G39" s="13" t="n">
        <v>1.05</v>
      </c>
      <c r="H39" s="13" t="n">
        <v>1.35</v>
      </c>
      <c r="I39" s="13" t="n">
        <v>0.9194</v>
      </c>
      <c r="J39" s="13" t="n">
        <v>0.53</v>
      </c>
      <c r="K39" s="12" t="n">
        <f aca="false">ROUND(F39/100*G39*H39*I39/J39,2)</f>
        <v>4672.03</v>
      </c>
      <c r="L39" s="12" t="n">
        <v>4672.02</v>
      </c>
      <c r="M39" s="12" t="n">
        <f aca="false">L39-K39</f>
        <v>-0.00999999999930878</v>
      </c>
      <c r="N39" s="3" t="s">
        <v>51</v>
      </c>
      <c r="O39" s="3" t="s">
        <v>52</v>
      </c>
    </row>
    <row r="40" customFormat="false" ht="15" hidden="false" customHeight="false" outlineLevel="0" collapsed="false">
      <c r="A40" s="14" t="s">
        <v>1404</v>
      </c>
      <c r="B40" s="14" t="s">
        <v>1458</v>
      </c>
      <c r="C40" s="14" t="s">
        <v>145</v>
      </c>
      <c r="D40" s="14" t="s">
        <v>759</v>
      </c>
      <c r="E40" s="14" t="s">
        <v>56</v>
      </c>
      <c r="F40" s="15" t="n">
        <v>460000</v>
      </c>
      <c r="G40" s="16" t="n">
        <v>0.75</v>
      </c>
      <c r="H40" s="16" t="n">
        <v>0.96</v>
      </c>
      <c r="I40" s="16" t="n">
        <v>0.9194</v>
      </c>
      <c r="J40" s="16" t="n">
        <v>0.53</v>
      </c>
      <c r="K40" s="15" t="n">
        <f aca="false">ROUND(F40/100*G40*H40*I40/J40,2)</f>
        <v>5745.38</v>
      </c>
      <c r="L40" s="15" t="n">
        <v>5745.39</v>
      </c>
      <c r="M40" s="15" t="n">
        <f aca="false">L40-K40</f>
        <v>0.0100000000002183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1455</v>
      </c>
      <c r="B41" s="3" t="s">
        <v>1459</v>
      </c>
      <c r="C41" s="3" t="s">
        <v>224</v>
      </c>
      <c r="D41" s="3" t="s">
        <v>1460</v>
      </c>
      <c r="E41" s="3" t="s">
        <v>157</v>
      </c>
      <c r="F41" s="12" t="n">
        <v>445000</v>
      </c>
      <c r="G41" s="13" t="n">
        <v>0.88</v>
      </c>
      <c r="H41" s="13" t="n">
        <v>1.1</v>
      </c>
      <c r="I41" s="13" t="n">
        <v>0.9194</v>
      </c>
      <c r="J41" s="13" t="n">
        <v>0.53</v>
      </c>
      <c r="K41" s="12" t="n">
        <f aca="false">ROUND(F41/100*G41*H41*I41/J41,2)</f>
        <v>7472.47</v>
      </c>
      <c r="L41" s="12" t="n">
        <v>7472.47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1435</v>
      </c>
      <c r="B42" s="14" t="s">
        <v>1461</v>
      </c>
      <c r="C42" s="14" t="s">
        <v>366</v>
      </c>
      <c r="D42" s="14" t="s">
        <v>1447</v>
      </c>
      <c r="E42" s="14" t="s">
        <v>56</v>
      </c>
      <c r="F42" s="15" t="n">
        <v>560000</v>
      </c>
      <c r="G42" s="16" t="n">
        <v>0.65</v>
      </c>
      <c r="H42" s="16" t="n">
        <v>1.26</v>
      </c>
      <c r="I42" s="16" t="n">
        <v>0.9194</v>
      </c>
      <c r="J42" s="16" t="n">
        <v>0.53</v>
      </c>
      <c r="K42" s="15" t="n">
        <f aca="false">ROUND(F42/100*G42*H42*I42/J42,2)</f>
        <v>7956.11</v>
      </c>
      <c r="L42" s="15" t="n">
        <v>7956.1</v>
      </c>
      <c r="M42" s="15" t="n">
        <f aca="false">L42-K42</f>
        <v>-0.00999999999930878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1420</v>
      </c>
      <c r="B43" s="3" t="s">
        <v>1462</v>
      </c>
      <c r="C43" s="3" t="s">
        <v>217</v>
      </c>
      <c r="D43" s="3" t="s">
        <v>1463</v>
      </c>
      <c r="E43" s="3" t="s">
        <v>157</v>
      </c>
      <c r="F43" s="12" t="n">
        <v>840000</v>
      </c>
      <c r="G43" s="13" t="n">
        <v>0.78</v>
      </c>
      <c r="H43" s="13" t="n">
        <v>1.3</v>
      </c>
      <c r="I43" s="13" t="n">
        <v>0.9194</v>
      </c>
      <c r="J43" s="13" t="n">
        <v>0.53</v>
      </c>
      <c r="K43" s="12" t="n">
        <f aca="false">ROUND(F43/100*G43*H43*I43/J43,2)</f>
        <v>14775.63</v>
      </c>
      <c r="L43" s="12" t="n">
        <v>14775.62</v>
      </c>
      <c r="M43" s="12" t="n">
        <f aca="false">L43-K43</f>
        <v>-0.00999999999839929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1450</v>
      </c>
      <c r="B44" s="14" t="s">
        <v>1464</v>
      </c>
      <c r="C44" s="14" t="s">
        <v>409</v>
      </c>
      <c r="D44" s="14" t="s">
        <v>874</v>
      </c>
      <c r="E44" s="14" t="s">
        <v>56</v>
      </c>
      <c r="F44" s="15" t="n">
        <v>775000</v>
      </c>
      <c r="G44" s="16" t="n">
        <v>0.65</v>
      </c>
      <c r="H44" s="16" t="n">
        <v>1.3</v>
      </c>
      <c r="I44" s="16" t="n">
        <v>0.9194</v>
      </c>
      <c r="J44" s="16" t="n">
        <v>0.53</v>
      </c>
      <c r="K44" s="15" t="n">
        <f aca="false">ROUND(F44/100*G44*H44*I44/J44,2)</f>
        <v>11360.23</v>
      </c>
      <c r="L44" s="15" t="n">
        <v>11360.23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1393</v>
      </c>
      <c r="B45" s="3" t="s">
        <v>1465</v>
      </c>
      <c r="C45" s="3" t="s">
        <v>136</v>
      </c>
      <c r="D45" s="3" t="s">
        <v>112</v>
      </c>
      <c r="E45" s="3" t="s">
        <v>56</v>
      </c>
      <c r="F45" s="12" t="n">
        <v>545000</v>
      </c>
      <c r="G45" s="13" t="n">
        <v>0.65</v>
      </c>
      <c r="H45" s="13" t="n">
        <v>1.32</v>
      </c>
      <c r="I45" s="13" t="n">
        <v>0.9194</v>
      </c>
      <c r="J45" s="13" t="n">
        <v>0.53</v>
      </c>
      <c r="K45" s="12" t="n">
        <f aca="false">ROUND(F45/100*G45*H45*I45/J45,2)</f>
        <v>8111.71</v>
      </c>
      <c r="L45" s="12" t="n">
        <v>8111.71</v>
      </c>
      <c r="M45" s="12" t="n">
        <f aca="false">L45-K45</f>
        <v>0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1400</v>
      </c>
      <c r="B46" s="14" t="s">
        <v>1466</v>
      </c>
      <c r="C46" s="14" t="s">
        <v>89</v>
      </c>
      <c r="D46" s="14" t="s">
        <v>1467</v>
      </c>
      <c r="E46" s="14" t="s">
        <v>133</v>
      </c>
      <c r="F46" s="15" t="n">
        <v>370000</v>
      </c>
      <c r="G46" s="16" t="n">
        <v>0.42</v>
      </c>
      <c r="H46" s="16" t="n">
        <v>1.35</v>
      </c>
      <c r="I46" s="16" t="n">
        <v>0.9194</v>
      </c>
      <c r="J46" s="16" t="n">
        <v>0.53</v>
      </c>
      <c r="K46" s="15" t="n">
        <f aca="false">ROUND(F46/100*G46*H46*I46/J46,2)</f>
        <v>3639.26</v>
      </c>
      <c r="L46" s="15" t="n">
        <v>3639.26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1443</v>
      </c>
      <c r="B47" s="3" t="s">
        <v>1468</v>
      </c>
      <c r="C47" s="3" t="s">
        <v>278</v>
      </c>
      <c r="D47" s="3" t="s">
        <v>639</v>
      </c>
      <c r="E47" s="3" t="s">
        <v>56</v>
      </c>
      <c r="F47" s="12" t="n">
        <v>380000</v>
      </c>
      <c r="G47" s="13" t="n">
        <v>0.75</v>
      </c>
      <c r="H47" s="13" t="n">
        <v>0.98</v>
      </c>
      <c r="I47" s="13" t="n">
        <v>0.9194</v>
      </c>
      <c r="J47" s="13" t="n">
        <v>0.53</v>
      </c>
      <c r="K47" s="12" t="n">
        <f aca="false">ROUND(F47/100*G47*H47*I47/J47,2)</f>
        <v>4845.06</v>
      </c>
      <c r="L47" s="12" t="n">
        <v>4845.06</v>
      </c>
      <c r="M47" s="12" t="n">
        <f aca="false">L47-K47</f>
        <v>0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1469</v>
      </c>
      <c r="B48" s="14" t="s">
        <v>1470</v>
      </c>
      <c r="C48" s="14" t="s">
        <v>230</v>
      </c>
      <c r="D48" s="14" t="s">
        <v>1471</v>
      </c>
      <c r="E48" s="14" t="s">
        <v>74</v>
      </c>
      <c r="F48" s="15" t="n">
        <v>580000</v>
      </c>
      <c r="G48" s="16" t="n">
        <v>0.43</v>
      </c>
      <c r="H48" s="16" t="n">
        <v>1.09</v>
      </c>
      <c r="I48" s="16" t="n">
        <v>0.9194</v>
      </c>
      <c r="J48" s="16" t="n">
        <v>0.53</v>
      </c>
      <c r="K48" s="15" t="n">
        <f aca="false">ROUND(F48/100*G48*H48*I48/J48,2)</f>
        <v>4715.76</v>
      </c>
      <c r="L48" s="15" t="n">
        <v>4715.76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1410</v>
      </c>
      <c r="B49" s="3" t="s">
        <v>1472</v>
      </c>
      <c r="C49" s="3" t="s">
        <v>105</v>
      </c>
      <c r="D49" s="3" t="s">
        <v>648</v>
      </c>
      <c r="E49" s="3" t="s">
        <v>56</v>
      </c>
      <c r="F49" s="12" t="n">
        <v>415000</v>
      </c>
      <c r="G49" s="13" t="n">
        <v>0.75</v>
      </c>
      <c r="H49" s="13" t="n">
        <v>0.99</v>
      </c>
      <c r="I49" s="13" t="n">
        <v>0.9194</v>
      </c>
      <c r="J49" s="13" t="n">
        <v>0.53</v>
      </c>
      <c r="K49" s="12" t="n">
        <f aca="false">ROUND(F49/100*G49*H49*I49/J49,2)</f>
        <v>5345.31</v>
      </c>
      <c r="L49" s="12" t="n">
        <v>5345.32</v>
      </c>
      <c r="M49" s="12" t="n">
        <f aca="false">L49-K49</f>
        <v>0.00999999999930878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1420</v>
      </c>
      <c r="B50" s="14" t="s">
        <v>1473</v>
      </c>
      <c r="C50" s="14" t="s">
        <v>128</v>
      </c>
      <c r="D50" s="14" t="s">
        <v>1474</v>
      </c>
      <c r="E50" s="14" t="s">
        <v>50</v>
      </c>
      <c r="F50" s="15" t="n">
        <v>1890000</v>
      </c>
      <c r="G50" s="16" t="n">
        <v>0.8</v>
      </c>
      <c r="H50" s="16" t="n">
        <v>1.25</v>
      </c>
      <c r="I50" s="16" t="n">
        <v>0.9194</v>
      </c>
      <c r="J50" s="16" t="n">
        <v>0.53</v>
      </c>
      <c r="K50" s="15" t="n">
        <f aca="false">ROUND(F50/100*G50*H50*I50/J50,2)</f>
        <v>32786.15</v>
      </c>
      <c r="L50" s="15" t="n">
        <v>32786.15</v>
      </c>
      <c r="M50" s="15" t="n">
        <f aca="false">L50-K50</f>
        <v>0</v>
      </c>
      <c r="N50" s="14" t="s">
        <v>70</v>
      </c>
      <c r="O50" s="14" t="s">
        <v>52</v>
      </c>
    </row>
    <row r="51" customFormat="false" ht="15" hidden="false" customHeight="false" outlineLevel="0" collapsed="false">
      <c r="A51" s="3" t="s">
        <v>1427</v>
      </c>
      <c r="B51" s="3" t="s">
        <v>1475</v>
      </c>
      <c r="C51" s="3" t="s">
        <v>243</v>
      </c>
      <c r="D51" s="3" t="s">
        <v>1476</v>
      </c>
      <c r="E51" s="3" t="s">
        <v>50</v>
      </c>
      <c r="F51" s="12" t="n">
        <v>755000</v>
      </c>
      <c r="G51" s="13" t="n">
        <v>0.95</v>
      </c>
      <c r="H51" s="13" t="n">
        <v>1.14</v>
      </c>
      <c r="I51" s="13" t="n">
        <v>0.9194</v>
      </c>
      <c r="J51" s="13" t="n">
        <v>0.53</v>
      </c>
      <c r="K51" s="12" t="n">
        <f aca="false">ROUND(F51/100*G51*H51*I51/J51,2)</f>
        <v>14184.17</v>
      </c>
      <c r="L51" s="12" t="n">
        <v>14184.17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1477</v>
      </c>
      <c r="B52" s="14" t="s">
        <v>1478</v>
      </c>
      <c r="C52" s="14" t="s">
        <v>136</v>
      </c>
      <c r="D52" s="14" t="s">
        <v>1479</v>
      </c>
      <c r="E52" s="14" t="s">
        <v>56</v>
      </c>
      <c r="F52" s="15" t="n">
        <v>475000</v>
      </c>
      <c r="G52" s="16" t="n">
        <v>0.75</v>
      </c>
      <c r="H52" s="16" t="n">
        <v>1.32</v>
      </c>
      <c r="I52" s="16" t="n">
        <v>0.9194</v>
      </c>
      <c r="J52" s="16" t="n">
        <v>0.53</v>
      </c>
      <c r="K52" s="15" t="n">
        <f aca="false">ROUND(F52/100*G52*H52*I52/J52,2)</f>
        <v>8157.51</v>
      </c>
      <c r="L52" s="15" t="n">
        <v>8157.51</v>
      </c>
      <c r="M52" s="15" t="n">
        <f aca="false">L52-K52</f>
        <v>0</v>
      </c>
      <c r="N52" s="14" t="s">
        <v>51</v>
      </c>
      <c r="O52" s="14" t="s">
        <v>52</v>
      </c>
    </row>
    <row r="53" customFormat="false" ht="15" hidden="false" customHeight="false" outlineLevel="0" collapsed="false">
      <c r="A53" s="3" t="s">
        <v>1480</v>
      </c>
      <c r="B53" s="3" t="s">
        <v>1481</v>
      </c>
      <c r="C53" s="3" t="s">
        <v>266</v>
      </c>
      <c r="D53" s="3" t="s">
        <v>1288</v>
      </c>
      <c r="E53" s="3" t="s">
        <v>56</v>
      </c>
      <c r="F53" s="12" t="n">
        <v>540000</v>
      </c>
      <c r="G53" s="13" t="n">
        <v>0.65</v>
      </c>
      <c r="H53" s="13" t="n">
        <v>1.1</v>
      </c>
      <c r="I53" s="13" t="n">
        <v>0.9194</v>
      </c>
      <c r="J53" s="13" t="n">
        <v>0.53</v>
      </c>
      <c r="K53" s="12" t="n">
        <f aca="false">ROUND(F53/100*G53*H53*I53/J53,2)</f>
        <v>6697.74</v>
      </c>
      <c r="L53" s="12" t="n">
        <v>6697.75</v>
      </c>
      <c r="M53" s="12" t="n">
        <f aca="false">L53-K53</f>
        <v>0.0100000000002183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1482</v>
      </c>
      <c r="B54" s="14" t="s">
        <v>1483</v>
      </c>
      <c r="C54" s="14" t="s">
        <v>117</v>
      </c>
      <c r="D54" s="14" t="s">
        <v>745</v>
      </c>
      <c r="E54" s="14" t="s">
        <v>56</v>
      </c>
      <c r="F54" s="15" t="n">
        <v>205000</v>
      </c>
      <c r="G54" s="16" t="n">
        <v>0.92</v>
      </c>
      <c r="H54" s="16" t="n">
        <v>0.91</v>
      </c>
      <c r="I54" s="16" t="n">
        <v>0.9194</v>
      </c>
      <c r="J54" s="16" t="n">
        <v>0.53</v>
      </c>
      <c r="K54" s="15" t="n">
        <f aca="false">ROUND(F54/100*G54*H54*I54/J54,2)</f>
        <v>2977.23</v>
      </c>
      <c r="L54" s="15" t="n">
        <v>2977.23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1418</v>
      </c>
      <c r="B55" s="3" t="s">
        <v>1484</v>
      </c>
      <c r="C55" s="3" t="s">
        <v>48</v>
      </c>
      <c r="D55" s="3" t="s">
        <v>1217</v>
      </c>
      <c r="E55" s="3" t="s">
        <v>56</v>
      </c>
      <c r="F55" s="12" t="n">
        <v>245000</v>
      </c>
      <c r="G55" s="13" t="n">
        <v>0.92</v>
      </c>
      <c r="H55" s="13" t="n">
        <v>1.28</v>
      </c>
      <c r="I55" s="13" t="n">
        <v>0.9194</v>
      </c>
      <c r="J55" s="13" t="n">
        <v>0.53</v>
      </c>
      <c r="K55" s="12" t="n">
        <f aca="false">ROUND(F55/100*G55*H55*I55/J55,2)</f>
        <v>5004.87</v>
      </c>
      <c r="L55" s="12" t="n">
        <v>5004.86</v>
      </c>
      <c r="M55" s="12" t="n">
        <f aca="false">L55-K55</f>
        <v>-0.0100000000002183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1450</v>
      </c>
      <c r="B56" s="14" t="s">
        <v>1485</v>
      </c>
      <c r="C56" s="14" t="s">
        <v>68</v>
      </c>
      <c r="D56" s="14" t="s">
        <v>1486</v>
      </c>
      <c r="E56" s="14" t="s">
        <v>50</v>
      </c>
      <c r="F56" s="15" t="n">
        <v>410000</v>
      </c>
      <c r="G56" s="16" t="n">
        <v>1.15</v>
      </c>
      <c r="H56" s="16" t="n">
        <v>1.38</v>
      </c>
      <c r="I56" s="16" t="n">
        <v>0.9194</v>
      </c>
      <c r="J56" s="16" t="n">
        <v>0.53</v>
      </c>
      <c r="K56" s="15" t="n">
        <f aca="false">ROUND(F56/100*G56*H56*I56/J56,2)</f>
        <v>11287.28</v>
      </c>
      <c r="L56" s="15" t="n">
        <v>11287.28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1477</v>
      </c>
      <c r="B57" s="3" t="s">
        <v>1487</v>
      </c>
      <c r="C57" s="3" t="s">
        <v>152</v>
      </c>
      <c r="D57" s="3" t="s">
        <v>1488</v>
      </c>
      <c r="E57" s="3" t="s">
        <v>50</v>
      </c>
      <c r="F57" s="12" t="n">
        <v>1865000</v>
      </c>
      <c r="G57" s="13" t="n">
        <v>0.8</v>
      </c>
      <c r="H57" s="13" t="n">
        <v>1</v>
      </c>
      <c r="I57" s="13" t="n">
        <v>0.9194</v>
      </c>
      <c r="J57" s="13" t="n">
        <v>0.53</v>
      </c>
      <c r="K57" s="12" t="n">
        <f aca="false">ROUND(F57/100*G57*H57*I57/J57,2)</f>
        <v>25881.98</v>
      </c>
      <c r="L57" s="12" t="n">
        <v>25881.97</v>
      </c>
      <c r="M57" s="12" t="n">
        <f aca="false">L57-K57</f>
        <v>-0.00999999999839929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1420</v>
      </c>
      <c r="B58" s="14" t="s">
        <v>1489</v>
      </c>
      <c r="C58" s="14" t="s">
        <v>159</v>
      </c>
      <c r="D58" s="14" t="s">
        <v>1490</v>
      </c>
      <c r="E58" s="14" t="s">
        <v>74</v>
      </c>
      <c r="F58" s="15" t="n">
        <v>580000</v>
      </c>
      <c r="G58" s="16" t="n">
        <v>0.43</v>
      </c>
      <c r="H58" s="16" t="n">
        <v>1.15</v>
      </c>
      <c r="I58" s="16" t="n">
        <v>0.9194</v>
      </c>
      <c r="J58" s="16" t="n">
        <v>0.53</v>
      </c>
      <c r="K58" s="15" t="n">
        <f aca="false">ROUND(F58/100*G58*H58*I58/J58,2)</f>
        <v>4975.34</v>
      </c>
      <c r="L58" s="15" t="n">
        <v>4975.34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1391</v>
      </c>
      <c r="B59" s="3" t="s">
        <v>1491</v>
      </c>
      <c r="C59" s="3" t="s">
        <v>89</v>
      </c>
      <c r="D59" s="3" t="s">
        <v>897</v>
      </c>
      <c r="E59" s="3" t="s">
        <v>74</v>
      </c>
      <c r="F59" s="12" t="n">
        <v>940000</v>
      </c>
      <c r="G59" s="13" t="n">
        <v>0.43</v>
      </c>
      <c r="H59" s="13" t="n">
        <v>1.35</v>
      </c>
      <c r="I59" s="13" t="n">
        <v>0.9194</v>
      </c>
      <c r="J59" s="13" t="n">
        <v>0.53</v>
      </c>
      <c r="K59" s="12" t="n">
        <f aca="false">ROUND(F59/100*G59*H59*I59/J59,2)</f>
        <v>9465.83</v>
      </c>
      <c r="L59" s="12" t="n">
        <v>9465.83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1410</v>
      </c>
      <c r="B60" s="14" t="s">
        <v>1492</v>
      </c>
      <c r="C60" s="14" t="s">
        <v>131</v>
      </c>
      <c r="D60" s="14" t="s">
        <v>1493</v>
      </c>
      <c r="E60" s="14" t="s">
        <v>74</v>
      </c>
      <c r="F60" s="15" t="n">
        <v>1350000</v>
      </c>
      <c r="G60" s="16" t="n">
        <v>0.38</v>
      </c>
      <c r="H60" s="16" t="n">
        <v>0.95</v>
      </c>
      <c r="I60" s="16" t="n">
        <v>0.9194</v>
      </c>
      <c r="J60" s="16" t="n">
        <v>0.53</v>
      </c>
      <c r="K60" s="15" t="n">
        <f aca="false">ROUND(F60/100*G60*H60*I60/J60,2)</f>
        <v>8454.14</v>
      </c>
      <c r="L60" s="15" t="n">
        <v>8454.14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1443</v>
      </c>
      <c r="B61" s="3" t="s">
        <v>1494</v>
      </c>
      <c r="C61" s="3" t="s">
        <v>224</v>
      </c>
      <c r="D61" s="3" t="s">
        <v>1330</v>
      </c>
      <c r="E61" s="3" t="s">
        <v>56</v>
      </c>
      <c r="F61" s="12" t="n">
        <v>820000</v>
      </c>
      <c r="G61" s="13" t="n">
        <v>0.65</v>
      </c>
      <c r="H61" s="13" t="n">
        <v>1.1</v>
      </c>
      <c r="I61" s="13" t="n">
        <v>0.9194</v>
      </c>
      <c r="J61" s="13" t="n">
        <v>0.53</v>
      </c>
      <c r="K61" s="12" t="n">
        <f aca="false">ROUND(F61/100*G61*H61*I61/J61,2)</f>
        <v>10170.65</v>
      </c>
      <c r="L61" s="12" t="n">
        <v>10170.64</v>
      </c>
      <c r="M61" s="12" t="n">
        <f aca="false">L61-K61</f>
        <v>-0.0100000000002183</v>
      </c>
      <c r="N61" s="3" t="s">
        <v>51</v>
      </c>
      <c r="O61" s="3" t="s">
        <v>52</v>
      </c>
    </row>
    <row r="62" customFormat="false" ht="15" hidden="false" customHeight="false" outlineLevel="0" collapsed="false">
      <c r="A62" s="14" t="s">
        <v>1450</v>
      </c>
      <c r="B62" s="14" t="s">
        <v>1495</v>
      </c>
      <c r="C62" s="14" t="s">
        <v>188</v>
      </c>
      <c r="D62" s="14" t="s">
        <v>1496</v>
      </c>
      <c r="E62" s="14" t="s">
        <v>56</v>
      </c>
      <c r="F62" s="15" t="n">
        <v>1320000</v>
      </c>
      <c r="G62" s="16" t="n">
        <v>0.55</v>
      </c>
      <c r="H62" s="16" t="n">
        <v>1.35</v>
      </c>
      <c r="I62" s="16" t="n">
        <v>0.9194</v>
      </c>
      <c r="J62" s="16" t="n">
        <v>0.53</v>
      </c>
      <c r="K62" s="15" t="n">
        <f aca="false">ROUND(F62/100*G62*H62*I62/J62,2)</f>
        <v>17001.96</v>
      </c>
      <c r="L62" s="15" t="n">
        <v>17001.96</v>
      </c>
      <c r="M62" s="15" t="n">
        <f aca="false">L62-K62</f>
        <v>0</v>
      </c>
      <c r="N62" s="14" t="s">
        <v>70</v>
      </c>
      <c r="O62" s="14" t="s">
        <v>52</v>
      </c>
    </row>
    <row r="63" customFormat="false" ht="15" hidden="false" customHeight="false" outlineLevel="0" collapsed="false">
      <c r="A63" s="3" t="s">
        <v>1450</v>
      </c>
      <c r="B63" s="3" t="s">
        <v>1497</v>
      </c>
      <c r="C63" s="3" t="s">
        <v>77</v>
      </c>
      <c r="D63" s="3" t="s">
        <v>1498</v>
      </c>
      <c r="E63" s="3" t="s">
        <v>56</v>
      </c>
      <c r="F63" s="12" t="n">
        <v>570000</v>
      </c>
      <c r="G63" s="13" t="n">
        <v>0.65</v>
      </c>
      <c r="H63" s="13" t="n">
        <v>1.42</v>
      </c>
      <c r="I63" s="13" t="n">
        <v>0.9194</v>
      </c>
      <c r="J63" s="13" t="n">
        <v>0.53</v>
      </c>
      <c r="K63" s="12" t="n">
        <f aca="false">ROUND(F63/100*G63*H63*I63/J63,2)</f>
        <v>9126.52</v>
      </c>
      <c r="L63" s="12" t="n">
        <v>9126.52</v>
      </c>
      <c r="M63" s="12" t="n">
        <f aca="false">L63-K63</f>
        <v>0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1499</v>
      </c>
      <c r="B64" s="14" t="s">
        <v>1500</v>
      </c>
      <c r="C64" s="14" t="s">
        <v>152</v>
      </c>
      <c r="D64" s="14" t="s">
        <v>1501</v>
      </c>
      <c r="E64" s="14" t="s">
        <v>56</v>
      </c>
      <c r="F64" s="15" t="n">
        <v>595000</v>
      </c>
      <c r="G64" s="16" t="n">
        <v>0.65</v>
      </c>
      <c r="H64" s="16" t="n">
        <v>1</v>
      </c>
      <c r="I64" s="16" t="n">
        <v>0.9194</v>
      </c>
      <c r="J64" s="16" t="n">
        <v>0.53</v>
      </c>
      <c r="K64" s="15" t="n">
        <f aca="false">ROUND(F64/100*G64*H64*I64/J64,2)</f>
        <v>6709.02</v>
      </c>
      <c r="L64" s="15" t="n">
        <v>6709.02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1400</v>
      </c>
      <c r="B65" s="3" t="s">
        <v>1502</v>
      </c>
      <c r="C65" s="3" t="s">
        <v>193</v>
      </c>
      <c r="D65" s="3" t="s">
        <v>1503</v>
      </c>
      <c r="E65" s="3" t="s">
        <v>50</v>
      </c>
      <c r="F65" s="12" t="n">
        <v>1845000</v>
      </c>
      <c r="G65" s="13" t="n">
        <v>0.8</v>
      </c>
      <c r="H65" s="13" t="n">
        <v>1.25</v>
      </c>
      <c r="I65" s="13" t="n">
        <v>0.9194</v>
      </c>
      <c r="J65" s="13" t="n">
        <v>0.53</v>
      </c>
      <c r="K65" s="12" t="n">
        <f aca="false">ROUND(F65/100*G65*H65*I65/J65,2)</f>
        <v>32005.53</v>
      </c>
      <c r="L65" s="12" t="n">
        <v>32005.53</v>
      </c>
      <c r="M65" s="12" t="n">
        <f aca="false">L65-K65</f>
        <v>0</v>
      </c>
      <c r="N65" s="3" t="s">
        <v>70</v>
      </c>
      <c r="O65" s="3" t="s">
        <v>52</v>
      </c>
    </row>
    <row r="66" customFormat="false" ht="15" hidden="false" customHeight="false" outlineLevel="0" collapsed="false">
      <c r="A66" s="14" t="s">
        <v>1389</v>
      </c>
      <c r="B66" s="14" t="s">
        <v>1504</v>
      </c>
      <c r="C66" s="14" t="s">
        <v>159</v>
      </c>
      <c r="D66" s="14" t="s">
        <v>82</v>
      </c>
      <c r="E66" s="14" t="s">
        <v>50</v>
      </c>
      <c r="F66" s="15" t="n">
        <v>1195000</v>
      </c>
      <c r="G66" s="16" t="n">
        <v>0.8</v>
      </c>
      <c r="H66" s="16" t="n">
        <v>1.15</v>
      </c>
      <c r="I66" s="16" t="n">
        <v>0.9194</v>
      </c>
      <c r="J66" s="16" t="n">
        <v>0.53</v>
      </c>
      <c r="K66" s="15" t="n">
        <f aca="false">ROUND(F66/100*G66*H66*I66/J66,2)</f>
        <v>19071.48</v>
      </c>
      <c r="L66" s="15" t="n">
        <v>19071.48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1383</v>
      </c>
      <c r="B67" s="3" t="s">
        <v>1505</v>
      </c>
      <c r="C67" s="3" t="s">
        <v>217</v>
      </c>
      <c r="D67" s="3" t="s">
        <v>1506</v>
      </c>
      <c r="E67" s="3" t="s">
        <v>56</v>
      </c>
      <c r="F67" s="12" t="n">
        <v>580000</v>
      </c>
      <c r="G67" s="13" t="n">
        <v>0.65</v>
      </c>
      <c r="H67" s="13" t="n">
        <v>1.3</v>
      </c>
      <c r="I67" s="13" t="n">
        <v>0.9194</v>
      </c>
      <c r="J67" s="13" t="n">
        <v>0.53</v>
      </c>
      <c r="K67" s="12" t="n">
        <f aca="false">ROUND(F67/100*G67*H67*I67/J67,2)</f>
        <v>8501.85</v>
      </c>
      <c r="L67" s="12" t="n">
        <v>8501.85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1386</v>
      </c>
      <c r="B68" s="14" t="s">
        <v>1507</v>
      </c>
      <c r="C68" s="14" t="s">
        <v>311</v>
      </c>
      <c r="D68" s="14" t="s">
        <v>1063</v>
      </c>
      <c r="E68" s="14" t="s">
        <v>56</v>
      </c>
      <c r="F68" s="15" t="n">
        <v>1815000</v>
      </c>
      <c r="G68" s="16" t="n">
        <v>0.55</v>
      </c>
      <c r="H68" s="16" t="n">
        <v>1.06</v>
      </c>
      <c r="I68" s="16" t="n">
        <v>0.9194</v>
      </c>
      <c r="J68" s="16" t="n">
        <v>0.53</v>
      </c>
      <c r="K68" s="15" t="n">
        <f aca="false">ROUND(F68/100*G68*H68*I68/J68,2)</f>
        <v>18355.82</v>
      </c>
      <c r="L68" s="15" t="n">
        <v>18355.82</v>
      </c>
      <c r="M68" s="15" t="n">
        <f aca="false">L68-K68</f>
        <v>0</v>
      </c>
      <c r="N68" s="14" t="s">
        <v>51</v>
      </c>
      <c r="O68" s="14" t="s">
        <v>52</v>
      </c>
    </row>
    <row r="69" customFormat="false" ht="15" hidden="false" customHeight="false" outlineLevel="0" collapsed="false">
      <c r="A69" s="3" t="s">
        <v>1415</v>
      </c>
      <c r="B69" s="3" t="s">
        <v>1508</v>
      </c>
      <c r="C69" s="3" t="s">
        <v>152</v>
      </c>
      <c r="D69" s="3" t="s">
        <v>322</v>
      </c>
      <c r="E69" s="3" t="s">
        <v>56</v>
      </c>
      <c r="F69" s="12" t="n">
        <v>555000</v>
      </c>
      <c r="G69" s="13" t="n">
        <v>0.65</v>
      </c>
      <c r="H69" s="13" t="n">
        <v>1</v>
      </c>
      <c r="I69" s="13" t="n">
        <v>0.9194</v>
      </c>
      <c r="J69" s="13" t="n">
        <v>0.53</v>
      </c>
      <c r="K69" s="12" t="n">
        <f aca="false">ROUND(F69/100*G69*H69*I69/J69,2)</f>
        <v>6257.99</v>
      </c>
      <c r="L69" s="12" t="n">
        <v>6257.99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1381</v>
      </c>
      <c r="B70" s="14" t="s">
        <v>1509</v>
      </c>
      <c r="C70" s="14" t="s">
        <v>892</v>
      </c>
      <c r="D70" s="14" t="s">
        <v>1510</v>
      </c>
      <c r="E70" s="14" t="s">
        <v>74</v>
      </c>
      <c r="F70" s="15" t="n">
        <v>405000</v>
      </c>
      <c r="G70" s="16" t="n">
        <v>0.48</v>
      </c>
      <c r="H70" s="16" t="n">
        <v>1.08</v>
      </c>
      <c r="I70" s="16" t="n">
        <v>0.9194</v>
      </c>
      <c r="J70" s="16" t="n">
        <v>0.53</v>
      </c>
      <c r="K70" s="15" t="n">
        <f aca="false">ROUND(F70/100*G70*H70*I70/J70,2)</f>
        <v>3642.07</v>
      </c>
      <c r="L70" s="15" t="n">
        <v>3642.07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1404</v>
      </c>
      <c r="B71" s="3" t="s">
        <v>1511</v>
      </c>
      <c r="C71" s="3" t="s">
        <v>59</v>
      </c>
      <c r="D71" s="3" t="s">
        <v>1512</v>
      </c>
      <c r="E71" s="3" t="s">
        <v>56</v>
      </c>
      <c r="F71" s="12" t="n">
        <v>470000</v>
      </c>
      <c r="G71" s="13" t="n">
        <v>0.75</v>
      </c>
      <c r="H71" s="13" t="n">
        <v>0.97</v>
      </c>
      <c r="I71" s="13" t="n">
        <v>0.9194</v>
      </c>
      <c r="J71" s="13" t="n">
        <v>0.53</v>
      </c>
      <c r="K71" s="12" t="n">
        <f aca="false">ROUND(F71/100*G71*H71*I71/J71,2)</f>
        <v>5931.43</v>
      </c>
      <c r="L71" s="12" t="n">
        <v>5931.44</v>
      </c>
      <c r="M71" s="12" t="n">
        <f aca="false">L71-K71</f>
        <v>0.00999999999930878</v>
      </c>
      <c r="N71" s="3" t="s">
        <v>51</v>
      </c>
      <c r="O71" s="3" t="s">
        <v>52</v>
      </c>
    </row>
    <row r="72" customFormat="false" ht="15" hidden="false" customHeight="false" outlineLevel="0" collapsed="false">
      <c r="A72" s="14" t="s">
        <v>1423</v>
      </c>
      <c r="B72" s="14" t="s">
        <v>1513</v>
      </c>
      <c r="C72" s="14" t="s">
        <v>120</v>
      </c>
      <c r="D72" s="14" t="s">
        <v>1514</v>
      </c>
      <c r="E72" s="14" t="s">
        <v>157</v>
      </c>
      <c r="F72" s="15" t="n">
        <v>570000</v>
      </c>
      <c r="G72" s="16" t="n">
        <v>0.78</v>
      </c>
      <c r="H72" s="16" t="n">
        <v>1.15</v>
      </c>
      <c r="I72" s="16" t="n">
        <v>0.9194</v>
      </c>
      <c r="J72" s="16" t="n">
        <v>0.53</v>
      </c>
      <c r="K72" s="15" t="n">
        <f aca="false">ROUND(F72/100*G72*H72*I72/J72,2)</f>
        <v>8869.43</v>
      </c>
      <c r="L72" s="15" t="n">
        <v>8869.43</v>
      </c>
      <c r="M72" s="15" t="n">
        <f aca="false">L72-K72</f>
        <v>0</v>
      </c>
      <c r="N72" s="14" t="s">
        <v>70</v>
      </c>
      <c r="O72" s="14" t="s">
        <v>52</v>
      </c>
    </row>
    <row r="73" customFormat="false" ht="15" hidden="false" customHeight="false" outlineLevel="0" collapsed="false">
      <c r="A73" s="3" t="s">
        <v>1386</v>
      </c>
      <c r="B73" s="3" t="s">
        <v>1515</v>
      </c>
      <c r="C73" s="3" t="s">
        <v>114</v>
      </c>
      <c r="D73" s="3" t="s">
        <v>1288</v>
      </c>
      <c r="E73" s="3" t="s">
        <v>56</v>
      </c>
      <c r="F73" s="12" t="n">
        <v>235000</v>
      </c>
      <c r="G73" s="13" t="n">
        <v>0.92</v>
      </c>
      <c r="H73" s="13" t="n">
        <v>1.36</v>
      </c>
      <c r="I73" s="13" t="n">
        <v>0.9194</v>
      </c>
      <c r="J73" s="13" t="n">
        <v>0.53</v>
      </c>
      <c r="K73" s="12" t="n">
        <f aca="false">ROUND(F73/100*G73*H73*I73/J73,2)</f>
        <v>5100.62</v>
      </c>
      <c r="L73" s="12" t="n">
        <v>5100.62</v>
      </c>
      <c r="M73" s="12" t="n">
        <f aca="false">L73-K73</f>
        <v>0</v>
      </c>
      <c r="N73" s="3" t="s">
        <v>51</v>
      </c>
      <c r="O73" s="3" t="s">
        <v>52</v>
      </c>
    </row>
    <row r="74" customFormat="false" ht="15" hidden="false" customHeight="false" outlineLevel="0" collapsed="false">
      <c r="A74" s="14" t="s">
        <v>1423</v>
      </c>
      <c r="B74" s="14" t="s">
        <v>1516</v>
      </c>
      <c r="C74" s="14" t="s">
        <v>174</v>
      </c>
      <c r="D74" s="14" t="s">
        <v>1517</v>
      </c>
      <c r="E74" s="14" t="s">
        <v>56</v>
      </c>
      <c r="F74" s="15" t="n">
        <v>425000</v>
      </c>
      <c r="G74" s="16" t="n">
        <v>0.75</v>
      </c>
      <c r="H74" s="16" t="n">
        <v>1.55</v>
      </c>
      <c r="I74" s="16" t="n">
        <v>0.9194</v>
      </c>
      <c r="J74" s="16" t="n">
        <v>0.53</v>
      </c>
      <c r="K74" s="15" t="n">
        <f aca="false">ROUND(F74/100*G74*H74*I74/J74,2)</f>
        <v>8570.59</v>
      </c>
      <c r="L74" s="15" t="n">
        <v>8570.58</v>
      </c>
      <c r="M74" s="15" t="n">
        <f aca="false">L74-K74</f>
        <v>-0.0100000000002183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1443</v>
      </c>
      <c r="B75" s="3" t="s">
        <v>1518</v>
      </c>
      <c r="C75" s="3" t="s">
        <v>305</v>
      </c>
      <c r="D75" s="3" t="s">
        <v>398</v>
      </c>
      <c r="E75" s="3" t="s">
        <v>56</v>
      </c>
      <c r="F75" s="12" t="n">
        <v>445000</v>
      </c>
      <c r="G75" s="13" t="n">
        <v>0.75</v>
      </c>
      <c r="H75" s="13" t="n">
        <v>1.12</v>
      </c>
      <c r="I75" s="13" t="n">
        <v>0.9194</v>
      </c>
      <c r="J75" s="13" t="n">
        <v>0.53</v>
      </c>
      <c r="K75" s="12" t="n">
        <f aca="false">ROUND(F75/100*G75*H75*I75/J75,2)</f>
        <v>6484.37</v>
      </c>
      <c r="L75" s="12" t="n">
        <v>6484.37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1435</v>
      </c>
      <c r="B76" s="14" t="s">
        <v>1519</v>
      </c>
      <c r="C76" s="14" t="s">
        <v>89</v>
      </c>
      <c r="D76" s="14" t="s">
        <v>550</v>
      </c>
      <c r="E76" s="14" t="s">
        <v>56</v>
      </c>
      <c r="F76" s="15" t="n">
        <v>830000</v>
      </c>
      <c r="G76" s="16" t="n">
        <v>0.65</v>
      </c>
      <c r="H76" s="16" t="n">
        <v>1.35</v>
      </c>
      <c r="I76" s="16" t="n">
        <v>0.9194</v>
      </c>
      <c r="J76" s="16" t="n">
        <v>0.53</v>
      </c>
      <c r="K76" s="15" t="n">
        <f aca="false">ROUND(F76/100*G76*H76*I76/J76,2)</f>
        <v>12634.38</v>
      </c>
      <c r="L76" s="15" t="n">
        <v>12634.38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1477</v>
      </c>
      <c r="B77" s="3" t="s">
        <v>1520</v>
      </c>
      <c r="C77" s="3" t="s">
        <v>117</v>
      </c>
      <c r="D77" s="3" t="s">
        <v>1521</v>
      </c>
      <c r="E77" s="3" t="s">
        <v>50</v>
      </c>
      <c r="F77" s="12" t="n">
        <v>1155000</v>
      </c>
      <c r="G77" s="13" t="n">
        <v>0.8</v>
      </c>
      <c r="H77" s="13" t="n">
        <v>0.91</v>
      </c>
      <c r="I77" s="13" t="n">
        <v>0.9194</v>
      </c>
      <c r="J77" s="13" t="n">
        <v>0.53</v>
      </c>
      <c r="K77" s="12" t="n">
        <f aca="false">ROUND(F77/100*G77*H77*I77/J77,2)</f>
        <v>14586.19</v>
      </c>
      <c r="L77" s="12" t="n">
        <v>14586.2</v>
      </c>
      <c r="M77" s="12" t="n">
        <f aca="false">L77-K77</f>
        <v>0.0100000000002183</v>
      </c>
      <c r="N77" s="3" t="s">
        <v>51</v>
      </c>
      <c r="O77" s="3" t="s">
        <v>52</v>
      </c>
    </row>
    <row r="78" customFormat="false" ht="15" hidden="false" customHeight="false" outlineLevel="0" collapsed="false">
      <c r="A78" s="14" t="s">
        <v>1522</v>
      </c>
      <c r="B78" s="14" t="s">
        <v>1523</v>
      </c>
      <c r="C78" s="14" t="s">
        <v>59</v>
      </c>
      <c r="D78" s="14" t="s">
        <v>137</v>
      </c>
      <c r="E78" s="14" t="s">
        <v>56</v>
      </c>
      <c r="F78" s="15" t="n">
        <v>570000</v>
      </c>
      <c r="G78" s="16" t="n">
        <v>0.65</v>
      </c>
      <c r="H78" s="16" t="n">
        <v>0.97</v>
      </c>
      <c r="I78" s="16" t="n">
        <v>0.9194</v>
      </c>
      <c r="J78" s="16" t="n">
        <v>0.53</v>
      </c>
      <c r="K78" s="15" t="n">
        <f aca="false">ROUND(F78/100*G78*H78*I78/J78,2)</f>
        <v>6234.31</v>
      </c>
      <c r="L78" s="15" t="n">
        <v>6234.31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1423</v>
      </c>
      <c r="B79" s="3" t="s">
        <v>1524</v>
      </c>
      <c r="C79" s="3" t="s">
        <v>224</v>
      </c>
      <c r="D79" s="3" t="s">
        <v>986</v>
      </c>
      <c r="E79" s="3" t="s">
        <v>56</v>
      </c>
      <c r="F79" s="12" t="n">
        <v>710000</v>
      </c>
      <c r="G79" s="13" t="n">
        <v>0.65</v>
      </c>
      <c r="H79" s="13" t="n">
        <v>1.1</v>
      </c>
      <c r="I79" s="13" t="n">
        <v>0.9194</v>
      </c>
      <c r="J79" s="13" t="n">
        <v>0.53</v>
      </c>
      <c r="K79" s="12" t="n">
        <f aca="false">ROUND(F79/100*G79*H79*I79/J79,2)</f>
        <v>8806.29</v>
      </c>
      <c r="L79" s="12" t="n">
        <v>8806.29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1450</v>
      </c>
      <c r="B80" s="14" t="s">
        <v>1525</v>
      </c>
      <c r="C80" s="14" t="s">
        <v>152</v>
      </c>
      <c r="D80" s="14" t="s">
        <v>1263</v>
      </c>
      <c r="E80" s="14" t="s">
        <v>56</v>
      </c>
      <c r="F80" s="15" t="n">
        <v>550000</v>
      </c>
      <c r="G80" s="16" t="n">
        <v>0.65</v>
      </c>
      <c r="H80" s="16" t="n">
        <v>1</v>
      </c>
      <c r="I80" s="16" t="n">
        <v>0.9194</v>
      </c>
      <c r="J80" s="16" t="n">
        <v>0.53</v>
      </c>
      <c r="K80" s="15" t="n">
        <f aca="false">ROUND(F80/100*G80*H80*I80/J80,2)</f>
        <v>6201.61</v>
      </c>
      <c r="L80" s="15" t="n">
        <v>6201.61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1450</v>
      </c>
      <c r="B81" s="3" t="s">
        <v>1526</v>
      </c>
      <c r="C81" s="3" t="s">
        <v>48</v>
      </c>
      <c r="D81" s="3" t="s">
        <v>1527</v>
      </c>
      <c r="E81" s="3" t="s">
        <v>56</v>
      </c>
      <c r="F81" s="12" t="n">
        <v>325000</v>
      </c>
      <c r="G81" s="13" t="n">
        <v>0.75</v>
      </c>
      <c r="H81" s="13" t="n">
        <v>1.28</v>
      </c>
      <c r="I81" s="13" t="n">
        <v>0.9194</v>
      </c>
      <c r="J81" s="13" t="n">
        <v>0.53</v>
      </c>
      <c r="K81" s="12" t="n">
        <f aca="false">ROUND(F81/100*G81*H81*I81/J81,2)</f>
        <v>5412.32</v>
      </c>
      <c r="L81" s="12" t="n">
        <v>5412.31</v>
      </c>
      <c r="M81" s="12" t="n">
        <f aca="false">L81-K81</f>
        <v>-0.00999999999930878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1418</v>
      </c>
      <c r="B82" s="14" t="s">
        <v>1528</v>
      </c>
      <c r="C82" s="14" t="s">
        <v>230</v>
      </c>
      <c r="D82" s="14" t="s">
        <v>1529</v>
      </c>
      <c r="E82" s="14" t="s">
        <v>56</v>
      </c>
      <c r="F82" s="15" t="n">
        <v>825000</v>
      </c>
      <c r="G82" s="16" t="n">
        <v>0.65</v>
      </c>
      <c r="H82" s="16" t="n">
        <v>1.09</v>
      </c>
      <c r="I82" s="16" t="n">
        <v>0.9194</v>
      </c>
      <c r="J82" s="16" t="n">
        <v>0.53</v>
      </c>
      <c r="K82" s="15" t="n">
        <f aca="false">ROUND(F82/100*G82*H82*I82/J82,2)</f>
        <v>10139.64</v>
      </c>
      <c r="L82" s="15" t="n">
        <v>10139.64</v>
      </c>
      <c r="M82" s="15" t="n">
        <f aca="false">L82-K82</f>
        <v>0</v>
      </c>
      <c r="N82" s="14" t="s">
        <v>51</v>
      </c>
      <c r="O82" s="14" t="s">
        <v>52</v>
      </c>
    </row>
    <row r="83" customFormat="false" ht="15" hidden="false" customHeight="false" outlineLevel="0" collapsed="false">
      <c r="A83" s="3" t="s">
        <v>1438</v>
      </c>
      <c r="B83" s="3" t="s">
        <v>1530</v>
      </c>
      <c r="C83" s="3" t="s">
        <v>120</v>
      </c>
      <c r="D83" s="3" t="s">
        <v>1531</v>
      </c>
      <c r="E83" s="3" t="s">
        <v>56</v>
      </c>
      <c r="F83" s="12" t="n">
        <v>305000</v>
      </c>
      <c r="G83" s="13" t="n">
        <v>0.75</v>
      </c>
      <c r="H83" s="13" t="n">
        <v>1.15</v>
      </c>
      <c r="I83" s="13" t="n">
        <v>0.9194</v>
      </c>
      <c r="J83" s="13" t="n">
        <v>0.53</v>
      </c>
      <c r="K83" s="12" t="n">
        <f aca="false">ROUND(F83/100*G83*H83*I83/J83,2)</f>
        <v>4563.39</v>
      </c>
      <c r="L83" s="12" t="n">
        <v>4563.39</v>
      </c>
      <c r="M83" s="12" t="n">
        <f aca="false">L83-K83</f>
        <v>0</v>
      </c>
      <c r="N83" s="3" t="s">
        <v>51</v>
      </c>
      <c r="O83" s="3" t="s">
        <v>52</v>
      </c>
    </row>
    <row r="84" customFormat="false" ht="15" hidden="false" customHeight="false" outlineLevel="0" collapsed="false">
      <c r="A84" s="14" t="s">
        <v>1378</v>
      </c>
      <c r="B84" s="14" t="s">
        <v>1532</v>
      </c>
      <c r="C84" s="14" t="s">
        <v>326</v>
      </c>
      <c r="D84" s="14" t="s">
        <v>1112</v>
      </c>
      <c r="E84" s="14" t="s">
        <v>50</v>
      </c>
      <c r="F84" s="15" t="n">
        <v>1145000</v>
      </c>
      <c r="G84" s="16" t="n">
        <v>0.8</v>
      </c>
      <c r="H84" s="16" t="n">
        <v>1.12</v>
      </c>
      <c r="I84" s="16" t="n">
        <v>0.9194</v>
      </c>
      <c r="J84" s="16" t="n">
        <v>0.53</v>
      </c>
      <c r="K84" s="15" t="n">
        <f aca="false">ROUND(F84/100*G84*H84*I84/J84,2)</f>
        <v>17796.81</v>
      </c>
      <c r="L84" s="15" t="n">
        <v>17796.81</v>
      </c>
      <c r="M84" s="15" t="n">
        <f aca="false">L84-K84</f>
        <v>0</v>
      </c>
      <c r="N84" s="14" t="s">
        <v>51</v>
      </c>
      <c r="O84" s="14" t="s">
        <v>52</v>
      </c>
    </row>
    <row r="85" customFormat="false" ht="15" hidden="false" customHeight="false" outlineLevel="0" collapsed="false">
      <c r="A85" s="3" t="s">
        <v>1404</v>
      </c>
      <c r="B85" s="3" t="s">
        <v>1533</v>
      </c>
      <c r="C85" s="3" t="s">
        <v>220</v>
      </c>
      <c r="D85" s="3" t="s">
        <v>1095</v>
      </c>
      <c r="E85" s="3" t="s">
        <v>133</v>
      </c>
      <c r="F85" s="12" t="n">
        <v>685000</v>
      </c>
      <c r="G85" s="13" t="n">
        <v>0.38</v>
      </c>
      <c r="H85" s="13" t="n">
        <v>1.01</v>
      </c>
      <c r="I85" s="13" t="n">
        <v>0.9194</v>
      </c>
      <c r="J85" s="13" t="n">
        <v>0.53</v>
      </c>
      <c r="K85" s="12" t="n">
        <f aca="false">ROUND(F85/100*G85*H85*I85/J85,2)</f>
        <v>4560.62</v>
      </c>
      <c r="L85" s="12" t="n">
        <v>4560.62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1438</v>
      </c>
      <c r="B86" s="14" t="s">
        <v>1534</v>
      </c>
      <c r="C86" s="14" t="s">
        <v>311</v>
      </c>
      <c r="D86" s="14" t="s">
        <v>1535</v>
      </c>
      <c r="E86" s="14" t="s">
        <v>74</v>
      </c>
      <c r="F86" s="15" t="n">
        <v>545000</v>
      </c>
      <c r="G86" s="16" t="n">
        <v>0.43</v>
      </c>
      <c r="H86" s="16" t="n">
        <v>1.06</v>
      </c>
      <c r="I86" s="16" t="n">
        <v>0.9194</v>
      </c>
      <c r="J86" s="16" t="n">
        <v>0.53</v>
      </c>
      <c r="K86" s="15" t="n">
        <f aca="false">ROUND(F86/100*G86*H86*I86/J86,2)</f>
        <v>4309.23</v>
      </c>
      <c r="L86" s="15" t="n">
        <v>4309.23</v>
      </c>
      <c r="M86" s="15" t="n">
        <f aca="false">L86-K86</f>
        <v>0</v>
      </c>
      <c r="N86" s="14" t="s">
        <v>51</v>
      </c>
      <c r="O86" s="14" t="s">
        <v>52</v>
      </c>
    </row>
    <row r="87" customFormat="false" ht="15" hidden="false" customHeight="false" outlineLevel="0" collapsed="false">
      <c r="A87" s="3" t="s">
        <v>1427</v>
      </c>
      <c r="B87" s="3" t="s">
        <v>1536</v>
      </c>
      <c r="C87" s="3" t="s">
        <v>48</v>
      </c>
      <c r="D87" s="3" t="s">
        <v>1537</v>
      </c>
      <c r="E87" s="3" t="s">
        <v>50</v>
      </c>
      <c r="F87" s="12" t="n">
        <v>1950000</v>
      </c>
      <c r="G87" s="13" t="n">
        <v>0.8</v>
      </c>
      <c r="H87" s="13" t="n">
        <v>1.28</v>
      </c>
      <c r="I87" s="13" t="n">
        <v>0.9194</v>
      </c>
      <c r="J87" s="13" t="n">
        <v>0.53</v>
      </c>
      <c r="K87" s="12" t="n">
        <f aca="false">ROUND(F87/100*G87*H87*I87/J87,2)</f>
        <v>34638.83</v>
      </c>
      <c r="L87" s="12" t="n">
        <v>34638.83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1400</v>
      </c>
      <c r="B88" s="14" t="s">
        <v>1538</v>
      </c>
      <c r="C88" s="14" t="s">
        <v>93</v>
      </c>
      <c r="D88" s="14" t="s">
        <v>1063</v>
      </c>
      <c r="E88" s="14" t="s">
        <v>56</v>
      </c>
      <c r="F88" s="15" t="n">
        <v>745000</v>
      </c>
      <c r="G88" s="16" t="n">
        <v>0.65</v>
      </c>
      <c r="H88" s="16" t="n">
        <v>1.39</v>
      </c>
      <c r="I88" s="16" t="n">
        <v>0.9194</v>
      </c>
      <c r="J88" s="16" t="n">
        <v>0.53</v>
      </c>
      <c r="K88" s="15" t="n">
        <f aca="false">ROUND(F88/100*G88*H88*I88/J88,2)</f>
        <v>11676.51</v>
      </c>
      <c r="L88" s="15" t="n">
        <v>11676.51</v>
      </c>
      <c r="M88" s="15" t="n">
        <f aca="false">L88-K88</f>
        <v>0</v>
      </c>
      <c r="N88" s="14" t="s">
        <v>51</v>
      </c>
      <c r="O88" s="14" t="s">
        <v>52</v>
      </c>
    </row>
    <row r="89" customFormat="false" ht="15" hidden="false" customHeight="false" outlineLevel="0" collapsed="false">
      <c r="A89" s="3" t="s">
        <v>1381</v>
      </c>
      <c r="B89" s="3" t="s">
        <v>1539</v>
      </c>
      <c r="C89" s="3" t="s">
        <v>159</v>
      </c>
      <c r="D89" s="3" t="s">
        <v>1540</v>
      </c>
      <c r="E89" s="3" t="s">
        <v>74</v>
      </c>
      <c r="F89" s="12" t="n">
        <v>1485000</v>
      </c>
      <c r="G89" s="13" t="n">
        <v>0.38</v>
      </c>
      <c r="H89" s="13" t="n">
        <v>1.15</v>
      </c>
      <c r="I89" s="13" t="n">
        <v>0.9194</v>
      </c>
      <c r="J89" s="13" t="n">
        <v>0.53</v>
      </c>
      <c r="K89" s="12" t="n">
        <f aca="false">ROUND(F89/100*G89*H89*I89/J89,2)</f>
        <v>11257.36</v>
      </c>
      <c r="L89" s="12" t="n">
        <v>11257.36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1420</v>
      </c>
      <c r="B90" s="14" t="s">
        <v>1541</v>
      </c>
      <c r="C90" s="14" t="s">
        <v>68</v>
      </c>
      <c r="D90" s="14" t="s">
        <v>1542</v>
      </c>
      <c r="E90" s="14" t="s">
        <v>56</v>
      </c>
      <c r="F90" s="15" t="n">
        <v>1215000</v>
      </c>
      <c r="G90" s="16" t="n">
        <v>0.55</v>
      </c>
      <c r="H90" s="16" t="n">
        <v>1.38</v>
      </c>
      <c r="I90" s="16" t="n">
        <v>0.9194</v>
      </c>
      <c r="J90" s="16" t="n">
        <v>0.53</v>
      </c>
      <c r="K90" s="15" t="n">
        <f aca="false">ROUND(F90/100*G90*H90*I90/J90,2)</f>
        <v>15997.3</v>
      </c>
      <c r="L90" s="15" t="n">
        <v>15997.3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1469</v>
      </c>
      <c r="B91" s="3" t="s">
        <v>1543</v>
      </c>
      <c r="C91" s="3" t="s">
        <v>89</v>
      </c>
      <c r="D91" s="3" t="s">
        <v>1290</v>
      </c>
      <c r="E91" s="3" t="s">
        <v>56</v>
      </c>
      <c r="F91" s="12" t="n">
        <v>365000</v>
      </c>
      <c r="G91" s="13" t="n">
        <v>0.75</v>
      </c>
      <c r="H91" s="13" t="n">
        <v>1.35</v>
      </c>
      <c r="I91" s="13" t="n">
        <v>0.9194</v>
      </c>
      <c r="J91" s="13" t="n">
        <v>0.53</v>
      </c>
      <c r="K91" s="12" t="n">
        <f aca="false">ROUND(F91/100*G91*H91*I91/J91,2)</f>
        <v>6410.86</v>
      </c>
      <c r="L91" s="12" t="n">
        <v>6410.87</v>
      </c>
      <c r="M91" s="12" t="n">
        <f aca="false">L91-K91</f>
        <v>0.0100000000002183</v>
      </c>
      <c r="N91" s="3" t="s">
        <v>51</v>
      </c>
      <c r="O91" s="3" t="s">
        <v>52</v>
      </c>
    </row>
    <row r="92" customFormat="false" ht="15" hidden="false" customHeight="false" outlineLevel="0" collapsed="false">
      <c r="A92" s="14" t="s">
        <v>1383</v>
      </c>
      <c r="B92" s="14" t="s">
        <v>1544</v>
      </c>
      <c r="C92" s="14" t="s">
        <v>77</v>
      </c>
      <c r="D92" s="14" t="s">
        <v>1545</v>
      </c>
      <c r="E92" s="14" t="s">
        <v>133</v>
      </c>
      <c r="F92" s="15" t="n">
        <v>1950000</v>
      </c>
      <c r="G92" s="16" t="n">
        <v>0.34</v>
      </c>
      <c r="H92" s="16" t="n">
        <v>1.42</v>
      </c>
      <c r="I92" s="16" t="n">
        <v>0.9194</v>
      </c>
      <c r="J92" s="16" t="n">
        <v>0.53</v>
      </c>
      <c r="K92" s="15" t="n">
        <f aca="false">ROUND(F92/100*G92*H92*I92/J92,2)</f>
        <v>16331.67</v>
      </c>
      <c r="L92" s="15" t="n">
        <v>16331.67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1438</v>
      </c>
      <c r="B93" s="3" t="s">
        <v>1546</v>
      </c>
      <c r="C93" s="3" t="s">
        <v>48</v>
      </c>
      <c r="D93" s="3" t="s">
        <v>1547</v>
      </c>
      <c r="E93" s="3" t="s">
        <v>56</v>
      </c>
      <c r="F93" s="12" t="n">
        <v>405000</v>
      </c>
      <c r="G93" s="13" t="n">
        <v>0.75</v>
      </c>
      <c r="H93" s="13" t="n">
        <v>1.28</v>
      </c>
      <c r="I93" s="13" t="n">
        <v>0.9194</v>
      </c>
      <c r="J93" s="13" t="n">
        <v>0.53</v>
      </c>
      <c r="K93" s="12" t="n">
        <f aca="false">ROUND(F93/100*G93*H93*I93/J93,2)</f>
        <v>6744.58</v>
      </c>
      <c r="L93" s="12" t="n">
        <v>6744.58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1469</v>
      </c>
      <c r="B94" s="14" t="s">
        <v>1548</v>
      </c>
      <c r="C94" s="14" t="s">
        <v>892</v>
      </c>
      <c r="D94" s="14" t="s">
        <v>1549</v>
      </c>
      <c r="E94" s="14" t="s">
        <v>56</v>
      </c>
      <c r="F94" s="15" t="n">
        <v>1060000</v>
      </c>
      <c r="G94" s="16" t="n">
        <v>0.55</v>
      </c>
      <c r="H94" s="16" t="n">
        <v>1.08</v>
      </c>
      <c r="I94" s="16" t="n">
        <v>0.9194</v>
      </c>
      <c r="J94" s="16" t="n">
        <v>0.53</v>
      </c>
      <c r="K94" s="15" t="n">
        <f aca="false">ROUND(F94/100*G94*H94*I94/J94,2)</f>
        <v>10922.47</v>
      </c>
      <c r="L94" s="15" t="n">
        <v>10922.47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1427</v>
      </c>
      <c r="B95" s="3" t="s">
        <v>1550</v>
      </c>
      <c r="C95" s="3" t="s">
        <v>417</v>
      </c>
      <c r="D95" s="3" t="s">
        <v>1551</v>
      </c>
      <c r="E95" s="3" t="s">
        <v>50</v>
      </c>
      <c r="F95" s="12" t="n">
        <v>995000</v>
      </c>
      <c r="G95" s="13" t="n">
        <v>0.95</v>
      </c>
      <c r="H95" s="13" t="n">
        <v>1.24</v>
      </c>
      <c r="I95" s="13" t="n">
        <v>0.9194</v>
      </c>
      <c r="J95" s="13" t="n">
        <v>0.53</v>
      </c>
      <c r="K95" s="12" t="n">
        <f aca="false">ROUND(F95/100*G95*H95*I95/J95,2)</f>
        <v>20332.79</v>
      </c>
      <c r="L95" s="12" t="n">
        <v>20332.79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1402</v>
      </c>
      <c r="B96" s="14" t="s">
        <v>1552</v>
      </c>
      <c r="C96" s="14" t="s">
        <v>417</v>
      </c>
      <c r="D96" s="14" t="s">
        <v>1553</v>
      </c>
      <c r="E96" s="14" t="s">
        <v>50</v>
      </c>
      <c r="F96" s="15" t="n">
        <v>580000</v>
      </c>
      <c r="G96" s="16" t="n">
        <v>0.95</v>
      </c>
      <c r="H96" s="16" t="n">
        <v>1.24</v>
      </c>
      <c r="I96" s="16" t="n">
        <v>0.9194</v>
      </c>
      <c r="J96" s="16" t="n">
        <v>0.53</v>
      </c>
      <c r="K96" s="15" t="n">
        <f aca="false">ROUND(F96/100*G96*H96*I96/J96,2)</f>
        <v>11852.28</v>
      </c>
      <c r="L96" s="15" t="n">
        <v>11852.28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1415</v>
      </c>
      <c r="B97" s="3" t="s">
        <v>1554</v>
      </c>
      <c r="C97" s="3" t="s">
        <v>462</v>
      </c>
      <c r="D97" s="3" t="s">
        <v>1555</v>
      </c>
      <c r="E97" s="3" t="s">
        <v>56</v>
      </c>
      <c r="F97" s="12" t="n">
        <v>515000</v>
      </c>
      <c r="G97" s="13" t="n">
        <v>0.65</v>
      </c>
      <c r="H97" s="13" t="n">
        <v>1.34</v>
      </c>
      <c r="I97" s="13" t="n">
        <v>0.9194</v>
      </c>
      <c r="J97" s="13" t="n">
        <v>0.53</v>
      </c>
      <c r="K97" s="12" t="n">
        <f aca="false">ROUND(F97/100*G97*H97*I97/J97,2)</f>
        <v>7781.33</v>
      </c>
      <c r="L97" s="12" t="n">
        <v>7781.33</v>
      </c>
      <c r="M97" s="12" t="n">
        <f aca="false">L97-K97</f>
        <v>0</v>
      </c>
      <c r="N97" s="3" t="s">
        <v>70</v>
      </c>
      <c r="O97" s="3" t="s">
        <v>52</v>
      </c>
    </row>
    <row r="98" customFormat="false" ht="15" hidden="false" customHeight="false" outlineLevel="0" collapsed="false">
      <c r="A98" s="14" t="s">
        <v>1443</v>
      </c>
      <c r="B98" s="14" t="s">
        <v>1556</v>
      </c>
      <c r="C98" s="14" t="s">
        <v>142</v>
      </c>
      <c r="D98" s="14" t="s">
        <v>1168</v>
      </c>
      <c r="E98" s="14" t="s">
        <v>56</v>
      </c>
      <c r="F98" s="15" t="n">
        <v>425000</v>
      </c>
      <c r="G98" s="16" t="n">
        <v>0.75</v>
      </c>
      <c r="H98" s="16" t="n">
        <v>1.22</v>
      </c>
      <c r="I98" s="16" t="n">
        <v>0.9194</v>
      </c>
      <c r="J98" s="16" t="n">
        <v>0.53</v>
      </c>
      <c r="K98" s="15" t="n">
        <f aca="false">ROUND(F98/100*G98*H98*I98/J98,2)</f>
        <v>6745.88</v>
      </c>
      <c r="L98" s="15" t="n">
        <v>6745.88</v>
      </c>
      <c r="M98" s="15" t="n">
        <f aca="false">L98-K98</f>
        <v>0</v>
      </c>
      <c r="N98" s="14" t="s">
        <v>51</v>
      </c>
      <c r="O98" s="14" t="s">
        <v>52</v>
      </c>
    </row>
    <row r="99" customFormat="false" ht="15" hidden="false" customHeight="false" outlineLevel="0" collapsed="false">
      <c r="A99" s="3" t="s">
        <v>1395</v>
      </c>
      <c r="B99" s="3" t="s">
        <v>1557</v>
      </c>
      <c r="C99" s="3" t="s">
        <v>224</v>
      </c>
      <c r="D99" s="3" t="s">
        <v>1150</v>
      </c>
      <c r="E99" s="3" t="s">
        <v>56</v>
      </c>
      <c r="F99" s="12" t="n">
        <v>405000</v>
      </c>
      <c r="G99" s="13" t="n">
        <v>0.75</v>
      </c>
      <c r="H99" s="13" t="n">
        <v>1.1</v>
      </c>
      <c r="I99" s="13" t="n">
        <v>0.9194</v>
      </c>
      <c r="J99" s="13" t="n">
        <v>0.53</v>
      </c>
      <c r="K99" s="12" t="n">
        <f aca="false">ROUND(F99/100*G99*H99*I99/J99,2)</f>
        <v>5796.12</v>
      </c>
      <c r="L99" s="12" t="n">
        <v>5796.13</v>
      </c>
      <c r="M99" s="12" t="n">
        <f aca="false">L99-K99</f>
        <v>0.0100000000002183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1499</v>
      </c>
      <c r="B100" s="14" t="s">
        <v>1558</v>
      </c>
      <c r="C100" s="14" t="s">
        <v>120</v>
      </c>
      <c r="D100" s="14" t="s">
        <v>998</v>
      </c>
      <c r="E100" s="14" t="s">
        <v>56</v>
      </c>
      <c r="F100" s="15" t="n">
        <v>775000</v>
      </c>
      <c r="G100" s="16" t="n">
        <v>0.65</v>
      </c>
      <c r="H100" s="16" t="n">
        <v>1.15</v>
      </c>
      <c r="I100" s="16" t="n">
        <v>0.9194</v>
      </c>
      <c r="J100" s="16" t="n">
        <v>0.53</v>
      </c>
      <c r="K100" s="15" t="n">
        <f aca="false">ROUND(F100/100*G100*H100*I100/J100,2)</f>
        <v>10049.43</v>
      </c>
      <c r="L100" s="15" t="n">
        <v>10049.43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1420</v>
      </c>
      <c r="B101" s="3" t="s">
        <v>1559</v>
      </c>
      <c r="C101" s="3" t="s">
        <v>152</v>
      </c>
      <c r="D101" s="3" t="s">
        <v>1560</v>
      </c>
      <c r="E101" s="3" t="s">
        <v>56</v>
      </c>
      <c r="F101" s="12" t="n">
        <v>380000</v>
      </c>
      <c r="G101" s="13" t="n">
        <v>0.75</v>
      </c>
      <c r="H101" s="13" t="n">
        <v>1</v>
      </c>
      <c r="I101" s="13" t="n">
        <v>0.9194</v>
      </c>
      <c r="J101" s="13" t="n">
        <v>0.53</v>
      </c>
      <c r="K101" s="12" t="n">
        <f aca="false">ROUND(F101/100*G101*H101*I101/J101,2)</f>
        <v>4943.94</v>
      </c>
      <c r="L101" s="12" t="n">
        <v>4943.94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1455</v>
      </c>
      <c r="B102" s="14" t="s">
        <v>1561</v>
      </c>
      <c r="C102" s="14" t="s">
        <v>89</v>
      </c>
      <c r="D102" s="14" t="s">
        <v>1529</v>
      </c>
      <c r="E102" s="14" t="s">
        <v>56</v>
      </c>
      <c r="F102" s="15" t="n">
        <v>1175000</v>
      </c>
      <c r="G102" s="16" t="n">
        <v>0.55</v>
      </c>
      <c r="H102" s="16" t="n">
        <v>1.35</v>
      </c>
      <c r="I102" s="16" t="n">
        <v>0.9194</v>
      </c>
      <c r="J102" s="16" t="n">
        <v>0.53</v>
      </c>
      <c r="K102" s="15" t="n">
        <f aca="false">ROUND(F102/100*G102*H102*I102/J102,2)</f>
        <v>15134.32</v>
      </c>
      <c r="L102" s="15" t="n">
        <v>15134.32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1378</v>
      </c>
      <c r="B103" s="3" t="s">
        <v>1562</v>
      </c>
      <c r="C103" s="3" t="s">
        <v>85</v>
      </c>
      <c r="D103" s="3" t="s">
        <v>1563</v>
      </c>
      <c r="E103" s="3" t="s">
        <v>56</v>
      </c>
      <c r="F103" s="12" t="n">
        <v>330000</v>
      </c>
      <c r="G103" s="13" t="n">
        <v>0.75</v>
      </c>
      <c r="H103" s="13" t="n">
        <v>1.28</v>
      </c>
      <c r="I103" s="13" t="n">
        <v>0.9194</v>
      </c>
      <c r="J103" s="13" t="n">
        <v>0.53</v>
      </c>
      <c r="K103" s="12" t="n">
        <f aca="false">ROUND(F103/100*G103*H103*I103/J103,2)</f>
        <v>5495.58</v>
      </c>
      <c r="L103" s="12" t="n">
        <v>5495.58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1423</v>
      </c>
      <c r="B104" s="14" t="s">
        <v>1564</v>
      </c>
      <c r="C104" s="14" t="s">
        <v>131</v>
      </c>
      <c r="D104" s="14" t="s">
        <v>1565</v>
      </c>
      <c r="E104" s="14" t="s">
        <v>50</v>
      </c>
      <c r="F104" s="15" t="n">
        <v>720000</v>
      </c>
      <c r="G104" s="16" t="n">
        <v>0.95</v>
      </c>
      <c r="H104" s="16" t="n">
        <v>0.95</v>
      </c>
      <c r="I104" s="16" t="n">
        <v>0.9194</v>
      </c>
      <c r="J104" s="16" t="n">
        <v>0.53</v>
      </c>
      <c r="K104" s="15" t="n">
        <f aca="false">ROUND(F104/100*G104*H104*I104/J104,2)</f>
        <v>11272.19</v>
      </c>
      <c r="L104" s="15" t="n">
        <v>11272.19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1398</v>
      </c>
      <c r="B105" s="3" t="s">
        <v>1566</v>
      </c>
      <c r="C105" s="3" t="s">
        <v>93</v>
      </c>
      <c r="D105" s="3" t="s">
        <v>1567</v>
      </c>
      <c r="E105" s="3" t="s">
        <v>74</v>
      </c>
      <c r="F105" s="12" t="n">
        <v>150000</v>
      </c>
      <c r="G105" s="13" t="n">
        <v>0.57</v>
      </c>
      <c r="H105" s="13" t="n">
        <v>1.39</v>
      </c>
      <c r="I105" s="13" t="n">
        <v>0.9194</v>
      </c>
      <c r="J105" s="13" t="n">
        <v>0.53</v>
      </c>
      <c r="K105" s="12" t="n">
        <f aca="false">ROUND(F105/100*G105*H105*I105/J105,2)</f>
        <v>2061.62</v>
      </c>
      <c r="L105" s="12" t="n">
        <v>2061.63</v>
      </c>
      <c r="M105" s="12" t="n">
        <f aca="false">L105-K105</f>
        <v>0.0100000000002183</v>
      </c>
      <c r="N105" s="3" t="s">
        <v>70</v>
      </c>
      <c r="O105" s="3" t="s">
        <v>52</v>
      </c>
    </row>
    <row r="106" customFormat="false" ht="15" hidden="false" customHeight="false" outlineLevel="0" collapsed="false">
      <c r="A106" s="14" t="s">
        <v>1450</v>
      </c>
      <c r="B106" s="14" t="s">
        <v>1568</v>
      </c>
      <c r="C106" s="14" t="s">
        <v>159</v>
      </c>
      <c r="D106" s="14" t="s">
        <v>709</v>
      </c>
      <c r="E106" s="14" t="s">
        <v>56</v>
      </c>
      <c r="F106" s="15" t="n">
        <v>920000</v>
      </c>
      <c r="G106" s="16" t="n">
        <v>0.65</v>
      </c>
      <c r="H106" s="16" t="n">
        <v>1.15</v>
      </c>
      <c r="I106" s="16" t="n">
        <v>0.9194</v>
      </c>
      <c r="J106" s="16" t="n">
        <v>0.53</v>
      </c>
      <c r="K106" s="15" t="n">
        <f aca="false">ROUND(F106/100*G106*H106*I106/J106,2)</f>
        <v>11929.65</v>
      </c>
      <c r="L106" s="15" t="n">
        <v>11929.65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1469</v>
      </c>
      <c r="B107" s="3" t="s">
        <v>1569</v>
      </c>
      <c r="C107" s="3" t="s">
        <v>77</v>
      </c>
      <c r="D107" s="3" t="s">
        <v>527</v>
      </c>
      <c r="E107" s="3" t="s">
        <v>56</v>
      </c>
      <c r="F107" s="12" t="n">
        <v>705000</v>
      </c>
      <c r="G107" s="13" t="n">
        <v>0.65</v>
      </c>
      <c r="H107" s="13" t="n">
        <v>1.42</v>
      </c>
      <c r="I107" s="13" t="n">
        <v>0.9194</v>
      </c>
      <c r="J107" s="13" t="n">
        <v>0.53</v>
      </c>
      <c r="K107" s="12" t="n">
        <f aca="false">ROUND(F107/100*G107*H107*I107/J107,2)</f>
        <v>11288.06</v>
      </c>
      <c r="L107" s="12" t="n">
        <v>11288.06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1391</v>
      </c>
      <c r="B108" s="14" t="s">
        <v>1570</v>
      </c>
      <c r="C108" s="14" t="s">
        <v>196</v>
      </c>
      <c r="D108" s="14" t="s">
        <v>1571</v>
      </c>
      <c r="E108" s="14" t="s">
        <v>157</v>
      </c>
      <c r="F108" s="15" t="n">
        <v>1535000</v>
      </c>
      <c r="G108" s="16" t="n">
        <v>0.68</v>
      </c>
      <c r="H108" s="16" t="n">
        <v>1.04</v>
      </c>
      <c r="I108" s="16" t="n">
        <v>0.9194</v>
      </c>
      <c r="J108" s="16" t="n">
        <v>0.53</v>
      </c>
      <c r="K108" s="15" t="n">
        <f aca="false">ROUND(F108/100*G108*H108*I108/J108,2)</f>
        <v>18831.25</v>
      </c>
      <c r="L108" s="15" t="n">
        <v>18831.25</v>
      </c>
      <c r="M108" s="15" t="n">
        <f aca="false">L108-K108</f>
        <v>0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1418</v>
      </c>
      <c r="B109" s="3" t="s">
        <v>1572</v>
      </c>
      <c r="C109" s="3" t="s">
        <v>366</v>
      </c>
      <c r="D109" s="3" t="s">
        <v>1573</v>
      </c>
      <c r="E109" s="3" t="s">
        <v>56</v>
      </c>
      <c r="F109" s="12" t="n">
        <v>545000</v>
      </c>
      <c r="G109" s="13" t="n">
        <v>0.65</v>
      </c>
      <c r="H109" s="13" t="n">
        <v>1.26</v>
      </c>
      <c r="I109" s="13" t="n">
        <v>0.9194</v>
      </c>
      <c r="J109" s="13" t="n">
        <v>0.53</v>
      </c>
      <c r="K109" s="12" t="n">
        <f aca="false">ROUND(F109/100*G109*H109*I109/J109,2)</f>
        <v>7743</v>
      </c>
      <c r="L109" s="12" t="n">
        <v>7742.99</v>
      </c>
      <c r="M109" s="12" t="n">
        <f aca="false">L109-K109</f>
        <v>-0.0100000000002183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1522</v>
      </c>
      <c r="B110" s="14" t="s">
        <v>1574</v>
      </c>
      <c r="C110" s="14" t="s">
        <v>275</v>
      </c>
      <c r="D110" s="14" t="s">
        <v>1016</v>
      </c>
      <c r="E110" s="14" t="s">
        <v>56</v>
      </c>
      <c r="F110" s="15" t="n">
        <v>415000</v>
      </c>
      <c r="G110" s="16" t="n">
        <v>0.75</v>
      </c>
      <c r="H110" s="16" t="n">
        <v>1.19</v>
      </c>
      <c r="I110" s="16" t="n">
        <v>0.9194</v>
      </c>
      <c r="J110" s="16" t="n">
        <v>0.53</v>
      </c>
      <c r="K110" s="15" t="n">
        <f aca="false">ROUND(F110/100*G110*H110*I110/J110,2)</f>
        <v>6425.17</v>
      </c>
      <c r="L110" s="15" t="n">
        <v>6425.17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1423</v>
      </c>
      <c r="B111" s="3" t="s">
        <v>1575</v>
      </c>
      <c r="C111" s="3" t="s">
        <v>136</v>
      </c>
      <c r="D111" s="3" t="s">
        <v>1576</v>
      </c>
      <c r="E111" s="3" t="s">
        <v>74</v>
      </c>
      <c r="F111" s="12" t="n">
        <v>340000</v>
      </c>
      <c r="G111" s="13" t="n">
        <v>0.48</v>
      </c>
      <c r="H111" s="13" t="n">
        <v>1.32</v>
      </c>
      <c r="I111" s="13" t="n">
        <v>0.9194</v>
      </c>
      <c r="J111" s="13" t="n">
        <v>0.53</v>
      </c>
      <c r="K111" s="12" t="n">
        <f aca="false">ROUND(F111/100*G111*H111*I111/J111,2)</f>
        <v>3737</v>
      </c>
      <c r="L111" s="12" t="n">
        <v>3736.99</v>
      </c>
      <c r="M111" s="12" t="n">
        <f aca="false">L111-K111</f>
        <v>-0.0100000000002183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1415</v>
      </c>
      <c r="B112" s="14" t="s">
        <v>1577</v>
      </c>
      <c r="C112" s="14" t="s">
        <v>139</v>
      </c>
      <c r="D112" s="14" t="s">
        <v>1578</v>
      </c>
      <c r="E112" s="14" t="s">
        <v>50</v>
      </c>
      <c r="F112" s="15" t="n">
        <v>420000</v>
      </c>
      <c r="G112" s="16" t="n">
        <v>1.15</v>
      </c>
      <c r="H112" s="16" t="n">
        <v>1.23</v>
      </c>
      <c r="I112" s="16" t="n">
        <v>0.9194</v>
      </c>
      <c r="J112" s="16" t="n">
        <v>0.53</v>
      </c>
      <c r="K112" s="15" t="n">
        <f aca="false">ROUND(F112/100*G112*H112*I112/J112,2)</f>
        <v>10305.78</v>
      </c>
      <c r="L112" s="15" t="n">
        <v>10305.78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1400</v>
      </c>
      <c r="B113" s="3" t="s">
        <v>1579</v>
      </c>
      <c r="C113" s="3" t="s">
        <v>409</v>
      </c>
      <c r="D113" s="3" t="s">
        <v>842</v>
      </c>
      <c r="E113" s="3" t="s">
        <v>56</v>
      </c>
      <c r="F113" s="12" t="n">
        <v>450000</v>
      </c>
      <c r="G113" s="13" t="n">
        <v>0.75</v>
      </c>
      <c r="H113" s="13" t="n">
        <v>1.3</v>
      </c>
      <c r="I113" s="13" t="n">
        <v>0.9194</v>
      </c>
      <c r="J113" s="13" t="n">
        <v>0.53</v>
      </c>
      <c r="K113" s="12" t="n">
        <f aca="false">ROUND(F113/100*G113*H113*I113/J113,2)</f>
        <v>7611.07</v>
      </c>
      <c r="L113" s="12" t="n">
        <v>7611.07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1499</v>
      </c>
      <c r="B114" s="14" t="s">
        <v>1580</v>
      </c>
      <c r="C114" s="14" t="s">
        <v>64</v>
      </c>
      <c r="D114" s="14" t="s">
        <v>482</v>
      </c>
      <c r="E114" s="14" t="s">
        <v>56</v>
      </c>
      <c r="F114" s="15" t="n">
        <v>515000</v>
      </c>
      <c r="G114" s="16" t="n">
        <v>0.65</v>
      </c>
      <c r="H114" s="16" t="n">
        <v>1.17</v>
      </c>
      <c r="I114" s="16" t="n">
        <v>0.9194</v>
      </c>
      <c r="J114" s="16" t="n">
        <v>0.53</v>
      </c>
      <c r="K114" s="15" t="n">
        <f aca="false">ROUND(F114/100*G114*H114*I114/J114,2)</f>
        <v>6794.15</v>
      </c>
      <c r="L114" s="15" t="n">
        <v>6794.15</v>
      </c>
      <c r="M114" s="15" t="n">
        <f aca="false">L114-K114</f>
        <v>0</v>
      </c>
      <c r="N114" s="14" t="s">
        <v>70</v>
      </c>
      <c r="O114" s="14" t="s">
        <v>52</v>
      </c>
    </row>
    <row r="115" customFormat="false" ht="15" hidden="false" customHeight="false" outlineLevel="0" collapsed="false">
      <c r="A115" s="3" t="s">
        <v>1522</v>
      </c>
      <c r="B115" s="3" t="s">
        <v>1581</v>
      </c>
      <c r="C115" s="3" t="s">
        <v>311</v>
      </c>
      <c r="D115" s="3" t="s">
        <v>199</v>
      </c>
      <c r="E115" s="3" t="s">
        <v>56</v>
      </c>
      <c r="F115" s="12" t="n">
        <v>395000</v>
      </c>
      <c r="G115" s="13" t="n">
        <v>0.75</v>
      </c>
      <c r="H115" s="13" t="n">
        <v>1.06</v>
      </c>
      <c r="I115" s="13" t="n">
        <v>0.9194</v>
      </c>
      <c r="J115" s="13" t="n">
        <v>0.53</v>
      </c>
      <c r="K115" s="12" t="n">
        <f aca="false">ROUND(F115/100*G115*H115*I115/J115,2)</f>
        <v>5447.45</v>
      </c>
      <c r="L115" s="12" t="n">
        <v>5447.44</v>
      </c>
      <c r="M115" s="12" t="n">
        <f aca="false">L115-K115</f>
        <v>-0.0100000000002183</v>
      </c>
      <c r="N115" s="3" t="s">
        <v>51</v>
      </c>
      <c r="O115" s="3" t="s">
        <v>52</v>
      </c>
    </row>
    <row r="116" customFormat="false" ht="15" hidden="false" customHeight="false" outlineLevel="0" collapsed="false">
      <c r="A116" s="14" t="s">
        <v>1398</v>
      </c>
      <c r="B116" s="14" t="s">
        <v>1582</v>
      </c>
      <c r="C116" s="14" t="s">
        <v>230</v>
      </c>
      <c r="D116" s="14" t="s">
        <v>1583</v>
      </c>
      <c r="E116" s="14" t="s">
        <v>56</v>
      </c>
      <c r="F116" s="15" t="n">
        <v>1115000</v>
      </c>
      <c r="G116" s="16" t="n">
        <v>0.55</v>
      </c>
      <c r="H116" s="16" t="n">
        <v>1.09</v>
      </c>
      <c r="I116" s="16" t="n">
        <v>0.9194</v>
      </c>
      <c r="J116" s="16" t="n">
        <v>0.53</v>
      </c>
      <c r="K116" s="15" t="n">
        <f aca="false">ROUND(F116/100*G116*H116*I116/J116,2)</f>
        <v>11595.59</v>
      </c>
      <c r="L116" s="15" t="n">
        <v>11595.58</v>
      </c>
      <c r="M116" s="15" t="n">
        <f aca="false">L116-K116</f>
        <v>-0.0100000000002183</v>
      </c>
      <c r="N116" s="14" t="s">
        <v>51</v>
      </c>
      <c r="O116" s="14" t="s">
        <v>52</v>
      </c>
    </row>
    <row r="117" customFormat="false" ht="15" hidden="false" customHeight="false" outlineLevel="0" collapsed="false">
      <c r="A117" s="3" t="s">
        <v>1383</v>
      </c>
      <c r="B117" s="3" t="s">
        <v>1584</v>
      </c>
      <c r="C117" s="3" t="s">
        <v>174</v>
      </c>
      <c r="D117" s="3" t="s">
        <v>1585</v>
      </c>
      <c r="E117" s="3" t="s">
        <v>74</v>
      </c>
      <c r="F117" s="12" t="n">
        <v>310000</v>
      </c>
      <c r="G117" s="13" t="n">
        <v>0.48</v>
      </c>
      <c r="H117" s="13" t="n">
        <v>1.55</v>
      </c>
      <c r="I117" s="13" t="n">
        <v>0.9194</v>
      </c>
      <c r="J117" s="13" t="n">
        <v>0.53</v>
      </c>
      <c r="K117" s="12" t="n">
        <f aca="false">ROUND(F117/100*G117*H117*I117/J117,2)</f>
        <v>4000.95</v>
      </c>
      <c r="L117" s="12" t="n">
        <v>4000.95</v>
      </c>
      <c r="M117" s="12" t="n">
        <f aca="false">L117-K117</f>
        <v>0</v>
      </c>
      <c r="N117" s="3" t="s">
        <v>51</v>
      </c>
      <c r="O117" s="3" t="s">
        <v>52</v>
      </c>
    </row>
    <row r="118" customFormat="false" ht="15" hidden="false" customHeight="false" outlineLevel="0" collapsed="false">
      <c r="A118" s="14" t="s">
        <v>1499</v>
      </c>
      <c r="B118" s="14" t="s">
        <v>1586</v>
      </c>
      <c r="C118" s="14" t="s">
        <v>188</v>
      </c>
      <c r="D118" s="14" t="s">
        <v>1587</v>
      </c>
      <c r="E118" s="14" t="s">
        <v>74</v>
      </c>
      <c r="F118" s="15" t="n">
        <v>790000</v>
      </c>
      <c r="G118" s="16" t="n">
        <v>0.43</v>
      </c>
      <c r="H118" s="16" t="n">
        <v>1.35</v>
      </c>
      <c r="I118" s="16" t="n">
        <v>0.9194</v>
      </c>
      <c r="J118" s="16" t="n">
        <v>0.53</v>
      </c>
      <c r="K118" s="15" t="n">
        <f aca="false">ROUND(F118/100*G118*H118*I118/J118,2)</f>
        <v>7955.33</v>
      </c>
      <c r="L118" s="15" t="n">
        <v>7955.33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1378</v>
      </c>
      <c r="B119" s="3" t="s">
        <v>1588</v>
      </c>
      <c r="C119" s="3" t="s">
        <v>89</v>
      </c>
      <c r="D119" s="3" t="s">
        <v>1589</v>
      </c>
      <c r="E119" s="3" t="s">
        <v>74</v>
      </c>
      <c r="F119" s="12" t="n">
        <v>735000</v>
      </c>
      <c r="G119" s="13" t="n">
        <v>0.43</v>
      </c>
      <c r="H119" s="13" t="n">
        <v>1.35</v>
      </c>
      <c r="I119" s="13" t="n">
        <v>0.9194</v>
      </c>
      <c r="J119" s="13" t="n">
        <v>0.53</v>
      </c>
      <c r="K119" s="12" t="n">
        <f aca="false">ROUND(F119/100*G119*H119*I119/J119,2)</f>
        <v>7401.47</v>
      </c>
      <c r="L119" s="12" t="n">
        <v>7401.47</v>
      </c>
      <c r="M119" s="12" t="n">
        <f aca="false">L119-K119</f>
        <v>0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1415</v>
      </c>
      <c r="B120" s="14" t="s">
        <v>1590</v>
      </c>
      <c r="C120" s="14" t="s">
        <v>136</v>
      </c>
      <c r="D120" s="14" t="s">
        <v>400</v>
      </c>
      <c r="E120" s="14" t="s">
        <v>56</v>
      </c>
      <c r="F120" s="15" t="n">
        <v>205000</v>
      </c>
      <c r="G120" s="16" t="n">
        <v>0.92</v>
      </c>
      <c r="H120" s="16" t="n">
        <v>1.32</v>
      </c>
      <c r="I120" s="16" t="n">
        <v>0.9194</v>
      </c>
      <c r="J120" s="16" t="n">
        <v>0.53</v>
      </c>
      <c r="K120" s="15" t="n">
        <f aca="false">ROUND(F120/100*G120*H120*I120/J120,2)</f>
        <v>4318.61</v>
      </c>
      <c r="L120" s="15" t="n">
        <v>4318.61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1443</v>
      </c>
      <c r="B121" s="3" t="s">
        <v>1591</v>
      </c>
      <c r="C121" s="3" t="s">
        <v>159</v>
      </c>
      <c r="D121" s="3" t="s">
        <v>1592</v>
      </c>
      <c r="E121" s="3" t="s">
        <v>56</v>
      </c>
      <c r="F121" s="12" t="n">
        <v>430000</v>
      </c>
      <c r="G121" s="13" t="n">
        <v>0.75</v>
      </c>
      <c r="H121" s="13" t="n">
        <v>1.15</v>
      </c>
      <c r="I121" s="13" t="n">
        <v>0.9194</v>
      </c>
      <c r="J121" s="13" t="n">
        <v>0.53</v>
      </c>
      <c r="K121" s="12" t="n">
        <f aca="false">ROUND(F121/100*G121*H121*I121/J121,2)</f>
        <v>6433.63</v>
      </c>
      <c r="L121" s="12" t="n">
        <v>6433.63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1420</v>
      </c>
      <c r="B122" s="14" t="s">
        <v>1593</v>
      </c>
      <c r="C122" s="14" t="s">
        <v>193</v>
      </c>
      <c r="D122" s="14" t="s">
        <v>1594</v>
      </c>
      <c r="E122" s="14" t="s">
        <v>74</v>
      </c>
      <c r="F122" s="15" t="n">
        <v>1090000</v>
      </c>
      <c r="G122" s="16" t="n">
        <v>0.38</v>
      </c>
      <c r="H122" s="16" t="n">
        <v>1.25</v>
      </c>
      <c r="I122" s="16" t="n">
        <v>0.9194</v>
      </c>
      <c r="J122" s="16" t="n">
        <v>0.53</v>
      </c>
      <c r="K122" s="15" t="n">
        <f aca="false">ROUND(F122/100*G122*H122*I122/J122,2)</f>
        <v>8981.5</v>
      </c>
      <c r="L122" s="15" t="n">
        <v>8981.5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1418</v>
      </c>
      <c r="B123" s="3" t="s">
        <v>1595</v>
      </c>
      <c r="C123" s="3" t="s">
        <v>89</v>
      </c>
      <c r="D123" s="3" t="s">
        <v>441</v>
      </c>
      <c r="E123" s="3" t="s">
        <v>56</v>
      </c>
      <c r="F123" s="12" t="n">
        <v>320000</v>
      </c>
      <c r="G123" s="13" t="n">
        <v>0.75</v>
      </c>
      <c r="H123" s="13" t="n">
        <v>1.35</v>
      </c>
      <c r="I123" s="13" t="n">
        <v>0.9194</v>
      </c>
      <c r="J123" s="13" t="n">
        <v>0.53</v>
      </c>
      <c r="K123" s="12" t="n">
        <f aca="false">ROUND(F123/100*G123*H123*I123/J123,2)</f>
        <v>5620.48</v>
      </c>
      <c r="L123" s="12" t="n">
        <v>5620.49</v>
      </c>
      <c r="M123" s="12" t="n">
        <f aca="false">L123-K123</f>
        <v>0.0100000000002183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1404</v>
      </c>
      <c r="B124" s="14" t="s">
        <v>1596</v>
      </c>
      <c r="C124" s="14" t="s">
        <v>77</v>
      </c>
      <c r="D124" s="14" t="s">
        <v>308</v>
      </c>
      <c r="E124" s="14" t="s">
        <v>50</v>
      </c>
      <c r="F124" s="15" t="n">
        <v>1290000</v>
      </c>
      <c r="G124" s="16" t="n">
        <v>0.8</v>
      </c>
      <c r="H124" s="16" t="n">
        <v>1.42</v>
      </c>
      <c r="I124" s="16" t="n">
        <v>0.9194</v>
      </c>
      <c r="J124" s="16" t="n">
        <v>0.53</v>
      </c>
      <c r="K124" s="15" t="n">
        <f aca="false">ROUND(F124/100*G124*H124*I124/J124,2)</f>
        <v>25421.24</v>
      </c>
      <c r="L124" s="15" t="n">
        <v>25421.24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1378</v>
      </c>
      <c r="B125" s="3" t="s">
        <v>1597</v>
      </c>
      <c r="C125" s="3" t="s">
        <v>131</v>
      </c>
      <c r="D125" s="3" t="s">
        <v>356</v>
      </c>
      <c r="E125" s="3" t="s">
        <v>56</v>
      </c>
      <c r="F125" s="12" t="n">
        <v>1220000</v>
      </c>
      <c r="G125" s="13" t="n">
        <v>0.55</v>
      </c>
      <c r="H125" s="13" t="n">
        <v>0.95</v>
      </c>
      <c r="I125" s="13" t="n">
        <v>0.9194</v>
      </c>
      <c r="J125" s="13" t="n">
        <v>0.53</v>
      </c>
      <c r="K125" s="12" t="n">
        <f aca="false">ROUND(F125/100*G125*H125*I125/J125,2)</f>
        <v>11057.95</v>
      </c>
      <c r="L125" s="12" t="n">
        <v>11057.95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1418</v>
      </c>
      <c r="B126" s="14" t="s">
        <v>1598</v>
      </c>
      <c r="C126" s="14" t="s">
        <v>131</v>
      </c>
      <c r="D126" s="14" t="s">
        <v>1599</v>
      </c>
      <c r="E126" s="14" t="s">
        <v>56</v>
      </c>
      <c r="F126" s="15" t="n">
        <v>545000</v>
      </c>
      <c r="G126" s="16" t="n">
        <v>0.65</v>
      </c>
      <c r="H126" s="16" t="n">
        <v>0.95</v>
      </c>
      <c r="I126" s="16" t="n">
        <v>0.9194</v>
      </c>
      <c r="J126" s="16" t="n">
        <v>0.53</v>
      </c>
      <c r="K126" s="15" t="n">
        <f aca="false">ROUND(F126/100*G126*H126*I126/J126,2)</f>
        <v>5837.97</v>
      </c>
      <c r="L126" s="15" t="n">
        <v>5837.97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1391</v>
      </c>
      <c r="B127" s="3" t="s">
        <v>1600</v>
      </c>
      <c r="C127" s="3" t="s">
        <v>159</v>
      </c>
      <c r="D127" s="3" t="s">
        <v>1601</v>
      </c>
      <c r="E127" s="3" t="s">
        <v>56</v>
      </c>
      <c r="F127" s="12" t="n">
        <v>385000</v>
      </c>
      <c r="G127" s="13" t="n">
        <v>0.75</v>
      </c>
      <c r="H127" s="13" t="n">
        <v>1.15</v>
      </c>
      <c r="I127" s="13" t="n">
        <v>0.9194</v>
      </c>
      <c r="J127" s="13" t="n">
        <v>0.53</v>
      </c>
      <c r="K127" s="12" t="n">
        <f aca="false">ROUND(F127/100*G127*H127*I127/J127,2)</f>
        <v>5760.34</v>
      </c>
      <c r="L127" s="12" t="n">
        <v>5760.34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1391</v>
      </c>
      <c r="B128" s="14" t="s">
        <v>1602</v>
      </c>
      <c r="C128" s="14" t="s">
        <v>89</v>
      </c>
      <c r="D128" s="14" t="s">
        <v>1380</v>
      </c>
      <c r="E128" s="14" t="s">
        <v>157</v>
      </c>
      <c r="F128" s="15" t="n">
        <v>1165000</v>
      </c>
      <c r="G128" s="16" t="n">
        <v>0.68</v>
      </c>
      <c r="H128" s="16" t="n">
        <v>1.35</v>
      </c>
      <c r="I128" s="16" t="n">
        <v>0.9194</v>
      </c>
      <c r="J128" s="16" t="n">
        <v>0.53</v>
      </c>
      <c r="K128" s="15" t="n">
        <f aca="false">ROUND(F128/100*G128*H128*I128/J128,2)</f>
        <v>18552.28</v>
      </c>
      <c r="L128" s="15" t="n">
        <v>18552.28</v>
      </c>
      <c r="M128" s="15" t="n">
        <f aca="false">L128-K128</f>
        <v>0</v>
      </c>
      <c r="N128" s="14" t="s">
        <v>51</v>
      </c>
      <c r="O128" s="14" t="s">
        <v>52</v>
      </c>
    </row>
    <row r="129" customFormat="false" ht="15" hidden="false" customHeight="false" outlineLevel="0" collapsed="false">
      <c r="A129" s="3" t="s">
        <v>1429</v>
      </c>
      <c r="B129" s="3" t="s">
        <v>1603</v>
      </c>
      <c r="C129" s="3" t="s">
        <v>139</v>
      </c>
      <c r="D129" s="3" t="s">
        <v>502</v>
      </c>
      <c r="E129" s="3" t="s">
        <v>56</v>
      </c>
      <c r="F129" s="12" t="n">
        <v>485000</v>
      </c>
      <c r="G129" s="13" t="n">
        <v>0.75</v>
      </c>
      <c r="H129" s="13" t="n">
        <v>1.23</v>
      </c>
      <c r="I129" s="13" t="n">
        <v>0.9194</v>
      </c>
      <c r="J129" s="13" t="n">
        <v>0.53</v>
      </c>
      <c r="K129" s="12" t="n">
        <f aca="false">ROUND(F129/100*G129*H129*I129/J129,2)</f>
        <v>7761.34</v>
      </c>
      <c r="L129" s="12" t="n">
        <v>7761.34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1420</v>
      </c>
      <c r="B130" s="14" t="s">
        <v>1604</v>
      </c>
      <c r="C130" s="14" t="s">
        <v>300</v>
      </c>
      <c r="D130" s="14" t="s">
        <v>1605</v>
      </c>
      <c r="E130" s="14" t="s">
        <v>50</v>
      </c>
      <c r="F130" s="15" t="n">
        <v>1145000</v>
      </c>
      <c r="G130" s="16" t="n">
        <v>0.8</v>
      </c>
      <c r="H130" s="16" t="n">
        <v>1.11</v>
      </c>
      <c r="I130" s="16" t="n">
        <v>0.9194</v>
      </c>
      <c r="J130" s="16" t="n">
        <v>0.53</v>
      </c>
      <c r="K130" s="15" t="n">
        <f aca="false">ROUND(F130/100*G130*H130*I130/J130,2)</f>
        <v>17637.91</v>
      </c>
      <c r="L130" s="15" t="n">
        <v>17637.91</v>
      </c>
      <c r="M130" s="15" t="n">
        <f aca="false">L130-K130</f>
        <v>0</v>
      </c>
      <c r="N130" s="14" t="s">
        <v>70</v>
      </c>
      <c r="O130" s="14" t="s">
        <v>52</v>
      </c>
    </row>
    <row r="131" customFormat="false" ht="15" hidden="false" customHeight="false" outlineLevel="0" collapsed="false">
      <c r="A131" s="3" t="s">
        <v>1427</v>
      </c>
      <c r="B131" s="3" t="s">
        <v>1606</v>
      </c>
      <c r="C131" s="3" t="s">
        <v>169</v>
      </c>
      <c r="D131" s="3" t="s">
        <v>1186</v>
      </c>
      <c r="E131" s="3" t="s">
        <v>56</v>
      </c>
      <c r="F131" s="12" t="n">
        <v>370000</v>
      </c>
      <c r="G131" s="13" t="n">
        <v>0.75</v>
      </c>
      <c r="H131" s="13" t="n">
        <v>1.07</v>
      </c>
      <c r="I131" s="13" t="n">
        <v>0.9194</v>
      </c>
      <c r="J131" s="13" t="n">
        <v>0.53</v>
      </c>
      <c r="K131" s="12" t="n">
        <f aca="false">ROUND(F131/100*G131*H131*I131/J131,2)</f>
        <v>5150.81</v>
      </c>
      <c r="L131" s="12" t="n">
        <v>5150.81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1418</v>
      </c>
      <c r="B132" s="14" t="s">
        <v>1607</v>
      </c>
      <c r="C132" s="14" t="s">
        <v>159</v>
      </c>
      <c r="D132" s="14" t="s">
        <v>593</v>
      </c>
      <c r="E132" s="14" t="s">
        <v>56</v>
      </c>
      <c r="F132" s="15" t="n">
        <v>815000</v>
      </c>
      <c r="G132" s="16" t="n">
        <v>0.65</v>
      </c>
      <c r="H132" s="16" t="n">
        <v>1.15</v>
      </c>
      <c r="I132" s="16" t="n">
        <v>0.9194</v>
      </c>
      <c r="J132" s="16" t="n">
        <v>0.53</v>
      </c>
      <c r="K132" s="15" t="n">
        <f aca="false">ROUND(F132/100*G132*H132*I132/J132,2)</f>
        <v>10568.11</v>
      </c>
      <c r="L132" s="15" t="n">
        <v>10568.12</v>
      </c>
      <c r="M132" s="15" t="n">
        <f aca="false">L132-K132</f>
        <v>0.0100000000002183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1381</v>
      </c>
      <c r="B133" s="3" t="s">
        <v>1608</v>
      </c>
      <c r="C133" s="3" t="s">
        <v>48</v>
      </c>
      <c r="D133" s="3" t="s">
        <v>1609</v>
      </c>
      <c r="E133" s="3" t="s">
        <v>56</v>
      </c>
      <c r="F133" s="12" t="n">
        <v>600000</v>
      </c>
      <c r="G133" s="13" t="n">
        <v>0.65</v>
      </c>
      <c r="H133" s="13" t="n">
        <v>1.28</v>
      </c>
      <c r="I133" s="13" t="n">
        <v>0.9194</v>
      </c>
      <c r="J133" s="13" t="n">
        <v>0.53</v>
      </c>
      <c r="K133" s="12" t="n">
        <f aca="false">ROUND(F133/100*G133*H133*I133/J133,2)</f>
        <v>8659.71</v>
      </c>
      <c r="L133" s="12" t="n">
        <v>8659.71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1455</v>
      </c>
      <c r="B134" s="14" t="s">
        <v>1610</v>
      </c>
      <c r="C134" s="14" t="s">
        <v>77</v>
      </c>
      <c r="D134" s="14" t="s">
        <v>1563</v>
      </c>
      <c r="E134" s="14" t="s">
        <v>56</v>
      </c>
      <c r="F134" s="15" t="n">
        <v>410000</v>
      </c>
      <c r="G134" s="16" t="n">
        <v>0.75</v>
      </c>
      <c r="H134" s="16" t="n">
        <v>1.42</v>
      </c>
      <c r="I134" s="16" t="n">
        <v>0.9194</v>
      </c>
      <c r="J134" s="16" t="n">
        <v>0.53</v>
      </c>
      <c r="K134" s="15" t="n">
        <f aca="false">ROUND(F134/100*G134*H134*I134/J134,2)</f>
        <v>7574.64</v>
      </c>
      <c r="L134" s="15" t="n">
        <v>7574.64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1378</v>
      </c>
      <c r="B135" s="3" t="s">
        <v>1611</v>
      </c>
      <c r="C135" s="3" t="s">
        <v>159</v>
      </c>
      <c r="D135" s="3" t="s">
        <v>1612</v>
      </c>
      <c r="E135" s="3" t="s">
        <v>56</v>
      </c>
      <c r="F135" s="12" t="n">
        <v>560000</v>
      </c>
      <c r="G135" s="13" t="n">
        <v>0.65</v>
      </c>
      <c r="H135" s="13" t="n">
        <v>1.15</v>
      </c>
      <c r="I135" s="13" t="n">
        <v>0.9194</v>
      </c>
      <c r="J135" s="13" t="n">
        <v>0.53</v>
      </c>
      <c r="K135" s="12" t="n">
        <f aca="false">ROUND(F135/100*G135*H135*I135/J135,2)</f>
        <v>7261.53</v>
      </c>
      <c r="L135" s="12" t="n">
        <v>7261.52</v>
      </c>
      <c r="M135" s="12" t="n">
        <f aca="false">L135-K135</f>
        <v>-0.00999999999930878</v>
      </c>
      <c r="N135" s="3" t="s">
        <v>70</v>
      </c>
      <c r="O135" s="3" t="s">
        <v>52</v>
      </c>
    </row>
    <row r="136" customFormat="false" ht="15" hidden="false" customHeight="false" outlineLevel="0" collapsed="false">
      <c r="A136" s="14" t="s">
        <v>1381</v>
      </c>
      <c r="B136" s="14" t="s">
        <v>1613</v>
      </c>
      <c r="C136" s="14" t="s">
        <v>184</v>
      </c>
      <c r="D136" s="14" t="s">
        <v>1614</v>
      </c>
      <c r="E136" s="14" t="s">
        <v>133</v>
      </c>
      <c r="F136" s="15" t="n">
        <v>655000</v>
      </c>
      <c r="G136" s="16" t="n">
        <v>0.38</v>
      </c>
      <c r="H136" s="16" t="n">
        <v>1.02</v>
      </c>
      <c r="I136" s="16" t="n">
        <v>0.9194</v>
      </c>
      <c r="J136" s="16" t="n">
        <v>0.53</v>
      </c>
      <c r="K136" s="15" t="n">
        <f aca="false">ROUND(F136/100*G136*H136*I136/J136,2)</f>
        <v>4404.06</v>
      </c>
      <c r="L136" s="15" t="n">
        <v>4404.06</v>
      </c>
      <c r="M136" s="15" t="n">
        <f aca="false">L136-K136</f>
        <v>0</v>
      </c>
      <c r="N136" s="14" t="s">
        <v>70</v>
      </c>
      <c r="O136" s="14" t="s">
        <v>52</v>
      </c>
    </row>
    <row r="137" customFormat="false" ht="15" hidden="false" customHeight="false" outlineLevel="0" collapsed="false">
      <c r="A137" s="3" t="s">
        <v>1391</v>
      </c>
      <c r="B137" s="3" t="s">
        <v>1615</v>
      </c>
      <c r="C137" s="3" t="s">
        <v>93</v>
      </c>
      <c r="D137" s="3" t="s">
        <v>1616</v>
      </c>
      <c r="E137" s="3" t="s">
        <v>74</v>
      </c>
      <c r="F137" s="12" t="n">
        <v>385000</v>
      </c>
      <c r="G137" s="13" t="n">
        <v>0.48</v>
      </c>
      <c r="H137" s="13" t="n">
        <v>1.39</v>
      </c>
      <c r="I137" s="13" t="n">
        <v>0.9194</v>
      </c>
      <c r="J137" s="13" t="n">
        <v>0.53</v>
      </c>
      <c r="K137" s="12" t="n">
        <f aca="false">ROUND(F137/100*G137*H137*I137/J137,2)</f>
        <v>4456</v>
      </c>
      <c r="L137" s="12" t="n">
        <v>4456</v>
      </c>
      <c r="M137" s="12" t="n">
        <f aca="false">L137-K137</f>
        <v>0</v>
      </c>
      <c r="N137" s="3" t="s">
        <v>51</v>
      </c>
      <c r="O137" s="3" t="s">
        <v>52</v>
      </c>
    </row>
    <row r="138" customFormat="false" ht="15" hidden="false" customHeight="false" outlineLevel="0" collapsed="false">
      <c r="A138" s="14" t="s">
        <v>1455</v>
      </c>
      <c r="B138" s="14" t="s">
        <v>1617</v>
      </c>
      <c r="C138" s="14" t="s">
        <v>93</v>
      </c>
      <c r="D138" s="14" t="s">
        <v>1618</v>
      </c>
      <c r="E138" s="14" t="s">
        <v>56</v>
      </c>
      <c r="F138" s="15" t="n">
        <v>840000</v>
      </c>
      <c r="G138" s="16" t="n">
        <v>0.65</v>
      </c>
      <c r="H138" s="16" t="n">
        <v>1.39</v>
      </c>
      <c r="I138" s="16" t="n">
        <v>0.9194</v>
      </c>
      <c r="J138" s="16" t="n">
        <v>0.53</v>
      </c>
      <c r="K138" s="15" t="n">
        <f aca="false">ROUND(F138/100*G138*H138*I138/J138,2)</f>
        <v>13165.46</v>
      </c>
      <c r="L138" s="15" t="n">
        <v>13165.46</v>
      </c>
      <c r="M138" s="15" t="n">
        <f aca="false">L138-K138</f>
        <v>0</v>
      </c>
      <c r="N138" s="14" t="s">
        <v>70</v>
      </c>
      <c r="O138" s="14" t="s">
        <v>52</v>
      </c>
    </row>
    <row r="139" customFormat="false" ht="15" hidden="false" customHeight="false" outlineLevel="0" collapsed="false">
      <c r="A139" s="3" t="s">
        <v>1389</v>
      </c>
      <c r="B139" s="3" t="s">
        <v>1619</v>
      </c>
      <c r="C139" s="3" t="s">
        <v>128</v>
      </c>
      <c r="D139" s="3" t="s">
        <v>885</v>
      </c>
      <c r="E139" s="3" t="s">
        <v>56</v>
      </c>
      <c r="F139" s="12" t="n">
        <v>490000</v>
      </c>
      <c r="G139" s="13" t="n">
        <v>0.75</v>
      </c>
      <c r="H139" s="13" t="n">
        <v>1.25</v>
      </c>
      <c r="I139" s="13" t="n">
        <v>0.9194</v>
      </c>
      <c r="J139" s="13" t="n">
        <v>0.53</v>
      </c>
      <c r="K139" s="12" t="n">
        <f aca="false">ROUND(F139/100*G139*H139*I139/J139,2)</f>
        <v>7968.86</v>
      </c>
      <c r="L139" s="12" t="n">
        <v>7968.85</v>
      </c>
      <c r="M139" s="12" t="n">
        <f aca="false">L139-K139</f>
        <v>-0.00999999999930878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1418</v>
      </c>
      <c r="B140" s="14" t="s">
        <v>1620</v>
      </c>
      <c r="C140" s="14" t="s">
        <v>193</v>
      </c>
      <c r="D140" s="14" t="s">
        <v>1188</v>
      </c>
      <c r="E140" s="14" t="s">
        <v>56</v>
      </c>
      <c r="F140" s="15" t="n">
        <v>935000</v>
      </c>
      <c r="G140" s="16" t="n">
        <v>0.65</v>
      </c>
      <c r="H140" s="16" t="n">
        <v>1.25</v>
      </c>
      <c r="I140" s="16" t="n">
        <v>0.9194</v>
      </c>
      <c r="J140" s="16" t="n">
        <v>0.53</v>
      </c>
      <c r="K140" s="15" t="n">
        <f aca="false">ROUND(F140/100*G140*H140*I140/J140,2)</f>
        <v>13178.43</v>
      </c>
      <c r="L140" s="15" t="n">
        <v>13178.43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1429</v>
      </c>
      <c r="B141" s="3" t="s">
        <v>1621</v>
      </c>
      <c r="C141" s="3" t="s">
        <v>462</v>
      </c>
      <c r="D141" s="3" t="s">
        <v>488</v>
      </c>
      <c r="E141" s="3" t="s">
        <v>56</v>
      </c>
      <c r="F141" s="12" t="n">
        <v>1245000</v>
      </c>
      <c r="G141" s="13" t="n">
        <v>0.55</v>
      </c>
      <c r="H141" s="13" t="n">
        <v>1.34</v>
      </c>
      <c r="I141" s="13" t="n">
        <v>0.9194</v>
      </c>
      <c r="J141" s="13" t="n">
        <v>0.53</v>
      </c>
      <c r="K141" s="12" t="n">
        <f aca="false">ROUND(F141/100*G141*H141*I141/J141,2)</f>
        <v>15917.16</v>
      </c>
      <c r="L141" s="12" t="n">
        <v>15917.16</v>
      </c>
      <c r="M141" s="12" t="n">
        <f aca="false">L141-K141</f>
        <v>0</v>
      </c>
      <c r="N141" s="3" t="s">
        <v>51</v>
      </c>
      <c r="O141" s="3" t="s">
        <v>52</v>
      </c>
    </row>
    <row r="142" customFormat="false" ht="15" hidden="false" customHeight="false" outlineLevel="0" collapsed="false">
      <c r="A142" s="14" t="s">
        <v>1400</v>
      </c>
      <c r="B142" s="14" t="s">
        <v>1622</v>
      </c>
      <c r="C142" s="14" t="s">
        <v>120</v>
      </c>
      <c r="D142" s="14" t="s">
        <v>986</v>
      </c>
      <c r="E142" s="14" t="s">
        <v>56</v>
      </c>
      <c r="F142" s="15" t="n">
        <v>800000</v>
      </c>
      <c r="G142" s="16" t="n">
        <v>0.65</v>
      </c>
      <c r="H142" s="16" t="n">
        <v>1.15</v>
      </c>
      <c r="I142" s="16" t="n">
        <v>0.9194</v>
      </c>
      <c r="J142" s="16" t="n">
        <v>0.53</v>
      </c>
      <c r="K142" s="15" t="n">
        <f aca="false">ROUND(F142/100*G142*H142*I142/J142,2)</f>
        <v>10373.61</v>
      </c>
      <c r="L142" s="15" t="n">
        <v>10373.61</v>
      </c>
      <c r="M142" s="15" t="n">
        <f aca="false">L142-K142</f>
        <v>0</v>
      </c>
      <c r="N142" s="14" t="s">
        <v>51</v>
      </c>
      <c r="O142" s="14" t="s">
        <v>52</v>
      </c>
    </row>
    <row r="143" customFormat="false" ht="15" hidden="false" customHeight="false" outlineLevel="0" collapsed="false">
      <c r="A143" s="3" t="s">
        <v>1378</v>
      </c>
      <c r="B143" s="3" t="s">
        <v>1623</v>
      </c>
      <c r="C143" s="3" t="s">
        <v>193</v>
      </c>
      <c r="D143" s="3" t="s">
        <v>694</v>
      </c>
      <c r="E143" s="3" t="s">
        <v>56</v>
      </c>
      <c r="F143" s="12" t="n">
        <v>1055000</v>
      </c>
      <c r="G143" s="13" t="n">
        <v>0.55</v>
      </c>
      <c r="H143" s="13" t="n">
        <v>1.25</v>
      </c>
      <c r="I143" s="13" t="n">
        <v>0.9194</v>
      </c>
      <c r="J143" s="13" t="n">
        <v>0.53</v>
      </c>
      <c r="K143" s="12" t="n">
        <f aca="false">ROUND(F143/100*G143*H143*I143/J143,2)</f>
        <v>12582.12</v>
      </c>
      <c r="L143" s="12" t="n">
        <v>12582.12</v>
      </c>
      <c r="M143" s="12" t="n">
        <f aca="false">L143-K143</f>
        <v>0</v>
      </c>
      <c r="N143" s="3" t="s">
        <v>70</v>
      </c>
      <c r="O143" s="3" t="s">
        <v>52</v>
      </c>
    </row>
    <row r="144" customFormat="false" ht="15" hidden="false" customHeight="false" outlineLevel="0" collapsed="false">
      <c r="A144" s="14" t="s">
        <v>1469</v>
      </c>
      <c r="B144" s="14" t="s">
        <v>1624</v>
      </c>
      <c r="C144" s="14" t="s">
        <v>128</v>
      </c>
      <c r="D144" s="14" t="s">
        <v>425</v>
      </c>
      <c r="E144" s="14" t="s">
        <v>74</v>
      </c>
      <c r="F144" s="15" t="n">
        <v>1660000</v>
      </c>
      <c r="G144" s="16" t="n">
        <v>0.38</v>
      </c>
      <c r="H144" s="16" t="n">
        <v>1.25</v>
      </c>
      <c r="I144" s="16" t="n">
        <v>0.9194</v>
      </c>
      <c r="J144" s="16" t="n">
        <v>0.53</v>
      </c>
      <c r="K144" s="15" t="n">
        <f aca="false">ROUND(F144/100*G144*H144*I144/J144,2)</f>
        <v>13678.24</v>
      </c>
      <c r="L144" s="15" t="n">
        <v>13678.24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1522</v>
      </c>
      <c r="B145" s="3" t="s">
        <v>1625</v>
      </c>
      <c r="C145" s="3" t="s">
        <v>224</v>
      </c>
      <c r="D145" s="3" t="s">
        <v>1206</v>
      </c>
      <c r="E145" s="3" t="s">
        <v>56</v>
      </c>
      <c r="F145" s="12" t="n">
        <v>685000</v>
      </c>
      <c r="G145" s="13" t="n">
        <v>0.65</v>
      </c>
      <c r="H145" s="13" t="n">
        <v>1.1</v>
      </c>
      <c r="I145" s="13" t="n">
        <v>0.9194</v>
      </c>
      <c r="J145" s="13" t="n">
        <v>0.53</v>
      </c>
      <c r="K145" s="12" t="n">
        <f aca="false">ROUND(F145/100*G145*H145*I145/J145,2)</f>
        <v>8496.21</v>
      </c>
      <c r="L145" s="12" t="n">
        <v>8496.21</v>
      </c>
      <c r="M145" s="12" t="n">
        <f aca="false">L145-K145</f>
        <v>0</v>
      </c>
      <c r="N145" s="3" t="s">
        <v>51</v>
      </c>
      <c r="O145" s="3" t="s">
        <v>52</v>
      </c>
    </row>
    <row r="146" customFormat="false" ht="15" hidden="false" customHeight="false" outlineLevel="0" collapsed="false">
      <c r="A146" s="14" t="s">
        <v>1423</v>
      </c>
      <c r="B146" s="14" t="s">
        <v>1626</v>
      </c>
      <c r="C146" s="14" t="s">
        <v>68</v>
      </c>
      <c r="D146" s="14" t="s">
        <v>1627</v>
      </c>
      <c r="E146" s="14" t="s">
        <v>56</v>
      </c>
      <c r="F146" s="15" t="n">
        <v>215000</v>
      </c>
      <c r="G146" s="16" t="n">
        <v>0.92</v>
      </c>
      <c r="H146" s="16" t="n">
        <v>1.38</v>
      </c>
      <c r="I146" s="16" t="n">
        <v>0.9194</v>
      </c>
      <c r="J146" s="16" t="n">
        <v>0.53</v>
      </c>
      <c r="K146" s="15" t="n">
        <f aca="false">ROUND(F146/100*G146*H146*I146/J146,2)</f>
        <v>4735.15</v>
      </c>
      <c r="L146" s="15" t="n">
        <v>4735.15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1389</v>
      </c>
      <c r="B147" s="3" t="s">
        <v>1628</v>
      </c>
      <c r="C147" s="3" t="s">
        <v>435</v>
      </c>
      <c r="D147" s="3" t="s">
        <v>1629</v>
      </c>
      <c r="E147" s="3" t="s">
        <v>133</v>
      </c>
      <c r="F147" s="12" t="n">
        <v>560000</v>
      </c>
      <c r="G147" s="13" t="n">
        <v>0.38</v>
      </c>
      <c r="H147" s="13" t="n">
        <v>1.13</v>
      </c>
      <c r="I147" s="13" t="n">
        <v>0.9194</v>
      </c>
      <c r="J147" s="13" t="n">
        <v>0.53</v>
      </c>
      <c r="K147" s="12" t="n">
        <f aca="false">ROUND(F147/100*G147*H147*I147/J147,2)</f>
        <v>4171.37</v>
      </c>
      <c r="L147" s="12" t="n">
        <v>4171.37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1386</v>
      </c>
      <c r="B148" s="14" t="s">
        <v>1630</v>
      </c>
      <c r="C148" s="14" t="s">
        <v>89</v>
      </c>
      <c r="D148" s="14" t="s">
        <v>362</v>
      </c>
      <c r="E148" s="14" t="s">
        <v>74</v>
      </c>
      <c r="F148" s="15" t="n">
        <v>1950000</v>
      </c>
      <c r="G148" s="16" t="n">
        <v>0.38</v>
      </c>
      <c r="H148" s="16" t="n">
        <v>1.35</v>
      </c>
      <c r="I148" s="16" t="n">
        <v>0.9194</v>
      </c>
      <c r="J148" s="16" t="n">
        <v>0.53</v>
      </c>
      <c r="K148" s="15" t="n">
        <f aca="false">ROUND(F148/100*G148*H148*I148/J148,2)</f>
        <v>17353.24</v>
      </c>
      <c r="L148" s="15" t="n">
        <v>17353.24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1469</v>
      </c>
      <c r="B149" s="3" t="s">
        <v>1631</v>
      </c>
      <c r="C149" s="3" t="s">
        <v>77</v>
      </c>
      <c r="D149" s="3" t="s">
        <v>689</v>
      </c>
      <c r="E149" s="3" t="s">
        <v>74</v>
      </c>
      <c r="F149" s="12" t="n">
        <v>1490000</v>
      </c>
      <c r="G149" s="13" t="n">
        <v>0.38</v>
      </c>
      <c r="H149" s="13" t="n">
        <v>1.42</v>
      </c>
      <c r="I149" s="13" t="n">
        <v>0.9194</v>
      </c>
      <c r="J149" s="13" t="n">
        <v>0.53</v>
      </c>
      <c r="K149" s="12" t="n">
        <f aca="false">ROUND(F149/100*G149*H149*I149/J149,2)</f>
        <v>13947.19</v>
      </c>
      <c r="L149" s="12" t="n">
        <v>13947.2</v>
      </c>
      <c r="M149" s="12" t="n">
        <f aca="false">L149-K149</f>
        <v>0.0100000000002183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1438</v>
      </c>
      <c r="B150" s="14" t="s">
        <v>1632</v>
      </c>
      <c r="C150" s="14" t="s">
        <v>174</v>
      </c>
      <c r="D150" s="14" t="s">
        <v>1633</v>
      </c>
      <c r="E150" s="14" t="s">
        <v>50</v>
      </c>
      <c r="F150" s="15" t="n">
        <v>885000</v>
      </c>
      <c r="G150" s="16" t="n">
        <v>0.95</v>
      </c>
      <c r="H150" s="16" t="n">
        <v>1.55</v>
      </c>
      <c r="I150" s="16" t="n">
        <v>0.9194</v>
      </c>
      <c r="J150" s="16" t="n">
        <v>0.53</v>
      </c>
      <c r="K150" s="15" t="n">
        <f aca="false">ROUND(F150/100*G150*H150*I150/J150,2)</f>
        <v>22606.18</v>
      </c>
      <c r="L150" s="15" t="n">
        <v>22606.18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1378</v>
      </c>
      <c r="B151" s="3" t="s">
        <v>1634</v>
      </c>
      <c r="C151" s="3" t="s">
        <v>278</v>
      </c>
      <c r="D151" s="3" t="s">
        <v>427</v>
      </c>
      <c r="E151" s="3" t="s">
        <v>56</v>
      </c>
      <c r="F151" s="12" t="n">
        <v>690000</v>
      </c>
      <c r="G151" s="13" t="n">
        <v>0.65</v>
      </c>
      <c r="H151" s="13" t="n">
        <v>0.98</v>
      </c>
      <c r="I151" s="13" t="n">
        <v>0.9194</v>
      </c>
      <c r="J151" s="13" t="n">
        <v>0.53</v>
      </c>
      <c r="K151" s="12" t="n">
        <f aca="false">ROUND(F151/100*G151*H151*I151/J151,2)</f>
        <v>7624.6</v>
      </c>
      <c r="L151" s="12" t="n">
        <v>7624.6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1386</v>
      </c>
      <c r="B152" s="14" t="s">
        <v>1635</v>
      </c>
      <c r="C152" s="14" t="s">
        <v>48</v>
      </c>
      <c r="D152" s="14" t="s">
        <v>1486</v>
      </c>
      <c r="E152" s="14" t="s">
        <v>50</v>
      </c>
      <c r="F152" s="15" t="n">
        <v>1950000</v>
      </c>
      <c r="G152" s="16" t="n">
        <v>0.8</v>
      </c>
      <c r="H152" s="16" t="n">
        <v>1.28</v>
      </c>
      <c r="I152" s="16" t="n">
        <v>0.9194</v>
      </c>
      <c r="J152" s="16" t="n">
        <v>0.53</v>
      </c>
      <c r="K152" s="15" t="n">
        <f aca="false">ROUND(F152/100*G152*H152*I152/J152,2)</f>
        <v>34638.83</v>
      </c>
      <c r="L152" s="15" t="n">
        <v>34638.83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1393</v>
      </c>
      <c r="B153" s="3" t="s">
        <v>1636</v>
      </c>
      <c r="C153" s="3" t="s">
        <v>243</v>
      </c>
      <c r="D153" s="3" t="s">
        <v>1637</v>
      </c>
      <c r="E153" s="3" t="s">
        <v>56</v>
      </c>
      <c r="F153" s="12" t="n">
        <v>705000</v>
      </c>
      <c r="G153" s="13" t="n">
        <v>0.65</v>
      </c>
      <c r="H153" s="13" t="n">
        <v>1.14</v>
      </c>
      <c r="I153" s="13" t="n">
        <v>0.9194</v>
      </c>
      <c r="J153" s="13" t="n">
        <v>0.53</v>
      </c>
      <c r="K153" s="12" t="n">
        <f aca="false">ROUND(F153/100*G153*H153*I153/J153,2)</f>
        <v>9062.25</v>
      </c>
      <c r="L153" s="12" t="n">
        <v>9062.25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1477</v>
      </c>
      <c r="B154" s="14" t="s">
        <v>1638</v>
      </c>
      <c r="C154" s="14" t="s">
        <v>108</v>
      </c>
      <c r="D154" s="14" t="s">
        <v>358</v>
      </c>
      <c r="E154" s="14" t="s">
        <v>74</v>
      </c>
      <c r="F154" s="15" t="n">
        <v>210000</v>
      </c>
      <c r="G154" s="16" t="n">
        <v>0.57</v>
      </c>
      <c r="H154" s="16" t="n">
        <v>0.93</v>
      </c>
      <c r="I154" s="16" t="n">
        <v>0.9194</v>
      </c>
      <c r="J154" s="16" t="n">
        <v>0.53</v>
      </c>
      <c r="K154" s="15" t="n">
        <f aca="false">ROUND(F154/100*G154*H154*I154/J154,2)</f>
        <v>1931.1</v>
      </c>
      <c r="L154" s="15" t="n">
        <v>1931.11</v>
      </c>
      <c r="M154" s="15" t="n">
        <f aca="false">L154-K154</f>
        <v>0.00999999999999091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1391</v>
      </c>
      <c r="B155" s="3" t="s">
        <v>1639</v>
      </c>
      <c r="C155" s="3" t="s">
        <v>275</v>
      </c>
      <c r="D155" s="3" t="s">
        <v>1640</v>
      </c>
      <c r="E155" s="3" t="s">
        <v>74</v>
      </c>
      <c r="F155" s="12" t="n">
        <v>1170000</v>
      </c>
      <c r="G155" s="13" t="n">
        <v>0.38</v>
      </c>
      <c r="H155" s="13" t="n">
        <v>1.19</v>
      </c>
      <c r="I155" s="13" t="n">
        <v>0.9194</v>
      </c>
      <c r="J155" s="13" t="n">
        <v>0.53</v>
      </c>
      <c r="K155" s="12" t="n">
        <f aca="false">ROUND(F155/100*G155*H155*I155/J155,2)</f>
        <v>9177.94</v>
      </c>
      <c r="L155" s="12" t="n">
        <v>9177.94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1429</v>
      </c>
      <c r="B156" s="14" t="s">
        <v>1641</v>
      </c>
      <c r="C156" s="14" t="s">
        <v>169</v>
      </c>
      <c r="D156" s="14" t="s">
        <v>1642</v>
      </c>
      <c r="E156" s="14" t="s">
        <v>157</v>
      </c>
      <c r="F156" s="15" t="n">
        <v>1065000</v>
      </c>
      <c r="G156" s="16" t="n">
        <v>0.68</v>
      </c>
      <c r="H156" s="16" t="n">
        <v>1.07</v>
      </c>
      <c r="I156" s="16" t="n">
        <v>0.9194</v>
      </c>
      <c r="J156" s="16" t="n">
        <v>0.53</v>
      </c>
      <c r="K156" s="15" t="n">
        <f aca="false">ROUND(F156/100*G156*H156*I156/J156,2)</f>
        <v>13442.22</v>
      </c>
      <c r="L156" s="15" t="n">
        <v>13442.22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1522</v>
      </c>
      <c r="B157" s="3" t="s">
        <v>1643</v>
      </c>
      <c r="C157" s="3" t="s">
        <v>462</v>
      </c>
      <c r="D157" s="3" t="s">
        <v>1304</v>
      </c>
      <c r="E157" s="3" t="s">
        <v>56</v>
      </c>
      <c r="F157" s="12" t="n">
        <v>405000</v>
      </c>
      <c r="G157" s="13" t="n">
        <v>0.75</v>
      </c>
      <c r="H157" s="13" t="n">
        <v>1.34</v>
      </c>
      <c r="I157" s="13" t="n">
        <v>0.9194</v>
      </c>
      <c r="J157" s="13" t="n">
        <v>0.53</v>
      </c>
      <c r="K157" s="12" t="n">
        <f aca="false">ROUND(F157/100*G157*H157*I157/J157,2)</f>
        <v>7060.73</v>
      </c>
      <c r="L157" s="12" t="n">
        <v>7060.73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1480</v>
      </c>
      <c r="B158" s="14" t="s">
        <v>1644</v>
      </c>
      <c r="C158" s="14" t="s">
        <v>81</v>
      </c>
      <c r="D158" s="14" t="s">
        <v>1645</v>
      </c>
      <c r="E158" s="14" t="s">
        <v>74</v>
      </c>
      <c r="F158" s="15" t="n">
        <v>970000</v>
      </c>
      <c r="G158" s="16" t="n">
        <v>0.43</v>
      </c>
      <c r="H158" s="16" t="n">
        <v>1.27</v>
      </c>
      <c r="I158" s="16" t="n">
        <v>0.9194</v>
      </c>
      <c r="J158" s="16" t="n">
        <v>0.53</v>
      </c>
      <c r="K158" s="15" t="n">
        <f aca="false">ROUND(F158/100*G158*H158*I158/J158,2)</f>
        <v>9189.09</v>
      </c>
      <c r="L158" s="15" t="n">
        <v>9189.09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1398</v>
      </c>
      <c r="B159" s="3" t="s">
        <v>1646</v>
      </c>
      <c r="C159" s="3" t="s">
        <v>93</v>
      </c>
      <c r="D159" s="3" t="s">
        <v>1555</v>
      </c>
      <c r="E159" s="3" t="s">
        <v>56</v>
      </c>
      <c r="F159" s="12" t="n">
        <v>445000</v>
      </c>
      <c r="G159" s="13" t="n">
        <v>0.75</v>
      </c>
      <c r="H159" s="13" t="n">
        <v>1.39</v>
      </c>
      <c r="I159" s="13" t="n">
        <v>0.9194</v>
      </c>
      <c r="J159" s="13" t="n">
        <v>0.53</v>
      </c>
      <c r="K159" s="12" t="n">
        <f aca="false">ROUND(F159/100*G159*H159*I159/J159,2)</f>
        <v>8047.57</v>
      </c>
      <c r="L159" s="12" t="n">
        <v>8047.57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1402</v>
      </c>
      <c r="B160" s="14" t="s">
        <v>1647</v>
      </c>
      <c r="C160" s="14" t="s">
        <v>68</v>
      </c>
      <c r="D160" s="14" t="s">
        <v>1648</v>
      </c>
      <c r="E160" s="14" t="s">
        <v>74</v>
      </c>
      <c r="F160" s="15" t="n">
        <v>1010000</v>
      </c>
      <c r="G160" s="16" t="n">
        <v>0.38</v>
      </c>
      <c r="H160" s="16" t="n">
        <v>1.38</v>
      </c>
      <c r="I160" s="16" t="n">
        <v>0.9194</v>
      </c>
      <c r="J160" s="16" t="n">
        <v>0.53</v>
      </c>
      <c r="K160" s="15" t="n">
        <f aca="false">ROUND(F160/100*G160*H160*I160/J160,2)</f>
        <v>9187.82</v>
      </c>
      <c r="L160" s="15" t="n">
        <v>9187.82</v>
      </c>
      <c r="M160" s="15" t="n">
        <f aca="false">L160-K160</f>
        <v>0</v>
      </c>
      <c r="N160" s="14" t="s">
        <v>70</v>
      </c>
      <c r="O160" s="14" t="s">
        <v>52</v>
      </c>
    </row>
    <row r="161" customFormat="false" ht="15" hidden="false" customHeight="false" outlineLevel="0" collapsed="false">
      <c r="A161" s="3" t="s">
        <v>1420</v>
      </c>
      <c r="B161" s="3" t="s">
        <v>1649</v>
      </c>
      <c r="C161" s="3" t="s">
        <v>174</v>
      </c>
      <c r="D161" s="3" t="s">
        <v>1650</v>
      </c>
      <c r="E161" s="3" t="s">
        <v>74</v>
      </c>
      <c r="F161" s="12" t="n">
        <v>815000</v>
      </c>
      <c r="G161" s="13" t="n">
        <v>0.43</v>
      </c>
      <c r="H161" s="13" t="n">
        <v>1.55</v>
      </c>
      <c r="I161" s="13" t="n">
        <v>0.9194</v>
      </c>
      <c r="J161" s="13" t="n">
        <v>0.53</v>
      </c>
      <c r="K161" s="12" t="n">
        <f aca="false">ROUND(F161/100*G161*H161*I161/J161,2)</f>
        <v>9422.94</v>
      </c>
      <c r="L161" s="12" t="n">
        <v>9422.94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1522</v>
      </c>
      <c r="B162" s="14" t="s">
        <v>1651</v>
      </c>
      <c r="C162" s="14" t="s">
        <v>266</v>
      </c>
      <c r="D162" s="14" t="s">
        <v>927</v>
      </c>
      <c r="E162" s="14" t="s">
        <v>74</v>
      </c>
      <c r="F162" s="15" t="n">
        <v>105000</v>
      </c>
      <c r="G162" s="16" t="n">
        <v>0.57</v>
      </c>
      <c r="H162" s="16" t="n">
        <v>1.1</v>
      </c>
      <c r="I162" s="16" t="n">
        <v>0.9194</v>
      </c>
      <c r="J162" s="16" t="n">
        <v>0.53</v>
      </c>
      <c r="K162" s="15" t="n">
        <f aca="false">ROUND(F162/100*G162*H162*I162/J162,2)</f>
        <v>1142.05</v>
      </c>
      <c r="L162" s="15" t="n">
        <v>1142.05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1423</v>
      </c>
      <c r="B163" s="3" t="s">
        <v>1652</v>
      </c>
      <c r="C163" s="3" t="s">
        <v>278</v>
      </c>
      <c r="D163" s="3" t="s">
        <v>1653</v>
      </c>
      <c r="E163" s="3" t="s">
        <v>50</v>
      </c>
      <c r="F163" s="12" t="n">
        <v>825000</v>
      </c>
      <c r="G163" s="13" t="n">
        <v>0.95</v>
      </c>
      <c r="H163" s="13" t="n">
        <v>0.98</v>
      </c>
      <c r="I163" s="13" t="n">
        <v>0.9194</v>
      </c>
      <c r="J163" s="13" t="n">
        <v>0.53</v>
      </c>
      <c r="K163" s="12" t="n">
        <f aca="false">ROUND(F163/100*G163*H163*I163/J163,2)</f>
        <v>13323.93</v>
      </c>
      <c r="L163" s="12" t="n">
        <v>13323.93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1393</v>
      </c>
      <c r="B164" s="14" t="s">
        <v>1654</v>
      </c>
      <c r="C164" s="14" t="s">
        <v>93</v>
      </c>
      <c r="D164" s="14" t="s">
        <v>1578</v>
      </c>
      <c r="E164" s="14" t="s">
        <v>50</v>
      </c>
      <c r="F164" s="15" t="n">
        <v>1490000</v>
      </c>
      <c r="G164" s="16" t="n">
        <v>0.8</v>
      </c>
      <c r="H164" s="16" t="n">
        <v>1.39</v>
      </c>
      <c r="I164" s="16" t="n">
        <v>0.9194</v>
      </c>
      <c r="J164" s="16" t="n">
        <v>0.53</v>
      </c>
      <c r="K164" s="15" t="n">
        <f aca="false">ROUND(F164/100*G164*H164*I164/J164,2)</f>
        <v>28742.18</v>
      </c>
      <c r="L164" s="15" t="n">
        <v>28742.18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1404</v>
      </c>
      <c r="B165" s="3" t="s">
        <v>1655</v>
      </c>
      <c r="C165" s="3" t="s">
        <v>217</v>
      </c>
      <c r="D165" s="3" t="s">
        <v>312</v>
      </c>
      <c r="E165" s="3" t="s">
        <v>56</v>
      </c>
      <c r="F165" s="12" t="n">
        <v>755000</v>
      </c>
      <c r="G165" s="13" t="n">
        <v>0.65</v>
      </c>
      <c r="H165" s="13" t="n">
        <v>1.3</v>
      </c>
      <c r="I165" s="13" t="n">
        <v>0.9194</v>
      </c>
      <c r="J165" s="13" t="n">
        <v>0.53</v>
      </c>
      <c r="K165" s="12" t="n">
        <f aca="false">ROUND(F165/100*G165*H165*I165/J165,2)</f>
        <v>11067.06</v>
      </c>
      <c r="L165" s="12" t="n">
        <v>11067.06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1427</v>
      </c>
      <c r="B166" s="14" t="s">
        <v>1656</v>
      </c>
      <c r="C166" s="14" t="s">
        <v>136</v>
      </c>
      <c r="D166" s="14" t="s">
        <v>696</v>
      </c>
      <c r="E166" s="14" t="s">
        <v>56</v>
      </c>
      <c r="F166" s="15" t="n">
        <v>375000</v>
      </c>
      <c r="G166" s="16" t="n">
        <v>0.75</v>
      </c>
      <c r="H166" s="16" t="n">
        <v>1.32</v>
      </c>
      <c r="I166" s="16" t="n">
        <v>0.9194</v>
      </c>
      <c r="J166" s="16" t="n">
        <v>0.53</v>
      </c>
      <c r="K166" s="15" t="n">
        <f aca="false">ROUND(F166/100*G166*H166*I166/J166,2)</f>
        <v>6440.14</v>
      </c>
      <c r="L166" s="15" t="n">
        <v>6440.14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1450</v>
      </c>
      <c r="B167" s="3" t="s">
        <v>1657</v>
      </c>
      <c r="C167" s="3" t="s">
        <v>89</v>
      </c>
      <c r="D167" s="3" t="s">
        <v>1658</v>
      </c>
      <c r="E167" s="3" t="s">
        <v>56</v>
      </c>
      <c r="F167" s="12" t="n">
        <v>395000</v>
      </c>
      <c r="G167" s="13" t="n">
        <v>0.75</v>
      </c>
      <c r="H167" s="13" t="n">
        <v>1.35</v>
      </c>
      <c r="I167" s="13" t="n">
        <v>0.9194</v>
      </c>
      <c r="J167" s="13" t="n">
        <v>0.53</v>
      </c>
      <c r="K167" s="12" t="n">
        <f aca="false">ROUND(F167/100*G167*H167*I167/J167,2)</f>
        <v>6937.78</v>
      </c>
      <c r="L167" s="12" t="n">
        <v>6937.78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1395</v>
      </c>
      <c r="B168" s="14" t="s">
        <v>1659</v>
      </c>
      <c r="C168" s="14" t="s">
        <v>145</v>
      </c>
      <c r="D168" s="14" t="s">
        <v>199</v>
      </c>
      <c r="E168" s="14" t="s">
        <v>56</v>
      </c>
      <c r="F168" s="15" t="n">
        <v>515000</v>
      </c>
      <c r="G168" s="16" t="n">
        <v>0.65</v>
      </c>
      <c r="H168" s="16" t="n">
        <v>0.96</v>
      </c>
      <c r="I168" s="16" t="n">
        <v>0.9194</v>
      </c>
      <c r="J168" s="16" t="n">
        <v>0.53</v>
      </c>
      <c r="K168" s="15" t="n">
        <f aca="false">ROUND(F168/100*G168*H168*I168/J168,2)</f>
        <v>5574.69</v>
      </c>
      <c r="L168" s="15" t="n">
        <v>5574.69</v>
      </c>
      <c r="M168" s="15" t="n">
        <f aca="false">L168-K168</f>
        <v>0</v>
      </c>
      <c r="N168" s="14" t="s">
        <v>70</v>
      </c>
      <c r="O168" s="14" t="s">
        <v>52</v>
      </c>
    </row>
    <row r="169" customFormat="false" ht="15" hidden="false" customHeight="false" outlineLevel="0" collapsed="false">
      <c r="A169" s="3" t="s">
        <v>1402</v>
      </c>
      <c r="B169" s="3" t="s">
        <v>1660</v>
      </c>
      <c r="C169" s="3" t="s">
        <v>159</v>
      </c>
      <c r="D169" s="3" t="s">
        <v>802</v>
      </c>
      <c r="E169" s="3" t="s">
        <v>56</v>
      </c>
      <c r="F169" s="12" t="n">
        <v>675000</v>
      </c>
      <c r="G169" s="13" t="n">
        <v>0.65</v>
      </c>
      <c r="H169" s="13" t="n">
        <v>1.15</v>
      </c>
      <c r="I169" s="13" t="n">
        <v>0.9194</v>
      </c>
      <c r="J169" s="13" t="n">
        <v>0.53</v>
      </c>
      <c r="K169" s="12" t="n">
        <f aca="false">ROUND(F169/100*G169*H169*I169/J169,2)</f>
        <v>8752.73</v>
      </c>
      <c r="L169" s="12" t="n">
        <v>8752.73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1398</v>
      </c>
      <c r="B170" s="14" t="s">
        <v>1661</v>
      </c>
      <c r="C170" s="14" t="s">
        <v>81</v>
      </c>
      <c r="D170" s="14" t="s">
        <v>662</v>
      </c>
      <c r="E170" s="14" t="s">
        <v>56</v>
      </c>
      <c r="F170" s="15" t="n">
        <v>360000</v>
      </c>
      <c r="G170" s="16" t="n">
        <v>0.75</v>
      </c>
      <c r="H170" s="16" t="n">
        <v>1.27</v>
      </c>
      <c r="I170" s="16" t="n">
        <v>0.9194</v>
      </c>
      <c r="J170" s="16" t="n">
        <v>0.53</v>
      </c>
      <c r="K170" s="15" t="n">
        <f aca="false">ROUND(F170/100*G170*H170*I170/J170,2)</f>
        <v>5948.34</v>
      </c>
      <c r="L170" s="15" t="n">
        <v>5948.34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1400</v>
      </c>
      <c r="B171" s="3" t="s">
        <v>1662</v>
      </c>
      <c r="C171" s="3" t="s">
        <v>152</v>
      </c>
      <c r="D171" s="3" t="s">
        <v>334</v>
      </c>
      <c r="E171" s="3" t="s">
        <v>50</v>
      </c>
      <c r="F171" s="12" t="n">
        <v>725000</v>
      </c>
      <c r="G171" s="13" t="n">
        <v>0.95</v>
      </c>
      <c r="H171" s="13" t="n">
        <v>1</v>
      </c>
      <c r="I171" s="13" t="n">
        <v>0.9194</v>
      </c>
      <c r="J171" s="13" t="n">
        <v>0.53</v>
      </c>
      <c r="K171" s="12" t="n">
        <f aca="false">ROUND(F171/100*G171*H171*I171/J171,2)</f>
        <v>11947.86</v>
      </c>
      <c r="L171" s="12" t="n">
        <v>11947.86</v>
      </c>
      <c r="M171" s="12" t="n">
        <f aca="false">L171-K171</f>
        <v>0</v>
      </c>
      <c r="N171" s="3" t="s">
        <v>51</v>
      </c>
      <c r="O171" s="3" t="s">
        <v>52</v>
      </c>
    </row>
    <row r="172" customFormat="false" ht="15" hidden="false" customHeight="false" outlineLevel="0" collapsed="false">
      <c r="A172" s="14" t="s">
        <v>1423</v>
      </c>
      <c r="B172" s="14" t="s">
        <v>1663</v>
      </c>
      <c r="C172" s="14" t="s">
        <v>305</v>
      </c>
      <c r="D172" s="14" t="s">
        <v>473</v>
      </c>
      <c r="E172" s="14" t="s">
        <v>56</v>
      </c>
      <c r="F172" s="15" t="n">
        <v>805000</v>
      </c>
      <c r="G172" s="16" t="n">
        <v>0.65</v>
      </c>
      <c r="H172" s="16" t="n">
        <v>1.12</v>
      </c>
      <c r="I172" s="16" t="n">
        <v>0.9194</v>
      </c>
      <c r="J172" s="16" t="n">
        <v>0.53</v>
      </c>
      <c r="K172" s="15" t="n">
        <f aca="false">ROUND(F172/100*G172*H172*I172/J172,2)</f>
        <v>10166.14</v>
      </c>
      <c r="L172" s="15" t="n">
        <v>10166.14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1381</v>
      </c>
      <c r="B173" s="3" t="s">
        <v>1664</v>
      </c>
      <c r="C173" s="3" t="s">
        <v>48</v>
      </c>
      <c r="D173" s="3" t="s">
        <v>1335</v>
      </c>
      <c r="E173" s="3" t="s">
        <v>56</v>
      </c>
      <c r="F173" s="12" t="n">
        <v>700000</v>
      </c>
      <c r="G173" s="13" t="n">
        <v>0.65</v>
      </c>
      <c r="H173" s="13" t="n">
        <v>1.28</v>
      </c>
      <c r="I173" s="13" t="n">
        <v>0.9194</v>
      </c>
      <c r="J173" s="13" t="n">
        <v>0.53</v>
      </c>
      <c r="K173" s="12" t="n">
        <f aca="false">ROUND(F173/100*G173*H173*I173/J173,2)</f>
        <v>10102.99</v>
      </c>
      <c r="L173" s="12" t="n">
        <v>10102.99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1443</v>
      </c>
      <c r="B174" s="14" t="s">
        <v>1665</v>
      </c>
      <c r="C174" s="14" t="s">
        <v>237</v>
      </c>
      <c r="D174" s="14" t="s">
        <v>1168</v>
      </c>
      <c r="E174" s="14" t="s">
        <v>56</v>
      </c>
      <c r="F174" s="15" t="n">
        <v>705000</v>
      </c>
      <c r="G174" s="16" t="n">
        <v>0.65</v>
      </c>
      <c r="H174" s="16" t="n">
        <v>1.33</v>
      </c>
      <c r="I174" s="16" t="n">
        <v>0.9194</v>
      </c>
      <c r="J174" s="16" t="n">
        <v>0.53</v>
      </c>
      <c r="K174" s="15" t="n">
        <f aca="false">ROUND(F174/100*G174*H174*I174/J174,2)</f>
        <v>10572.62</v>
      </c>
      <c r="L174" s="15" t="n">
        <v>10572.62</v>
      </c>
      <c r="M174" s="15" t="n">
        <f aca="false">L174-K174</f>
        <v>0</v>
      </c>
      <c r="N174" s="14" t="s">
        <v>51</v>
      </c>
      <c r="O174" s="14" t="s">
        <v>52</v>
      </c>
    </row>
    <row r="175" customFormat="false" ht="15" hidden="false" customHeight="false" outlineLevel="0" collapsed="false">
      <c r="A175" s="3" t="s">
        <v>1423</v>
      </c>
      <c r="B175" s="3" t="s">
        <v>1666</v>
      </c>
      <c r="C175" s="3" t="s">
        <v>89</v>
      </c>
      <c r="D175" s="3" t="s">
        <v>1068</v>
      </c>
      <c r="E175" s="3" t="s">
        <v>56</v>
      </c>
      <c r="F175" s="12" t="n">
        <v>845000</v>
      </c>
      <c r="G175" s="13" t="n">
        <v>0.65</v>
      </c>
      <c r="H175" s="13" t="n">
        <v>1.35</v>
      </c>
      <c r="I175" s="13" t="n">
        <v>0.9194</v>
      </c>
      <c r="J175" s="13" t="n">
        <v>0.53</v>
      </c>
      <c r="K175" s="12" t="n">
        <f aca="false">ROUND(F175/100*G175*H175*I175/J175,2)</f>
        <v>12862.71</v>
      </c>
      <c r="L175" s="12" t="n">
        <v>12862.71</v>
      </c>
      <c r="M175" s="12" t="n">
        <f aca="false">L175-K175</f>
        <v>0</v>
      </c>
      <c r="N175" s="3" t="s">
        <v>51</v>
      </c>
      <c r="O175" s="3" t="s">
        <v>52</v>
      </c>
    </row>
    <row r="176" customFormat="false" ht="15" hidden="false" customHeight="false" outlineLevel="0" collapsed="false">
      <c r="A176" s="14" t="s">
        <v>1400</v>
      </c>
      <c r="B176" s="14" t="s">
        <v>1667</v>
      </c>
      <c r="C176" s="14" t="s">
        <v>89</v>
      </c>
      <c r="D176" s="14" t="s">
        <v>473</v>
      </c>
      <c r="E176" s="14" t="s">
        <v>56</v>
      </c>
      <c r="F176" s="15" t="n">
        <v>480000</v>
      </c>
      <c r="G176" s="16" t="n">
        <v>0.75</v>
      </c>
      <c r="H176" s="16" t="n">
        <v>1.35</v>
      </c>
      <c r="I176" s="16" t="n">
        <v>0.9194</v>
      </c>
      <c r="J176" s="16" t="n">
        <v>0.53</v>
      </c>
      <c r="K176" s="15" t="n">
        <f aca="false">ROUND(F176/100*G176*H176*I176/J176,2)</f>
        <v>8430.72</v>
      </c>
      <c r="L176" s="15" t="n">
        <v>8430.72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1386</v>
      </c>
      <c r="B177" s="3" t="s">
        <v>1668</v>
      </c>
      <c r="C177" s="3" t="s">
        <v>93</v>
      </c>
      <c r="D177" s="3" t="s">
        <v>1669</v>
      </c>
      <c r="E177" s="3" t="s">
        <v>56</v>
      </c>
      <c r="F177" s="12" t="n">
        <v>645000</v>
      </c>
      <c r="G177" s="13" t="n">
        <v>0.65</v>
      </c>
      <c r="H177" s="13" t="n">
        <v>1.39</v>
      </c>
      <c r="I177" s="13" t="n">
        <v>0.9194</v>
      </c>
      <c r="J177" s="13" t="n">
        <v>0.53</v>
      </c>
      <c r="K177" s="12" t="n">
        <f aca="false">ROUND(F177/100*G177*H177*I177/J177,2)</f>
        <v>10109.19</v>
      </c>
      <c r="L177" s="12" t="n">
        <v>10109.19</v>
      </c>
      <c r="M177" s="12" t="n">
        <f aca="false">L177-K177</f>
        <v>0</v>
      </c>
      <c r="N177" s="3" t="s">
        <v>51</v>
      </c>
      <c r="O177" s="3" t="s">
        <v>52</v>
      </c>
    </row>
    <row r="178" customFormat="false" ht="15" hidden="false" customHeight="false" outlineLevel="0" collapsed="false">
      <c r="A178" s="14" t="s">
        <v>1418</v>
      </c>
      <c r="B178" s="14" t="s">
        <v>1670</v>
      </c>
      <c r="C178" s="14" t="s">
        <v>366</v>
      </c>
      <c r="D178" s="14" t="s">
        <v>1671</v>
      </c>
      <c r="E178" s="14" t="s">
        <v>50</v>
      </c>
      <c r="F178" s="15" t="n">
        <v>1145000</v>
      </c>
      <c r="G178" s="16" t="n">
        <v>0.8</v>
      </c>
      <c r="H178" s="16" t="n">
        <v>1.26</v>
      </c>
      <c r="I178" s="16" t="n">
        <v>0.9194</v>
      </c>
      <c r="J178" s="16" t="n">
        <v>0.53</v>
      </c>
      <c r="K178" s="15" t="n">
        <f aca="false">ROUND(F178/100*G178*H178*I178/J178,2)</f>
        <v>20021.41</v>
      </c>
      <c r="L178" s="15" t="n">
        <v>20021.41</v>
      </c>
      <c r="M178" s="15" t="n">
        <f aca="false">L178-K178</f>
        <v>0</v>
      </c>
      <c r="N178" s="14" t="s">
        <v>70</v>
      </c>
      <c r="O178" s="14" t="s">
        <v>52</v>
      </c>
    </row>
    <row r="179" customFormat="false" ht="15" hidden="false" customHeight="false" outlineLevel="0" collapsed="false">
      <c r="A179" s="3" t="s">
        <v>1415</v>
      </c>
      <c r="B179" s="3" t="s">
        <v>1672</v>
      </c>
      <c r="C179" s="3" t="s">
        <v>887</v>
      </c>
      <c r="D179" s="3" t="s">
        <v>1673</v>
      </c>
      <c r="E179" s="3" t="s">
        <v>74</v>
      </c>
      <c r="F179" s="12" t="n">
        <v>230000</v>
      </c>
      <c r="G179" s="13" t="n">
        <v>0.57</v>
      </c>
      <c r="H179" s="13" t="n">
        <v>1.37</v>
      </c>
      <c r="I179" s="13" t="n">
        <v>0.9194</v>
      </c>
      <c r="J179" s="13" t="n">
        <v>0.53</v>
      </c>
      <c r="K179" s="12" t="n">
        <f aca="false">ROUND(F179/100*G179*H179*I179/J179,2)</f>
        <v>3115.67</v>
      </c>
      <c r="L179" s="12" t="n">
        <v>3115.67</v>
      </c>
      <c r="M179" s="12" t="n">
        <f aca="false">L179-K179</f>
        <v>0</v>
      </c>
      <c r="N179" s="3" t="s">
        <v>51</v>
      </c>
      <c r="O179" s="3" t="s">
        <v>52</v>
      </c>
    </row>
    <row r="180" customFormat="false" ht="15" hidden="false" customHeight="false" outlineLevel="0" collapsed="false">
      <c r="A180" s="14" t="s">
        <v>1482</v>
      </c>
      <c r="B180" s="14" t="s">
        <v>1674</v>
      </c>
      <c r="C180" s="14" t="s">
        <v>217</v>
      </c>
      <c r="D180" s="14" t="s">
        <v>1675</v>
      </c>
      <c r="E180" s="14" t="s">
        <v>56</v>
      </c>
      <c r="F180" s="15" t="n">
        <v>795000</v>
      </c>
      <c r="G180" s="16" t="n">
        <v>0.65</v>
      </c>
      <c r="H180" s="16" t="n">
        <v>1.3</v>
      </c>
      <c r="I180" s="16" t="n">
        <v>0.9194</v>
      </c>
      <c r="J180" s="16" t="n">
        <v>0.53</v>
      </c>
      <c r="K180" s="15" t="n">
        <f aca="false">ROUND(F180/100*G180*H180*I180/J180,2)</f>
        <v>11653.4</v>
      </c>
      <c r="L180" s="15" t="n">
        <v>11653.4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1427</v>
      </c>
      <c r="B181" s="3" t="s">
        <v>1676</v>
      </c>
      <c r="C181" s="3" t="s">
        <v>48</v>
      </c>
      <c r="D181" s="3" t="s">
        <v>1312</v>
      </c>
      <c r="E181" s="3" t="s">
        <v>133</v>
      </c>
      <c r="F181" s="12" t="n">
        <v>1120000</v>
      </c>
      <c r="G181" s="13" t="n">
        <v>0.34</v>
      </c>
      <c r="H181" s="13" t="n">
        <v>1.28</v>
      </c>
      <c r="I181" s="13" t="n">
        <v>0.9194</v>
      </c>
      <c r="J181" s="13" t="n">
        <v>0.53</v>
      </c>
      <c r="K181" s="12" t="n">
        <f aca="false">ROUND(F181/100*G181*H181*I181/J181,2)</f>
        <v>8455.43</v>
      </c>
      <c r="L181" s="12" t="n">
        <v>8455.43</v>
      </c>
      <c r="M181" s="12" t="n">
        <f aca="false">L181-K181</f>
        <v>0</v>
      </c>
      <c r="N181" s="3" t="s">
        <v>51</v>
      </c>
      <c r="O181" s="3" t="s">
        <v>52</v>
      </c>
    </row>
    <row r="182" customFormat="false" ht="15" hidden="false" customHeight="false" outlineLevel="0" collapsed="false">
      <c r="A182" s="14" t="s">
        <v>1499</v>
      </c>
      <c r="B182" s="14" t="s">
        <v>1677</v>
      </c>
      <c r="C182" s="14" t="s">
        <v>93</v>
      </c>
      <c r="D182" s="14" t="s">
        <v>1678</v>
      </c>
      <c r="E182" s="14" t="s">
        <v>157</v>
      </c>
      <c r="F182" s="15" t="n">
        <v>420000</v>
      </c>
      <c r="G182" s="16" t="n">
        <v>0.88</v>
      </c>
      <c r="H182" s="16" t="n">
        <v>1.39</v>
      </c>
      <c r="I182" s="16" t="n">
        <v>0.9194</v>
      </c>
      <c r="J182" s="16" t="n">
        <v>0.53</v>
      </c>
      <c r="K182" s="15" t="n">
        <f aca="false">ROUND(F182/100*G182*H182*I182/J182,2)</f>
        <v>8912</v>
      </c>
      <c r="L182" s="15" t="n">
        <v>8912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1391</v>
      </c>
      <c r="B183" s="3" t="s">
        <v>1679</v>
      </c>
      <c r="C183" s="3" t="s">
        <v>120</v>
      </c>
      <c r="D183" s="3" t="s">
        <v>1551</v>
      </c>
      <c r="E183" s="3" t="s">
        <v>50</v>
      </c>
      <c r="F183" s="12" t="n">
        <v>425000</v>
      </c>
      <c r="G183" s="13" t="n">
        <v>1.15</v>
      </c>
      <c r="H183" s="13" t="n">
        <v>1.15</v>
      </c>
      <c r="I183" s="13" t="n">
        <v>0.9194</v>
      </c>
      <c r="J183" s="13" t="n">
        <v>0.53</v>
      </c>
      <c r="K183" s="12" t="n">
        <f aca="false">ROUND(F183/100*G183*H183*I183/J183,2)</f>
        <v>9750.19</v>
      </c>
      <c r="L183" s="12" t="n">
        <v>9750.19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1438</v>
      </c>
      <c r="B184" s="14" t="s">
        <v>1680</v>
      </c>
      <c r="C184" s="14" t="s">
        <v>278</v>
      </c>
      <c r="D184" s="14" t="s">
        <v>1304</v>
      </c>
      <c r="E184" s="14" t="s">
        <v>56</v>
      </c>
      <c r="F184" s="15" t="n">
        <v>380000</v>
      </c>
      <c r="G184" s="16" t="n">
        <v>0.75</v>
      </c>
      <c r="H184" s="16" t="n">
        <v>0.98</v>
      </c>
      <c r="I184" s="16" t="n">
        <v>0.9194</v>
      </c>
      <c r="J184" s="16" t="n">
        <v>0.53</v>
      </c>
      <c r="K184" s="15" t="n">
        <f aca="false">ROUND(F184/100*G184*H184*I184/J184,2)</f>
        <v>4845.06</v>
      </c>
      <c r="L184" s="15" t="n">
        <v>4845.06</v>
      </c>
      <c r="M184" s="15" t="n">
        <f aca="false">L184-K184</f>
        <v>0</v>
      </c>
      <c r="N184" s="14" t="s">
        <v>51</v>
      </c>
      <c r="O184" s="14" t="s">
        <v>52</v>
      </c>
    </row>
    <row r="185" customFormat="false" ht="15" hidden="false" customHeight="false" outlineLevel="0" collapsed="false">
      <c r="A185" s="3" t="s">
        <v>1477</v>
      </c>
      <c r="B185" s="3" t="s">
        <v>1681</v>
      </c>
      <c r="C185" s="3" t="s">
        <v>108</v>
      </c>
      <c r="D185" s="3" t="s">
        <v>1682</v>
      </c>
      <c r="E185" s="3" t="s">
        <v>50</v>
      </c>
      <c r="F185" s="12" t="n">
        <v>1070000</v>
      </c>
      <c r="G185" s="13" t="n">
        <v>0.8</v>
      </c>
      <c r="H185" s="13" t="n">
        <v>0.93</v>
      </c>
      <c r="I185" s="13" t="n">
        <v>0.9194</v>
      </c>
      <c r="J185" s="13" t="n">
        <v>0.53</v>
      </c>
      <c r="K185" s="12" t="n">
        <f aca="false">ROUND(F185/100*G185*H185*I185/J185,2)</f>
        <v>13809.73</v>
      </c>
      <c r="L185" s="12" t="n">
        <v>13809.74</v>
      </c>
      <c r="M185" s="12" t="n">
        <f aca="false">L185-K185</f>
        <v>0.0100000000002183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1410</v>
      </c>
      <c r="B186" s="14" t="s">
        <v>1683</v>
      </c>
      <c r="C186" s="14" t="s">
        <v>117</v>
      </c>
      <c r="D186" s="14" t="s">
        <v>1684</v>
      </c>
      <c r="E186" s="14" t="s">
        <v>50</v>
      </c>
      <c r="F186" s="15" t="n">
        <v>630000</v>
      </c>
      <c r="G186" s="16" t="n">
        <v>0.95</v>
      </c>
      <c r="H186" s="16" t="n">
        <v>0.91</v>
      </c>
      <c r="I186" s="16" t="n">
        <v>0.9194</v>
      </c>
      <c r="J186" s="16" t="n">
        <v>0.53</v>
      </c>
      <c r="K186" s="15" t="n">
        <f aca="false">ROUND(F186/100*G186*H186*I186/J186,2)</f>
        <v>9447.88</v>
      </c>
      <c r="L186" s="15" t="n">
        <v>9447.87</v>
      </c>
      <c r="M186" s="15" t="n">
        <f aca="false">L186-K186</f>
        <v>-0.00999999999839929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1381</v>
      </c>
      <c r="B187" s="3" t="s">
        <v>1685</v>
      </c>
      <c r="C187" s="3" t="s">
        <v>139</v>
      </c>
      <c r="D187" s="3" t="s">
        <v>348</v>
      </c>
      <c r="E187" s="3" t="s">
        <v>50</v>
      </c>
      <c r="F187" s="12" t="n">
        <v>1255000</v>
      </c>
      <c r="G187" s="13" t="n">
        <v>0.8</v>
      </c>
      <c r="H187" s="13" t="n">
        <v>1.23</v>
      </c>
      <c r="I187" s="13" t="n">
        <v>0.9194</v>
      </c>
      <c r="J187" s="13" t="n">
        <v>0.53</v>
      </c>
      <c r="K187" s="12" t="n">
        <f aca="false">ROUND(F187/100*G187*H187*I187/J187,2)</f>
        <v>21422.37</v>
      </c>
      <c r="L187" s="12" t="n">
        <v>21422.37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1429</v>
      </c>
      <c r="B188" s="14" t="s">
        <v>1686</v>
      </c>
      <c r="C188" s="14" t="s">
        <v>93</v>
      </c>
      <c r="D188" s="14" t="s">
        <v>927</v>
      </c>
      <c r="E188" s="14" t="s">
        <v>74</v>
      </c>
      <c r="F188" s="15" t="n">
        <v>1600000</v>
      </c>
      <c r="G188" s="16" t="n">
        <v>0.38</v>
      </c>
      <c r="H188" s="16" t="n">
        <v>1.39</v>
      </c>
      <c r="I188" s="16" t="n">
        <v>0.9194</v>
      </c>
      <c r="J188" s="16" t="n">
        <v>0.53</v>
      </c>
      <c r="K188" s="15" t="n">
        <f aca="false">ROUND(F188/100*G188*H188*I188/J188,2)</f>
        <v>14660.44</v>
      </c>
      <c r="L188" s="15" t="n">
        <v>14660.44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1404</v>
      </c>
      <c r="B189" s="3" t="s">
        <v>1687</v>
      </c>
      <c r="C189" s="3" t="s">
        <v>196</v>
      </c>
      <c r="D189" s="3" t="s">
        <v>1688</v>
      </c>
      <c r="E189" s="3" t="s">
        <v>50</v>
      </c>
      <c r="F189" s="12" t="n">
        <v>600000</v>
      </c>
      <c r="G189" s="13" t="n">
        <v>0.95</v>
      </c>
      <c r="H189" s="13" t="n">
        <v>1.04</v>
      </c>
      <c r="I189" s="13" t="n">
        <v>0.9194</v>
      </c>
      <c r="J189" s="13" t="n">
        <v>0.53</v>
      </c>
      <c r="K189" s="12" t="n">
        <f aca="false">ROUND(F189/100*G189*H189*I189/J189,2)</f>
        <v>10283.4</v>
      </c>
      <c r="L189" s="12" t="n">
        <v>10283.41</v>
      </c>
      <c r="M189" s="12" t="n">
        <f aca="false">L189-K189</f>
        <v>0.0100000000002183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1389</v>
      </c>
      <c r="B190" s="14" t="s">
        <v>1689</v>
      </c>
      <c r="C190" s="14" t="s">
        <v>89</v>
      </c>
      <c r="D190" s="14" t="s">
        <v>1690</v>
      </c>
      <c r="E190" s="14" t="s">
        <v>56</v>
      </c>
      <c r="F190" s="15" t="n">
        <v>615000</v>
      </c>
      <c r="G190" s="16" t="n">
        <v>0.65</v>
      </c>
      <c r="H190" s="16" t="n">
        <v>1.35</v>
      </c>
      <c r="I190" s="16" t="n">
        <v>0.9194</v>
      </c>
      <c r="J190" s="16" t="n">
        <v>0.53</v>
      </c>
      <c r="K190" s="15" t="n">
        <f aca="false">ROUND(F190/100*G190*H190*I190/J190,2)</f>
        <v>9361.62</v>
      </c>
      <c r="L190" s="15" t="n">
        <v>9361.62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1522</v>
      </c>
      <c r="B191" s="3" t="s">
        <v>1691</v>
      </c>
      <c r="C191" s="3" t="s">
        <v>89</v>
      </c>
      <c r="D191" s="3" t="s">
        <v>1434</v>
      </c>
      <c r="E191" s="3" t="s">
        <v>56</v>
      </c>
      <c r="F191" s="12" t="n">
        <v>615000</v>
      </c>
      <c r="G191" s="13" t="n">
        <v>0.65</v>
      </c>
      <c r="H191" s="13" t="n">
        <v>1.35</v>
      </c>
      <c r="I191" s="13" t="n">
        <v>0.9194</v>
      </c>
      <c r="J191" s="13" t="n">
        <v>0.53</v>
      </c>
      <c r="K191" s="12" t="n">
        <f aca="false">ROUND(F191/100*G191*H191*I191/J191,2)</f>
        <v>9361.62</v>
      </c>
      <c r="L191" s="12" t="n">
        <v>9361.62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1398</v>
      </c>
      <c r="B192" s="14" t="s">
        <v>1692</v>
      </c>
      <c r="C192" s="14" t="s">
        <v>237</v>
      </c>
      <c r="D192" s="14" t="s">
        <v>1693</v>
      </c>
      <c r="E192" s="14" t="s">
        <v>157</v>
      </c>
      <c r="F192" s="15" t="n">
        <v>945000</v>
      </c>
      <c r="G192" s="16" t="n">
        <v>0.78</v>
      </c>
      <c r="H192" s="16" t="n">
        <v>1.33</v>
      </c>
      <c r="I192" s="16" t="n">
        <v>0.9194</v>
      </c>
      <c r="J192" s="16" t="n">
        <v>0.53</v>
      </c>
      <c r="K192" s="15" t="n">
        <f aca="false">ROUND(F192/100*G192*H192*I192/J192,2)</f>
        <v>17006.18</v>
      </c>
      <c r="L192" s="15" t="n">
        <v>17006.18</v>
      </c>
      <c r="M192" s="15" t="n">
        <f aca="false">L192-K192</f>
        <v>0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1450</v>
      </c>
      <c r="B193" s="3" t="s">
        <v>1694</v>
      </c>
      <c r="C193" s="3" t="s">
        <v>193</v>
      </c>
      <c r="D193" s="3" t="s">
        <v>673</v>
      </c>
      <c r="E193" s="3" t="s">
        <v>56</v>
      </c>
      <c r="F193" s="12" t="n">
        <v>620000</v>
      </c>
      <c r="G193" s="13" t="n">
        <v>0.65</v>
      </c>
      <c r="H193" s="13" t="n">
        <v>1.25</v>
      </c>
      <c r="I193" s="13" t="n">
        <v>0.9194</v>
      </c>
      <c r="J193" s="13" t="n">
        <v>0.53</v>
      </c>
      <c r="K193" s="12" t="n">
        <f aca="false">ROUND(F193/100*G193*H193*I193/J193,2)</f>
        <v>8738.64</v>
      </c>
      <c r="L193" s="12" t="n">
        <v>8738.64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1400</v>
      </c>
      <c r="B194" s="14" t="s">
        <v>1695</v>
      </c>
      <c r="C194" s="14" t="s">
        <v>136</v>
      </c>
      <c r="D194" s="14" t="s">
        <v>769</v>
      </c>
      <c r="E194" s="14" t="s">
        <v>56</v>
      </c>
      <c r="F194" s="15" t="n">
        <v>290000</v>
      </c>
      <c r="G194" s="16" t="n">
        <v>0.75</v>
      </c>
      <c r="H194" s="16" t="n">
        <v>1.32</v>
      </c>
      <c r="I194" s="16" t="n">
        <v>0.9194</v>
      </c>
      <c r="J194" s="16" t="n">
        <v>0.53</v>
      </c>
      <c r="K194" s="15" t="n">
        <f aca="false">ROUND(F194/100*G194*H194*I194/J194,2)</f>
        <v>4980.37</v>
      </c>
      <c r="L194" s="15" t="n">
        <v>4980.37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1393</v>
      </c>
      <c r="B195" s="3" t="s">
        <v>1696</v>
      </c>
      <c r="C195" s="3" t="s">
        <v>196</v>
      </c>
      <c r="D195" s="3" t="s">
        <v>1156</v>
      </c>
      <c r="E195" s="3" t="s">
        <v>56</v>
      </c>
      <c r="F195" s="12" t="n">
        <v>670000</v>
      </c>
      <c r="G195" s="13" t="n">
        <v>0.65</v>
      </c>
      <c r="H195" s="13" t="n">
        <v>1.04</v>
      </c>
      <c r="I195" s="13" t="n">
        <v>0.9194</v>
      </c>
      <c r="J195" s="13" t="n">
        <v>0.53</v>
      </c>
      <c r="K195" s="12" t="n">
        <f aca="false">ROUND(F195/100*G195*H195*I195/J195,2)</f>
        <v>7856.88</v>
      </c>
      <c r="L195" s="12" t="n">
        <v>7856.88</v>
      </c>
      <c r="M195" s="12" t="n">
        <f aca="false">L195-K195</f>
        <v>0</v>
      </c>
      <c r="N195" s="3" t="s">
        <v>70</v>
      </c>
      <c r="O195" s="3" t="s">
        <v>52</v>
      </c>
    </row>
    <row r="196" customFormat="false" ht="15" hidden="false" customHeight="false" outlineLevel="0" collapsed="false">
      <c r="A196" s="14" t="s">
        <v>1438</v>
      </c>
      <c r="B196" s="14" t="s">
        <v>1697</v>
      </c>
      <c r="C196" s="14" t="s">
        <v>59</v>
      </c>
      <c r="D196" s="14" t="s">
        <v>1698</v>
      </c>
      <c r="E196" s="14" t="s">
        <v>50</v>
      </c>
      <c r="F196" s="15" t="n">
        <v>850000</v>
      </c>
      <c r="G196" s="16" t="n">
        <v>0.95</v>
      </c>
      <c r="H196" s="16" t="n">
        <v>0.97</v>
      </c>
      <c r="I196" s="16" t="n">
        <v>0.9194</v>
      </c>
      <c r="J196" s="16" t="n">
        <v>0.53</v>
      </c>
      <c r="K196" s="15" t="n">
        <f aca="false">ROUND(F196/100*G196*H196*I196/J196,2)</f>
        <v>13587.6</v>
      </c>
      <c r="L196" s="15" t="n">
        <v>13587.6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1435</v>
      </c>
      <c r="B197" s="3" t="s">
        <v>1699</v>
      </c>
      <c r="C197" s="3" t="s">
        <v>224</v>
      </c>
      <c r="D197" s="3" t="s">
        <v>1700</v>
      </c>
      <c r="E197" s="3" t="s">
        <v>56</v>
      </c>
      <c r="F197" s="12" t="n">
        <v>690000</v>
      </c>
      <c r="G197" s="13" t="n">
        <v>0.65</v>
      </c>
      <c r="H197" s="13" t="n">
        <v>1.1</v>
      </c>
      <c r="I197" s="13" t="n">
        <v>0.9194</v>
      </c>
      <c r="J197" s="13" t="n">
        <v>0.53</v>
      </c>
      <c r="K197" s="12" t="n">
        <f aca="false">ROUND(F197/100*G197*H197*I197/J197,2)</f>
        <v>8558.23</v>
      </c>
      <c r="L197" s="12" t="n">
        <v>8558.23</v>
      </c>
      <c r="M197" s="12" t="n">
        <f aca="false">L197-K197</f>
        <v>0</v>
      </c>
      <c r="N197" s="3" t="s">
        <v>51</v>
      </c>
      <c r="O197" s="3" t="s">
        <v>52</v>
      </c>
    </row>
    <row r="198" customFormat="false" ht="15" hidden="false" customHeight="false" outlineLevel="0" collapsed="false">
      <c r="A198" s="14" t="s">
        <v>1410</v>
      </c>
      <c r="B198" s="14" t="s">
        <v>1701</v>
      </c>
      <c r="C198" s="14" t="s">
        <v>108</v>
      </c>
      <c r="D198" s="14" t="s">
        <v>1702</v>
      </c>
      <c r="E198" s="14" t="s">
        <v>74</v>
      </c>
      <c r="F198" s="15" t="n">
        <v>710000</v>
      </c>
      <c r="G198" s="16" t="n">
        <v>0.43</v>
      </c>
      <c r="H198" s="16" t="n">
        <v>0.93</v>
      </c>
      <c r="I198" s="16" t="n">
        <v>0.9194</v>
      </c>
      <c r="J198" s="16" t="n">
        <v>0.53</v>
      </c>
      <c r="K198" s="15" t="n">
        <f aca="false">ROUND(F198/100*G198*H198*I198/J198,2)</f>
        <v>4925.36</v>
      </c>
      <c r="L198" s="15" t="n">
        <v>4925.36</v>
      </c>
      <c r="M198" s="15" t="n">
        <f aca="false">L198-K198</f>
        <v>0</v>
      </c>
      <c r="N198" s="14" t="s">
        <v>51</v>
      </c>
      <c r="O198" s="14" t="s">
        <v>52</v>
      </c>
    </row>
    <row r="199" customFormat="false" ht="15" hidden="false" customHeight="false" outlineLevel="0" collapsed="false">
      <c r="A199" s="3" t="s">
        <v>1395</v>
      </c>
      <c r="B199" s="3" t="s">
        <v>1703</v>
      </c>
      <c r="C199" s="3" t="s">
        <v>131</v>
      </c>
      <c r="D199" s="3" t="s">
        <v>709</v>
      </c>
      <c r="E199" s="3" t="s">
        <v>56</v>
      </c>
      <c r="F199" s="12" t="n">
        <v>540000</v>
      </c>
      <c r="G199" s="13" t="n">
        <v>0.65</v>
      </c>
      <c r="H199" s="13" t="n">
        <v>0.95</v>
      </c>
      <c r="I199" s="13" t="n">
        <v>0.9194</v>
      </c>
      <c r="J199" s="13" t="n">
        <v>0.53</v>
      </c>
      <c r="K199" s="12" t="n">
        <f aca="false">ROUND(F199/100*G199*H199*I199/J199,2)</f>
        <v>5784.41</v>
      </c>
      <c r="L199" s="12" t="n">
        <v>5784.41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1427</v>
      </c>
      <c r="B200" s="14" t="s">
        <v>1704</v>
      </c>
      <c r="C200" s="14" t="s">
        <v>169</v>
      </c>
      <c r="D200" s="14" t="s">
        <v>1705</v>
      </c>
      <c r="E200" s="14" t="s">
        <v>133</v>
      </c>
      <c r="F200" s="15" t="n">
        <v>1670000</v>
      </c>
      <c r="G200" s="16" t="n">
        <v>0.34</v>
      </c>
      <c r="H200" s="16" t="n">
        <v>1.07</v>
      </c>
      <c r="I200" s="16" t="n">
        <v>0.9194</v>
      </c>
      <c r="J200" s="16" t="n">
        <v>0.53</v>
      </c>
      <c r="K200" s="15" t="n">
        <f aca="false">ROUND(F200/100*G200*H200*I200/J200,2)</f>
        <v>10539.2</v>
      </c>
      <c r="L200" s="15" t="n">
        <v>10539.2</v>
      </c>
      <c r="M200" s="15" t="n">
        <f aca="false">L200-K200</f>
        <v>0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1383</v>
      </c>
      <c r="B201" s="3" t="s">
        <v>1706</v>
      </c>
      <c r="C201" s="3" t="s">
        <v>435</v>
      </c>
      <c r="D201" s="3" t="s">
        <v>1707</v>
      </c>
      <c r="E201" s="3" t="s">
        <v>56</v>
      </c>
      <c r="F201" s="12" t="n">
        <v>490000</v>
      </c>
      <c r="G201" s="13" t="n">
        <v>0.75</v>
      </c>
      <c r="H201" s="13" t="n">
        <v>1.13</v>
      </c>
      <c r="I201" s="13" t="n">
        <v>0.9194</v>
      </c>
      <c r="J201" s="13" t="n">
        <v>0.53</v>
      </c>
      <c r="K201" s="12" t="n">
        <f aca="false">ROUND(F201/100*G201*H201*I201/J201,2)</f>
        <v>7203.85</v>
      </c>
      <c r="L201" s="12" t="n">
        <v>7203.85</v>
      </c>
      <c r="M201" s="12" t="n">
        <f aca="false">L201-K201</f>
        <v>0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1418</v>
      </c>
      <c r="B202" s="14" t="s">
        <v>1708</v>
      </c>
      <c r="C202" s="14" t="s">
        <v>93</v>
      </c>
      <c r="D202" s="14" t="s">
        <v>419</v>
      </c>
      <c r="E202" s="14" t="s">
        <v>56</v>
      </c>
      <c r="F202" s="15" t="n">
        <v>795000</v>
      </c>
      <c r="G202" s="16" t="n">
        <v>0.65</v>
      </c>
      <c r="H202" s="16" t="n">
        <v>1.39</v>
      </c>
      <c r="I202" s="16" t="n">
        <v>0.9194</v>
      </c>
      <c r="J202" s="16" t="n">
        <v>0.53</v>
      </c>
      <c r="K202" s="15" t="n">
        <f aca="false">ROUND(F202/100*G202*H202*I202/J202,2)</f>
        <v>12460.17</v>
      </c>
      <c r="L202" s="15" t="n">
        <v>12460.17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1420</v>
      </c>
      <c r="B203" s="3" t="s">
        <v>1709</v>
      </c>
      <c r="C203" s="3" t="s">
        <v>142</v>
      </c>
      <c r="D203" s="3" t="s">
        <v>1710</v>
      </c>
      <c r="E203" s="3" t="s">
        <v>74</v>
      </c>
      <c r="F203" s="12" t="n">
        <v>240000</v>
      </c>
      <c r="G203" s="13" t="n">
        <v>0.57</v>
      </c>
      <c r="H203" s="13" t="n">
        <v>1.22</v>
      </c>
      <c r="I203" s="13" t="n">
        <v>0.9194</v>
      </c>
      <c r="J203" s="13" t="n">
        <v>0.53</v>
      </c>
      <c r="K203" s="12" t="n">
        <f aca="false">ROUND(F203/100*G203*H203*I203/J203,2)</f>
        <v>2895.17</v>
      </c>
      <c r="L203" s="12" t="n">
        <v>2895.17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1522</v>
      </c>
      <c r="B204" s="14" t="s">
        <v>1711</v>
      </c>
      <c r="C204" s="14" t="s">
        <v>145</v>
      </c>
      <c r="D204" s="14" t="s">
        <v>1669</v>
      </c>
      <c r="E204" s="14" t="s">
        <v>56</v>
      </c>
      <c r="F204" s="15" t="n">
        <v>545000</v>
      </c>
      <c r="G204" s="16" t="n">
        <v>0.65</v>
      </c>
      <c r="H204" s="16" t="n">
        <v>0.96</v>
      </c>
      <c r="I204" s="16" t="n">
        <v>0.9194</v>
      </c>
      <c r="J204" s="16" t="n">
        <v>0.53</v>
      </c>
      <c r="K204" s="15" t="n">
        <f aca="false">ROUND(F204/100*G204*H204*I204/J204,2)</f>
        <v>5899.43</v>
      </c>
      <c r="L204" s="15" t="n">
        <v>5899.42</v>
      </c>
      <c r="M204" s="15" t="n">
        <f aca="false">L204-K204</f>
        <v>-0.0100000000002183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1499</v>
      </c>
      <c r="B205" s="3" t="s">
        <v>1712</v>
      </c>
      <c r="C205" s="3" t="s">
        <v>117</v>
      </c>
      <c r="D205" s="3" t="s">
        <v>1713</v>
      </c>
      <c r="E205" s="3" t="s">
        <v>133</v>
      </c>
      <c r="F205" s="12" t="n">
        <v>1120000</v>
      </c>
      <c r="G205" s="13" t="n">
        <v>0.34</v>
      </c>
      <c r="H205" s="13" t="n">
        <v>0.91</v>
      </c>
      <c r="I205" s="13" t="n">
        <v>0.9194</v>
      </c>
      <c r="J205" s="13" t="n">
        <v>0.53</v>
      </c>
      <c r="K205" s="12" t="n">
        <f aca="false">ROUND(F205/100*G205*H205*I205/J205,2)</f>
        <v>6011.28</v>
      </c>
      <c r="L205" s="12" t="n">
        <v>6011.28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1410</v>
      </c>
      <c r="B206" s="14" t="s">
        <v>1714</v>
      </c>
      <c r="C206" s="14" t="s">
        <v>145</v>
      </c>
      <c r="D206" s="14" t="s">
        <v>258</v>
      </c>
      <c r="E206" s="14" t="s">
        <v>56</v>
      </c>
      <c r="F206" s="15" t="n">
        <v>185000</v>
      </c>
      <c r="G206" s="16" t="n">
        <v>0.92</v>
      </c>
      <c r="H206" s="16" t="n">
        <v>0.96</v>
      </c>
      <c r="I206" s="16" t="n">
        <v>0.9194</v>
      </c>
      <c r="J206" s="16" t="n">
        <v>0.53</v>
      </c>
      <c r="K206" s="15" t="n">
        <f aca="false">ROUND(F206/100*G206*H206*I206/J206,2)</f>
        <v>2834.39</v>
      </c>
      <c r="L206" s="15" t="n">
        <v>2834.39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1455</v>
      </c>
      <c r="B207" s="3" t="s">
        <v>1715</v>
      </c>
      <c r="C207" s="3" t="s">
        <v>892</v>
      </c>
      <c r="D207" s="3" t="s">
        <v>1049</v>
      </c>
      <c r="E207" s="3" t="s">
        <v>56</v>
      </c>
      <c r="F207" s="12" t="n">
        <v>355000</v>
      </c>
      <c r="G207" s="13" t="n">
        <v>0.75</v>
      </c>
      <c r="H207" s="13" t="n">
        <v>1.08</v>
      </c>
      <c r="I207" s="13" t="n">
        <v>0.9194</v>
      </c>
      <c r="J207" s="13" t="n">
        <v>0.53</v>
      </c>
      <c r="K207" s="12" t="n">
        <f aca="false">ROUND(F207/100*G207*H207*I207/J207,2)</f>
        <v>4988.18</v>
      </c>
      <c r="L207" s="12" t="n">
        <v>4988.18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1427</v>
      </c>
      <c r="B208" s="14" t="s">
        <v>1716</v>
      </c>
      <c r="C208" s="14" t="s">
        <v>174</v>
      </c>
      <c r="D208" s="14" t="s">
        <v>1527</v>
      </c>
      <c r="E208" s="14" t="s">
        <v>56</v>
      </c>
      <c r="F208" s="15" t="n">
        <v>340000</v>
      </c>
      <c r="G208" s="16" t="n">
        <v>0.75</v>
      </c>
      <c r="H208" s="16" t="n">
        <v>1.55</v>
      </c>
      <c r="I208" s="16" t="n">
        <v>0.9194</v>
      </c>
      <c r="J208" s="16" t="n">
        <v>0.53</v>
      </c>
      <c r="K208" s="15" t="n">
        <f aca="false">ROUND(F208/100*G208*H208*I208/J208,2)</f>
        <v>6856.47</v>
      </c>
      <c r="L208" s="15" t="n">
        <v>6856.47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1438</v>
      </c>
      <c r="B209" s="3" t="s">
        <v>1717</v>
      </c>
      <c r="C209" s="3" t="s">
        <v>81</v>
      </c>
      <c r="D209" s="3" t="s">
        <v>1718</v>
      </c>
      <c r="E209" s="3" t="s">
        <v>74</v>
      </c>
      <c r="F209" s="12" t="n">
        <v>780000</v>
      </c>
      <c r="G209" s="13" t="n">
        <v>0.43</v>
      </c>
      <c r="H209" s="13" t="n">
        <v>1.27</v>
      </c>
      <c r="I209" s="13" t="n">
        <v>0.9194</v>
      </c>
      <c r="J209" s="13" t="n">
        <v>0.53</v>
      </c>
      <c r="K209" s="12" t="n">
        <f aca="false">ROUND(F209/100*G209*H209*I209/J209,2)</f>
        <v>7389.17</v>
      </c>
      <c r="L209" s="12" t="n">
        <v>7389.16</v>
      </c>
      <c r="M209" s="12" t="n">
        <f aca="false">L209-K209</f>
        <v>-0.0100000000002183</v>
      </c>
      <c r="N209" s="3" t="s">
        <v>70</v>
      </c>
      <c r="O209" s="3" t="s">
        <v>52</v>
      </c>
    </row>
    <row r="210" customFormat="false" ht="15" hidden="false" customHeight="false" outlineLevel="0" collapsed="false">
      <c r="A210" s="14" t="s">
        <v>1420</v>
      </c>
      <c r="B210" s="14" t="s">
        <v>1719</v>
      </c>
      <c r="C210" s="14" t="s">
        <v>169</v>
      </c>
      <c r="D210" s="14" t="s">
        <v>504</v>
      </c>
      <c r="E210" s="14" t="s">
        <v>157</v>
      </c>
      <c r="F210" s="15" t="n">
        <v>665000</v>
      </c>
      <c r="G210" s="16" t="n">
        <v>0.78</v>
      </c>
      <c r="H210" s="16" t="n">
        <v>1.07</v>
      </c>
      <c r="I210" s="16" t="n">
        <v>0.9194</v>
      </c>
      <c r="J210" s="16" t="n">
        <v>0.53</v>
      </c>
      <c r="K210" s="15" t="n">
        <f aca="false">ROUND(F210/100*G210*H210*I210/J210,2)</f>
        <v>9627.84</v>
      </c>
      <c r="L210" s="15" t="n">
        <v>9627.84</v>
      </c>
      <c r="M210" s="15" t="n">
        <f aca="false">L210-K210</f>
        <v>0</v>
      </c>
      <c r="N210" s="14" t="s">
        <v>51</v>
      </c>
      <c r="O210" s="14" t="s">
        <v>52</v>
      </c>
    </row>
    <row r="211" customFormat="false" ht="15" hidden="false" customHeight="false" outlineLevel="0" collapsed="false">
      <c r="A211" s="3" t="s">
        <v>1415</v>
      </c>
      <c r="B211" s="3" t="s">
        <v>1720</v>
      </c>
      <c r="C211" s="3" t="s">
        <v>105</v>
      </c>
      <c r="D211" s="3" t="s">
        <v>645</v>
      </c>
      <c r="E211" s="3" t="s">
        <v>56</v>
      </c>
      <c r="F211" s="12" t="n">
        <v>800000</v>
      </c>
      <c r="G211" s="13" t="n">
        <v>0.65</v>
      </c>
      <c r="H211" s="13" t="n">
        <v>0.99</v>
      </c>
      <c r="I211" s="13" t="n">
        <v>0.9194</v>
      </c>
      <c r="J211" s="13" t="n">
        <v>0.53</v>
      </c>
      <c r="K211" s="12" t="n">
        <f aca="false">ROUND(F211/100*G211*H211*I211/J211,2)</f>
        <v>8930.32</v>
      </c>
      <c r="L211" s="12" t="n">
        <v>8930.33</v>
      </c>
      <c r="M211" s="12" t="n">
        <f aca="false">L211-K211</f>
        <v>0.0100000000002183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1429</v>
      </c>
      <c r="B212" s="14" t="s">
        <v>1721</v>
      </c>
      <c r="C212" s="14" t="s">
        <v>311</v>
      </c>
      <c r="D212" s="14" t="s">
        <v>1722</v>
      </c>
      <c r="E212" s="14" t="s">
        <v>56</v>
      </c>
      <c r="F212" s="15" t="n">
        <v>875000</v>
      </c>
      <c r="G212" s="16" t="n">
        <v>0.65</v>
      </c>
      <c r="H212" s="16" t="n">
        <v>1.06</v>
      </c>
      <c r="I212" s="16" t="n">
        <v>0.9194</v>
      </c>
      <c r="J212" s="16" t="n">
        <v>0.53</v>
      </c>
      <c r="K212" s="15" t="n">
        <f aca="false">ROUND(F212/100*G212*H212*I212/J212,2)</f>
        <v>10458.18</v>
      </c>
      <c r="L212" s="15" t="n">
        <v>10458.17</v>
      </c>
      <c r="M212" s="15" t="n">
        <f aca="false">L212-K212</f>
        <v>-0.0100000000002183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1415</v>
      </c>
      <c r="B213" s="3" t="s">
        <v>1723</v>
      </c>
      <c r="C213" s="3" t="s">
        <v>366</v>
      </c>
      <c r="D213" s="3" t="s">
        <v>170</v>
      </c>
      <c r="E213" s="3" t="s">
        <v>56</v>
      </c>
      <c r="F213" s="12" t="n">
        <v>635000</v>
      </c>
      <c r="G213" s="13" t="n">
        <v>0.65</v>
      </c>
      <c r="H213" s="13" t="n">
        <v>1.26</v>
      </c>
      <c r="I213" s="13" t="n">
        <v>0.9194</v>
      </c>
      <c r="J213" s="13" t="n">
        <v>0.53</v>
      </c>
      <c r="K213" s="12" t="n">
        <f aca="false">ROUND(F213/100*G213*H213*I213/J213,2)</f>
        <v>9021.66</v>
      </c>
      <c r="L213" s="12" t="n">
        <v>9021.66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1423</v>
      </c>
      <c r="B214" s="14" t="s">
        <v>1724</v>
      </c>
      <c r="C214" s="14" t="s">
        <v>89</v>
      </c>
      <c r="D214" s="14" t="s">
        <v>861</v>
      </c>
      <c r="E214" s="14" t="s">
        <v>50</v>
      </c>
      <c r="F214" s="15" t="n">
        <v>715000</v>
      </c>
      <c r="G214" s="16" t="n">
        <v>0.95</v>
      </c>
      <c r="H214" s="16" t="n">
        <v>1.35</v>
      </c>
      <c r="I214" s="16" t="n">
        <v>0.9194</v>
      </c>
      <c r="J214" s="16" t="n">
        <v>0.53</v>
      </c>
      <c r="K214" s="15" t="n">
        <f aca="false">ROUND(F214/100*G214*H214*I214/J214,2)</f>
        <v>15907.14</v>
      </c>
      <c r="L214" s="15" t="n">
        <v>15907.14</v>
      </c>
      <c r="M214" s="15" t="n">
        <f aca="false">L214-K214</f>
        <v>0</v>
      </c>
      <c r="N214" s="14" t="s">
        <v>70</v>
      </c>
      <c r="O214" s="14" t="s">
        <v>52</v>
      </c>
    </row>
    <row r="215" customFormat="false" ht="15" hidden="false" customHeight="false" outlineLevel="0" collapsed="false">
      <c r="A215" s="3" t="s">
        <v>1522</v>
      </c>
      <c r="B215" s="3" t="s">
        <v>1725</v>
      </c>
      <c r="C215" s="3" t="s">
        <v>159</v>
      </c>
      <c r="D215" s="3" t="s">
        <v>1089</v>
      </c>
      <c r="E215" s="3" t="s">
        <v>74</v>
      </c>
      <c r="F215" s="12" t="n">
        <v>385000</v>
      </c>
      <c r="G215" s="13" t="n">
        <v>0.48</v>
      </c>
      <c r="H215" s="13" t="n">
        <v>1.15</v>
      </c>
      <c r="I215" s="13" t="n">
        <v>0.9194</v>
      </c>
      <c r="J215" s="13" t="n">
        <v>0.53</v>
      </c>
      <c r="K215" s="12" t="n">
        <f aca="false">ROUND(F215/100*G215*H215*I215/J215,2)</f>
        <v>3686.62</v>
      </c>
      <c r="L215" s="12" t="n">
        <v>3686.62</v>
      </c>
      <c r="M215" s="12" t="n">
        <f aca="false">L215-K215</f>
        <v>0</v>
      </c>
      <c r="N215" s="3" t="s">
        <v>51</v>
      </c>
      <c r="O215" s="3" t="s">
        <v>52</v>
      </c>
    </row>
    <row r="216" customFormat="false" ht="15" hidden="false" customHeight="false" outlineLevel="0" collapsed="false">
      <c r="A216" s="14" t="s">
        <v>1499</v>
      </c>
      <c r="B216" s="14" t="s">
        <v>1726</v>
      </c>
      <c r="C216" s="14" t="s">
        <v>105</v>
      </c>
      <c r="D216" s="14" t="s">
        <v>1112</v>
      </c>
      <c r="E216" s="14" t="s">
        <v>50</v>
      </c>
      <c r="F216" s="15" t="n">
        <v>1250000</v>
      </c>
      <c r="G216" s="16" t="n">
        <v>0.8</v>
      </c>
      <c r="H216" s="16" t="n">
        <v>0.99</v>
      </c>
      <c r="I216" s="16" t="n">
        <v>0.9194</v>
      </c>
      <c r="J216" s="16" t="n">
        <v>0.53</v>
      </c>
      <c r="K216" s="15" t="n">
        <f aca="false">ROUND(F216/100*G216*H216*I216/J216,2)</f>
        <v>17173.7</v>
      </c>
      <c r="L216" s="15" t="n">
        <v>17173.7</v>
      </c>
      <c r="M216" s="15" t="n">
        <f aca="false">L216-K216</f>
        <v>0</v>
      </c>
      <c r="N216" s="14" t="s">
        <v>51</v>
      </c>
      <c r="O216" s="14" t="s">
        <v>52</v>
      </c>
    </row>
    <row r="217" customFormat="false" ht="15" hidden="false" customHeight="false" outlineLevel="0" collapsed="false">
      <c r="A217" s="3" t="s">
        <v>1499</v>
      </c>
      <c r="B217" s="3" t="s">
        <v>1727</v>
      </c>
      <c r="C217" s="3" t="s">
        <v>48</v>
      </c>
      <c r="D217" s="3" t="s">
        <v>1728</v>
      </c>
      <c r="E217" s="3" t="s">
        <v>56</v>
      </c>
      <c r="F217" s="12" t="n">
        <v>565000</v>
      </c>
      <c r="G217" s="13" t="n">
        <v>0.65</v>
      </c>
      <c r="H217" s="13" t="n">
        <v>1.28</v>
      </c>
      <c r="I217" s="13" t="n">
        <v>0.9194</v>
      </c>
      <c r="J217" s="13" t="n">
        <v>0.53</v>
      </c>
      <c r="K217" s="12" t="n">
        <f aca="false">ROUND(F217/100*G217*H217*I217/J217,2)</f>
        <v>8154.56</v>
      </c>
      <c r="L217" s="12" t="n">
        <v>8154.55</v>
      </c>
      <c r="M217" s="12" t="n">
        <f aca="false">L217-K217</f>
        <v>-0.0100000000002183</v>
      </c>
      <c r="N217" s="3" t="s">
        <v>51</v>
      </c>
      <c r="O217" s="3" t="s">
        <v>52</v>
      </c>
    </row>
    <row r="218" customFormat="false" ht="15" hidden="false" customHeight="false" outlineLevel="0" collapsed="false">
      <c r="A218" s="14" t="s">
        <v>1404</v>
      </c>
      <c r="B218" s="14" t="s">
        <v>1729</v>
      </c>
      <c r="C218" s="14" t="s">
        <v>89</v>
      </c>
      <c r="D218" s="14" t="s">
        <v>1730</v>
      </c>
      <c r="E218" s="14" t="s">
        <v>74</v>
      </c>
      <c r="F218" s="15" t="n">
        <v>610000</v>
      </c>
      <c r="G218" s="16" t="n">
        <v>0.43</v>
      </c>
      <c r="H218" s="16" t="n">
        <v>1.35</v>
      </c>
      <c r="I218" s="16" t="n">
        <v>0.9194</v>
      </c>
      <c r="J218" s="16" t="n">
        <v>0.53</v>
      </c>
      <c r="K218" s="15" t="n">
        <f aca="false">ROUND(F218/100*G218*H218*I218/J218,2)</f>
        <v>6142.72</v>
      </c>
      <c r="L218" s="15" t="n">
        <v>6142.72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1389</v>
      </c>
      <c r="B219" s="3" t="s">
        <v>1731</v>
      </c>
      <c r="C219" s="3" t="s">
        <v>266</v>
      </c>
      <c r="D219" s="3" t="s">
        <v>316</v>
      </c>
      <c r="E219" s="3" t="s">
        <v>50</v>
      </c>
      <c r="F219" s="12" t="n">
        <v>995000</v>
      </c>
      <c r="G219" s="13" t="n">
        <v>0.95</v>
      </c>
      <c r="H219" s="13" t="n">
        <v>1.1</v>
      </c>
      <c r="I219" s="13" t="n">
        <v>0.9194</v>
      </c>
      <c r="J219" s="13" t="n">
        <v>0.53</v>
      </c>
      <c r="K219" s="12" t="n">
        <f aca="false">ROUND(F219/100*G219*H219*I219/J219,2)</f>
        <v>18037.15</v>
      </c>
      <c r="L219" s="12" t="n">
        <v>18037.16</v>
      </c>
      <c r="M219" s="12" t="n">
        <f aca="false">L219-K219</f>
        <v>0.00999999999839929</v>
      </c>
      <c r="N219" s="3" t="s">
        <v>51</v>
      </c>
      <c r="O219" s="3" t="s">
        <v>52</v>
      </c>
    </row>
    <row r="220" customFormat="false" ht="15" hidden="false" customHeight="false" outlineLevel="0" collapsed="false">
      <c r="A220" s="14" t="s">
        <v>1391</v>
      </c>
      <c r="B220" s="14" t="s">
        <v>1732</v>
      </c>
      <c r="C220" s="14" t="s">
        <v>887</v>
      </c>
      <c r="D220" s="14" t="s">
        <v>842</v>
      </c>
      <c r="E220" s="14" t="s">
        <v>56</v>
      </c>
      <c r="F220" s="15" t="n">
        <v>700000</v>
      </c>
      <c r="G220" s="16" t="n">
        <v>0.65</v>
      </c>
      <c r="H220" s="16" t="n">
        <v>1.37</v>
      </c>
      <c r="I220" s="16" t="n">
        <v>0.9194</v>
      </c>
      <c r="J220" s="16" t="n">
        <v>0.53</v>
      </c>
      <c r="K220" s="15" t="n">
        <f aca="false">ROUND(F220/100*G220*H220*I220/J220,2)</f>
        <v>10813.36</v>
      </c>
      <c r="L220" s="15" t="n">
        <v>10813.36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1438</v>
      </c>
      <c r="B221" s="3" t="s">
        <v>1733</v>
      </c>
      <c r="C221" s="3" t="s">
        <v>48</v>
      </c>
      <c r="D221" s="3" t="s">
        <v>258</v>
      </c>
      <c r="E221" s="3" t="s">
        <v>56</v>
      </c>
      <c r="F221" s="12" t="n">
        <v>580000</v>
      </c>
      <c r="G221" s="13" t="n">
        <v>0.65</v>
      </c>
      <c r="H221" s="13" t="n">
        <v>1.28</v>
      </c>
      <c r="I221" s="13" t="n">
        <v>0.9194</v>
      </c>
      <c r="J221" s="13" t="n">
        <v>0.53</v>
      </c>
      <c r="K221" s="12" t="n">
        <f aca="false">ROUND(F221/100*G221*H221*I221/J221,2)</f>
        <v>8371.05</v>
      </c>
      <c r="L221" s="12" t="n">
        <v>8371.05</v>
      </c>
      <c r="M221" s="12" t="n">
        <f aca="false">L221-K221</f>
        <v>0</v>
      </c>
      <c r="N221" s="3" t="s">
        <v>51</v>
      </c>
      <c r="O221" s="3" t="s">
        <v>52</v>
      </c>
    </row>
    <row r="222" customFormat="false" ht="15" hidden="false" customHeight="false" outlineLevel="0" collapsed="false">
      <c r="A222" s="14" t="s">
        <v>1398</v>
      </c>
      <c r="B222" s="14" t="s">
        <v>1734</v>
      </c>
      <c r="C222" s="14" t="s">
        <v>243</v>
      </c>
      <c r="D222" s="14" t="s">
        <v>1735</v>
      </c>
      <c r="E222" s="14" t="s">
        <v>50</v>
      </c>
      <c r="F222" s="15" t="n">
        <v>1365000</v>
      </c>
      <c r="G222" s="16" t="n">
        <v>0.8</v>
      </c>
      <c r="H222" s="16" t="n">
        <v>1.14</v>
      </c>
      <c r="I222" s="16" t="n">
        <v>0.9194</v>
      </c>
      <c r="J222" s="16" t="n">
        <v>0.53</v>
      </c>
      <c r="K222" s="15" t="n">
        <f aca="false">ROUND(F222/100*G222*H222*I222/J222,2)</f>
        <v>21595.14</v>
      </c>
      <c r="L222" s="15" t="n">
        <v>21595.14</v>
      </c>
      <c r="M222" s="15" t="n">
        <f aca="false">L222-K222</f>
        <v>0</v>
      </c>
      <c r="N222" s="14" t="s">
        <v>61</v>
      </c>
      <c r="O222" s="14" t="s">
        <v>62</v>
      </c>
    </row>
    <row r="223" customFormat="false" ht="15" hidden="false" customHeight="false" outlineLevel="0" collapsed="false">
      <c r="A223" s="3" t="s">
        <v>1443</v>
      </c>
      <c r="B223" s="3" t="s">
        <v>1736</v>
      </c>
      <c r="C223" s="3" t="s">
        <v>184</v>
      </c>
      <c r="D223" s="3" t="s">
        <v>720</v>
      </c>
      <c r="E223" s="3" t="s">
        <v>50</v>
      </c>
      <c r="F223" s="12" t="n">
        <v>755000</v>
      </c>
      <c r="G223" s="13" t="n">
        <v>0.95</v>
      </c>
      <c r="H223" s="13" t="n">
        <v>1.02</v>
      </c>
      <c r="I223" s="13" t="n">
        <v>0.9194</v>
      </c>
      <c r="J223" s="13" t="n">
        <v>0.53</v>
      </c>
      <c r="K223" s="12" t="n">
        <f aca="false">ROUND(F223/100*G223*H223*I223/J223,2)</f>
        <v>12691.1</v>
      </c>
      <c r="L223" s="12" t="n">
        <v>12691.1</v>
      </c>
      <c r="M223" s="12" t="n">
        <f aca="false">L223-K223</f>
        <v>0</v>
      </c>
      <c r="N223" s="3" t="s">
        <v>51</v>
      </c>
      <c r="O223" s="3" t="s">
        <v>52</v>
      </c>
    </row>
    <row r="224" customFormat="false" ht="15" hidden="false" customHeight="false" outlineLevel="0" collapsed="false">
      <c r="A224" s="14" t="s">
        <v>1381</v>
      </c>
      <c r="B224" s="14" t="s">
        <v>1737</v>
      </c>
      <c r="C224" s="14" t="s">
        <v>159</v>
      </c>
      <c r="D224" s="14" t="s">
        <v>1612</v>
      </c>
      <c r="E224" s="14" t="s">
        <v>56</v>
      </c>
      <c r="F224" s="15" t="n">
        <v>145000</v>
      </c>
      <c r="G224" s="16" t="n">
        <v>0.92</v>
      </c>
      <c r="H224" s="16" t="n">
        <v>1.15</v>
      </c>
      <c r="I224" s="16" t="n">
        <v>0.9194</v>
      </c>
      <c r="J224" s="16" t="n">
        <v>0.53</v>
      </c>
      <c r="K224" s="15" t="n">
        <f aca="false">ROUND(F224/100*G224*H224*I224/J224,2)</f>
        <v>2661.23</v>
      </c>
      <c r="L224" s="15" t="n">
        <v>2661.23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1393</v>
      </c>
      <c r="B225" s="3" t="s">
        <v>1738</v>
      </c>
      <c r="C225" s="3" t="s">
        <v>295</v>
      </c>
      <c r="D225" s="3" t="s">
        <v>1739</v>
      </c>
      <c r="E225" s="3" t="s">
        <v>74</v>
      </c>
      <c r="F225" s="12" t="n">
        <v>1185000</v>
      </c>
      <c r="G225" s="13" t="n">
        <v>0.38</v>
      </c>
      <c r="H225" s="13" t="n">
        <v>1.2</v>
      </c>
      <c r="I225" s="13" t="n">
        <v>0.9194</v>
      </c>
      <c r="J225" s="13" t="n">
        <v>0.53</v>
      </c>
      <c r="K225" s="12" t="n">
        <f aca="false">ROUND(F225/100*G225*H225*I225/J225,2)</f>
        <v>9373.72</v>
      </c>
      <c r="L225" s="12" t="n">
        <v>9373.72</v>
      </c>
      <c r="M225" s="12" t="n">
        <f aca="false">L225-K225</f>
        <v>0</v>
      </c>
      <c r="N225" s="3" t="s">
        <v>61</v>
      </c>
      <c r="O225" s="3" t="s">
        <v>62</v>
      </c>
    </row>
    <row r="226" customFormat="false" ht="15" hidden="false" customHeight="false" outlineLevel="0" collapsed="false">
      <c r="A226" s="14" t="s">
        <v>1410</v>
      </c>
      <c r="B226" s="14" t="s">
        <v>1740</v>
      </c>
      <c r="C226" s="14" t="s">
        <v>114</v>
      </c>
      <c r="D226" s="14" t="s">
        <v>373</v>
      </c>
      <c r="E226" s="14" t="s">
        <v>56</v>
      </c>
      <c r="F226" s="15" t="n">
        <v>1455000</v>
      </c>
      <c r="G226" s="16" t="n">
        <v>0.55</v>
      </c>
      <c r="H226" s="16" t="n">
        <v>1.36</v>
      </c>
      <c r="I226" s="16" t="n">
        <v>0.9194</v>
      </c>
      <c r="J226" s="16" t="n">
        <v>0.53</v>
      </c>
      <c r="K226" s="15" t="n">
        <f aca="false">ROUND(F226/100*G226*H226*I226/J226,2)</f>
        <v>18879.62</v>
      </c>
      <c r="L226" s="15" t="n">
        <v>18879.62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1455</v>
      </c>
      <c r="B227" s="3" t="s">
        <v>1741</v>
      </c>
      <c r="C227" s="3" t="s">
        <v>89</v>
      </c>
      <c r="D227" s="3" t="s">
        <v>814</v>
      </c>
      <c r="E227" s="3" t="s">
        <v>56</v>
      </c>
      <c r="F227" s="12" t="n">
        <v>200000</v>
      </c>
      <c r="G227" s="13" t="n">
        <v>0.92</v>
      </c>
      <c r="H227" s="13" t="n">
        <v>1.35</v>
      </c>
      <c r="I227" s="13" t="n">
        <v>0.9194</v>
      </c>
      <c r="J227" s="13" t="n">
        <v>0.53</v>
      </c>
      <c r="K227" s="12" t="n">
        <f aca="false">ROUND(F227/100*G227*H227*I227/J227,2)</f>
        <v>4309.04</v>
      </c>
      <c r="L227" s="12" t="n">
        <v>4309.03</v>
      </c>
      <c r="M227" s="12" t="n">
        <f aca="false">L227-K227</f>
        <v>-0.0100000000002183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1402</v>
      </c>
      <c r="B228" s="14" t="s">
        <v>1742</v>
      </c>
      <c r="C228" s="14" t="s">
        <v>159</v>
      </c>
      <c r="D228" s="14" t="s">
        <v>1743</v>
      </c>
      <c r="E228" s="14" t="s">
        <v>56</v>
      </c>
      <c r="F228" s="15" t="n">
        <v>380000</v>
      </c>
      <c r="G228" s="16" t="n">
        <v>0.75</v>
      </c>
      <c r="H228" s="16" t="n">
        <v>1.15</v>
      </c>
      <c r="I228" s="16" t="n">
        <v>0.9194</v>
      </c>
      <c r="J228" s="16" t="n">
        <v>0.53</v>
      </c>
      <c r="K228" s="15" t="n">
        <f aca="false">ROUND(F228/100*G228*H228*I228/J228,2)</f>
        <v>5685.53</v>
      </c>
      <c r="L228" s="15" t="n">
        <v>5685.53</v>
      </c>
      <c r="M228" s="15" t="n">
        <f aca="false">L228-K228</f>
        <v>0</v>
      </c>
      <c r="N228" s="14" t="s">
        <v>51</v>
      </c>
      <c r="O228" s="14" t="s">
        <v>52</v>
      </c>
    </row>
    <row r="229" customFormat="false" ht="15" hidden="false" customHeight="false" outlineLevel="0" collapsed="false">
      <c r="A229" s="3" t="s">
        <v>1429</v>
      </c>
      <c r="B229" s="3" t="s">
        <v>1744</v>
      </c>
      <c r="C229" s="3" t="s">
        <v>311</v>
      </c>
      <c r="D229" s="3" t="s">
        <v>1434</v>
      </c>
      <c r="E229" s="3" t="s">
        <v>56</v>
      </c>
      <c r="F229" s="12" t="n">
        <v>585000</v>
      </c>
      <c r="G229" s="13" t="n">
        <v>0.65</v>
      </c>
      <c r="H229" s="13" t="n">
        <v>1.06</v>
      </c>
      <c r="I229" s="13" t="n">
        <v>0.9194</v>
      </c>
      <c r="J229" s="13" t="n">
        <v>0.53</v>
      </c>
      <c r="K229" s="12" t="n">
        <f aca="false">ROUND(F229/100*G229*H229*I229/J229,2)</f>
        <v>6992.04</v>
      </c>
      <c r="L229" s="12" t="n">
        <v>6992.04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1395</v>
      </c>
      <c r="B230" s="14" t="s">
        <v>1745</v>
      </c>
      <c r="C230" s="14" t="s">
        <v>224</v>
      </c>
      <c r="D230" s="14" t="s">
        <v>802</v>
      </c>
      <c r="E230" s="14" t="s">
        <v>56</v>
      </c>
      <c r="F230" s="15" t="n">
        <v>700000</v>
      </c>
      <c r="G230" s="16" t="n">
        <v>0.65</v>
      </c>
      <c r="H230" s="16" t="n">
        <v>1.1</v>
      </c>
      <c r="I230" s="16" t="n">
        <v>0.9194</v>
      </c>
      <c r="J230" s="16" t="n">
        <v>0.53</v>
      </c>
      <c r="K230" s="15" t="n">
        <f aca="false">ROUND(F230/100*G230*H230*I230/J230,2)</f>
        <v>8682.26</v>
      </c>
      <c r="L230" s="15" t="n">
        <v>8682.26</v>
      </c>
      <c r="M230" s="15" t="n">
        <f aca="false">L230-K230</f>
        <v>0</v>
      </c>
      <c r="N230" s="14" t="s">
        <v>61</v>
      </c>
      <c r="O230" s="14" t="s">
        <v>62</v>
      </c>
    </row>
    <row r="231" customFormat="false" ht="15" hidden="false" customHeight="false" outlineLevel="0" collapsed="false">
      <c r="A231" s="3" t="s">
        <v>1438</v>
      </c>
      <c r="B231" s="3" t="s">
        <v>1746</v>
      </c>
      <c r="C231" s="3" t="s">
        <v>159</v>
      </c>
      <c r="D231" s="3" t="s">
        <v>1747</v>
      </c>
      <c r="E231" s="3" t="s">
        <v>74</v>
      </c>
      <c r="F231" s="12" t="n">
        <v>760000</v>
      </c>
      <c r="G231" s="13" t="n">
        <v>0.43</v>
      </c>
      <c r="H231" s="13" t="n">
        <v>1.15</v>
      </c>
      <c r="I231" s="13" t="n">
        <v>0.9194</v>
      </c>
      <c r="J231" s="13" t="n">
        <v>0.53</v>
      </c>
      <c r="K231" s="12" t="n">
        <f aca="false">ROUND(F231/100*G231*H231*I231/J231,2)</f>
        <v>6519.41</v>
      </c>
      <c r="L231" s="12" t="n">
        <v>6519.41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1393</v>
      </c>
      <c r="B232" s="14" t="s">
        <v>1748</v>
      </c>
      <c r="C232" s="14" t="s">
        <v>169</v>
      </c>
      <c r="D232" s="14" t="s">
        <v>55</v>
      </c>
      <c r="E232" s="14" t="s">
        <v>56</v>
      </c>
      <c r="F232" s="15" t="n">
        <v>505000</v>
      </c>
      <c r="G232" s="16" t="n">
        <v>0.65</v>
      </c>
      <c r="H232" s="16" t="n">
        <v>1.07</v>
      </c>
      <c r="I232" s="16" t="n">
        <v>0.9194</v>
      </c>
      <c r="J232" s="16" t="n">
        <v>0.53</v>
      </c>
      <c r="K232" s="15" t="n">
        <f aca="false">ROUND(F232/100*G232*H232*I232/J232,2)</f>
        <v>6092.8</v>
      </c>
      <c r="L232" s="15" t="n">
        <v>6092.8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1402</v>
      </c>
      <c r="B233" s="3" t="s">
        <v>1749</v>
      </c>
      <c r="C233" s="3" t="s">
        <v>295</v>
      </c>
      <c r="D233" s="3" t="s">
        <v>115</v>
      </c>
      <c r="E233" s="3" t="s">
        <v>56</v>
      </c>
      <c r="F233" s="12" t="n">
        <v>505000</v>
      </c>
      <c r="G233" s="13" t="n">
        <v>0.65</v>
      </c>
      <c r="H233" s="13" t="n">
        <v>1.2</v>
      </c>
      <c r="I233" s="13" t="n">
        <v>0.9194</v>
      </c>
      <c r="J233" s="13" t="n">
        <v>0.53</v>
      </c>
      <c r="K233" s="12" t="n">
        <f aca="false">ROUND(F233/100*G233*H233*I233/J233,2)</f>
        <v>6833.05</v>
      </c>
      <c r="L233" s="12" t="n">
        <v>6833.05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1389</v>
      </c>
      <c r="B234" s="14" t="s">
        <v>1750</v>
      </c>
      <c r="C234" s="14" t="s">
        <v>77</v>
      </c>
      <c r="D234" s="14" t="s">
        <v>419</v>
      </c>
      <c r="E234" s="14" t="s">
        <v>56</v>
      </c>
      <c r="F234" s="15" t="n">
        <v>690000</v>
      </c>
      <c r="G234" s="16" t="n">
        <v>0.65</v>
      </c>
      <c r="H234" s="16" t="n">
        <v>1.42</v>
      </c>
      <c r="I234" s="16" t="n">
        <v>0.9194</v>
      </c>
      <c r="J234" s="16" t="n">
        <v>0.53</v>
      </c>
      <c r="K234" s="15" t="n">
        <f aca="false">ROUND(F234/100*G234*H234*I234/J234,2)</f>
        <v>11047.89</v>
      </c>
      <c r="L234" s="15" t="n">
        <v>11047.9</v>
      </c>
      <c r="M234" s="15" t="n">
        <f aca="false">L234-K234</f>
        <v>0.0100000000002183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1420</v>
      </c>
      <c r="B235" s="3" t="s">
        <v>1751</v>
      </c>
      <c r="C235" s="3" t="s">
        <v>152</v>
      </c>
      <c r="D235" s="3" t="s">
        <v>566</v>
      </c>
      <c r="E235" s="3" t="s">
        <v>56</v>
      </c>
      <c r="F235" s="12" t="n">
        <v>315000</v>
      </c>
      <c r="G235" s="13" t="n">
        <v>0.75</v>
      </c>
      <c r="H235" s="13" t="n">
        <v>1</v>
      </c>
      <c r="I235" s="13" t="n">
        <v>0.9194</v>
      </c>
      <c r="J235" s="13" t="n">
        <v>0.53</v>
      </c>
      <c r="K235" s="12" t="n">
        <f aca="false">ROUND(F235/100*G235*H235*I235/J235,2)</f>
        <v>4098.27</v>
      </c>
      <c r="L235" s="12" t="n">
        <v>4098.27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1420</v>
      </c>
      <c r="B236" s="14" t="s">
        <v>1752</v>
      </c>
      <c r="C236" s="14" t="s">
        <v>159</v>
      </c>
      <c r="D236" s="14" t="s">
        <v>895</v>
      </c>
      <c r="E236" s="14" t="s">
        <v>56</v>
      </c>
      <c r="F236" s="15" t="n">
        <v>770000</v>
      </c>
      <c r="G236" s="16" t="n">
        <v>0.65</v>
      </c>
      <c r="H236" s="16" t="n">
        <v>1.15</v>
      </c>
      <c r="I236" s="16" t="n">
        <v>0.9194</v>
      </c>
      <c r="J236" s="16" t="n">
        <v>0.53</v>
      </c>
      <c r="K236" s="15" t="n">
        <f aca="false">ROUND(F236/100*G236*H236*I236/J236,2)</f>
        <v>9984.6</v>
      </c>
      <c r="L236" s="15" t="n">
        <v>9984.6</v>
      </c>
      <c r="M236" s="15" t="n">
        <f aca="false">L236-K236</f>
        <v>0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1395</v>
      </c>
      <c r="B237" s="3" t="s">
        <v>1753</v>
      </c>
      <c r="C237" s="3" t="s">
        <v>326</v>
      </c>
      <c r="D237" s="3" t="s">
        <v>1754</v>
      </c>
      <c r="E237" s="3" t="s">
        <v>56</v>
      </c>
      <c r="F237" s="12" t="n">
        <v>575000</v>
      </c>
      <c r="G237" s="13" t="n">
        <v>0.65</v>
      </c>
      <c r="H237" s="13" t="n">
        <v>1.12</v>
      </c>
      <c r="I237" s="13" t="n">
        <v>0.9194</v>
      </c>
      <c r="J237" s="13" t="n">
        <v>0.53</v>
      </c>
      <c r="K237" s="12" t="n">
        <f aca="false">ROUND(F237/100*G237*H237*I237/J237,2)</f>
        <v>7261.53</v>
      </c>
      <c r="L237" s="12" t="n">
        <v>7261.52</v>
      </c>
      <c r="M237" s="12" t="n">
        <f aca="false">L237-K237</f>
        <v>-0.00999999999930878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1455</v>
      </c>
      <c r="B238" s="14" t="s">
        <v>1755</v>
      </c>
      <c r="C238" s="14" t="s">
        <v>152</v>
      </c>
      <c r="D238" s="14" t="s">
        <v>1417</v>
      </c>
      <c r="E238" s="14" t="s">
        <v>56</v>
      </c>
      <c r="F238" s="15" t="n">
        <v>780000</v>
      </c>
      <c r="G238" s="16" t="n">
        <v>0.65</v>
      </c>
      <c r="H238" s="16" t="n">
        <v>1</v>
      </c>
      <c r="I238" s="16" t="n">
        <v>0.9194</v>
      </c>
      <c r="J238" s="16" t="n">
        <v>0.53</v>
      </c>
      <c r="K238" s="15" t="n">
        <f aca="false">ROUND(F238/100*G238*H238*I238/J238,2)</f>
        <v>8795.02</v>
      </c>
      <c r="L238" s="15" t="n">
        <v>8795.02</v>
      </c>
      <c r="M238" s="15" t="n">
        <f aca="false">L238-K238</f>
        <v>0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1400</v>
      </c>
      <c r="B239" s="3" t="s">
        <v>1756</v>
      </c>
      <c r="C239" s="3" t="s">
        <v>409</v>
      </c>
      <c r="D239" s="3" t="s">
        <v>1068</v>
      </c>
      <c r="E239" s="3" t="s">
        <v>56</v>
      </c>
      <c r="F239" s="12" t="n">
        <v>250000</v>
      </c>
      <c r="G239" s="13" t="n">
        <v>0.75</v>
      </c>
      <c r="H239" s="13" t="n">
        <v>1.3</v>
      </c>
      <c r="I239" s="13" t="n">
        <v>0.9194</v>
      </c>
      <c r="J239" s="13" t="n">
        <v>0.53</v>
      </c>
      <c r="K239" s="12" t="n">
        <f aca="false">ROUND(F239/100*G239*H239*I239/J239,2)</f>
        <v>4228.37</v>
      </c>
      <c r="L239" s="12" t="n">
        <v>4228.38</v>
      </c>
      <c r="M239" s="12" t="n">
        <f aca="false">L239-K239</f>
        <v>0.0100000000002183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1499</v>
      </c>
      <c r="B240" s="14" t="s">
        <v>1757</v>
      </c>
      <c r="C240" s="14" t="s">
        <v>159</v>
      </c>
      <c r="D240" s="14" t="s">
        <v>373</v>
      </c>
      <c r="E240" s="14" t="s">
        <v>56</v>
      </c>
      <c r="F240" s="15" t="n">
        <v>885000</v>
      </c>
      <c r="G240" s="16" t="n">
        <v>0.65</v>
      </c>
      <c r="H240" s="16" t="n">
        <v>1.15</v>
      </c>
      <c r="I240" s="16" t="n">
        <v>0.9194</v>
      </c>
      <c r="J240" s="16" t="n">
        <v>0.53</v>
      </c>
      <c r="K240" s="15" t="n">
        <f aca="false">ROUND(F240/100*G240*H240*I240/J240,2)</f>
        <v>11475.8</v>
      </c>
      <c r="L240" s="15" t="n">
        <v>11475.8</v>
      </c>
      <c r="M240" s="15" t="n">
        <f aca="false">L240-K240</f>
        <v>0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1418</v>
      </c>
      <c r="B241" s="3" t="s">
        <v>1758</v>
      </c>
      <c r="C241" s="3" t="s">
        <v>77</v>
      </c>
      <c r="D241" s="3" t="s">
        <v>1759</v>
      </c>
      <c r="E241" s="3" t="s">
        <v>157</v>
      </c>
      <c r="F241" s="12" t="n">
        <v>130000</v>
      </c>
      <c r="G241" s="13" t="n">
        <v>1.05</v>
      </c>
      <c r="H241" s="13" t="n">
        <v>1.42</v>
      </c>
      <c r="I241" s="13" t="n">
        <v>0.9194</v>
      </c>
      <c r="J241" s="13" t="n">
        <v>0.53</v>
      </c>
      <c r="K241" s="12" t="n">
        <f aca="false">ROUND(F241/100*G241*H241*I241/J241,2)</f>
        <v>3362.4</v>
      </c>
      <c r="L241" s="12" t="n">
        <v>3362.4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1404</v>
      </c>
      <c r="B242" s="14" t="s">
        <v>1760</v>
      </c>
      <c r="C242" s="14" t="s">
        <v>152</v>
      </c>
      <c r="D242" s="14" t="s">
        <v>348</v>
      </c>
      <c r="E242" s="14" t="s">
        <v>50</v>
      </c>
      <c r="F242" s="15" t="n">
        <v>1780000</v>
      </c>
      <c r="G242" s="16" t="n">
        <v>0.8</v>
      </c>
      <c r="H242" s="16" t="n">
        <v>1</v>
      </c>
      <c r="I242" s="16" t="n">
        <v>0.9194</v>
      </c>
      <c r="J242" s="16" t="n">
        <v>0.53</v>
      </c>
      <c r="K242" s="15" t="n">
        <f aca="false">ROUND(F242/100*G242*H242*I242/J242,2)</f>
        <v>24702.37</v>
      </c>
      <c r="L242" s="15" t="n">
        <v>24702.37</v>
      </c>
      <c r="M242" s="15" t="n">
        <f aca="false">L242-K242</f>
        <v>0</v>
      </c>
      <c r="N242" s="14" t="s">
        <v>61</v>
      </c>
      <c r="O242" s="14" t="s">
        <v>62</v>
      </c>
    </row>
    <row r="243" customFormat="false" ht="15" hidden="false" customHeight="false" outlineLevel="0" collapsed="false">
      <c r="A243" s="3" t="s">
        <v>1450</v>
      </c>
      <c r="B243" s="3" t="s">
        <v>1761</v>
      </c>
      <c r="C243" s="3" t="s">
        <v>59</v>
      </c>
      <c r="D243" s="3" t="s">
        <v>1762</v>
      </c>
      <c r="E243" s="3" t="s">
        <v>50</v>
      </c>
      <c r="F243" s="12" t="n">
        <v>475000</v>
      </c>
      <c r="G243" s="13" t="n">
        <v>1.15</v>
      </c>
      <c r="H243" s="13" t="n">
        <v>0.97</v>
      </c>
      <c r="I243" s="13" t="n">
        <v>0.9194</v>
      </c>
      <c r="J243" s="13" t="n">
        <v>0.53</v>
      </c>
      <c r="K243" s="12" t="n">
        <f aca="false">ROUND(F243/100*G243*H243*I243/J243,2)</f>
        <v>9191.61</v>
      </c>
      <c r="L243" s="12" t="n">
        <v>9191.62</v>
      </c>
      <c r="M243" s="12" t="n">
        <f aca="false">L243-K243</f>
        <v>0.0100000000002183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1443</v>
      </c>
      <c r="B244" s="14" t="s">
        <v>1763</v>
      </c>
      <c r="C244" s="14" t="s">
        <v>220</v>
      </c>
      <c r="D244" s="14" t="s">
        <v>1764</v>
      </c>
      <c r="E244" s="14" t="s">
        <v>74</v>
      </c>
      <c r="F244" s="15" t="n">
        <v>600000</v>
      </c>
      <c r="G244" s="16" t="n">
        <v>0.43</v>
      </c>
      <c r="H244" s="16" t="n">
        <v>1.01</v>
      </c>
      <c r="I244" s="16" t="n">
        <v>0.9194</v>
      </c>
      <c r="J244" s="16" t="n">
        <v>0.53</v>
      </c>
      <c r="K244" s="15" t="n">
        <f aca="false">ROUND(F244/100*G244*H244*I244/J244,2)</f>
        <v>4520.33</v>
      </c>
      <c r="L244" s="15" t="n">
        <v>4520.32</v>
      </c>
      <c r="M244" s="15" t="n">
        <f aca="false">L244-K244</f>
        <v>-0.0100000000002183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1455</v>
      </c>
      <c r="B245" s="3" t="s">
        <v>1765</v>
      </c>
      <c r="C245" s="3" t="s">
        <v>152</v>
      </c>
      <c r="D245" s="3" t="s">
        <v>1766</v>
      </c>
      <c r="E245" s="3" t="s">
        <v>56</v>
      </c>
      <c r="F245" s="12" t="n">
        <v>340000</v>
      </c>
      <c r="G245" s="13" t="n">
        <v>0.75</v>
      </c>
      <c r="H245" s="13" t="n">
        <v>1</v>
      </c>
      <c r="I245" s="13" t="n">
        <v>0.9194</v>
      </c>
      <c r="J245" s="13" t="n">
        <v>0.53</v>
      </c>
      <c r="K245" s="12" t="n">
        <f aca="false">ROUND(F245/100*G245*H245*I245/J245,2)</f>
        <v>4423.53</v>
      </c>
      <c r="L245" s="12" t="n">
        <v>4423.53</v>
      </c>
      <c r="M245" s="12" t="n">
        <f aca="false">L245-K245</f>
        <v>0</v>
      </c>
      <c r="N245" s="3" t="s">
        <v>51</v>
      </c>
      <c r="O245" s="3" t="s">
        <v>52</v>
      </c>
    </row>
    <row r="246" customFormat="false" ht="15" hidden="false" customHeight="false" outlineLevel="0" collapsed="false">
      <c r="A246" s="14" t="s">
        <v>1378</v>
      </c>
      <c r="B246" s="14" t="s">
        <v>1767</v>
      </c>
      <c r="C246" s="14" t="s">
        <v>210</v>
      </c>
      <c r="D246" s="14" t="s">
        <v>1573</v>
      </c>
      <c r="E246" s="14" t="s">
        <v>56</v>
      </c>
      <c r="F246" s="15" t="n">
        <v>1280000</v>
      </c>
      <c r="G246" s="16" t="n">
        <v>0.55</v>
      </c>
      <c r="H246" s="16" t="n">
        <v>1.21</v>
      </c>
      <c r="I246" s="16" t="n">
        <v>0.9194</v>
      </c>
      <c r="J246" s="16" t="n">
        <v>0.53</v>
      </c>
      <c r="K246" s="15" t="n">
        <f aca="false">ROUND(F246/100*G246*H246*I246/J246,2)</f>
        <v>14777.01</v>
      </c>
      <c r="L246" s="15" t="n">
        <v>14777.01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1410</v>
      </c>
      <c r="B247" s="3" t="s">
        <v>1768</v>
      </c>
      <c r="C247" s="3" t="s">
        <v>159</v>
      </c>
      <c r="D247" s="3" t="s">
        <v>1769</v>
      </c>
      <c r="E247" s="3" t="s">
        <v>56</v>
      </c>
      <c r="F247" s="12" t="n">
        <v>320000</v>
      </c>
      <c r="G247" s="13" t="n">
        <v>0.75</v>
      </c>
      <c r="H247" s="13" t="n">
        <v>1.15</v>
      </c>
      <c r="I247" s="13" t="n">
        <v>0.9194</v>
      </c>
      <c r="J247" s="13" t="n">
        <v>0.53</v>
      </c>
      <c r="K247" s="12" t="n">
        <f aca="false">ROUND(F247/100*G247*H247*I247/J247,2)</f>
        <v>4787.82</v>
      </c>
      <c r="L247" s="12" t="n">
        <v>4787.82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1438</v>
      </c>
      <c r="B248" s="14" t="s">
        <v>1770</v>
      </c>
      <c r="C248" s="14" t="s">
        <v>93</v>
      </c>
      <c r="D248" s="14" t="s">
        <v>1771</v>
      </c>
      <c r="E248" s="14" t="s">
        <v>56</v>
      </c>
      <c r="F248" s="15" t="n">
        <v>565000</v>
      </c>
      <c r="G248" s="16" t="n">
        <v>0.65</v>
      </c>
      <c r="H248" s="16" t="n">
        <v>1.39</v>
      </c>
      <c r="I248" s="16" t="n">
        <v>0.9194</v>
      </c>
      <c r="J248" s="16" t="n">
        <v>0.53</v>
      </c>
      <c r="K248" s="15" t="n">
        <f aca="false">ROUND(F248/100*G248*H248*I248/J248,2)</f>
        <v>8855.34</v>
      </c>
      <c r="L248" s="15" t="n">
        <v>8855.34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1381</v>
      </c>
      <c r="B249" s="3" t="s">
        <v>1772</v>
      </c>
      <c r="C249" s="3" t="s">
        <v>188</v>
      </c>
      <c r="D249" s="3" t="s">
        <v>1773</v>
      </c>
      <c r="E249" s="3" t="s">
        <v>56</v>
      </c>
      <c r="F249" s="12" t="n">
        <v>950000</v>
      </c>
      <c r="G249" s="13" t="n">
        <v>0.65</v>
      </c>
      <c r="H249" s="13" t="n">
        <v>1.35</v>
      </c>
      <c r="I249" s="13" t="n">
        <v>0.9194</v>
      </c>
      <c r="J249" s="13" t="n">
        <v>0.53</v>
      </c>
      <c r="K249" s="12" t="n">
        <f aca="false">ROUND(F249/100*G249*H249*I249/J249,2)</f>
        <v>14461.03</v>
      </c>
      <c r="L249" s="12" t="n">
        <v>14461.03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1499</v>
      </c>
      <c r="B250" s="14" t="s">
        <v>1774</v>
      </c>
      <c r="C250" s="14" t="s">
        <v>68</v>
      </c>
      <c r="D250" s="14" t="s">
        <v>757</v>
      </c>
      <c r="E250" s="14" t="s">
        <v>56</v>
      </c>
      <c r="F250" s="15" t="n">
        <v>725000</v>
      </c>
      <c r="G250" s="16" t="n">
        <v>0.65</v>
      </c>
      <c r="H250" s="16" t="n">
        <v>1.38</v>
      </c>
      <c r="I250" s="16" t="n">
        <v>0.9194</v>
      </c>
      <c r="J250" s="16" t="n">
        <v>0.53</v>
      </c>
      <c r="K250" s="15" t="n">
        <f aca="false">ROUND(F250/100*G250*H250*I250/J250,2)</f>
        <v>11281.3</v>
      </c>
      <c r="L250" s="15" t="n">
        <v>11281.3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1415</v>
      </c>
      <c r="B251" s="3" t="s">
        <v>1775</v>
      </c>
      <c r="C251" s="3" t="s">
        <v>89</v>
      </c>
      <c r="D251" s="3" t="s">
        <v>283</v>
      </c>
      <c r="E251" s="3" t="s">
        <v>56</v>
      </c>
      <c r="F251" s="12" t="n">
        <v>495000</v>
      </c>
      <c r="G251" s="13" t="n">
        <v>0.75</v>
      </c>
      <c r="H251" s="13" t="n">
        <v>1.35</v>
      </c>
      <c r="I251" s="13" t="n">
        <v>0.9194</v>
      </c>
      <c r="J251" s="13" t="n">
        <v>0.53</v>
      </c>
      <c r="K251" s="12" t="n">
        <f aca="false">ROUND(F251/100*G251*H251*I251/J251,2)</f>
        <v>8694.18</v>
      </c>
      <c r="L251" s="12" t="n">
        <v>8694.19</v>
      </c>
      <c r="M251" s="12" t="n">
        <f aca="false">L251-K251</f>
        <v>0.0100000000002183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1423</v>
      </c>
      <c r="B252" s="14" t="s">
        <v>1776</v>
      </c>
      <c r="C252" s="14" t="s">
        <v>435</v>
      </c>
      <c r="D252" s="14" t="s">
        <v>1777</v>
      </c>
      <c r="E252" s="14" t="s">
        <v>50</v>
      </c>
      <c r="F252" s="15" t="n">
        <v>535000</v>
      </c>
      <c r="G252" s="16" t="n">
        <v>0.95</v>
      </c>
      <c r="H252" s="16" t="n">
        <v>1.13</v>
      </c>
      <c r="I252" s="16" t="n">
        <v>0.9194</v>
      </c>
      <c r="J252" s="16" t="n">
        <v>0.53</v>
      </c>
      <c r="K252" s="15" t="n">
        <f aca="false">ROUND(F252/100*G252*H252*I252/J252,2)</f>
        <v>9962.87</v>
      </c>
      <c r="L252" s="15" t="n">
        <v>9962.87</v>
      </c>
      <c r="M252" s="15" t="n">
        <f aca="false">L252-K252</f>
        <v>0</v>
      </c>
      <c r="N252" s="14" t="s">
        <v>61</v>
      </c>
      <c r="O252" s="14" t="s">
        <v>62</v>
      </c>
    </row>
    <row r="254" customFormat="false" ht="15" hidden="false" customHeight="false" outlineLevel="0" collapsed="false">
      <c r="A254" s="10" t="s">
        <v>551</v>
      </c>
      <c r="C254" s="17" t="n">
        <f aca="false">COUNTA(B5:B252)</f>
        <v>248</v>
      </c>
    </row>
    <row r="255" customFormat="false" ht="15" hidden="false" customHeight="false" outlineLevel="0" collapsed="false">
      <c r="A255" s="10" t="s">
        <v>552</v>
      </c>
      <c r="C255" s="17" t="n">
        <f aca="false">COUNTIF(O5:O252,"bound")</f>
        <v>183</v>
      </c>
    </row>
    <row r="256" customFormat="false" ht="15" hidden="false" customHeight="false" outlineLevel="0" collapsed="false">
      <c r="A256" s="10" t="s">
        <v>553</v>
      </c>
      <c r="C256" s="18" t="n">
        <f aca="false">AVERAGE(L5:L252)</f>
        <v>10034.2127822581</v>
      </c>
    </row>
    <row r="257" customFormat="false" ht="15" hidden="false" customHeight="false" outlineLevel="0" collapsed="false">
      <c r="A257" s="10" t="s">
        <v>554</v>
      </c>
      <c r="C257" s="18" t="n">
        <f aca="false">AVERAGEIF(O5:O252,"bound",L5:L252)</f>
        <v>10001.3413661202</v>
      </c>
    </row>
    <row r="258" customFormat="false" ht="15" hidden="false" customHeight="false" outlineLevel="0" collapsed="false">
      <c r="A258" s="10" t="s">
        <v>555</v>
      </c>
      <c r="C258" s="18" t="n">
        <f aca="false">SUMIF(O5:O252,"bound",L5:L252)</f>
        <v>1830245.47</v>
      </c>
    </row>
    <row r="259" customFormat="false" ht="15" hidden="false" customHeight="false" outlineLevel="0" collapsed="false">
      <c r="A259" s="10" t="s">
        <v>556</v>
      </c>
      <c r="C259" s="19" t="n">
        <v>0.9194</v>
      </c>
    </row>
  </sheetData>
  <autoFilter ref="A4:O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1778</v>
      </c>
    </row>
    <row r="2" customFormat="false" ht="15" hidden="false" customHeight="false" outlineLevel="0" collapsed="false">
      <c r="A2" s="4" t="s">
        <v>1779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1780</v>
      </c>
      <c r="B5" s="3" t="s">
        <v>1781</v>
      </c>
      <c r="C5" s="3" t="s">
        <v>230</v>
      </c>
      <c r="D5" s="3" t="s">
        <v>1766</v>
      </c>
      <c r="E5" s="3" t="s">
        <v>56</v>
      </c>
      <c r="F5" s="12" t="n">
        <v>720000</v>
      </c>
      <c r="G5" s="13" t="n">
        <v>0.65</v>
      </c>
      <c r="H5" s="13" t="n">
        <v>1.09</v>
      </c>
      <c r="I5" s="13" t="n">
        <v>0.9167</v>
      </c>
      <c r="J5" s="13" t="n">
        <v>0.53</v>
      </c>
      <c r="K5" s="12" t="n">
        <f aca="false">ROUND(F5/100*G5*H5*I5/J5,2)</f>
        <v>8823.15</v>
      </c>
      <c r="L5" s="12" t="n">
        <v>8823.15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1782</v>
      </c>
      <c r="B6" s="14" t="s">
        <v>1783</v>
      </c>
      <c r="C6" s="14" t="s">
        <v>237</v>
      </c>
      <c r="D6" s="14" t="s">
        <v>900</v>
      </c>
      <c r="E6" s="14" t="s">
        <v>56</v>
      </c>
      <c r="F6" s="15" t="n">
        <v>370000</v>
      </c>
      <c r="G6" s="16" t="n">
        <v>0.75</v>
      </c>
      <c r="H6" s="16" t="n">
        <v>1.33</v>
      </c>
      <c r="I6" s="16" t="n">
        <v>0.9167</v>
      </c>
      <c r="J6" s="16" t="n">
        <v>0.53</v>
      </c>
      <c r="K6" s="15" t="n">
        <f aca="false">ROUND(F6/100*G6*H6*I6/J6,2)</f>
        <v>6383.6</v>
      </c>
      <c r="L6" s="15" t="n">
        <v>6383.61</v>
      </c>
      <c r="M6" s="15" t="n">
        <f aca="false">L6-K6</f>
        <v>0.00999999999930878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1784</v>
      </c>
      <c r="B7" s="3" t="s">
        <v>1785</v>
      </c>
      <c r="C7" s="3" t="s">
        <v>188</v>
      </c>
      <c r="D7" s="3" t="s">
        <v>1786</v>
      </c>
      <c r="E7" s="3" t="s">
        <v>56</v>
      </c>
      <c r="F7" s="12" t="n">
        <v>465000</v>
      </c>
      <c r="G7" s="13" t="n">
        <v>0.75</v>
      </c>
      <c r="H7" s="13" t="n">
        <v>1.35</v>
      </c>
      <c r="I7" s="13" t="n">
        <v>0.9167</v>
      </c>
      <c r="J7" s="13" t="n">
        <v>0.53</v>
      </c>
      <c r="K7" s="12" t="n">
        <f aca="false">ROUND(F7/100*G7*H7*I7/J7,2)</f>
        <v>8143.28</v>
      </c>
      <c r="L7" s="12" t="n">
        <v>8143.28</v>
      </c>
      <c r="M7" s="12" t="n">
        <f aca="false">L7-K7</f>
        <v>0</v>
      </c>
      <c r="N7" s="3" t="s">
        <v>70</v>
      </c>
      <c r="O7" s="3" t="s">
        <v>52</v>
      </c>
    </row>
    <row r="8" customFormat="false" ht="15" hidden="false" customHeight="false" outlineLevel="0" collapsed="false">
      <c r="A8" s="14" t="s">
        <v>1787</v>
      </c>
      <c r="B8" s="14" t="s">
        <v>1788</v>
      </c>
      <c r="C8" s="14" t="s">
        <v>81</v>
      </c>
      <c r="D8" s="14" t="s">
        <v>208</v>
      </c>
      <c r="E8" s="14" t="s">
        <v>56</v>
      </c>
      <c r="F8" s="15" t="n">
        <v>385000</v>
      </c>
      <c r="G8" s="16" t="n">
        <v>0.75</v>
      </c>
      <c r="H8" s="16" t="n">
        <v>1.27</v>
      </c>
      <c r="I8" s="16" t="n">
        <v>0.9167</v>
      </c>
      <c r="J8" s="16" t="n">
        <v>0.53</v>
      </c>
      <c r="K8" s="15" t="n">
        <f aca="false">ROUND(F8/100*G8*H8*I8/J8,2)</f>
        <v>6342.74</v>
      </c>
      <c r="L8" s="15" t="n">
        <v>6342.74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1789</v>
      </c>
      <c r="B9" s="3" t="s">
        <v>1790</v>
      </c>
      <c r="C9" s="3" t="s">
        <v>409</v>
      </c>
      <c r="D9" s="3" t="s">
        <v>806</v>
      </c>
      <c r="E9" s="3" t="s">
        <v>50</v>
      </c>
      <c r="F9" s="12" t="n">
        <v>360000</v>
      </c>
      <c r="G9" s="13" t="n">
        <v>1.15</v>
      </c>
      <c r="H9" s="13" t="n">
        <v>1.3</v>
      </c>
      <c r="I9" s="13" t="n">
        <v>0.9167</v>
      </c>
      <c r="J9" s="13" t="n">
        <v>0.53</v>
      </c>
      <c r="K9" s="12" t="n">
        <f aca="false">ROUND(F9/100*G9*H9*I9/J9,2)</f>
        <v>9308.83</v>
      </c>
      <c r="L9" s="12" t="n">
        <v>9308.83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1791</v>
      </c>
      <c r="B10" s="14" t="s">
        <v>1792</v>
      </c>
      <c r="C10" s="14" t="s">
        <v>131</v>
      </c>
      <c r="D10" s="14" t="s">
        <v>780</v>
      </c>
      <c r="E10" s="14" t="s">
        <v>56</v>
      </c>
      <c r="F10" s="15" t="n">
        <v>355000</v>
      </c>
      <c r="G10" s="16" t="n">
        <v>0.75</v>
      </c>
      <c r="H10" s="16" t="n">
        <v>0.95</v>
      </c>
      <c r="I10" s="16" t="n">
        <v>0.9167</v>
      </c>
      <c r="J10" s="16" t="n">
        <v>0.53</v>
      </c>
      <c r="K10" s="15" t="n">
        <f aca="false">ROUND(F10/100*G10*H10*I10/J10,2)</f>
        <v>4374.86</v>
      </c>
      <c r="L10" s="15" t="n">
        <v>4374.87</v>
      </c>
      <c r="M10" s="15" t="n">
        <f aca="false">L10-K10</f>
        <v>0.0100000000002183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1793</v>
      </c>
      <c r="B11" s="3" t="s">
        <v>1794</v>
      </c>
      <c r="C11" s="3" t="s">
        <v>142</v>
      </c>
      <c r="D11" s="3" t="s">
        <v>170</v>
      </c>
      <c r="E11" s="3" t="s">
        <v>56</v>
      </c>
      <c r="F11" s="12" t="n">
        <v>455000</v>
      </c>
      <c r="G11" s="13" t="n">
        <v>0.75</v>
      </c>
      <c r="H11" s="13" t="n">
        <v>1.22</v>
      </c>
      <c r="I11" s="13" t="n">
        <v>0.9167</v>
      </c>
      <c r="J11" s="13" t="n">
        <v>0.53</v>
      </c>
      <c r="K11" s="12" t="n">
        <f aca="false">ROUND(F11/100*G11*H11*I11/J11,2)</f>
        <v>7200.85</v>
      </c>
      <c r="L11" s="12" t="n">
        <v>7200.85</v>
      </c>
      <c r="M11" s="12" t="n">
        <f aca="false">L11-K11</f>
        <v>0</v>
      </c>
      <c r="N11" s="3" t="s">
        <v>51</v>
      </c>
      <c r="O11" s="3" t="s">
        <v>52</v>
      </c>
    </row>
    <row r="12" customFormat="false" ht="15" hidden="false" customHeight="false" outlineLevel="0" collapsed="false">
      <c r="A12" s="14" t="s">
        <v>1795</v>
      </c>
      <c r="B12" s="14" t="s">
        <v>1796</v>
      </c>
      <c r="C12" s="14" t="s">
        <v>193</v>
      </c>
      <c r="D12" s="14" t="s">
        <v>1112</v>
      </c>
      <c r="E12" s="14" t="s">
        <v>50</v>
      </c>
      <c r="F12" s="15" t="n">
        <v>700000</v>
      </c>
      <c r="G12" s="16" t="n">
        <v>0.95</v>
      </c>
      <c r="H12" s="16" t="n">
        <v>1.25</v>
      </c>
      <c r="I12" s="16" t="n">
        <v>0.9167</v>
      </c>
      <c r="J12" s="16" t="n">
        <v>0.53</v>
      </c>
      <c r="K12" s="15" t="n">
        <f aca="false">ROUND(F12/100*G12*H12*I12/J12,2)</f>
        <v>14377.49</v>
      </c>
      <c r="L12" s="15" t="n">
        <v>14377.49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1780</v>
      </c>
      <c r="B13" s="3" t="s">
        <v>1797</v>
      </c>
      <c r="C13" s="3" t="s">
        <v>217</v>
      </c>
      <c r="D13" s="3" t="s">
        <v>1743</v>
      </c>
      <c r="E13" s="3" t="s">
        <v>56</v>
      </c>
      <c r="F13" s="12" t="n">
        <v>245000</v>
      </c>
      <c r="G13" s="13" t="n">
        <v>0.92</v>
      </c>
      <c r="H13" s="13" t="n">
        <v>1.3</v>
      </c>
      <c r="I13" s="13" t="n">
        <v>0.9167</v>
      </c>
      <c r="J13" s="13" t="n">
        <v>0.53</v>
      </c>
      <c r="K13" s="12" t="n">
        <f aca="false">ROUND(F13/100*G13*H13*I13/J13,2)</f>
        <v>5068.14</v>
      </c>
      <c r="L13" s="12" t="n">
        <v>5068.14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1795</v>
      </c>
      <c r="B14" s="14" t="s">
        <v>1798</v>
      </c>
      <c r="C14" s="14" t="s">
        <v>184</v>
      </c>
      <c r="D14" s="14" t="s">
        <v>642</v>
      </c>
      <c r="E14" s="14" t="s">
        <v>56</v>
      </c>
      <c r="F14" s="15" t="n">
        <v>370000</v>
      </c>
      <c r="G14" s="16" t="n">
        <v>0.75</v>
      </c>
      <c r="H14" s="16" t="n">
        <v>1.02</v>
      </c>
      <c r="I14" s="16" t="n">
        <v>0.9167</v>
      </c>
      <c r="J14" s="16" t="n">
        <v>0.53</v>
      </c>
      <c r="K14" s="15" t="n">
        <f aca="false">ROUND(F14/100*G14*H14*I14/J14,2)</f>
        <v>4895.7</v>
      </c>
      <c r="L14" s="15" t="n">
        <v>4895.7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1784</v>
      </c>
      <c r="B15" s="3" t="s">
        <v>1799</v>
      </c>
      <c r="C15" s="3" t="s">
        <v>77</v>
      </c>
      <c r="D15" s="3" t="s">
        <v>1412</v>
      </c>
      <c r="E15" s="3" t="s">
        <v>50</v>
      </c>
      <c r="F15" s="12" t="n">
        <v>1115000</v>
      </c>
      <c r="G15" s="13" t="n">
        <v>0.8</v>
      </c>
      <c r="H15" s="13" t="n">
        <v>1.42</v>
      </c>
      <c r="I15" s="13" t="n">
        <v>0.9167</v>
      </c>
      <c r="J15" s="13" t="n">
        <v>0.53</v>
      </c>
      <c r="K15" s="12" t="n">
        <f aca="false">ROUND(F15/100*G15*H15*I15/J15,2)</f>
        <v>21908.09</v>
      </c>
      <c r="L15" s="12" t="n">
        <v>21908.09</v>
      </c>
      <c r="M15" s="12" t="n">
        <f aca="false">L15-K15</f>
        <v>0</v>
      </c>
      <c r="N15" s="3" t="s">
        <v>51</v>
      </c>
      <c r="O15" s="3" t="s">
        <v>52</v>
      </c>
    </row>
    <row r="16" customFormat="false" ht="15" hidden="false" customHeight="false" outlineLevel="0" collapsed="false">
      <c r="A16" s="14" t="s">
        <v>1800</v>
      </c>
      <c r="B16" s="14" t="s">
        <v>1801</v>
      </c>
      <c r="C16" s="14" t="s">
        <v>892</v>
      </c>
      <c r="D16" s="14" t="s">
        <v>1268</v>
      </c>
      <c r="E16" s="14" t="s">
        <v>50</v>
      </c>
      <c r="F16" s="15" t="n">
        <v>1325000</v>
      </c>
      <c r="G16" s="16" t="n">
        <v>0.8</v>
      </c>
      <c r="H16" s="16" t="n">
        <v>1.08</v>
      </c>
      <c r="I16" s="16" t="n">
        <v>0.9167</v>
      </c>
      <c r="J16" s="16" t="n">
        <v>0.53</v>
      </c>
      <c r="K16" s="15" t="n">
        <f aca="false">ROUND(F16/100*G16*H16*I16/J16,2)</f>
        <v>19800.72</v>
      </c>
      <c r="L16" s="15" t="n">
        <v>19800.72</v>
      </c>
      <c r="M16" s="15" t="n">
        <f aca="false">L16-K16</f>
        <v>0</v>
      </c>
      <c r="N16" s="14" t="s">
        <v>70</v>
      </c>
      <c r="O16" s="14" t="s">
        <v>52</v>
      </c>
    </row>
    <row r="17" customFormat="false" ht="15" hidden="false" customHeight="false" outlineLevel="0" collapsed="false">
      <c r="A17" s="3" t="s">
        <v>1787</v>
      </c>
      <c r="B17" s="3" t="s">
        <v>1802</v>
      </c>
      <c r="C17" s="3" t="s">
        <v>300</v>
      </c>
      <c r="D17" s="3" t="s">
        <v>1803</v>
      </c>
      <c r="E17" s="3" t="s">
        <v>56</v>
      </c>
      <c r="F17" s="12" t="n">
        <v>650000</v>
      </c>
      <c r="G17" s="13" t="n">
        <v>0.65</v>
      </c>
      <c r="H17" s="13" t="n">
        <v>1.11</v>
      </c>
      <c r="I17" s="13" t="n">
        <v>0.9167</v>
      </c>
      <c r="J17" s="13" t="n">
        <v>0.53</v>
      </c>
      <c r="K17" s="12" t="n">
        <f aca="false">ROUND(F17/100*G17*H17*I17/J17,2)</f>
        <v>8111.5</v>
      </c>
      <c r="L17" s="12" t="n">
        <v>8111.49</v>
      </c>
      <c r="M17" s="12" t="n">
        <f aca="false">L17-K17</f>
        <v>-0.0100000000002183</v>
      </c>
      <c r="N17" s="3" t="s">
        <v>51</v>
      </c>
      <c r="O17" s="3" t="s">
        <v>52</v>
      </c>
    </row>
    <row r="18" customFormat="false" ht="15" hidden="false" customHeight="false" outlineLevel="0" collapsed="false">
      <c r="A18" s="14" t="s">
        <v>1804</v>
      </c>
      <c r="B18" s="14" t="s">
        <v>1805</v>
      </c>
      <c r="C18" s="14" t="s">
        <v>89</v>
      </c>
      <c r="D18" s="14" t="s">
        <v>1806</v>
      </c>
      <c r="E18" s="14" t="s">
        <v>56</v>
      </c>
      <c r="F18" s="15" t="n">
        <v>490000</v>
      </c>
      <c r="G18" s="16" t="n">
        <v>0.75</v>
      </c>
      <c r="H18" s="16" t="n">
        <v>1.35</v>
      </c>
      <c r="I18" s="16" t="n">
        <v>0.9167</v>
      </c>
      <c r="J18" s="16" t="n">
        <v>0.53</v>
      </c>
      <c r="K18" s="15" t="n">
        <f aca="false">ROUND(F18/100*G18*H18*I18/J18,2)</f>
        <v>8581.09</v>
      </c>
      <c r="L18" s="15" t="n">
        <v>8581.09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1807</v>
      </c>
      <c r="B19" s="3" t="s">
        <v>1808</v>
      </c>
      <c r="C19" s="3" t="s">
        <v>145</v>
      </c>
      <c r="D19" s="3" t="s">
        <v>1809</v>
      </c>
      <c r="E19" s="3" t="s">
        <v>56</v>
      </c>
      <c r="F19" s="12" t="n">
        <v>390000</v>
      </c>
      <c r="G19" s="13" t="n">
        <v>0.75</v>
      </c>
      <c r="H19" s="13" t="n">
        <v>0.96</v>
      </c>
      <c r="I19" s="13" t="n">
        <v>0.9167</v>
      </c>
      <c r="J19" s="13" t="n">
        <v>0.53</v>
      </c>
      <c r="K19" s="12" t="n">
        <f aca="false">ROUND(F19/100*G19*H19*I19/J19,2)</f>
        <v>4856.78</v>
      </c>
      <c r="L19" s="12" t="n">
        <v>4856.78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1810</v>
      </c>
      <c r="B20" s="14" t="s">
        <v>1811</v>
      </c>
      <c r="C20" s="14" t="s">
        <v>326</v>
      </c>
      <c r="D20" s="14" t="s">
        <v>1812</v>
      </c>
      <c r="E20" s="14" t="s">
        <v>74</v>
      </c>
      <c r="F20" s="15" t="n">
        <v>1190000</v>
      </c>
      <c r="G20" s="16" t="n">
        <v>0.38</v>
      </c>
      <c r="H20" s="16" t="n">
        <v>1.12</v>
      </c>
      <c r="I20" s="16" t="n">
        <v>0.9167</v>
      </c>
      <c r="J20" s="16" t="n">
        <v>0.53</v>
      </c>
      <c r="K20" s="15" t="n">
        <f aca="false">ROUND(F20/100*G20*H20*I20/J20,2)</f>
        <v>8759.92</v>
      </c>
      <c r="L20" s="15" t="n">
        <v>8759.91</v>
      </c>
      <c r="M20" s="15" t="n">
        <f aca="false">L20-K20</f>
        <v>-0.0100000000002183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1784</v>
      </c>
      <c r="B21" s="3" t="s">
        <v>1813</v>
      </c>
      <c r="C21" s="3" t="s">
        <v>366</v>
      </c>
      <c r="D21" s="3" t="s">
        <v>1244</v>
      </c>
      <c r="E21" s="3" t="s">
        <v>50</v>
      </c>
      <c r="F21" s="12" t="n">
        <v>535000</v>
      </c>
      <c r="G21" s="13" t="n">
        <v>0.95</v>
      </c>
      <c r="H21" s="13" t="n">
        <v>1.26</v>
      </c>
      <c r="I21" s="13" t="n">
        <v>0.9167</v>
      </c>
      <c r="J21" s="13" t="n">
        <v>0.53</v>
      </c>
      <c r="K21" s="12" t="n">
        <f aca="false">ROUND(F21/100*G21*H21*I21/J21,2)</f>
        <v>11076.42</v>
      </c>
      <c r="L21" s="12" t="n">
        <v>11076.41</v>
      </c>
      <c r="M21" s="12" t="n">
        <f aca="false">L21-K21</f>
        <v>-0.0100000000002183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1810</v>
      </c>
      <c r="B22" s="14" t="s">
        <v>1814</v>
      </c>
      <c r="C22" s="14" t="s">
        <v>105</v>
      </c>
      <c r="D22" s="14" t="s">
        <v>857</v>
      </c>
      <c r="E22" s="14" t="s">
        <v>56</v>
      </c>
      <c r="F22" s="15" t="n">
        <v>190000</v>
      </c>
      <c r="G22" s="16" t="n">
        <v>0.92</v>
      </c>
      <c r="H22" s="16" t="n">
        <v>0.99</v>
      </c>
      <c r="I22" s="16" t="n">
        <v>0.9167</v>
      </c>
      <c r="J22" s="16" t="n">
        <v>0.53</v>
      </c>
      <c r="K22" s="15" t="n">
        <f aca="false">ROUND(F22/100*G22*H22*I22/J22,2)</f>
        <v>2993.15</v>
      </c>
      <c r="L22" s="15" t="n">
        <v>2993.14</v>
      </c>
      <c r="M22" s="15" t="n">
        <f aca="false">L22-K22</f>
        <v>-0.0100000000002183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1815</v>
      </c>
      <c r="B23" s="3" t="s">
        <v>1816</v>
      </c>
      <c r="C23" s="3" t="s">
        <v>117</v>
      </c>
      <c r="D23" s="3" t="s">
        <v>1317</v>
      </c>
      <c r="E23" s="3" t="s">
        <v>50</v>
      </c>
      <c r="F23" s="12" t="n">
        <v>825000</v>
      </c>
      <c r="G23" s="13" t="n">
        <v>0.95</v>
      </c>
      <c r="H23" s="13" t="n">
        <v>0.91</v>
      </c>
      <c r="I23" s="13" t="n">
        <v>0.9167</v>
      </c>
      <c r="J23" s="13" t="n">
        <v>0.53</v>
      </c>
      <c r="K23" s="12" t="n">
        <f aca="false">ROUND(F23/100*G23*H23*I23/J23,2)</f>
        <v>12335.88</v>
      </c>
      <c r="L23" s="12" t="n">
        <v>12335.89</v>
      </c>
      <c r="M23" s="12" t="n">
        <f aca="false">L23-K23</f>
        <v>0.0100000000002183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1780</v>
      </c>
      <c r="B24" s="14" t="s">
        <v>1817</v>
      </c>
      <c r="C24" s="14" t="s">
        <v>128</v>
      </c>
      <c r="D24" s="14" t="s">
        <v>1769</v>
      </c>
      <c r="E24" s="14" t="s">
        <v>56</v>
      </c>
      <c r="F24" s="15" t="n">
        <v>215000</v>
      </c>
      <c r="G24" s="16" t="n">
        <v>0.92</v>
      </c>
      <c r="H24" s="16" t="n">
        <v>1.25</v>
      </c>
      <c r="I24" s="16" t="n">
        <v>0.9167</v>
      </c>
      <c r="J24" s="16" t="n">
        <v>0.53</v>
      </c>
      <c r="K24" s="15" t="n">
        <f aca="false">ROUND(F24/100*G24*H24*I24/J24,2)</f>
        <v>4276.49</v>
      </c>
      <c r="L24" s="15" t="n">
        <v>4276.49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1818</v>
      </c>
      <c r="B25" s="3" t="s">
        <v>1819</v>
      </c>
      <c r="C25" s="3" t="s">
        <v>892</v>
      </c>
      <c r="D25" s="3" t="s">
        <v>880</v>
      </c>
      <c r="E25" s="3" t="s">
        <v>56</v>
      </c>
      <c r="F25" s="12" t="n">
        <v>105000</v>
      </c>
      <c r="G25" s="13" t="n">
        <v>0.92</v>
      </c>
      <c r="H25" s="13" t="n">
        <v>1.08</v>
      </c>
      <c r="I25" s="13" t="n">
        <v>0.9167</v>
      </c>
      <c r="J25" s="13" t="n">
        <v>0.53</v>
      </c>
      <c r="K25" s="12" t="n">
        <f aca="false">ROUND(F25/100*G25*H25*I25/J25,2)</f>
        <v>1804.48</v>
      </c>
      <c r="L25" s="12" t="n">
        <v>1804.48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1795</v>
      </c>
      <c r="B26" s="14" t="s">
        <v>1820</v>
      </c>
      <c r="C26" s="14" t="s">
        <v>114</v>
      </c>
      <c r="D26" s="14" t="s">
        <v>1117</v>
      </c>
      <c r="E26" s="14" t="s">
        <v>133</v>
      </c>
      <c r="F26" s="15" t="n">
        <v>610000</v>
      </c>
      <c r="G26" s="16" t="n">
        <v>0.38</v>
      </c>
      <c r="H26" s="16" t="n">
        <v>1.36</v>
      </c>
      <c r="I26" s="16" t="n">
        <v>0.9167</v>
      </c>
      <c r="J26" s="16" t="n">
        <v>0.53</v>
      </c>
      <c r="K26" s="15" t="n">
        <f aca="false">ROUND(F26/100*G26*H26*I26/J26,2)</f>
        <v>5452.6</v>
      </c>
      <c r="L26" s="15" t="n">
        <v>5452.6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1821</v>
      </c>
      <c r="B27" s="3" t="s">
        <v>1822</v>
      </c>
      <c r="C27" s="3" t="s">
        <v>174</v>
      </c>
      <c r="D27" s="3" t="s">
        <v>1823</v>
      </c>
      <c r="E27" s="3" t="s">
        <v>157</v>
      </c>
      <c r="F27" s="12" t="n">
        <v>690000</v>
      </c>
      <c r="G27" s="13" t="n">
        <v>0.78</v>
      </c>
      <c r="H27" s="13" t="n">
        <v>1.55</v>
      </c>
      <c r="I27" s="13" t="n">
        <v>0.9167</v>
      </c>
      <c r="J27" s="13" t="n">
        <v>0.53</v>
      </c>
      <c r="K27" s="12" t="n">
        <f aca="false">ROUND(F27/100*G27*H27*I27/J27,2)</f>
        <v>14428.69</v>
      </c>
      <c r="L27" s="12" t="n">
        <v>14428.68</v>
      </c>
      <c r="M27" s="12" t="n">
        <f aca="false">L27-K27</f>
        <v>-0.0100000000002183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1782</v>
      </c>
      <c r="B28" s="14" t="s">
        <v>1824</v>
      </c>
      <c r="C28" s="14" t="s">
        <v>64</v>
      </c>
      <c r="D28" s="14" t="s">
        <v>1601</v>
      </c>
      <c r="E28" s="14" t="s">
        <v>56</v>
      </c>
      <c r="F28" s="15" t="n">
        <v>560000</v>
      </c>
      <c r="G28" s="16" t="n">
        <v>0.65</v>
      </c>
      <c r="H28" s="16" t="n">
        <v>1.17</v>
      </c>
      <c r="I28" s="16" t="n">
        <v>0.9167</v>
      </c>
      <c r="J28" s="16" t="n">
        <v>0.53</v>
      </c>
      <c r="K28" s="15" t="n">
        <f aca="false">ROUND(F28/100*G28*H28*I28/J28,2)</f>
        <v>7366.12</v>
      </c>
      <c r="L28" s="15" t="n">
        <v>7366.12</v>
      </c>
      <c r="M28" s="15" t="n">
        <f aca="false">L28-K28</f>
        <v>0</v>
      </c>
      <c r="N28" s="14" t="s">
        <v>70</v>
      </c>
      <c r="O28" s="14" t="s">
        <v>52</v>
      </c>
    </row>
    <row r="29" customFormat="false" ht="15" hidden="false" customHeight="false" outlineLevel="0" collapsed="false">
      <c r="A29" s="3" t="s">
        <v>1815</v>
      </c>
      <c r="B29" s="3" t="s">
        <v>1825</v>
      </c>
      <c r="C29" s="3" t="s">
        <v>131</v>
      </c>
      <c r="D29" s="3" t="s">
        <v>1467</v>
      </c>
      <c r="E29" s="3" t="s">
        <v>133</v>
      </c>
      <c r="F29" s="12" t="n">
        <v>1135000</v>
      </c>
      <c r="G29" s="13" t="n">
        <v>0.34</v>
      </c>
      <c r="H29" s="13" t="n">
        <v>0.95</v>
      </c>
      <c r="I29" s="13" t="n">
        <v>0.9167</v>
      </c>
      <c r="J29" s="13" t="n">
        <v>0.53</v>
      </c>
      <c r="K29" s="12" t="n">
        <f aca="false">ROUND(F29/100*G29*H29*I29/J29,2)</f>
        <v>6340.88</v>
      </c>
      <c r="L29" s="12" t="n">
        <v>6340.89</v>
      </c>
      <c r="M29" s="12" t="n">
        <f aca="false">L29-K29</f>
        <v>0.0100000000002183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1826</v>
      </c>
      <c r="B30" s="14" t="s">
        <v>1827</v>
      </c>
      <c r="C30" s="14" t="s">
        <v>278</v>
      </c>
      <c r="D30" s="14" t="s">
        <v>1175</v>
      </c>
      <c r="E30" s="14" t="s">
        <v>56</v>
      </c>
      <c r="F30" s="15" t="n">
        <v>390000</v>
      </c>
      <c r="G30" s="16" t="n">
        <v>0.75</v>
      </c>
      <c r="H30" s="16" t="n">
        <v>0.98</v>
      </c>
      <c r="I30" s="16" t="n">
        <v>0.9167</v>
      </c>
      <c r="J30" s="16" t="n">
        <v>0.53</v>
      </c>
      <c r="K30" s="15" t="n">
        <f aca="false">ROUND(F30/100*G30*H30*I30/J30,2)</f>
        <v>4957.96</v>
      </c>
      <c r="L30" s="15" t="n">
        <v>4957.96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1826</v>
      </c>
      <c r="B31" s="3" t="s">
        <v>1828</v>
      </c>
      <c r="C31" s="3" t="s">
        <v>136</v>
      </c>
      <c r="D31" s="3" t="s">
        <v>1131</v>
      </c>
      <c r="E31" s="3" t="s">
        <v>157</v>
      </c>
      <c r="F31" s="12" t="n">
        <v>555000</v>
      </c>
      <c r="G31" s="13" t="n">
        <v>0.78</v>
      </c>
      <c r="H31" s="13" t="n">
        <v>1.32</v>
      </c>
      <c r="I31" s="13" t="n">
        <v>0.9167</v>
      </c>
      <c r="J31" s="13" t="n">
        <v>0.53</v>
      </c>
      <c r="K31" s="12" t="n">
        <f aca="false">ROUND(F31/100*G31*H31*I31/J31,2)</f>
        <v>9883.55</v>
      </c>
      <c r="L31" s="12" t="n">
        <v>9883.55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1807</v>
      </c>
      <c r="B32" s="14" t="s">
        <v>1829</v>
      </c>
      <c r="C32" s="14" t="s">
        <v>152</v>
      </c>
      <c r="D32" s="14" t="s">
        <v>1341</v>
      </c>
      <c r="E32" s="14" t="s">
        <v>56</v>
      </c>
      <c r="F32" s="15" t="n">
        <v>595000</v>
      </c>
      <c r="G32" s="16" t="n">
        <v>0.65</v>
      </c>
      <c r="H32" s="16" t="n">
        <v>1</v>
      </c>
      <c r="I32" s="16" t="n">
        <v>0.9167</v>
      </c>
      <c r="J32" s="16" t="n">
        <v>0.53</v>
      </c>
      <c r="K32" s="15" t="n">
        <f aca="false">ROUND(F32/100*G32*H32*I32/J32,2)</f>
        <v>6689.32</v>
      </c>
      <c r="L32" s="15" t="n">
        <v>6689.32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1815</v>
      </c>
      <c r="B33" s="3" t="s">
        <v>1830</v>
      </c>
      <c r="C33" s="3" t="s">
        <v>275</v>
      </c>
      <c r="D33" s="3" t="s">
        <v>1831</v>
      </c>
      <c r="E33" s="3" t="s">
        <v>56</v>
      </c>
      <c r="F33" s="12" t="n">
        <v>360000</v>
      </c>
      <c r="G33" s="13" t="n">
        <v>0.75</v>
      </c>
      <c r="H33" s="13" t="n">
        <v>1.19</v>
      </c>
      <c r="I33" s="13" t="n">
        <v>0.9167</v>
      </c>
      <c r="J33" s="13" t="n">
        <v>0.53</v>
      </c>
      <c r="K33" s="12" t="n">
        <f aca="false">ROUND(F33/100*G33*H33*I33/J33,2)</f>
        <v>5557.28</v>
      </c>
      <c r="L33" s="12" t="n">
        <v>5557.27</v>
      </c>
      <c r="M33" s="12" t="n">
        <f aca="false">L33-K33</f>
        <v>-0.00999999999930878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1832</v>
      </c>
      <c r="B34" s="14" t="s">
        <v>1833</v>
      </c>
      <c r="C34" s="14" t="s">
        <v>210</v>
      </c>
      <c r="D34" s="14" t="s">
        <v>888</v>
      </c>
      <c r="E34" s="14" t="s">
        <v>56</v>
      </c>
      <c r="F34" s="15" t="n">
        <v>290000</v>
      </c>
      <c r="G34" s="16" t="n">
        <v>0.75</v>
      </c>
      <c r="H34" s="16" t="n">
        <v>1.21</v>
      </c>
      <c r="I34" s="16" t="n">
        <v>0.9167</v>
      </c>
      <c r="J34" s="16" t="n">
        <v>0.53</v>
      </c>
      <c r="K34" s="15" t="n">
        <f aca="false">ROUND(F34/100*G34*H34*I34/J34,2)</f>
        <v>4551.93</v>
      </c>
      <c r="L34" s="15" t="n">
        <v>4551.94</v>
      </c>
      <c r="M34" s="15" t="n">
        <f aca="false">L34-K34</f>
        <v>0.00999999999930878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1807</v>
      </c>
      <c r="B35" s="3" t="s">
        <v>1834</v>
      </c>
      <c r="C35" s="3" t="s">
        <v>108</v>
      </c>
      <c r="D35" s="3" t="s">
        <v>1299</v>
      </c>
      <c r="E35" s="3" t="s">
        <v>50</v>
      </c>
      <c r="F35" s="12" t="n">
        <v>345000</v>
      </c>
      <c r="G35" s="13" t="n">
        <v>1.15</v>
      </c>
      <c r="H35" s="13" t="n">
        <v>0.93</v>
      </c>
      <c r="I35" s="13" t="n">
        <v>0.9167</v>
      </c>
      <c r="J35" s="13" t="n">
        <v>0.53</v>
      </c>
      <c r="K35" s="12" t="n">
        <f aca="false">ROUND(F35/100*G35*H35*I35/J35,2)</f>
        <v>6381.92</v>
      </c>
      <c r="L35" s="12" t="n">
        <v>6381.92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1791</v>
      </c>
      <c r="B36" s="14" t="s">
        <v>1835</v>
      </c>
      <c r="C36" s="14" t="s">
        <v>210</v>
      </c>
      <c r="D36" s="14" t="s">
        <v>675</v>
      </c>
      <c r="E36" s="14" t="s">
        <v>56</v>
      </c>
      <c r="F36" s="15" t="n">
        <v>420000</v>
      </c>
      <c r="G36" s="16" t="n">
        <v>0.75</v>
      </c>
      <c r="H36" s="16" t="n">
        <v>1.21</v>
      </c>
      <c r="I36" s="16" t="n">
        <v>0.9167</v>
      </c>
      <c r="J36" s="16" t="n">
        <v>0.53</v>
      </c>
      <c r="K36" s="15" t="n">
        <f aca="false">ROUND(F36/100*G36*H36*I36/J36,2)</f>
        <v>6592.46</v>
      </c>
      <c r="L36" s="15" t="n">
        <v>6592.46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1836</v>
      </c>
      <c r="B37" s="3" t="s">
        <v>1837</v>
      </c>
      <c r="C37" s="3" t="s">
        <v>77</v>
      </c>
      <c r="D37" s="3" t="s">
        <v>1838</v>
      </c>
      <c r="E37" s="3" t="s">
        <v>157</v>
      </c>
      <c r="F37" s="12" t="n">
        <v>440000</v>
      </c>
      <c r="G37" s="13" t="n">
        <v>0.88</v>
      </c>
      <c r="H37" s="13" t="n">
        <v>1.42</v>
      </c>
      <c r="I37" s="13" t="n">
        <v>0.9167</v>
      </c>
      <c r="J37" s="13" t="n">
        <v>0.53</v>
      </c>
      <c r="K37" s="12" t="n">
        <f aca="false">ROUND(F37/100*G37*H37*I37/J37,2)</f>
        <v>9509.88</v>
      </c>
      <c r="L37" s="12" t="n">
        <v>9509.88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1839</v>
      </c>
      <c r="B38" s="14" t="s">
        <v>1840</v>
      </c>
      <c r="C38" s="14" t="s">
        <v>48</v>
      </c>
      <c r="D38" s="14" t="s">
        <v>878</v>
      </c>
      <c r="E38" s="14" t="s">
        <v>56</v>
      </c>
      <c r="F38" s="15" t="n">
        <v>650000</v>
      </c>
      <c r="G38" s="16" t="n">
        <v>0.65</v>
      </c>
      <c r="H38" s="16" t="n">
        <v>1.28</v>
      </c>
      <c r="I38" s="16" t="n">
        <v>0.9167</v>
      </c>
      <c r="J38" s="16" t="n">
        <v>0.53</v>
      </c>
      <c r="K38" s="15" t="n">
        <f aca="false">ROUND(F38/100*G38*H38*I38/J38,2)</f>
        <v>9353.8</v>
      </c>
      <c r="L38" s="15" t="n">
        <v>9353.8</v>
      </c>
      <c r="M38" s="15" t="n">
        <f aca="false">L38-K38</f>
        <v>0</v>
      </c>
      <c r="N38" s="14" t="s">
        <v>51</v>
      </c>
      <c r="O38" s="14" t="s">
        <v>52</v>
      </c>
    </row>
    <row r="39" customFormat="false" ht="15" hidden="false" customHeight="false" outlineLevel="0" collapsed="false">
      <c r="A39" s="3" t="s">
        <v>1791</v>
      </c>
      <c r="B39" s="3" t="s">
        <v>1841</v>
      </c>
      <c r="C39" s="3" t="s">
        <v>77</v>
      </c>
      <c r="D39" s="3" t="s">
        <v>112</v>
      </c>
      <c r="E39" s="3" t="s">
        <v>56</v>
      </c>
      <c r="F39" s="12" t="n">
        <v>455000</v>
      </c>
      <c r="G39" s="13" t="n">
        <v>0.75</v>
      </c>
      <c r="H39" s="13" t="n">
        <v>1.42</v>
      </c>
      <c r="I39" s="13" t="n">
        <v>0.9167</v>
      </c>
      <c r="J39" s="13" t="n">
        <v>0.53</v>
      </c>
      <c r="K39" s="12" t="n">
        <f aca="false">ROUND(F39/100*G39*H39*I39/J39,2)</f>
        <v>8381.32</v>
      </c>
      <c r="L39" s="12" t="n">
        <v>8381.31</v>
      </c>
      <c r="M39" s="12" t="n">
        <f aca="false">L39-K39</f>
        <v>-0.0100000000002183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1842</v>
      </c>
      <c r="B40" s="14" t="s">
        <v>1843</v>
      </c>
      <c r="C40" s="14" t="s">
        <v>237</v>
      </c>
      <c r="D40" s="14" t="s">
        <v>433</v>
      </c>
      <c r="E40" s="14" t="s">
        <v>56</v>
      </c>
      <c r="F40" s="15" t="n">
        <v>200000</v>
      </c>
      <c r="G40" s="16" t="n">
        <v>0.92</v>
      </c>
      <c r="H40" s="16" t="n">
        <v>1.33</v>
      </c>
      <c r="I40" s="16" t="n">
        <v>0.9167</v>
      </c>
      <c r="J40" s="16" t="n">
        <v>0.53</v>
      </c>
      <c r="K40" s="15" t="n">
        <f aca="false">ROUND(F40/100*G40*H40*I40/J40,2)</f>
        <v>4232.73</v>
      </c>
      <c r="L40" s="15" t="n">
        <v>4232.73</v>
      </c>
      <c r="M40" s="15" t="n">
        <f aca="false">L40-K40</f>
        <v>0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1795</v>
      </c>
      <c r="B41" s="3" t="s">
        <v>1844</v>
      </c>
      <c r="C41" s="3" t="s">
        <v>159</v>
      </c>
      <c r="D41" s="3" t="s">
        <v>527</v>
      </c>
      <c r="E41" s="3" t="s">
        <v>56</v>
      </c>
      <c r="F41" s="12" t="n">
        <v>985000</v>
      </c>
      <c r="G41" s="13" t="n">
        <v>0.65</v>
      </c>
      <c r="H41" s="13" t="n">
        <v>1.15</v>
      </c>
      <c r="I41" s="13" t="n">
        <v>0.9167</v>
      </c>
      <c r="J41" s="13" t="n">
        <v>0.53</v>
      </c>
      <c r="K41" s="12" t="n">
        <f aca="false">ROUND(F41/100*G41*H41*I41/J41,2)</f>
        <v>12735</v>
      </c>
      <c r="L41" s="12" t="n">
        <v>12735</v>
      </c>
      <c r="M41" s="12" t="n">
        <f aca="false">L41-K41</f>
        <v>0</v>
      </c>
      <c r="N41" s="3" t="s">
        <v>70</v>
      </c>
      <c r="O41" s="3" t="s">
        <v>52</v>
      </c>
    </row>
    <row r="42" customFormat="false" ht="15" hidden="false" customHeight="false" outlineLevel="0" collapsed="false">
      <c r="A42" s="14" t="s">
        <v>1845</v>
      </c>
      <c r="B42" s="14" t="s">
        <v>1846</v>
      </c>
      <c r="C42" s="14" t="s">
        <v>120</v>
      </c>
      <c r="D42" s="14" t="s">
        <v>115</v>
      </c>
      <c r="E42" s="14" t="s">
        <v>56</v>
      </c>
      <c r="F42" s="15" t="n">
        <v>1050000</v>
      </c>
      <c r="G42" s="16" t="n">
        <v>0.55</v>
      </c>
      <c r="H42" s="16" t="n">
        <v>1.15</v>
      </c>
      <c r="I42" s="16" t="n">
        <v>0.9167</v>
      </c>
      <c r="J42" s="16" t="n">
        <v>0.53</v>
      </c>
      <c r="K42" s="15" t="n">
        <f aca="false">ROUND(F42/100*G42*H42*I42/J42,2)</f>
        <v>11486.86</v>
      </c>
      <c r="L42" s="15" t="n">
        <v>11486.86</v>
      </c>
      <c r="M42" s="15" t="n">
        <f aca="false">L42-K42</f>
        <v>0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1847</v>
      </c>
      <c r="B43" s="3" t="s">
        <v>1848</v>
      </c>
      <c r="C43" s="3" t="s">
        <v>108</v>
      </c>
      <c r="D43" s="3" t="s">
        <v>1849</v>
      </c>
      <c r="E43" s="3" t="s">
        <v>56</v>
      </c>
      <c r="F43" s="12" t="n">
        <v>455000</v>
      </c>
      <c r="G43" s="13" t="n">
        <v>0.75</v>
      </c>
      <c r="H43" s="13" t="n">
        <v>0.93</v>
      </c>
      <c r="I43" s="13" t="n">
        <v>0.9167</v>
      </c>
      <c r="J43" s="13" t="n">
        <v>0.53</v>
      </c>
      <c r="K43" s="12" t="n">
        <f aca="false">ROUND(F43/100*G43*H43*I43/J43,2)</f>
        <v>5489.17</v>
      </c>
      <c r="L43" s="12" t="n">
        <v>5489.17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1850</v>
      </c>
      <c r="B44" s="14" t="s">
        <v>1851</v>
      </c>
      <c r="C44" s="14" t="s">
        <v>159</v>
      </c>
      <c r="D44" s="14" t="s">
        <v>626</v>
      </c>
      <c r="E44" s="14" t="s">
        <v>74</v>
      </c>
      <c r="F44" s="15" t="n">
        <v>820000</v>
      </c>
      <c r="G44" s="16" t="n">
        <v>0.43</v>
      </c>
      <c r="H44" s="16" t="n">
        <v>1.15</v>
      </c>
      <c r="I44" s="16" t="n">
        <v>0.9167</v>
      </c>
      <c r="J44" s="16" t="n">
        <v>0.53</v>
      </c>
      <c r="K44" s="15" t="n">
        <f aca="false">ROUND(F44/100*G44*H44*I44/J44,2)</f>
        <v>7013.45</v>
      </c>
      <c r="L44" s="15" t="n">
        <v>7013.44</v>
      </c>
      <c r="M44" s="15" t="n">
        <f aca="false">L44-K44</f>
        <v>-0.0100000000002183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1852</v>
      </c>
      <c r="B45" s="3" t="s">
        <v>1853</v>
      </c>
      <c r="C45" s="3" t="s">
        <v>85</v>
      </c>
      <c r="D45" s="3" t="s">
        <v>1854</v>
      </c>
      <c r="E45" s="3" t="s">
        <v>56</v>
      </c>
      <c r="F45" s="12" t="n">
        <v>800000</v>
      </c>
      <c r="G45" s="13" t="n">
        <v>0.65</v>
      </c>
      <c r="H45" s="13" t="n">
        <v>1.28</v>
      </c>
      <c r="I45" s="13" t="n">
        <v>0.9167</v>
      </c>
      <c r="J45" s="13" t="n">
        <v>0.53</v>
      </c>
      <c r="K45" s="12" t="n">
        <f aca="false">ROUND(F45/100*G45*H45*I45/J45,2)</f>
        <v>11512.37</v>
      </c>
      <c r="L45" s="12" t="n">
        <v>11512.37</v>
      </c>
      <c r="M45" s="12" t="n">
        <f aca="false">L45-K45</f>
        <v>0</v>
      </c>
      <c r="N45" s="3" t="s">
        <v>51</v>
      </c>
      <c r="O45" s="3" t="s">
        <v>52</v>
      </c>
    </row>
    <row r="46" customFormat="false" ht="15" hidden="false" customHeight="false" outlineLevel="0" collapsed="false">
      <c r="A46" s="14" t="s">
        <v>1855</v>
      </c>
      <c r="B46" s="14" t="s">
        <v>1856</v>
      </c>
      <c r="C46" s="14" t="s">
        <v>145</v>
      </c>
      <c r="D46" s="14" t="s">
        <v>1857</v>
      </c>
      <c r="E46" s="14" t="s">
        <v>56</v>
      </c>
      <c r="F46" s="15" t="n">
        <v>305000</v>
      </c>
      <c r="G46" s="16" t="n">
        <v>0.75</v>
      </c>
      <c r="H46" s="16" t="n">
        <v>0.96</v>
      </c>
      <c r="I46" s="16" t="n">
        <v>0.9167</v>
      </c>
      <c r="J46" s="16" t="n">
        <v>0.53</v>
      </c>
      <c r="K46" s="15" t="n">
        <f aca="false">ROUND(F46/100*G46*H46*I46/J46,2)</f>
        <v>3798.25</v>
      </c>
      <c r="L46" s="15" t="n">
        <v>3798.25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1850</v>
      </c>
      <c r="B47" s="3" t="s">
        <v>1858</v>
      </c>
      <c r="C47" s="3" t="s">
        <v>278</v>
      </c>
      <c r="D47" s="3" t="s">
        <v>1859</v>
      </c>
      <c r="E47" s="3" t="s">
        <v>133</v>
      </c>
      <c r="F47" s="12" t="n">
        <v>865000</v>
      </c>
      <c r="G47" s="13" t="n">
        <v>0.38</v>
      </c>
      <c r="H47" s="13" t="n">
        <v>0.98</v>
      </c>
      <c r="I47" s="13" t="n">
        <v>0.9167</v>
      </c>
      <c r="J47" s="13" t="n">
        <v>0.53</v>
      </c>
      <c r="K47" s="12" t="n">
        <f aca="false">ROUND(F47/100*G47*H47*I47/J47,2)</f>
        <v>5571.56</v>
      </c>
      <c r="L47" s="12" t="n">
        <v>5571.57</v>
      </c>
      <c r="M47" s="12" t="n">
        <f aca="false">L47-K47</f>
        <v>0.00999999999930878</v>
      </c>
      <c r="N47" s="3" t="s">
        <v>70</v>
      </c>
      <c r="O47" s="3" t="s">
        <v>52</v>
      </c>
    </row>
    <row r="48" customFormat="false" ht="15" hidden="false" customHeight="false" outlineLevel="0" collapsed="false">
      <c r="A48" s="14" t="s">
        <v>1860</v>
      </c>
      <c r="B48" s="14" t="s">
        <v>1861</v>
      </c>
      <c r="C48" s="14" t="s">
        <v>152</v>
      </c>
      <c r="D48" s="14" t="s">
        <v>842</v>
      </c>
      <c r="E48" s="14" t="s">
        <v>56</v>
      </c>
      <c r="F48" s="15" t="n">
        <v>220000</v>
      </c>
      <c r="G48" s="16" t="n">
        <v>0.92</v>
      </c>
      <c r="H48" s="16" t="n">
        <v>1</v>
      </c>
      <c r="I48" s="16" t="n">
        <v>0.9167</v>
      </c>
      <c r="J48" s="16" t="n">
        <v>0.53</v>
      </c>
      <c r="K48" s="15" t="n">
        <f aca="false">ROUND(F48/100*G48*H48*I48/J48,2)</f>
        <v>3500.76</v>
      </c>
      <c r="L48" s="15" t="n">
        <v>3500.76</v>
      </c>
      <c r="M48" s="15" t="n">
        <f aca="false">L48-K48</f>
        <v>0</v>
      </c>
      <c r="N48" s="14" t="s">
        <v>51</v>
      </c>
      <c r="O48" s="14" t="s">
        <v>52</v>
      </c>
    </row>
    <row r="49" customFormat="false" ht="15" hidden="false" customHeight="false" outlineLevel="0" collapsed="false">
      <c r="A49" s="3" t="s">
        <v>1847</v>
      </c>
      <c r="B49" s="3" t="s">
        <v>1862</v>
      </c>
      <c r="C49" s="3" t="s">
        <v>114</v>
      </c>
      <c r="D49" s="3" t="s">
        <v>1215</v>
      </c>
      <c r="E49" s="3" t="s">
        <v>56</v>
      </c>
      <c r="F49" s="12" t="n">
        <v>415000</v>
      </c>
      <c r="G49" s="13" t="n">
        <v>0.75</v>
      </c>
      <c r="H49" s="13" t="n">
        <v>1.36</v>
      </c>
      <c r="I49" s="13" t="n">
        <v>0.9167</v>
      </c>
      <c r="J49" s="13" t="n">
        <v>0.53</v>
      </c>
      <c r="K49" s="12" t="n">
        <f aca="false">ROUND(F49/100*G49*H49*I49/J49,2)</f>
        <v>7321.49</v>
      </c>
      <c r="L49" s="12" t="n">
        <v>7321.49</v>
      </c>
      <c r="M49" s="12" t="n">
        <f aca="false">L49-K49</f>
        <v>0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1782</v>
      </c>
      <c r="B50" s="14" t="s">
        <v>1863</v>
      </c>
      <c r="C50" s="14" t="s">
        <v>145</v>
      </c>
      <c r="D50" s="14" t="s">
        <v>1028</v>
      </c>
      <c r="E50" s="14" t="s">
        <v>50</v>
      </c>
      <c r="F50" s="15" t="n">
        <v>470000</v>
      </c>
      <c r="G50" s="16" t="n">
        <v>1.15</v>
      </c>
      <c r="H50" s="16" t="n">
        <v>0.96</v>
      </c>
      <c r="I50" s="16" t="n">
        <v>0.9167</v>
      </c>
      <c r="J50" s="16" t="n">
        <v>0.53</v>
      </c>
      <c r="K50" s="15" t="n">
        <f aca="false">ROUND(F50/100*G50*H50*I50/J50,2)</f>
        <v>8974.67</v>
      </c>
      <c r="L50" s="15" t="n">
        <v>8974.67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1793</v>
      </c>
      <c r="B51" s="3" t="s">
        <v>1864</v>
      </c>
      <c r="C51" s="3" t="s">
        <v>68</v>
      </c>
      <c r="D51" s="3" t="s">
        <v>1085</v>
      </c>
      <c r="E51" s="3" t="s">
        <v>56</v>
      </c>
      <c r="F51" s="12" t="n">
        <v>595000</v>
      </c>
      <c r="G51" s="13" t="n">
        <v>0.65</v>
      </c>
      <c r="H51" s="13" t="n">
        <v>1.38</v>
      </c>
      <c r="I51" s="13" t="n">
        <v>0.9167</v>
      </c>
      <c r="J51" s="13" t="n">
        <v>0.53</v>
      </c>
      <c r="K51" s="12" t="n">
        <f aca="false">ROUND(F51/100*G51*H51*I51/J51,2)</f>
        <v>9231.26</v>
      </c>
      <c r="L51" s="12" t="n">
        <v>9231.25</v>
      </c>
      <c r="M51" s="12" t="n">
        <f aca="false">L51-K51</f>
        <v>-0.0100000000002183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1784</v>
      </c>
      <c r="B52" s="14" t="s">
        <v>1865</v>
      </c>
      <c r="C52" s="14" t="s">
        <v>210</v>
      </c>
      <c r="D52" s="14" t="s">
        <v>1866</v>
      </c>
      <c r="E52" s="14" t="s">
        <v>74</v>
      </c>
      <c r="F52" s="15" t="n">
        <v>935000</v>
      </c>
      <c r="G52" s="16" t="n">
        <v>0.43</v>
      </c>
      <c r="H52" s="16" t="n">
        <v>1.21</v>
      </c>
      <c r="I52" s="16" t="n">
        <v>0.9167</v>
      </c>
      <c r="J52" s="16" t="n">
        <v>0.53</v>
      </c>
      <c r="K52" s="15" t="n">
        <f aca="false">ROUND(F52/100*G52*H52*I52/J52,2)</f>
        <v>8414.28</v>
      </c>
      <c r="L52" s="15" t="n">
        <v>8414.28</v>
      </c>
      <c r="M52" s="15" t="n">
        <f aca="false">L52-K52</f>
        <v>0</v>
      </c>
      <c r="N52" s="14" t="s">
        <v>51</v>
      </c>
      <c r="O52" s="14" t="s">
        <v>52</v>
      </c>
    </row>
    <row r="53" customFormat="false" ht="15" hidden="false" customHeight="false" outlineLevel="0" collapsed="false">
      <c r="A53" s="3" t="s">
        <v>1804</v>
      </c>
      <c r="B53" s="3" t="s">
        <v>1867</v>
      </c>
      <c r="C53" s="3" t="s">
        <v>159</v>
      </c>
      <c r="D53" s="3" t="s">
        <v>944</v>
      </c>
      <c r="E53" s="3" t="s">
        <v>56</v>
      </c>
      <c r="F53" s="12" t="n">
        <v>295000</v>
      </c>
      <c r="G53" s="13" t="n">
        <v>0.75</v>
      </c>
      <c r="H53" s="13" t="n">
        <v>1.15</v>
      </c>
      <c r="I53" s="13" t="n">
        <v>0.9167</v>
      </c>
      <c r="J53" s="13" t="n">
        <v>0.53</v>
      </c>
      <c r="K53" s="12" t="n">
        <f aca="false">ROUND(F53/100*G53*H53*I53/J53,2)</f>
        <v>4400.81</v>
      </c>
      <c r="L53" s="12" t="n">
        <v>4400.81</v>
      </c>
      <c r="M53" s="12" t="n">
        <f aca="false">L53-K53</f>
        <v>0</v>
      </c>
      <c r="N53" s="3" t="s">
        <v>51</v>
      </c>
      <c r="O53" s="3" t="s">
        <v>52</v>
      </c>
    </row>
    <row r="54" customFormat="false" ht="15" hidden="false" customHeight="false" outlineLevel="0" collapsed="false">
      <c r="A54" s="14" t="s">
        <v>1832</v>
      </c>
      <c r="B54" s="14" t="s">
        <v>1868</v>
      </c>
      <c r="C54" s="14" t="s">
        <v>217</v>
      </c>
      <c r="D54" s="14" t="s">
        <v>812</v>
      </c>
      <c r="E54" s="14" t="s">
        <v>50</v>
      </c>
      <c r="F54" s="15" t="n">
        <v>940000</v>
      </c>
      <c r="G54" s="16" t="n">
        <v>0.95</v>
      </c>
      <c r="H54" s="16" t="n">
        <v>1.3</v>
      </c>
      <c r="I54" s="16" t="n">
        <v>0.9167</v>
      </c>
      <c r="J54" s="16" t="n">
        <v>0.53</v>
      </c>
      <c r="K54" s="15" t="n">
        <f aca="false">ROUND(F54/100*G54*H54*I54/J54,2)</f>
        <v>20079.19</v>
      </c>
      <c r="L54" s="15" t="n">
        <v>20079.19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1855</v>
      </c>
      <c r="B55" s="3" t="s">
        <v>1869</v>
      </c>
      <c r="C55" s="3" t="s">
        <v>77</v>
      </c>
      <c r="D55" s="3" t="s">
        <v>1870</v>
      </c>
      <c r="E55" s="3" t="s">
        <v>157</v>
      </c>
      <c r="F55" s="12" t="n">
        <v>855000</v>
      </c>
      <c r="G55" s="13" t="n">
        <v>0.78</v>
      </c>
      <c r="H55" s="13" t="n">
        <v>1.42</v>
      </c>
      <c r="I55" s="13" t="n">
        <v>0.9167</v>
      </c>
      <c r="J55" s="13" t="n">
        <v>0.53</v>
      </c>
      <c r="K55" s="12" t="n">
        <f aca="false">ROUND(F55/100*G55*H55*I55/J55,2)</f>
        <v>16379.49</v>
      </c>
      <c r="L55" s="12" t="n">
        <v>16379.49</v>
      </c>
      <c r="M55" s="12" t="n">
        <f aca="false">L55-K55</f>
        <v>0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1810</v>
      </c>
      <c r="B56" s="14" t="s">
        <v>1871</v>
      </c>
      <c r="C56" s="14" t="s">
        <v>169</v>
      </c>
      <c r="D56" s="14" t="s">
        <v>1872</v>
      </c>
      <c r="E56" s="14" t="s">
        <v>50</v>
      </c>
      <c r="F56" s="15" t="n">
        <v>875000</v>
      </c>
      <c r="G56" s="16" t="n">
        <v>0.95</v>
      </c>
      <c r="H56" s="16" t="n">
        <v>1.07</v>
      </c>
      <c r="I56" s="16" t="n">
        <v>0.9167</v>
      </c>
      <c r="J56" s="16" t="n">
        <v>0.53</v>
      </c>
      <c r="K56" s="15" t="n">
        <f aca="false">ROUND(F56/100*G56*H56*I56/J56,2)</f>
        <v>15383.91</v>
      </c>
      <c r="L56" s="15" t="n">
        <v>15383.91</v>
      </c>
      <c r="M56" s="15" t="n">
        <f aca="false">L56-K56</f>
        <v>0</v>
      </c>
      <c r="N56" s="14" t="s">
        <v>51</v>
      </c>
      <c r="O56" s="14" t="s">
        <v>52</v>
      </c>
    </row>
    <row r="57" customFormat="false" ht="15" hidden="false" customHeight="false" outlineLevel="0" collapsed="false">
      <c r="A57" s="3" t="s">
        <v>1847</v>
      </c>
      <c r="B57" s="3" t="s">
        <v>1873</v>
      </c>
      <c r="C57" s="3" t="s">
        <v>89</v>
      </c>
      <c r="D57" s="3" t="s">
        <v>1874</v>
      </c>
      <c r="E57" s="3" t="s">
        <v>50</v>
      </c>
      <c r="F57" s="12" t="n">
        <v>715000</v>
      </c>
      <c r="G57" s="13" t="n">
        <v>0.95</v>
      </c>
      <c r="H57" s="13" t="n">
        <v>1.35</v>
      </c>
      <c r="I57" s="13" t="n">
        <v>0.9167</v>
      </c>
      <c r="J57" s="13" t="n">
        <v>0.53</v>
      </c>
      <c r="K57" s="12" t="n">
        <f aca="false">ROUND(F57/100*G57*H57*I57/J57,2)</f>
        <v>15860.42</v>
      </c>
      <c r="L57" s="12" t="n">
        <v>15860.42</v>
      </c>
      <c r="M57" s="12" t="n">
        <f aca="false">L57-K57</f>
        <v>0</v>
      </c>
      <c r="N57" s="3" t="s">
        <v>51</v>
      </c>
      <c r="O57" s="3" t="s">
        <v>52</v>
      </c>
    </row>
    <row r="58" customFormat="false" ht="15" hidden="false" customHeight="false" outlineLevel="0" collapsed="false">
      <c r="A58" s="14" t="s">
        <v>1875</v>
      </c>
      <c r="B58" s="14" t="s">
        <v>1876</v>
      </c>
      <c r="C58" s="14" t="s">
        <v>142</v>
      </c>
      <c r="D58" s="14" t="s">
        <v>1877</v>
      </c>
      <c r="E58" s="14" t="s">
        <v>56</v>
      </c>
      <c r="F58" s="15" t="n">
        <v>660000</v>
      </c>
      <c r="G58" s="16" t="n">
        <v>0.65</v>
      </c>
      <c r="H58" s="16" t="n">
        <v>1.22</v>
      </c>
      <c r="I58" s="16" t="n">
        <v>0.9167</v>
      </c>
      <c r="J58" s="16" t="n">
        <v>0.53</v>
      </c>
      <c r="K58" s="15" t="n">
        <f aca="false">ROUND(F58/100*G58*H58*I58/J58,2)</f>
        <v>9052.5</v>
      </c>
      <c r="L58" s="15" t="n">
        <v>9052.5</v>
      </c>
      <c r="M58" s="15" t="n">
        <f aca="false">L58-K58</f>
        <v>0</v>
      </c>
      <c r="N58" s="14" t="s">
        <v>51</v>
      </c>
      <c r="O58" s="14" t="s">
        <v>52</v>
      </c>
    </row>
    <row r="59" customFormat="false" ht="15" hidden="false" customHeight="false" outlineLevel="0" collapsed="false">
      <c r="A59" s="3" t="s">
        <v>1847</v>
      </c>
      <c r="B59" s="3" t="s">
        <v>1878</v>
      </c>
      <c r="C59" s="3" t="s">
        <v>210</v>
      </c>
      <c r="D59" s="3" t="s">
        <v>634</v>
      </c>
      <c r="E59" s="3" t="s">
        <v>56</v>
      </c>
      <c r="F59" s="12" t="n">
        <v>745000</v>
      </c>
      <c r="G59" s="13" t="n">
        <v>0.65</v>
      </c>
      <c r="H59" s="13" t="n">
        <v>1.21</v>
      </c>
      <c r="I59" s="13" t="n">
        <v>0.9167</v>
      </c>
      <c r="J59" s="13" t="n">
        <v>0.53</v>
      </c>
      <c r="K59" s="12" t="n">
        <f aca="false">ROUND(F59/100*G59*H59*I59/J59,2)</f>
        <v>10134.59</v>
      </c>
      <c r="L59" s="12" t="n">
        <v>10134.6</v>
      </c>
      <c r="M59" s="12" t="n">
        <f aca="false">L59-K59</f>
        <v>0.0100000000002183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1821</v>
      </c>
      <c r="B60" s="14" t="s">
        <v>1879</v>
      </c>
      <c r="C60" s="14" t="s">
        <v>81</v>
      </c>
      <c r="D60" s="14" t="s">
        <v>233</v>
      </c>
      <c r="E60" s="14" t="s">
        <v>50</v>
      </c>
      <c r="F60" s="15" t="n">
        <v>210000</v>
      </c>
      <c r="G60" s="16" t="n">
        <v>1.42</v>
      </c>
      <c r="H60" s="16" t="n">
        <v>1.27</v>
      </c>
      <c r="I60" s="16" t="n">
        <v>0.9167</v>
      </c>
      <c r="J60" s="16" t="n">
        <v>0.53</v>
      </c>
      <c r="K60" s="15" t="n">
        <f aca="false">ROUND(F60/100*G60*H60*I60/J60,2)</f>
        <v>6550.32</v>
      </c>
      <c r="L60" s="15" t="n">
        <v>6550.33</v>
      </c>
      <c r="M60" s="15" t="n">
        <f aca="false">L60-K60</f>
        <v>0.0100000000002183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1832</v>
      </c>
      <c r="B61" s="3" t="s">
        <v>1880</v>
      </c>
      <c r="C61" s="3" t="s">
        <v>48</v>
      </c>
      <c r="D61" s="3" t="s">
        <v>1506</v>
      </c>
      <c r="E61" s="3" t="s">
        <v>56</v>
      </c>
      <c r="F61" s="12" t="n">
        <v>535000</v>
      </c>
      <c r="G61" s="13" t="n">
        <v>0.65</v>
      </c>
      <c r="H61" s="13" t="n">
        <v>1.28</v>
      </c>
      <c r="I61" s="13" t="n">
        <v>0.9167</v>
      </c>
      <c r="J61" s="13" t="n">
        <v>0.53</v>
      </c>
      <c r="K61" s="12" t="n">
        <f aca="false">ROUND(F61/100*G61*H61*I61/J61,2)</f>
        <v>7698.9</v>
      </c>
      <c r="L61" s="12" t="n">
        <v>7698.9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1832</v>
      </c>
      <c r="B62" s="14" t="s">
        <v>1881</v>
      </c>
      <c r="C62" s="14" t="s">
        <v>128</v>
      </c>
      <c r="D62" s="14" t="s">
        <v>705</v>
      </c>
      <c r="E62" s="14" t="s">
        <v>56</v>
      </c>
      <c r="F62" s="15" t="n">
        <v>390000</v>
      </c>
      <c r="G62" s="16" t="n">
        <v>0.75</v>
      </c>
      <c r="H62" s="16" t="n">
        <v>1.25</v>
      </c>
      <c r="I62" s="16" t="n">
        <v>0.9167</v>
      </c>
      <c r="J62" s="16" t="n">
        <v>0.53</v>
      </c>
      <c r="K62" s="15" t="n">
        <f aca="false">ROUND(F62/100*G62*H62*I62/J62,2)</f>
        <v>6323.93</v>
      </c>
      <c r="L62" s="15" t="n">
        <v>6323.93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1839</v>
      </c>
      <c r="B63" s="3" t="s">
        <v>1882</v>
      </c>
      <c r="C63" s="3" t="s">
        <v>93</v>
      </c>
      <c r="D63" s="3" t="s">
        <v>1883</v>
      </c>
      <c r="E63" s="3" t="s">
        <v>56</v>
      </c>
      <c r="F63" s="12" t="n">
        <v>330000</v>
      </c>
      <c r="G63" s="13" t="n">
        <v>0.75</v>
      </c>
      <c r="H63" s="13" t="n">
        <v>1.39</v>
      </c>
      <c r="I63" s="13" t="n">
        <v>0.9167</v>
      </c>
      <c r="J63" s="13" t="n">
        <v>0.53</v>
      </c>
      <c r="K63" s="12" t="n">
        <f aca="false">ROUND(F63/100*G63*H63*I63/J63,2)</f>
        <v>5950.33</v>
      </c>
      <c r="L63" s="12" t="n">
        <v>5950.34</v>
      </c>
      <c r="M63" s="12" t="n">
        <f aca="false">L63-K63</f>
        <v>0.0100000000002183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1800</v>
      </c>
      <c r="B64" s="14" t="s">
        <v>1884</v>
      </c>
      <c r="C64" s="14" t="s">
        <v>266</v>
      </c>
      <c r="D64" s="14" t="s">
        <v>348</v>
      </c>
      <c r="E64" s="14" t="s">
        <v>50</v>
      </c>
      <c r="F64" s="15" t="n">
        <v>1310000</v>
      </c>
      <c r="G64" s="16" t="n">
        <v>0.8</v>
      </c>
      <c r="H64" s="16" t="n">
        <v>1.1</v>
      </c>
      <c r="I64" s="16" t="n">
        <v>0.9167</v>
      </c>
      <c r="J64" s="16" t="n">
        <v>0.53</v>
      </c>
      <c r="K64" s="15" t="n">
        <f aca="false">ROUND(F64/100*G64*H64*I64/J64,2)</f>
        <v>19939.09</v>
      </c>
      <c r="L64" s="15" t="n">
        <v>19939.09</v>
      </c>
      <c r="M64" s="15" t="n">
        <f aca="false">L64-K64</f>
        <v>0</v>
      </c>
      <c r="N64" s="14" t="s">
        <v>51</v>
      </c>
      <c r="O64" s="14" t="s">
        <v>52</v>
      </c>
    </row>
    <row r="65" customFormat="false" ht="15" hidden="false" customHeight="false" outlineLevel="0" collapsed="false">
      <c r="A65" s="3" t="s">
        <v>1784</v>
      </c>
      <c r="B65" s="3" t="s">
        <v>1885</v>
      </c>
      <c r="C65" s="3" t="s">
        <v>48</v>
      </c>
      <c r="D65" s="3" t="s">
        <v>1886</v>
      </c>
      <c r="E65" s="3" t="s">
        <v>74</v>
      </c>
      <c r="F65" s="12" t="n">
        <v>385000</v>
      </c>
      <c r="G65" s="13" t="n">
        <v>0.48</v>
      </c>
      <c r="H65" s="13" t="n">
        <v>1.28</v>
      </c>
      <c r="I65" s="13" t="n">
        <v>0.9167</v>
      </c>
      <c r="J65" s="13" t="n">
        <v>0.53</v>
      </c>
      <c r="K65" s="12" t="n">
        <f aca="false">ROUND(F65/100*G65*H65*I65/J65,2)</f>
        <v>4091.32</v>
      </c>
      <c r="L65" s="12" t="n">
        <v>4091.31</v>
      </c>
      <c r="M65" s="12" t="n">
        <f aca="false">L65-K65</f>
        <v>-0.0100000000002183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1826</v>
      </c>
      <c r="B66" s="14" t="s">
        <v>1887</v>
      </c>
      <c r="C66" s="14" t="s">
        <v>117</v>
      </c>
      <c r="D66" s="14" t="s">
        <v>761</v>
      </c>
      <c r="E66" s="14" t="s">
        <v>56</v>
      </c>
      <c r="F66" s="15" t="n">
        <v>340000</v>
      </c>
      <c r="G66" s="16" t="n">
        <v>0.75</v>
      </c>
      <c r="H66" s="16" t="n">
        <v>0.91</v>
      </c>
      <c r="I66" s="16" t="n">
        <v>0.9167</v>
      </c>
      <c r="J66" s="16" t="n">
        <v>0.53</v>
      </c>
      <c r="K66" s="15" t="n">
        <f aca="false">ROUND(F66/100*G66*H66*I66/J66,2)</f>
        <v>4013.59</v>
      </c>
      <c r="L66" s="15" t="n">
        <v>4013.59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1807</v>
      </c>
      <c r="B67" s="3" t="s">
        <v>1888</v>
      </c>
      <c r="C67" s="3" t="s">
        <v>275</v>
      </c>
      <c r="D67" s="3" t="s">
        <v>1889</v>
      </c>
      <c r="E67" s="3" t="s">
        <v>56</v>
      </c>
      <c r="F67" s="12" t="n">
        <v>265000</v>
      </c>
      <c r="G67" s="13" t="n">
        <v>0.75</v>
      </c>
      <c r="H67" s="13" t="n">
        <v>1.19</v>
      </c>
      <c r="I67" s="13" t="n">
        <v>0.9167</v>
      </c>
      <c r="J67" s="13" t="n">
        <v>0.53</v>
      </c>
      <c r="K67" s="12" t="n">
        <f aca="false">ROUND(F67/100*G67*H67*I67/J67,2)</f>
        <v>4090.77</v>
      </c>
      <c r="L67" s="12" t="n">
        <v>4090.77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1839</v>
      </c>
      <c r="B68" s="14" t="s">
        <v>1890</v>
      </c>
      <c r="C68" s="14" t="s">
        <v>131</v>
      </c>
      <c r="D68" s="14" t="s">
        <v>806</v>
      </c>
      <c r="E68" s="14" t="s">
        <v>50</v>
      </c>
      <c r="F68" s="15" t="n">
        <v>770000</v>
      </c>
      <c r="G68" s="16" t="n">
        <v>0.95</v>
      </c>
      <c r="H68" s="16" t="n">
        <v>0.95</v>
      </c>
      <c r="I68" s="16" t="n">
        <v>0.9167</v>
      </c>
      <c r="J68" s="16" t="n">
        <v>0.53</v>
      </c>
      <c r="K68" s="15" t="n">
        <f aca="false">ROUND(F68/100*G68*H68*I68/J68,2)</f>
        <v>12019.58</v>
      </c>
      <c r="L68" s="15" t="n">
        <v>12019.58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1826</v>
      </c>
      <c r="B69" s="3" t="s">
        <v>1891</v>
      </c>
      <c r="C69" s="3" t="s">
        <v>169</v>
      </c>
      <c r="D69" s="3" t="s">
        <v>1892</v>
      </c>
      <c r="E69" s="3" t="s">
        <v>74</v>
      </c>
      <c r="F69" s="12" t="n">
        <v>680000</v>
      </c>
      <c r="G69" s="13" t="n">
        <v>0.43</v>
      </c>
      <c r="H69" s="13" t="n">
        <v>1.07</v>
      </c>
      <c r="I69" s="13" t="n">
        <v>0.9167</v>
      </c>
      <c r="J69" s="13" t="n">
        <v>0.53</v>
      </c>
      <c r="K69" s="12" t="n">
        <f aca="false">ROUND(F69/100*G69*H69*I69/J69,2)</f>
        <v>5411.44</v>
      </c>
      <c r="L69" s="12" t="n">
        <v>5411.44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1818</v>
      </c>
      <c r="B70" s="14" t="s">
        <v>1893</v>
      </c>
      <c r="C70" s="14" t="s">
        <v>224</v>
      </c>
      <c r="D70" s="14" t="s">
        <v>1894</v>
      </c>
      <c r="E70" s="14" t="s">
        <v>133</v>
      </c>
      <c r="F70" s="15" t="n">
        <v>1950000</v>
      </c>
      <c r="G70" s="16" t="n">
        <v>0.34</v>
      </c>
      <c r="H70" s="16" t="n">
        <v>1.1</v>
      </c>
      <c r="I70" s="16" t="n">
        <v>0.9167</v>
      </c>
      <c r="J70" s="16" t="n">
        <v>0.53</v>
      </c>
      <c r="K70" s="15" t="n">
        <f aca="false">ROUND(F70/100*G70*H70*I70/J70,2)</f>
        <v>12614.14</v>
      </c>
      <c r="L70" s="15" t="n">
        <v>12614.14</v>
      </c>
      <c r="M70" s="15" t="n">
        <f aca="false">L70-K70</f>
        <v>0</v>
      </c>
      <c r="N70" s="14" t="s">
        <v>51</v>
      </c>
      <c r="O70" s="14" t="s">
        <v>52</v>
      </c>
    </row>
    <row r="71" customFormat="false" ht="15" hidden="false" customHeight="false" outlineLevel="0" collapsed="false">
      <c r="A71" s="3" t="s">
        <v>1852</v>
      </c>
      <c r="B71" s="3" t="s">
        <v>1895</v>
      </c>
      <c r="C71" s="3" t="s">
        <v>230</v>
      </c>
      <c r="D71" s="3" t="s">
        <v>1081</v>
      </c>
      <c r="E71" s="3" t="s">
        <v>50</v>
      </c>
      <c r="F71" s="12" t="n">
        <v>825000</v>
      </c>
      <c r="G71" s="13" t="n">
        <v>0.95</v>
      </c>
      <c r="H71" s="13" t="n">
        <v>1.09</v>
      </c>
      <c r="I71" s="13" t="n">
        <v>0.9167</v>
      </c>
      <c r="J71" s="13" t="n">
        <v>0.53</v>
      </c>
      <c r="K71" s="12" t="n">
        <f aca="false">ROUND(F71/100*G71*H71*I71/J71,2)</f>
        <v>14775.95</v>
      </c>
      <c r="L71" s="12" t="n">
        <v>14775.95</v>
      </c>
      <c r="M71" s="12" t="n">
        <f aca="false">L71-K71</f>
        <v>0</v>
      </c>
      <c r="N71" s="3" t="s">
        <v>70</v>
      </c>
      <c r="O71" s="3" t="s">
        <v>52</v>
      </c>
    </row>
    <row r="72" customFormat="false" ht="15" hidden="false" customHeight="false" outlineLevel="0" collapsed="false">
      <c r="A72" s="14" t="s">
        <v>1896</v>
      </c>
      <c r="B72" s="14" t="s">
        <v>1897</v>
      </c>
      <c r="C72" s="14" t="s">
        <v>210</v>
      </c>
      <c r="D72" s="14" t="s">
        <v>1312</v>
      </c>
      <c r="E72" s="14" t="s">
        <v>133</v>
      </c>
      <c r="F72" s="15" t="n">
        <v>555000</v>
      </c>
      <c r="G72" s="16" t="n">
        <v>0.38</v>
      </c>
      <c r="H72" s="16" t="n">
        <v>1.21</v>
      </c>
      <c r="I72" s="16" t="n">
        <v>0.9167</v>
      </c>
      <c r="J72" s="16" t="n">
        <v>0.53</v>
      </c>
      <c r="K72" s="15" t="n">
        <f aca="false">ROUND(F72/100*G72*H72*I72/J72,2)</f>
        <v>4413.81</v>
      </c>
      <c r="L72" s="15" t="n">
        <v>4413.81</v>
      </c>
      <c r="M72" s="15" t="n">
        <f aca="false">L72-K72</f>
        <v>0</v>
      </c>
      <c r="N72" s="14" t="s">
        <v>51</v>
      </c>
      <c r="O72" s="14" t="s">
        <v>52</v>
      </c>
    </row>
    <row r="73" customFormat="false" ht="15" hidden="false" customHeight="false" outlineLevel="0" collapsed="false">
      <c r="A73" s="3" t="s">
        <v>1839</v>
      </c>
      <c r="B73" s="3" t="s">
        <v>1898</v>
      </c>
      <c r="C73" s="3" t="s">
        <v>59</v>
      </c>
      <c r="D73" s="3" t="s">
        <v>303</v>
      </c>
      <c r="E73" s="3" t="s">
        <v>56</v>
      </c>
      <c r="F73" s="12" t="n">
        <v>1065000</v>
      </c>
      <c r="G73" s="13" t="n">
        <v>0.55</v>
      </c>
      <c r="H73" s="13" t="n">
        <v>0.97</v>
      </c>
      <c r="I73" s="13" t="n">
        <v>0.9167</v>
      </c>
      <c r="J73" s="13" t="n">
        <v>0.53</v>
      </c>
      <c r="K73" s="12" t="n">
        <f aca="false">ROUND(F73/100*G73*H73*I73/J73,2)</f>
        <v>9827.33</v>
      </c>
      <c r="L73" s="12" t="n">
        <v>9827.33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1793</v>
      </c>
      <c r="B74" s="14" t="s">
        <v>1899</v>
      </c>
      <c r="C74" s="14" t="s">
        <v>89</v>
      </c>
      <c r="D74" s="14" t="s">
        <v>593</v>
      </c>
      <c r="E74" s="14" t="s">
        <v>56</v>
      </c>
      <c r="F74" s="15" t="n">
        <v>595000</v>
      </c>
      <c r="G74" s="16" t="n">
        <v>0.65</v>
      </c>
      <c r="H74" s="16" t="n">
        <v>1.35</v>
      </c>
      <c r="I74" s="16" t="n">
        <v>0.9167</v>
      </c>
      <c r="J74" s="16" t="n">
        <v>0.53</v>
      </c>
      <c r="K74" s="15" t="n">
        <f aca="false">ROUND(F74/100*G74*H74*I74/J74,2)</f>
        <v>9030.58</v>
      </c>
      <c r="L74" s="15" t="n">
        <v>9030.58</v>
      </c>
      <c r="M74" s="15" t="n">
        <f aca="false">L74-K74</f>
        <v>0</v>
      </c>
      <c r="N74" s="14" t="s">
        <v>51</v>
      </c>
      <c r="O74" s="14" t="s">
        <v>52</v>
      </c>
    </row>
    <row r="75" customFormat="false" ht="15" hidden="false" customHeight="false" outlineLevel="0" collapsed="false">
      <c r="A75" s="3" t="s">
        <v>1832</v>
      </c>
      <c r="B75" s="3" t="s">
        <v>1900</v>
      </c>
      <c r="C75" s="3" t="s">
        <v>64</v>
      </c>
      <c r="D75" s="3" t="s">
        <v>680</v>
      </c>
      <c r="E75" s="3" t="s">
        <v>56</v>
      </c>
      <c r="F75" s="12" t="n">
        <v>770000</v>
      </c>
      <c r="G75" s="13" t="n">
        <v>0.65</v>
      </c>
      <c r="H75" s="13" t="n">
        <v>1.17</v>
      </c>
      <c r="I75" s="13" t="n">
        <v>0.9167</v>
      </c>
      <c r="J75" s="13" t="n">
        <v>0.53</v>
      </c>
      <c r="K75" s="12" t="n">
        <f aca="false">ROUND(F75/100*G75*H75*I75/J75,2)</f>
        <v>10128.41</v>
      </c>
      <c r="L75" s="12" t="n">
        <v>10128.41</v>
      </c>
      <c r="M75" s="12" t="n">
        <f aca="false">L75-K75</f>
        <v>0</v>
      </c>
      <c r="N75" s="3" t="s">
        <v>51</v>
      </c>
      <c r="O75" s="3" t="s">
        <v>52</v>
      </c>
    </row>
    <row r="76" customFormat="false" ht="15" hidden="false" customHeight="false" outlineLevel="0" collapsed="false">
      <c r="A76" s="14" t="s">
        <v>1852</v>
      </c>
      <c r="B76" s="14" t="s">
        <v>1901</v>
      </c>
      <c r="C76" s="14" t="s">
        <v>48</v>
      </c>
      <c r="D76" s="14" t="s">
        <v>642</v>
      </c>
      <c r="E76" s="14" t="s">
        <v>56</v>
      </c>
      <c r="F76" s="15" t="n">
        <v>445000</v>
      </c>
      <c r="G76" s="16" t="n">
        <v>0.75</v>
      </c>
      <c r="H76" s="16" t="n">
        <v>1.28</v>
      </c>
      <c r="I76" s="16" t="n">
        <v>0.9167</v>
      </c>
      <c r="J76" s="16" t="n">
        <v>0.53</v>
      </c>
      <c r="K76" s="15" t="n">
        <f aca="false">ROUND(F76/100*G76*H76*I76/J76,2)</f>
        <v>7388.95</v>
      </c>
      <c r="L76" s="15" t="n">
        <v>7388.95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1832</v>
      </c>
      <c r="B77" s="3" t="s">
        <v>1902</v>
      </c>
      <c r="C77" s="3" t="s">
        <v>193</v>
      </c>
      <c r="D77" s="3" t="s">
        <v>1043</v>
      </c>
      <c r="E77" s="3" t="s">
        <v>50</v>
      </c>
      <c r="F77" s="12" t="n">
        <v>900000</v>
      </c>
      <c r="G77" s="13" t="n">
        <v>0.95</v>
      </c>
      <c r="H77" s="13" t="n">
        <v>1.25</v>
      </c>
      <c r="I77" s="13" t="n">
        <v>0.9167</v>
      </c>
      <c r="J77" s="13" t="n">
        <v>0.53</v>
      </c>
      <c r="K77" s="12" t="n">
        <f aca="false">ROUND(F77/100*G77*H77*I77/J77,2)</f>
        <v>18485.34</v>
      </c>
      <c r="L77" s="12" t="n">
        <v>18485.34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1818</v>
      </c>
      <c r="B78" s="14" t="s">
        <v>1903</v>
      </c>
      <c r="C78" s="14" t="s">
        <v>136</v>
      </c>
      <c r="D78" s="14" t="s">
        <v>1432</v>
      </c>
      <c r="E78" s="14" t="s">
        <v>56</v>
      </c>
      <c r="F78" s="15" t="n">
        <v>325000</v>
      </c>
      <c r="G78" s="16" t="n">
        <v>0.75</v>
      </c>
      <c r="H78" s="16" t="n">
        <v>1.32</v>
      </c>
      <c r="I78" s="16" t="n">
        <v>0.9167</v>
      </c>
      <c r="J78" s="16" t="n">
        <v>0.53</v>
      </c>
      <c r="K78" s="15" t="n">
        <f aca="false">ROUND(F78/100*G78*H78*I78/J78,2)</f>
        <v>5565.06</v>
      </c>
      <c r="L78" s="15" t="n">
        <v>5565.06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1782</v>
      </c>
      <c r="B79" s="3" t="s">
        <v>1904</v>
      </c>
      <c r="C79" s="3" t="s">
        <v>220</v>
      </c>
      <c r="D79" s="3" t="s">
        <v>1905</v>
      </c>
      <c r="E79" s="3" t="s">
        <v>56</v>
      </c>
      <c r="F79" s="12" t="n">
        <v>545000</v>
      </c>
      <c r="G79" s="13" t="n">
        <v>0.65</v>
      </c>
      <c r="H79" s="13" t="n">
        <v>1.01</v>
      </c>
      <c r="I79" s="13" t="n">
        <v>0.9167</v>
      </c>
      <c r="J79" s="13" t="n">
        <v>0.53</v>
      </c>
      <c r="K79" s="12" t="n">
        <f aca="false">ROUND(F79/100*G79*H79*I79/J79,2)</f>
        <v>6188.46</v>
      </c>
      <c r="L79" s="12" t="n">
        <v>6188.46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1810</v>
      </c>
      <c r="B80" s="14" t="s">
        <v>1906</v>
      </c>
      <c r="C80" s="14" t="s">
        <v>184</v>
      </c>
      <c r="D80" s="14" t="s">
        <v>1344</v>
      </c>
      <c r="E80" s="14" t="s">
        <v>56</v>
      </c>
      <c r="F80" s="15" t="n">
        <v>645000</v>
      </c>
      <c r="G80" s="16" t="n">
        <v>0.65</v>
      </c>
      <c r="H80" s="16" t="n">
        <v>1.02</v>
      </c>
      <c r="I80" s="16" t="n">
        <v>0.9167</v>
      </c>
      <c r="J80" s="16" t="n">
        <v>0.53</v>
      </c>
      <c r="K80" s="15" t="n">
        <f aca="false">ROUND(F80/100*G80*H80*I80/J80,2)</f>
        <v>7396.47</v>
      </c>
      <c r="L80" s="15" t="n">
        <v>7396.47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1821</v>
      </c>
      <c r="B81" s="3" t="s">
        <v>1907</v>
      </c>
      <c r="C81" s="3" t="s">
        <v>152</v>
      </c>
      <c r="D81" s="3" t="s">
        <v>1168</v>
      </c>
      <c r="E81" s="3" t="s">
        <v>56</v>
      </c>
      <c r="F81" s="12" t="n">
        <v>325000</v>
      </c>
      <c r="G81" s="13" t="n">
        <v>0.75</v>
      </c>
      <c r="H81" s="13" t="n">
        <v>1</v>
      </c>
      <c r="I81" s="13" t="n">
        <v>0.9167</v>
      </c>
      <c r="J81" s="13" t="n">
        <v>0.53</v>
      </c>
      <c r="K81" s="12" t="n">
        <f aca="false">ROUND(F81/100*G81*H81*I81/J81,2)</f>
        <v>4215.96</v>
      </c>
      <c r="L81" s="12" t="n">
        <v>4215.96</v>
      </c>
      <c r="M81" s="12" t="n">
        <f aca="false">L81-K81</f>
        <v>0</v>
      </c>
      <c r="N81" s="3" t="s">
        <v>51</v>
      </c>
      <c r="O81" s="3" t="s">
        <v>52</v>
      </c>
    </row>
    <row r="82" customFormat="false" ht="15" hidden="false" customHeight="false" outlineLevel="0" collapsed="false">
      <c r="A82" s="14" t="s">
        <v>1784</v>
      </c>
      <c r="B82" s="14" t="s">
        <v>1908</v>
      </c>
      <c r="C82" s="14" t="s">
        <v>326</v>
      </c>
      <c r="D82" s="14" t="s">
        <v>1909</v>
      </c>
      <c r="E82" s="14" t="s">
        <v>56</v>
      </c>
      <c r="F82" s="15" t="n">
        <v>330000</v>
      </c>
      <c r="G82" s="16" t="n">
        <v>0.75</v>
      </c>
      <c r="H82" s="16" t="n">
        <v>1.12</v>
      </c>
      <c r="I82" s="16" t="n">
        <v>0.9167</v>
      </c>
      <c r="J82" s="16" t="n">
        <v>0.53</v>
      </c>
      <c r="K82" s="15" t="n">
        <f aca="false">ROUND(F82/100*G82*H82*I82/J82,2)</f>
        <v>4794.51</v>
      </c>
      <c r="L82" s="15" t="n">
        <v>4794.52</v>
      </c>
      <c r="M82" s="15" t="n">
        <f aca="false">L82-K82</f>
        <v>0.0100000000002183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1839</v>
      </c>
      <c r="B83" s="3" t="s">
        <v>1910</v>
      </c>
      <c r="C83" s="3" t="s">
        <v>85</v>
      </c>
      <c r="D83" s="3" t="s">
        <v>443</v>
      </c>
      <c r="E83" s="3" t="s">
        <v>50</v>
      </c>
      <c r="F83" s="12" t="n">
        <v>745000</v>
      </c>
      <c r="G83" s="13" t="n">
        <v>0.95</v>
      </c>
      <c r="H83" s="13" t="n">
        <v>1.28</v>
      </c>
      <c r="I83" s="13" t="n">
        <v>0.9167</v>
      </c>
      <c r="J83" s="13" t="n">
        <v>0.53</v>
      </c>
      <c r="K83" s="12" t="n">
        <f aca="false">ROUND(F83/100*G83*H83*I83/J83,2)</f>
        <v>15669</v>
      </c>
      <c r="L83" s="12" t="n">
        <v>15669</v>
      </c>
      <c r="M83" s="12" t="n">
        <f aca="false">L83-K83</f>
        <v>0</v>
      </c>
      <c r="N83" s="3" t="s">
        <v>51</v>
      </c>
      <c r="O83" s="3" t="s">
        <v>52</v>
      </c>
    </row>
    <row r="84" customFormat="false" ht="15" hidden="false" customHeight="false" outlineLevel="0" collapsed="false">
      <c r="A84" s="14" t="s">
        <v>1850</v>
      </c>
      <c r="B84" s="14" t="s">
        <v>1911</v>
      </c>
      <c r="C84" s="14" t="s">
        <v>89</v>
      </c>
      <c r="D84" s="14" t="s">
        <v>1912</v>
      </c>
      <c r="E84" s="14" t="s">
        <v>50</v>
      </c>
      <c r="F84" s="15" t="n">
        <v>1675000</v>
      </c>
      <c r="G84" s="16" t="n">
        <v>0.8</v>
      </c>
      <c r="H84" s="16" t="n">
        <v>1.35</v>
      </c>
      <c r="I84" s="16" t="n">
        <v>0.9167</v>
      </c>
      <c r="J84" s="16" t="n">
        <v>0.53</v>
      </c>
      <c r="K84" s="15" t="n">
        <f aca="false">ROUND(F84/100*G84*H84*I84/J84,2)</f>
        <v>31288.87</v>
      </c>
      <c r="L84" s="15" t="n">
        <v>31288.88</v>
      </c>
      <c r="M84" s="15" t="n">
        <f aca="false">L84-K84</f>
        <v>0.0100000000020373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1913</v>
      </c>
      <c r="B85" s="3" t="s">
        <v>1914</v>
      </c>
      <c r="C85" s="3" t="s">
        <v>81</v>
      </c>
      <c r="D85" s="3" t="s">
        <v>1503</v>
      </c>
      <c r="E85" s="3" t="s">
        <v>50</v>
      </c>
      <c r="F85" s="12" t="n">
        <v>500000</v>
      </c>
      <c r="G85" s="13" t="n">
        <v>0.95</v>
      </c>
      <c r="H85" s="13" t="n">
        <v>1.27</v>
      </c>
      <c r="I85" s="13" t="n">
        <v>0.9167</v>
      </c>
      <c r="J85" s="13" t="n">
        <v>0.53</v>
      </c>
      <c r="K85" s="12" t="n">
        <f aca="false">ROUND(F85/100*G85*H85*I85/J85,2)</f>
        <v>10433.95</v>
      </c>
      <c r="L85" s="12" t="n">
        <v>10433.95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1793</v>
      </c>
      <c r="B86" s="14" t="s">
        <v>1915</v>
      </c>
      <c r="C86" s="14" t="s">
        <v>77</v>
      </c>
      <c r="D86" s="14" t="s">
        <v>1573</v>
      </c>
      <c r="E86" s="14" t="s">
        <v>56</v>
      </c>
      <c r="F86" s="15" t="n">
        <v>630000</v>
      </c>
      <c r="G86" s="16" t="n">
        <v>0.65</v>
      </c>
      <c r="H86" s="16" t="n">
        <v>1.42</v>
      </c>
      <c r="I86" s="16" t="n">
        <v>0.9167</v>
      </c>
      <c r="J86" s="16" t="n">
        <v>0.53</v>
      </c>
      <c r="K86" s="15" t="n">
        <f aca="false">ROUND(F86/100*G86*H86*I86/J86,2)</f>
        <v>10057.58</v>
      </c>
      <c r="L86" s="15" t="n">
        <v>10057.58</v>
      </c>
      <c r="M86" s="15" t="n">
        <f aca="false">L86-K86</f>
        <v>0</v>
      </c>
      <c r="N86" s="14" t="s">
        <v>51</v>
      </c>
      <c r="O86" s="14" t="s">
        <v>52</v>
      </c>
    </row>
    <row r="87" customFormat="false" ht="15" hidden="false" customHeight="false" outlineLevel="0" collapsed="false">
      <c r="A87" s="3" t="s">
        <v>1836</v>
      </c>
      <c r="B87" s="3" t="s">
        <v>1916</v>
      </c>
      <c r="C87" s="3" t="s">
        <v>230</v>
      </c>
      <c r="D87" s="3" t="s">
        <v>606</v>
      </c>
      <c r="E87" s="3" t="s">
        <v>56</v>
      </c>
      <c r="F87" s="12" t="n">
        <v>245000</v>
      </c>
      <c r="G87" s="13" t="n">
        <v>0.92</v>
      </c>
      <c r="H87" s="13" t="n">
        <v>1.09</v>
      </c>
      <c r="I87" s="13" t="n">
        <v>0.9167</v>
      </c>
      <c r="J87" s="13" t="n">
        <v>0.53</v>
      </c>
      <c r="K87" s="12" t="n">
        <f aca="false">ROUND(F87/100*G87*H87*I87/J87,2)</f>
        <v>4249.44</v>
      </c>
      <c r="L87" s="12" t="n">
        <v>4249.44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1821</v>
      </c>
      <c r="B88" s="14" t="s">
        <v>1917</v>
      </c>
      <c r="C88" s="14" t="s">
        <v>139</v>
      </c>
      <c r="D88" s="14" t="s">
        <v>1028</v>
      </c>
      <c r="E88" s="14" t="s">
        <v>50</v>
      </c>
      <c r="F88" s="15" t="n">
        <v>985000</v>
      </c>
      <c r="G88" s="16" t="n">
        <v>0.95</v>
      </c>
      <c r="H88" s="16" t="n">
        <v>1.23</v>
      </c>
      <c r="I88" s="16" t="n">
        <v>0.9167</v>
      </c>
      <c r="J88" s="16" t="n">
        <v>0.53</v>
      </c>
      <c r="K88" s="15" t="n">
        <f aca="false">ROUND(F88/100*G88*H88*I88/J88,2)</f>
        <v>19907.48</v>
      </c>
      <c r="L88" s="15" t="n">
        <v>19907.48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1787</v>
      </c>
      <c r="B89" s="3" t="s">
        <v>1918</v>
      </c>
      <c r="C89" s="3" t="s">
        <v>59</v>
      </c>
      <c r="D89" s="3" t="s">
        <v>1919</v>
      </c>
      <c r="E89" s="3" t="s">
        <v>56</v>
      </c>
      <c r="F89" s="12" t="n">
        <v>175000</v>
      </c>
      <c r="G89" s="13" t="n">
        <v>0.92</v>
      </c>
      <c r="H89" s="13" t="n">
        <v>0.97</v>
      </c>
      <c r="I89" s="13" t="n">
        <v>0.9167</v>
      </c>
      <c r="J89" s="13" t="n">
        <v>0.53</v>
      </c>
      <c r="K89" s="12" t="n">
        <f aca="false">ROUND(F89/100*G89*H89*I89/J89,2)</f>
        <v>2701.15</v>
      </c>
      <c r="L89" s="12" t="n">
        <v>2701.15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1839</v>
      </c>
      <c r="B90" s="14" t="s">
        <v>1920</v>
      </c>
      <c r="C90" s="14" t="s">
        <v>68</v>
      </c>
      <c r="D90" s="14" t="s">
        <v>673</v>
      </c>
      <c r="E90" s="14" t="s">
        <v>56</v>
      </c>
      <c r="F90" s="15" t="n">
        <v>140000</v>
      </c>
      <c r="G90" s="16" t="n">
        <v>0.92</v>
      </c>
      <c r="H90" s="16" t="n">
        <v>1.38</v>
      </c>
      <c r="I90" s="16" t="n">
        <v>0.9167</v>
      </c>
      <c r="J90" s="16" t="n">
        <v>0.53</v>
      </c>
      <c r="K90" s="15" t="n">
        <f aca="false">ROUND(F90/100*G90*H90*I90/J90,2)</f>
        <v>3074.3</v>
      </c>
      <c r="L90" s="15" t="n">
        <v>3074.3</v>
      </c>
      <c r="M90" s="15" t="n">
        <f aca="false">L90-K90</f>
        <v>0</v>
      </c>
      <c r="N90" s="14" t="s">
        <v>51</v>
      </c>
      <c r="O90" s="14" t="s">
        <v>52</v>
      </c>
    </row>
    <row r="91" customFormat="false" ht="15" hidden="false" customHeight="false" outlineLevel="0" collapsed="false">
      <c r="A91" s="3" t="s">
        <v>1832</v>
      </c>
      <c r="B91" s="3" t="s">
        <v>1921</v>
      </c>
      <c r="C91" s="3" t="s">
        <v>128</v>
      </c>
      <c r="D91" s="3" t="s">
        <v>1922</v>
      </c>
      <c r="E91" s="3" t="s">
        <v>56</v>
      </c>
      <c r="F91" s="12" t="n">
        <v>200000</v>
      </c>
      <c r="G91" s="13" t="n">
        <v>0.92</v>
      </c>
      <c r="H91" s="13" t="n">
        <v>1.25</v>
      </c>
      <c r="I91" s="13" t="n">
        <v>0.9167</v>
      </c>
      <c r="J91" s="13" t="n">
        <v>0.53</v>
      </c>
      <c r="K91" s="12" t="n">
        <f aca="false">ROUND(F91/100*G91*H91*I91/J91,2)</f>
        <v>3978.13</v>
      </c>
      <c r="L91" s="12" t="n">
        <v>3978.13</v>
      </c>
      <c r="M91" s="12" t="n">
        <f aca="false">L91-K91</f>
        <v>0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1800</v>
      </c>
      <c r="B92" s="14" t="s">
        <v>1923</v>
      </c>
      <c r="C92" s="14" t="s">
        <v>193</v>
      </c>
      <c r="D92" s="14" t="s">
        <v>1592</v>
      </c>
      <c r="E92" s="14" t="s">
        <v>56</v>
      </c>
      <c r="F92" s="15" t="n">
        <v>335000</v>
      </c>
      <c r="G92" s="16" t="n">
        <v>0.75</v>
      </c>
      <c r="H92" s="16" t="n">
        <v>1.25</v>
      </c>
      <c r="I92" s="16" t="n">
        <v>0.9167</v>
      </c>
      <c r="J92" s="16" t="n">
        <v>0.53</v>
      </c>
      <c r="K92" s="15" t="n">
        <f aca="false">ROUND(F92/100*G92*H92*I92/J92,2)</f>
        <v>5432.1</v>
      </c>
      <c r="L92" s="15" t="n">
        <v>5432.1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1913</v>
      </c>
      <c r="B93" s="3" t="s">
        <v>1924</v>
      </c>
      <c r="C93" s="3" t="s">
        <v>89</v>
      </c>
      <c r="D93" s="3" t="s">
        <v>182</v>
      </c>
      <c r="E93" s="3" t="s">
        <v>56</v>
      </c>
      <c r="F93" s="12" t="n">
        <v>345000</v>
      </c>
      <c r="G93" s="13" t="n">
        <v>0.75</v>
      </c>
      <c r="H93" s="13" t="n">
        <v>1.35</v>
      </c>
      <c r="I93" s="13" t="n">
        <v>0.9167</v>
      </c>
      <c r="J93" s="13" t="n">
        <v>0.53</v>
      </c>
      <c r="K93" s="12" t="n">
        <f aca="false">ROUND(F93/100*G93*H93*I93/J93,2)</f>
        <v>6041.79</v>
      </c>
      <c r="L93" s="12" t="n">
        <v>6041.79</v>
      </c>
      <c r="M93" s="12" t="n">
        <f aca="false">L93-K93</f>
        <v>0</v>
      </c>
      <c r="N93" s="3" t="s">
        <v>51</v>
      </c>
      <c r="O93" s="3" t="s">
        <v>52</v>
      </c>
    </row>
    <row r="94" customFormat="false" ht="15" hidden="false" customHeight="false" outlineLevel="0" collapsed="false">
      <c r="A94" s="14" t="s">
        <v>1896</v>
      </c>
      <c r="B94" s="14" t="s">
        <v>1925</v>
      </c>
      <c r="C94" s="14" t="s">
        <v>193</v>
      </c>
      <c r="D94" s="14" t="s">
        <v>421</v>
      </c>
      <c r="E94" s="14" t="s">
        <v>56</v>
      </c>
      <c r="F94" s="15" t="n">
        <v>105000</v>
      </c>
      <c r="G94" s="16" t="n">
        <v>0.92</v>
      </c>
      <c r="H94" s="16" t="n">
        <v>1.25</v>
      </c>
      <c r="I94" s="16" t="n">
        <v>0.9167</v>
      </c>
      <c r="J94" s="16" t="n">
        <v>0.53</v>
      </c>
      <c r="K94" s="15" t="n">
        <f aca="false">ROUND(F94/100*G94*H94*I94/J94,2)</f>
        <v>2088.52</v>
      </c>
      <c r="L94" s="15" t="n">
        <v>2088.52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1860</v>
      </c>
      <c r="B95" s="3" t="s">
        <v>1926</v>
      </c>
      <c r="C95" s="3" t="s">
        <v>188</v>
      </c>
      <c r="D95" s="3" t="s">
        <v>1927</v>
      </c>
      <c r="E95" s="3" t="s">
        <v>74</v>
      </c>
      <c r="F95" s="12" t="n">
        <v>1680000</v>
      </c>
      <c r="G95" s="13" t="n">
        <v>0.38</v>
      </c>
      <c r="H95" s="13" t="n">
        <v>1.35</v>
      </c>
      <c r="I95" s="13" t="n">
        <v>0.9167</v>
      </c>
      <c r="J95" s="13" t="n">
        <v>0.53</v>
      </c>
      <c r="K95" s="12" t="n">
        <f aca="false">ROUND(F95/100*G95*H95*I95/J95,2)</f>
        <v>14906.58</v>
      </c>
      <c r="L95" s="12" t="n">
        <v>14906.58</v>
      </c>
      <c r="M95" s="12" t="n">
        <f aca="false">L95-K95</f>
        <v>0</v>
      </c>
      <c r="N95" s="3" t="s">
        <v>51</v>
      </c>
      <c r="O95" s="3" t="s">
        <v>52</v>
      </c>
    </row>
    <row r="96" customFormat="false" ht="15" hidden="false" customHeight="false" outlineLevel="0" collapsed="false">
      <c r="A96" s="14" t="s">
        <v>1818</v>
      </c>
      <c r="B96" s="14" t="s">
        <v>1928</v>
      </c>
      <c r="C96" s="14" t="s">
        <v>89</v>
      </c>
      <c r="D96" s="14" t="s">
        <v>1764</v>
      </c>
      <c r="E96" s="14" t="s">
        <v>74</v>
      </c>
      <c r="F96" s="15" t="n">
        <v>1950000</v>
      </c>
      <c r="G96" s="16" t="n">
        <v>0.38</v>
      </c>
      <c r="H96" s="16" t="n">
        <v>1.35</v>
      </c>
      <c r="I96" s="16" t="n">
        <v>0.9167</v>
      </c>
      <c r="J96" s="16" t="n">
        <v>0.53</v>
      </c>
      <c r="K96" s="15" t="n">
        <f aca="false">ROUND(F96/100*G96*H96*I96/J96,2)</f>
        <v>17302.28</v>
      </c>
      <c r="L96" s="15" t="n">
        <v>17302.28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1804</v>
      </c>
      <c r="B97" s="3" t="s">
        <v>1929</v>
      </c>
      <c r="C97" s="3" t="s">
        <v>117</v>
      </c>
      <c r="D97" s="3" t="s">
        <v>1930</v>
      </c>
      <c r="E97" s="3" t="s">
        <v>157</v>
      </c>
      <c r="F97" s="12" t="n">
        <v>470000</v>
      </c>
      <c r="G97" s="13" t="n">
        <v>0.88</v>
      </c>
      <c r="H97" s="13" t="n">
        <v>0.91</v>
      </c>
      <c r="I97" s="13" t="n">
        <v>0.9167</v>
      </c>
      <c r="J97" s="13" t="n">
        <v>0.53</v>
      </c>
      <c r="K97" s="12" t="n">
        <f aca="false">ROUND(F97/100*G97*H97*I97/J97,2)</f>
        <v>6509.88</v>
      </c>
      <c r="L97" s="12" t="n">
        <v>6509.88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1818</v>
      </c>
      <c r="B98" s="14" t="s">
        <v>1931</v>
      </c>
      <c r="C98" s="14" t="s">
        <v>417</v>
      </c>
      <c r="D98" s="14" t="s">
        <v>666</v>
      </c>
      <c r="E98" s="14" t="s">
        <v>50</v>
      </c>
      <c r="F98" s="15" t="n">
        <v>1655000</v>
      </c>
      <c r="G98" s="16" t="n">
        <v>0.8</v>
      </c>
      <c r="H98" s="16" t="n">
        <v>1.24</v>
      </c>
      <c r="I98" s="16" t="n">
        <v>0.9167</v>
      </c>
      <c r="J98" s="16" t="n">
        <v>0.53</v>
      </c>
      <c r="K98" s="15" t="n">
        <f aca="false">ROUND(F98/100*G98*H98*I98/J98,2)</f>
        <v>28396.25</v>
      </c>
      <c r="L98" s="15" t="n">
        <v>28396.25</v>
      </c>
      <c r="M98" s="15" t="n">
        <f aca="false">L98-K98</f>
        <v>0</v>
      </c>
      <c r="N98" s="14" t="s">
        <v>51</v>
      </c>
      <c r="O98" s="14" t="s">
        <v>52</v>
      </c>
    </row>
    <row r="99" customFormat="false" ht="15" hidden="false" customHeight="false" outlineLevel="0" collapsed="false">
      <c r="A99" s="3" t="s">
        <v>1852</v>
      </c>
      <c r="B99" s="3" t="s">
        <v>1932</v>
      </c>
      <c r="C99" s="3" t="s">
        <v>108</v>
      </c>
      <c r="D99" s="3" t="s">
        <v>1933</v>
      </c>
      <c r="E99" s="3" t="s">
        <v>74</v>
      </c>
      <c r="F99" s="12" t="n">
        <v>290000</v>
      </c>
      <c r="G99" s="13" t="n">
        <v>0.48</v>
      </c>
      <c r="H99" s="13" t="n">
        <v>0.93</v>
      </c>
      <c r="I99" s="13" t="n">
        <v>0.9167</v>
      </c>
      <c r="J99" s="13" t="n">
        <v>0.53</v>
      </c>
      <c r="K99" s="12" t="n">
        <f aca="false">ROUND(F99/100*G99*H99*I99/J99,2)</f>
        <v>2239.1</v>
      </c>
      <c r="L99" s="12" t="n">
        <v>2239.1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1780</v>
      </c>
      <c r="B100" s="14" t="s">
        <v>1934</v>
      </c>
      <c r="C100" s="14" t="s">
        <v>117</v>
      </c>
      <c r="D100" s="14" t="s">
        <v>1935</v>
      </c>
      <c r="E100" s="14" t="s">
        <v>56</v>
      </c>
      <c r="F100" s="15" t="n">
        <v>400000</v>
      </c>
      <c r="G100" s="16" t="n">
        <v>0.75</v>
      </c>
      <c r="H100" s="16" t="n">
        <v>0.91</v>
      </c>
      <c r="I100" s="16" t="n">
        <v>0.9167</v>
      </c>
      <c r="J100" s="16" t="n">
        <v>0.53</v>
      </c>
      <c r="K100" s="15" t="n">
        <f aca="false">ROUND(F100/100*G100*H100*I100/J100,2)</f>
        <v>4721.87</v>
      </c>
      <c r="L100" s="15" t="n">
        <v>4721.87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1795</v>
      </c>
      <c r="B101" s="3" t="s">
        <v>1936</v>
      </c>
      <c r="C101" s="3" t="s">
        <v>224</v>
      </c>
      <c r="D101" s="3" t="s">
        <v>1937</v>
      </c>
      <c r="E101" s="3" t="s">
        <v>157</v>
      </c>
      <c r="F101" s="12" t="n">
        <v>580000</v>
      </c>
      <c r="G101" s="13" t="n">
        <v>0.78</v>
      </c>
      <c r="H101" s="13" t="n">
        <v>1.1</v>
      </c>
      <c r="I101" s="13" t="n">
        <v>0.9167</v>
      </c>
      <c r="J101" s="13" t="n">
        <v>0.53</v>
      </c>
      <c r="K101" s="12" t="n">
        <f aca="false">ROUND(F101/100*G101*H101*I101/J101,2)</f>
        <v>8607.29</v>
      </c>
      <c r="L101" s="12" t="n">
        <v>8607.29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1839</v>
      </c>
      <c r="B102" s="14" t="s">
        <v>1938</v>
      </c>
      <c r="C102" s="14" t="s">
        <v>81</v>
      </c>
      <c r="D102" s="14" t="s">
        <v>1939</v>
      </c>
      <c r="E102" s="14" t="s">
        <v>56</v>
      </c>
      <c r="F102" s="15" t="n">
        <v>615000</v>
      </c>
      <c r="G102" s="16" t="n">
        <v>0.65</v>
      </c>
      <c r="H102" s="16" t="n">
        <v>1.27</v>
      </c>
      <c r="I102" s="16" t="n">
        <v>0.9167</v>
      </c>
      <c r="J102" s="16" t="n">
        <v>0.53</v>
      </c>
      <c r="K102" s="15" t="n">
        <f aca="false">ROUND(F102/100*G102*H102*I102/J102,2)</f>
        <v>8780.99</v>
      </c>
      <c r="L102" s="15" t="n">
        <v>8781</v>
      </c>
      <c r="M102" s="15" t="n">
        <f aca="false">L102-K102</f>
        <v>0.0100000000002183</v>
      </c>
      <c r="N102" s="14" t="s">
        <v>51</v>
      </c>
      <c r="O102" s="14" t="s">
        <v>52</v>
      </c>
    </row>
    <row r="103" customFormat="false" ht="15" hidden="false" customHeight="false" outlineLevel="0" collapsed="false">
      <c r="A103" s="3" t="s">
        <v>1860</v>
      </c>
      <c r="B103" s="3" t="s">
        <v>1940</v>
      </c>
      <c r="C103" s="3" t="s">
        <v>887</v>
      </c>
      <c r="D103" s="3" t="s">
        <v>1693</v>
      </c>
      <c r="E103" s="3" t="s">
        <v>157</v>
      </c>
      <c r="F103" s="12" t="n">
        <v>625000</v>
      </c>
      <c r="G103" s="13" t="n">
        <v>0.78</v>
      </c>
      <c r="H103" s="13" t="n">
        <v>1.37</v>
      </c>
      <c r="I103" s="13" t="n">
        <v>0.9167</v>
      </c>
      <c r="J103" s="13" t="n">
        <v>0.53</v>
      </c>
      <c r="K103" s="12" t="n">
        <f aca="false">ROUND(F103/100*G103*H103*I103/J103,2)</f>
        <v>11551.72</v>
      </c>
      <c r="L103" s="12" t="n">
        <v>11551.72</v>
      </c>
      <c r="M103" s="12" t="n">
        <f aca="false">L103-K103</f>
        <v>0</v>
      </c>
      <c r="N103" s="3" t="s">
        <v>51</v>
      </c>
      <c r="O103" s="3" t="s">
        <v>52</v>
      </c>
    </row>
    <row r="104" customFormat="false" ht="15" hidden="false" customHeight="false" outlineLevel="0" collapsed="false">
      <c r="A104" s="14" t="s">
        <v>1789</v>
      </c>
      <c r="B104" s="14" t="s">
        <v>1941</v>
      </c>
      <c r="C104" s="14" t="s">
        <v>159</v>
      </c>
      <c r="D104" s="14" t="s">
        <v>449</v>
      </c>
      <c r="E104" s="14" t="s">
        <v>50</v>
      </c>
      <c r="F104" s="15" t="n">
        <v>1010000</v>
      </c>
      <c r="G104" s="16" t="n">
        <v>0.8</v>
      </c>
      <c r="H104" s="16" t="n">
        <v>1.15</v>
      </c>
      <c r="I104" s="16" t="n">
        <v>0.9167</v>
      </c>
      <c r="J104" s="16" t="n">
        <v>0.53</v>
      </c>
      <c r="K104" s="15" t="n">
        <f aca="false">ROUND(F104/100*G104*H104*I104/J104,2)</f>
        <v>16071.65</v>
      </c>
      <c r="L104" s="15" t="n">
        <v>16071.66</v>
      </c>
      <c r="M104" s="15" t="n">
        <f aca="false">L104-K104</f>
        <v>0.0100000000002183</v>
      </c>
      <c r="N104" s="14" t="s">
        <v>51</v>
      </c>
      <c r="O104" s="14" t="s">
        <v>52</v>
      </c>
    </row>
    <row r="105" customFormat="false" ht="15" hidden="false" customHeight="false" outlineLevel="0" collapsed="false">
      <c r="A105" s="3" t="s">
        <v>1847</v>
      </c>
      <c r="B105" s="3" t="s">
        <v>1942</v>
      </c>
      <c r="C105" s="3" t="s">
        <v>224</v>
      </c>
      <c r="D105" s="3" t="s">
        <v>1831</v>
      </c>
      <c r="E105" s="3" t="s">
        <v>56</v>
      </c>
      <c r="F105" s="12" t="n">
        <v>495000</v>
      </c>
      <c r="G105" s="13" t="n">
        <v>0.75</v>
      </c>
      <c r="H105" s="13" t="n">
        <v>1.1</v>
      </c>
      <c r="I105" s="13" t="n">
        <v>0.9167</v>
      </c>
      <c r="J105" s="13" t="n">
        <v>0.53</v>
      </c>
      <c r="K105" s="12" t="n">
        <f aca="false">ROUND(F105/100*G105*H105*I105/J105,2)</f>
        <v>7063.35</v>
      </c>
      <c r="L105" s="12" t="n">
        <v>7063.35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1836</v>
      </c>
      <c r="B106" s="14" t="s">
        <v>1943</v>
      </c>
      <c r="C106" s="14" t="s">
        <v>81</v>
      </c>
      <c r="D106" s="14" t="s">
        <v>639</v>
      </c>
      <c r="E106" s="14" t="s">
        <v>56</v>
      </c>
      <c r="F106" s="15" t="n">
        <v>835000</v>
      </c>
      <c r="G106" s="16" t="n">
        <v>0.65</v>
      </c>
      <c r="H106" s="16" t="n">
        <v>1.27</v>
      </c>
      <c r="I106" s="16" t="n">
        <v>0.9167</v>
      </c>
      <c r="J106" s="16" t="n">
        <v>0.53</v>
      </c>
      <c r="K106" s="15" t="n">
        <f aca="false">ROUND(F106/100*G106*H106*I106/J106,2)</f>
        <v>11922.16</v>
      </c>
      <c r="L106" s="15" t="n">
        <v>11922.16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1791</v>
      </c>
      <c r="B107" s="3" t="s">
        <v>1944</v>
      </c>
      <c r="C107" s="3" t="s">
        <v>93</v>
      </c>
      <c r="D107" s="3" t="s">
        <v>1945</v>
      </c>
      <c r="E107" s="3" t="s">
        <v>133</v>
      </c>
      <c r="F107" s="12" t="n">
        <v>635000</v>
      </c>
      <c r="G107" s="13" t="n">
        <v>0.38</v>
      </c>
      <c r="H107" s="13" t="n">
        <v>1.39</v>
      </c>
      <c r="I107" s="13" t="n">
        <v>0.9167</v>
      </c>
      <c r="J107" s="13" t="n">
        <v>0.53</v>
      </c>
      <c r="K107" s="12" t="n">
        <f aca="false">ROUND(F107/100*G107*H107*I107/J107,2)</f>
        <v>5801.28</v>
      </c>
      <c r="L107" s="12" t="n">
        <v>5801.27</v>
      </c>
      <c r="M107" s="12" t="n">
        <f aca="false">L107-K107</f>
        <v>-0.00999999999930878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1860</v>
      </c>
      <c r="B108" s="14" t="s">
        <v>1946</v>
      </c>
      <c r="C108" s="14" t="s">
        <v>237</v>
      </c>
      <c r="D108" s="14" t="s">
        <v>694</v>
      </c>
      <c r="E108" s="14" t="s">
        <v>56</v>
      </c>
      <c r="F108" s="15" t="n">
        <v>730000</v>
      </c>
      <c r="G108" s="16" t="n">
        <v>0.65</v>
      </c>
      <c r="H108" s="16" t="n">
        <v>1.33</v>
      </c>
      <c r="I108" s="16" t="n">
        <v>0.9167</v>
      </c>
      <c r="J108" s="16" t="n">
        <v>0.53</v>
      </c>
      <c r="K108" s="15" t="n">
        <f aca="false">ROUND(F108/100*G108*H108*I108/J108,2)</f>
        <v>10915.39</v>
      </c>
      <c r="L108" s="15" t="n">
        <v>10915.39</v>
      </c>
      <c r="M108" s="15" t="n">
        <f aca="false">L108-K108</f>
        <v>0</v>
      </c>
      <c r="N108" s="14" t="s">
        <v>70</v>
      </c>
      <c r="O108" s="14" t="s">
        <v>52</v>
      </c>
    </row>
    <row r="109" customFormat="false" ht="15" hidden="false" customHeight="false" outlineLevel="0" collapsed="false">
      <c r="A109" s="3" t="s">
        <v>1789</v>
      </c>
      <c r="B109" s="3" t="s">
        <v>1947</v>
      </c>
      <c r="C109" s="3" t="s">
        <v>159</v>
      </c>
      <c r="D109" s="3" t="s">
        <v>1139</v>
      </c>
      <c r="E109" s="3" t="s">
        <v>56</v>
      </c>
      <c r="F109" s="12" t="n">
        <v>690000</v>
      </c>
      <c r="G109" s="13" t="n">
        <v>0.65</v>
      </c>
      <c r="H109" s="13" t="n">
        <v>1.15</v>
      </c>
      <c r="I109" s="13" t="n">
        <v>0.9167</v>
      </c>
      <c r="J109" s="13" t="n">
        <v>0.53</v>
      </c>
      <c r="K109" s="12" t="n">
        <f aca="false">ROUND(F109/100*G109*H109*I109/J109,2)</f>
        <v>8920.96</v>
      </c>
      <c r="L109" s="12" t="n">
        <v>8920.96</v>
      </c>
      <c r="M109" s="12" t="n">
        <f aca="false">L109-K109</f>
        <v>0</v>
      </c>
      <c r="N109" s="3" t="s">
        <v>70</v>
      </c>
      <c r="O109" s="3" t="s">
        <v>52</v>
      </c>
    </row>
    <row r="110" customFormat="false" ht="15" hidden="false" customHeight="false" outlineLevel="0" collapsed="false">
      <c r="A110" s="14" t="s">
        <v>1807</v>
      </c>
      <c r="B110" s="14" t="s">
        <v>1948</v>
      </c>
      <c r="C110" s="14" t="s">
        <v>139</v>
      </c>
      <c r="D110" s="14" t="s">
        <v>1949</v>
      </c>
      <c r="E110" s="14" t="s">
        <v>74</v>
      </c>
      <c r="F110" s="15" t="n">
        <v>525000</v>
      </c>
      <c r="G110" s="16" t="n">
        <v>0.43</v>
      </c>
      <c r="H110" s="16" t="n">
        <v>1.23</v>
      </c>
      <c r="I110" s="16" t="n">
        <v>0.9167</v>
      </c>
      <c r="J110" s="16" t="n">
        <v>0.53</v>
      </c>
      <c r="K110" s="15" t="n">
        <f aca="false">ROUND(F110/100*G110*H110*I110/J110,2)</f>
        <v>4802.69</v>
      </c>
      <c r="L110" s="15" t="n">
        <v>4802.68</v>
      </c>
      <c r="M110" s="15" t="n">
        <f aca="false">L110-K110</f>
        <v>-0.00999999999930878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1791</v>
      </c>
      <c r="B111" s="3" t="s">
        <v>1950</v>
      </c>
      <c r="C111" s="3" t="s">
        <v>152</v>
      </c>
      <c r="D111" s="3" t="s">
        <v>1449</v>
      </c>
      <c r="E111" s="3" t="s">
        <v>74</v>
      </c>
      <c r="F111" s="12" t="n">
        <v>200000</v>
      </c>
      <c r="G111" s="13" t="n">
        <v>0.57</v>
      </c>
      <c r="H111" s="13" t="n">
        <v>1</v>
      </c>
      <c r="I111" s="13" t="n">
        <v>0.9167</v>
      </c>
      <c r="J111" s="13" t="n">
        <v>0.53</v>
      </c>
      <c r="K111" s="12" t="n">
        <f aca="false">ROUND(F111/100*G111*H111*I111/J111,2)</f>
        <v>1971.77</v>
      </c>
      <c r="L111" s="12" t="n">
        <v>1971.77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1836</v>
      </c>
      <c r="B112" s="14" t="s">
        <v>1951</v>
      </c>
      <c r="C112" s="14" t="s">
        <v>887</v>
      </c>
      <c r="D112" s="14" t="s">
        <v>780</v>
      </c>
      <c r="E112" s="14" t="s">
        <v>56</v>
      </c>
      <c r="F112" s="15" t="n">
        <v>465000</v>
      </c>
      <c r="G112" s="16" t="n">
        <v>0.75</v>
      </c>
      <c r="H112" s="16" t="n">
        <v>1.37</v>
      </c>
      <c r="I112" s="16" t="n">
        <v>0.9167</v>
      </c>
      <c r="J112" s="16" t="n">
        <v>0.53</v>
      </c>
      <c r="K112" s="15" t="n">
        <f aca="false">ROUND(F112/100*G112*H112*I112/J112,2)</f>
        <v>8263.92</v>
      </c>
      <c r="L112" s="15" t="n">
        <v>8263.92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1913</v>
      </c>
      <c r="B113" s="3" t="s">
        <v>1952</v>
      </c>
      <c r="C113" s="3" t="s">
        <v>311</v>
      </c>
      <c r="D113" s="3" t="s">
        <v>221</v>
      </c>
      <c r="E113" s="3" t="s">
        <v>50</v>
      </c>
      <c r="F113" s="12" t="n">
        <v>1365000</v>
      </c>
      <c r="G113" s="13" t="n">
        <v>0.8</v>
      </c>
      <c r="H113" s="13" t="n">
        <v>1.06</v>
      </c>
      <c r="I113" s="13" t="n">
        <v>0.9167</v>
      </c>
      <c r="J113" s="13" t="n">
        <v>0.53</v>
      </c>
      <c r="K113" s="12" t="n">
        <f aca="false">ROUND(F113/100*G113*H113*I113/J113,2)</f>
        <v>20020.73</v>
      </c>
      <c r="L113" s="12" t="n">
        <v>20020.73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1850</v>
      </c>
      <c r="B114" s="14" t="s">
        <v>1953</v>
      </c>
      <c r="C114" s="14" t="s">
        <v>417</v>
      </c>
      <c r="D114" s="14" t="s">
        <v>1857</v>
      </c>
      <c r="E114" s="14" t="s">
        <v>56</v>
      </c>
      <c r="F114" s="15" t="n">
        <v>375000</v>
      </c>
      <c r="G114" s="16" t="n">
        <v>0.75</v>
      </c>
      <c r="H114" s="16" t="n">
        <v>1.24</v>
      </c>
      <c r="I114" s="16" t="n">
        <v>0.9167</v>
      </c>
      <c r="J114" s="16" t="n">
        <v>0.53</v>
      </c>
      <c r="K114" s="15" t="n">
        <f aca="false">ROUND(F114/100*G114*H114*I114/J114,2)</f>
        <v>6032.06</v>
      </c>
      <c r="L114" s="15" t="n">
        <v>6032.06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1795</v>
      </c>
      <c r="B115" s="3" t="s">
        <v>1954</v>
      </c>
      <c r="C115" s="3" t="s">
        <v>188</v>
      </c>
      <c r="D115" s="3" t="s">
        <v>1490</v>
      </c>
      <c r="E115" s="3" t="s">
        <v>74</v>
      </c>
      <c r="F115" s="12" t="n">
        <v>1220000</v>
      </c>
      <c r="G115" s="13" t="n">
        <v>0.38</v>
      </c>
      <c r="H115" s="13" t="n">
        <v>1.35</v>
      </c>
      <c r="I115" s="13" t="n">
        <v>0.9167</v>
      </c>
      <c r="J115" s="13" t="n">
        <v>0.53</v>
      </c>
      <c r="K115" s="12" t="n">
        <f aca="false">ROUND(F115/100*G115*H115*I115/J115,2)</f>
        <v>10825.02</v>
      </c>
      <c r="L115" s="12" t="n">
        <v>10825.02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1815</v>
      </c>
      <c r="B116" s="14" t="s">
        <v>1955</v>
      </c>
      <c r="C116" s="14" t="s">
        <v>139</v>
      </c>
      <c r="D116" s="14" t="s">
        <v>490</v>
      </c>
      <c r="E116" s="14" t="s">
        <v>74</v>
      </c>
      <c r="F116" s="15" t="n">
        <v>220000</v>
      </c>
      <c r="G116" s="16" t="n">
        <v>0.57</v>
      </c>
      <c r="H116" s="16" t="n">
        <v>1.23</v>
      </c>
      <c r="I116" s="16" t="n">
        <v>0.9167</v>
      </c>
      <c r="J116" s="16" t="n">
        <v>0.53</v>
      </c>
      <c r="K116" s="15" t="n">
        <f aca="false">ROUND(F116/100*G116*H116*I116/J116,2)</f>
        <v>2667.8</v>
      </c>
      <c r="L116" s="15" t="n">
        <v>2667.81</v>
      </c>
      <c r="M116" s="15" t="n">
        <f aca="false">L116-K116</f>
        <v>0.00999999999976353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1804</v>
      </c>
      <c r="B117" s="3" t="s">
        <v>1956</v>
      </c>
      <c r="C117" s="3" t="s">
        <v>326</v>
      </c>
      <c r="D117" s="3" t="s">
        <v>596</v>
      </c>
      <c r="E117" s="3" t="s">
        <v>56</v>
      </c>
      <c r="F117" s="12" t="n">
        <v>390000</v>
      </c>
      <c r="G117" s="13" t="n">
        <v>0.75</v>
      </c>
      <c r="H117" s="13" t="n">
        <v>1.12</v>
      </c>
      <c r="I117" s="13" t="n">
        <v>0.9167</v>
      </c>
      <c r="J117" s="13" t="n">
        <v>0.53</v>
      </c>
      <c r="K117" s="12" t="n">
        <f aca="false">ROUND(F117/100*G117*H117*I117/J117,2)</f>
        <v>5666.24</v>
      </c>
      <c r="L117" s="12" t="n">
        <v>5666.24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1791</v>
      </c>
      <c r="B118" s="14" t="s">
        <v>1957</v>
      </c>
      <c r="C118" s="14" t="s">
        <v>159</v>
      </c>
      <c r="D118" s="14" t="s">
        <v>705</v>
      </c>
      <c r="E118" s="14" t="s">
        <v>56</v>
      </c>
      <c r="F118" s="15" t="n">
        <v>780000</v>
      </c>
      <c r="G118" s="16" t="n">
        <v>0.65</v>
      </c>
      <c r="H118" s="16" t="n">
        <v>1.15</v>
      </c>
      <c r="I118" s="16" t="n">
        <v>0.9167</v>
      </c>
      <c r="J118" s="16" t="n">
        <v>0.53</v>
      </c>
      <c r="K118" s="15" t="n">
        <f aca="false">ROUND(F118/100*G118*H118*I118/J118,2)</f>
        <v>10084.56</v>
      </c>
      <c r="L118" s="15" t="n">
        <v>10084.56</v>
      </c>
      <c r="M118" s="15" t="n">
        <f aca="false">L118-K118</f>
        <v>0</v>
      </c>
      <c r="N118" s="14" t="s">
        <v>70</v>
      </c>
      <c r="O118" s="14" t="s">
        <v>52</v>
      </c>
    </row>
    <row r="119" customFormat="false" ht="15" hidden="false" customHeight="false" outlineLevel="0" collapsed="false">
      <c r="A119" s="3" t="s">
        <v>1860</v>
      </c>
      <c r="B119" s="3" t="s">
        <v>1958</v>
      </c>
      <c r="C119" s="3" t="s">
        <v>243</v>
      </c>
      <c r="D119" s="3" t="s">
        <v>123</v>
      </c>
      <c r="E119" s="3" t="s">
        <v>50</v>
      </c>
      <c r="F119" s="12" t="n">
        <v>1530000</v>
      </c>
      <c r="G119" s="13" t="n">
        <v>0.8</v>
      </c>
      <c r="H119" s="13" t="n">
        <v>1.14</v>
      </c>
      <c r="I119" s="13" t="n">
        <v>0.9167</v>
      </c>
      <c r="J119" s="13" t="n">
        <v>0.53</v>
      </c>
      <c r="K119" s="12" t="n">
        <f aca="false">ROUND(F119/100*G119*H119*I119/J119,2)</f>
        <v>24134.46</v>
      </c>
      <c r="L119" s="12" t="n">
        <v>24134.47</v>
      </c>
      <c r="M119" s="12" t="n">
        <f aca="false">L119-K119</f>
        <v>0.0100000000020373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1845</v>
      </c>
      <c r="B120" s="14" t="s">
        <v>1959</v>
      </c>
      <c r="C120" s="14" t="s">
        <v>89</v>
      </c>
      <c r="D120" s="14" t="s">
        <v>1960</v>
      </c>
      <c r="E120" s="14" t="s">
        <v>74</v>
      </c>
      <c r="F120" s="15" t="n">
        <v>610000</v>
      </c>
      <c r="G120" s="16" t="n">
        <v>0.43</v>
      </c>
      <c r="H120" s="16" t="n">
        <v>1.35</v>
      </c>
      <c r="I120" s="16" t="n">
        <v>0.9167</v>
      </c>
      <c r="J120" s="16" t="n">
        <v>0.53</v>
      </c>
      <c r="K120" s="15" t="n">
        <f aca="false">ROUND(F120/100*G120*H120*I120/J120,2)</f>
        <v>6124.68</v>
      </c>
      <c r="L120" s="15" t="n">
        <v>6124.68</v>
      </c>
      <c r="M120" s="15" t="n">
        <f aca="false">L120-K120</f>
        <v>0</v>
      </c>
      <c r="N120" s="14" t="s">
        <v>70</v>
      </c>
      <c r="O120" s="14" t="s">
        <v>52</v>
      </c>
    </row>
    <row r="121" customFormat="false" ht="15" hidden="false" customHeight="false" outlineLevel="0" collapsed="false">
      <c r="A121" s="3" t="s">
        <v>1800</v>
      </c>
      <c r="B121" s="3" t="s">
        <v>1961</v>
      </c>
      <c r="C121" s="3" t="s">
        <v>300</v>
      </c>
      <c r="D121" s="3" t="s">
        <v>1263</v>
      </c>
      <c r="E121" s="3" t="s">
        <v>56</v>
      </c>
      <c r="F121" s="12" t="n">
        <v>535000</v>
      </c>
      <c r="G121" s="13" t="n">
        <v>0.65</v>
      </c>
      <c r="H121" s="13" t="n">
        <v>1.11</v>
      </c>
      <c r="I121" s="13" t="n">
        <v>0.9167</v>
      </c>
      <c r="J121" s="13" t="n">
        <v>0.53</v>
      </c>
      <c r="K121" s="12" t="n">
        <f aca="false">ROUND(F121/100*G121*H121*I121/J121,2)</f>
        <v>6676.39</v>
      </c>
      <c r="L121" s="12" t="n">
        <v>6676.39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1800</v>
      </c>
      <c r="B122" s="14" t="s">
        <v>1962</v>
      </c>
      <c r="C122" s="14" t="s">
        <v>311</v>
      </c>
      <c r="D122" s="14" t="s">
        <v>923</v>
      </c>
      <c r="E122" s="14" t="s">
        <v>56</v>
      </c>
      <c r="F122" s="15" t="n">
        <v>650000</v>
      </c>
      <c r="G122" s="16" t="n">
        <v>0.65</v>
      </c>
      <c r="H122" s="16" t="n">
        <v>1.06</v>
      </c>
      <c r="I122" s="16" t="n">
        <v>0.9167</v>
      </c>
      <c r="J122" s="16" t="n">
        <v>0.53</v>
      </c>
      <c r="K122" s="15" t="n">
        <f aca="false">ROUND(F122/100*G122*H122*I122/J122,2)</f>
        <v>7746.12</v>
      </c>
      <c r="L122" s="15" t="n">
        <v>7746.11</v>
      </c>
      <c r="M122" s="15" t="n">
        <f aca="false">L122-K122</f>
        <v>-0.0100000000002183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1821</v>
      </c>
      <c r="B123" s="3" t="s">
        <v>1963</v>
      </c>
      <c r="C123" s="3" t="s">
        <v>278</v>
      </c>
      <c r="D123" s="3" t="s">
        <v>1964</v>
      </c>
      <c r="E123" s="3" t="s">
        <v>133</v>
      </c>
      <c r="F123" s="12" t="n">
        <v>975000</v>
      </c>
      <c r="G123" s="13" t="n">
        <v>0.38</v>
      </c>
      <c r="H123" s="13" t="n">
        <v>0.98</v>
      </c>
      <c r="I123" s="13" t="n">
        <v>0.9167</v>
      </c>
      <c r="J123" s="13" t="n">
        <v>0.53</v>
      </c>
      <c r="K123" s="12" t="n">
        <f aca="false">ROUND(F123/100*G123*H123*I123/J123,2)</f>
        <v>6280.09</v>
      </c>
      <c r="L123" s="12" t="n">
        <v>6280.08</v>
      </c>
      <c r="M123" s="12" t="n">
        <f aca="false">L123-K123</f>
        <v>-0.0100000000002183</v>
      </c>
      <c r="N123" s="3" t="s">
        <v>51</v>
      </c>
      <c r="O123" s="3" t="s">
        <v>52</v>
      </c>
    </row>
    <row r="124" customFormat="false" ht="15" hidden="false" customHeight="false" outlineLevel="0" collapsed="false">
      <c r="A124" s="14" t="s">
        <v>1789</v>
      </c>
      <c r="B124" s="14" t="s">
        <v>1965</v>
      </c>
      <c r="C124" s="14" t="s">
        <v>409</v>
      </c>
      <c r="D124" s="14" t="s">
        <v>1854</v>
      </c>
      <c r="E124" s="14" t="s">
        <v>56</v>
      </c>
      <c r="F124" s="15" t="n">
        <v>450000</v>
      </c>
      <c r="G124" s="16" t="n">
        <v>0.75</v>
      </c>
      <c r="H124" s="16" t="n">
        <v>1.3</v>
      </c>
      <c r="I124" s="16" t="n">
        <v>0.9167</v>
      </c>
      <c r="J124" s="16" t="n">
        <v>0.53</v>
      </c>
      <c r="K124" s="15" t="n">
        <f aca="false">ROUND(F124/100*G124*H124*I124/J124,2)</f>
        <v>7588.72</v>
      </c>
      <c r="L124" s="15" t="n">
        <v>7588.72</v>
      </c>
      <c r="M124" s="15" t="n">
        <f aca="false">L124-K124</f>
        <v>0</v>
      </c>
      <c r="N124" s="14" t="s">
        <v>70</v>
      </c>
      <c r="O124" s="14" t="s">
        <v>52</v>
      </c>
    </row>
    <row r="125" customFormat="false" ht="15" hidden="false" customHeight="false" outlineLevel="0" collapsed="false">
      <c r="A125" s="3" t="s">
        <v>1789</v>
      </c>
      <c r="B125" s="3" t="s">
        <v>1966</v>
      </c>
      <c r="C125" s="3" t="s">
        <v>193</v>
      </c>
      <c r="D125" s="3" t="s">
        <v>1967</v>
      </c>
      <c r="E125" s="3" t="s">
        <v>133</v>
      </c>
      <c r="F125" s="12" t="n">
        <v>655000</v>
      </c>
      <c r="G125" s="13" t="n">
        <v>0.38</v>
      </c>
      <c r="H125" s="13" t="n">
        <v>1.25</v>
      </c>
      <c r="I125" s="13" t="n">
        <v>0.9167</v>
      </c>
      <c r="J125" s="13" t="n">
        <v>0.53</v>
      </c>
      <c r="K125" s="12" t="n">
        <f aca="false">ROUND(F125/100*G125*H125*I125/J125,2)</f>
        <v>5381.29</v>
      </c>
      <c r="L125" s="12" t="n">
        <v>5381.29</v>
      </c>
      <c r="M125" s="12" t="n">
        <f aca="false">L125-K125</f>
        <v>0</v>
      </c>
      <c r="N125" s="3" t="s">
        <v>51</v>
      </c>
      <c r="O125" s="3" t="s">
        <v>52</v>
      </c>
    </row>
    <row r="126" customFormat="false" ht="15" hidden="false" customHeight="false" outlineLevel="0" collapsed="false">
      <c r="A126" s="14" t="s">
        <v>1787</v>
      </c>
      <c r="B126" s="14" t="s">
        <v>1968</v>
      </c>
      <c r="C126" s="14" t="s">
        <v>243</v>
      </c>
      <c r="D126" s="14" t="s">
        <v>511</v>
      </c>
      <c r="E126" s="14" t="s">
        <v>56</v>
      </c>
      <c r="F126" s="15" t="n">
        <v>235000</v>
      </c>
      <c r="G126" s="16" t="n">
        <v>0.92</v>
      </c>
      <c r="H126" s="16" t="n">
        <v>1.14</v>
      </c>
      <c r="I126" s="16" t="n">
        <v>0.9167</v>
      </c>
      <c r="J126" s="16" t="n">
        <v>0.53</v>
      </c>
      <c r="K126" s="15" t="n">
        <f aca="false">ROUND(F126/100*G126*H126*I126/J126,2)</f>
        <v>4262.97</v>
      </c>
      <c r="L126" s="15" t="n">
        <v>4262.97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1836</v>
      </c>
      <c r="B127" s="3" t="s">
        <v>1969</v>
      </c>
      <c r="C127" s="3" t="s">
        <v>217</v>
      </c>
      <c r="D127" s="3" t="s">
        <v>1283</v>
      </c>
      <c r="E127" s="3" t="s">
        <v>56</v>
      </c>
      <c r="F127" s="12" t="n">
        <v>205000</v>
      </c>
      <c r="G127" s="13" t="n">
        <v>0.92</v>
      </c>
      <c r="H127" s="13" t="n">
        <v>1.3</v>
      </c>
      <c r="I127" s="13" t="n">
        <v>0.9167</v>
      </c>
      <c r="J127" s="13" t="n">
        <v>0.53</v>
      </c>
      <c r="K127" s="12" t="n">
        <f aca="false">ROUND(F127/100*G127*H127*I127/J127,2)</f>
        <v>4240.69</v>
      </c>
      <c r="L127" s="12" t="n">
        <v>4240.69</v>
      </c>
      <c r="M127" s="12" t="n">
        <f aca="false">L127-K127</f>
        <v>0</v>
      </c>
      <c r="N127" s="3" t="s">
        <v>51</v>
      </c>
      <c r="O127" s="3" t="s">
        <v>52</v>
      </c>
    </row>
    <row r="128" customFormat="false" ht="15" hidden="false" customHeight="false" outlineLevel="0" collapsed="false">
      <c r="A128" s="14" t="s">
        <v>1787</v>
      </c>
      <c r="B128" s="14" t="s">
        <v>1970</v>
      </c>
      <c r="C128" s="14" t="s">
        <v>366</v>
      </c>
      <c r="D128" s="14" t="s">
        <v>951</v>
      </c>
      <c r="E128" s="14" t="s">
        <v>74</v>
      </c>
      <c r="F128" s="15" t="n">
        <v>635000</v>
      </c>
      <c r="G128" s="16" t="n">
        <v>0.43</v>
      </c>
      <c r="H128" s="16" t="n">
        <v>1.26</v>
      </c>
      <c r="I128" s="16" t="n">
        <v>0.9167</v>
      </c>
      <c r="J128" s="16" t="n">
        <v>0.53</v>
      </c>
      <c r="K128" s="15" t="n">
        <f aca="false">ROUND(F128/100*G128*H128*I128/J128,2)</f>
        <v>5950.65</v>
      </c>
      <c r="L128" s="15" t="n">
        <v>5950.65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1852</v>
      </c>
      <c r="B129" s="3" t="s">
        <v>1971</v>
      </c>
      <c r="C129" s="3" t="s">
        <v>89</v>
      </c>
      <c r="D129" s="3" t="s">
        <v>596</v>
      </c>
      <c r="E129" s="3" t="s">
        <v>56</v>
      </c>
      <c r="F129" s="12" t="n">
        <v>335000</v>
      </c>
      <c r="G129" s="13" t="n">
        <v>0.75</v>
      </c>
      <c r="H129" s="13" t="n">
        <v>1.35</v>
      </c>
      <c r="I129" s="13" t="n">
        <v>0.9167</v>
      </c>
      <c r="J129" s="13" t="n">
        <v>0.53</v>
      </c>
      <c r="K129" s="12" t="n">
        <f aca="false">ROUND(F129/100*G129*H129*I129/J129,2)</f>
        <v>5866.66</v>
      </c>
      <c r="L129" s="12" t="n">
        <v>5866.66</v>
      </c>
      <c r="M129" s="12" t="n">
        <f aca="false">L129-K129</f>
        <v>0</v>
      </c>
      <c r="N129" s="3" t="s">
        <v>70</v>
      </c>
      <c r="O129" s="3" t="s">
        <v>52</v>
      </c>
    </row>
    <row r="130" customFormat="false" ht="15" hidden="false" customHeight="false" outlineLevel="0" collapsed="false">
      <c r="A130" s="14" t="s">
        <v>1784</v>
      </c>
      <c r="B130" s="14" t="s">
        <v>1972</v>
      </c>
      <c r="C130" s="14" t="s">
        <v>64</v>
      </c>
      <c r="D130" s="14" t="s">
        <v>1148</v>
      </c>
      <c r="E130" s="14" t="s">
        <v>56</v>
      </c>
      <c r="F130" s="15" t="n">
        <v>400000</v>
      </c>
      <c r="G130" s="16" t="n">
        <v>0.75</v>
      </c>
      <c r="H130" s="16" t="n">
        <v>1.17</v>
      </c>
      <c r="I130" s="16" t="n">
        <v>0.9167</v>
      </c>
      <c r="J130" s="16" t="n">
        <v>0.53</v>
      </c>
      <c r="K130" s="15" t="n">
        <f aca="false">ROUND(F130/100*G130*H130*I130/J130,2)</f>
        <v>6070.98</v>
      </c>
      <c r="L130" s="15" t="n">
        <v>6070.97</v>
      </c>
      <c r="M130" s="15" t="n">
        <f aca="false">L130-K130</f>
        <v>-0.00999999999930878</v>
      </c>
      <c r="N130" s="14" t="s">
        <v>70</v>
      </c>
      <c r="O130" s="14" t="s">
        <v>52</v>
      </c>
    </row>
    <row r="131" customFormat="false" ht="15" hidden="false" customHeight="false" outlineLevel="0" collapsed="false">
      <c r="A131" s="3" t="s">
        <v>1821</v>
      </c>
      <c r="B131" s="3" t="s">
        <v>1973</v>
      </c>
      <c r="C131" s="3" t="s">
        <v>300</v>
      </c>
      <c r="D131" s="3" t="s">
        <v>897</v>
      </c>
      <c r="E131" s="3" t="s">
        <v>74</v>
      </c>
      <c r="F131" s="12" t="n">
        <v>945000</v>
      </c>
      <c r="G131" s="13" t="n">
        <v>0.43</v>
      </c>
      <c r="H131" s="13" t="n">
        <v>1.11</v>
      </c>
      <c r="I131" s="13" t="n">
        <v>0.9167</v>
      </c>
      <c r="J131" s="13" t="n">
        <v>0.53</v>
      </c>
      <c r="K131" s="12" t="n">
        <f aca="false">ROUND(F131/100*G131*H131*I131/J131,2)</f>
        <v>7801.44</v>
      </c>
      <c r="L131" s="12" t="n">
        <v>7801.44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1974</v>
      </c>
      <c r="B132" s="14" t="s">
        <v>1975</v>
      </c>
      <c r="C132" s="14" t="s">
        <v>128</v>
      </c>
      <c r="D132" s="14" t="s">
        <v>865</v>
      </c>
      <c r="E132" s="14" t="s">
        <v>50</v>
      </c>
      <c r="F132" s="15" t="n">
        <v>870000</v>
      </c>
      <c r="G132" s="16" t="n">
        <v>0.95</v>
      </c>
      <c r="H132" s="16" t="n">
        <v>1.25</v>
      </c>
      <c r="I132" s="16" t="n">
        <v>0.9167</v>
      </c>
      <c r="J132" s="16" t="n">
        <v>0.53</v>
      </c>
      <c r="K132" s="15" t="n">
        <f aca="false">ROUND(F132/100*G132*H132*I132/J132,2)</f>
        <v>17869.16</v>
      </c>
      <c r="L132" s="15" t="n">
        <v>17869.16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1839</v>
      </c>
      <c r="B133" s="3" t="s">
        <v>1976</v>
      </c>
      <c r="C133" s="3" t="s">
        <v>89</v>
      </c>
      <c r="D133" s="3" t="s">
        <v>1977</v>
      </c>
      <c r="E133" s="3" t="s">
        <v>74</v>
      </c>
      <c r="F133" s="12" t="n">
        <v>135000</v>
      </c>
      <c r="G133" s="13" t="n">
        <v>0.57</v>
      </c>
      <c r="H133" s="13" t="n">
        <v>1.35</v>
      </c>
      <c r="I133" s="13" t="n">
        <v>0.9167</v>
      </c>
      <c r="J133" s="13" t="n">
        <v>0.53</v>
      </c>
      <c r="K133" s="12" t="n">
        <f aca="false">ROUND(F133/100*G133*H133*I133/J133,2)</f>
        <v>1796.78</v>
      </c>
      <c r="L133" s="12" t="n">
        <v>1796.78</v>
      </c>
      <c r="M133" s="12" t="n">
        <f aca="false">L133-K133</f>
        <v>0</v>
      </c>
      <c r="N133" s="3" t="s">
        <v>51</v>
      </c>
      <c r="O133" s="3" t="s">
        <v>52</v>
      </c>
    </row>
    <row r="134" customFormat="false" ht="15" hidden="false" customHeight="false" outlineLevel="0" collapsed="false">
      <c r="A134" s="14" t="s">
        <v>1793</v>
      </c>
      <c r="B134" s="14" t="s">
        <v>1978</v>
      </c>
      <c r="C134" s="14" t="s">
        <v>152</v>
      </c>
      <c r="D134" s="14" t="s">
        <v>478</v>
      </c>
      <c r="E134" s="14" t="s">
        <v>56</v>
      </c>
      <c r="F134" s="15" t="n">
        <v>250000</v>
      </c>
      <c r="G134" s="16" t="n">
        <v>0.75</v>
      </c>
      <c r="H134" s="16" t="n">
        <v>1</v>
      </c>
      <c r="I134" s="16" t="n">
        <v>0.9167</v>
      </c>
      <c r="J134" s="16" t="n">
        <v>0.53</v>
      </c>
      <c r="K134" s="15" t="n">
        <f aca="false">ROUND(F134/100*G134*H134*I134/J134,2)</f>
        <v>3243.04</v>
      </c>
      <c r="L134" s="15" t="n">
        <v>3243.05</v>
      </c>
      <c r="M134" s="15" t="n">
        <f aca="false">L134-K134</f>
        <v>0.0100000000002183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1787</v>
      </c>
      <c r="B135" s="3" t="s">
        <v>1979</v>
      </c>
      <c r="C135" s="3" t="s">
        <v>435</v>
      </c>
      <c r="D135" s="3" t="s">
        <v>1188</v>
      </c>
      <c r="E135" s="3" t="s">
        <v>56</v>
      </c>
      <c r="F135" s="12" t="n">
        <v>370000</v>
      </c>
      <c r="G135" s="13" t="n">
        <v>0.75</v>
      </c>
      <c r="H135" s="13" t="n">
        <v>1.13</v>
      </c>
      <c r="I135" s="13" t="n">
        <v>0.9167</v>
      </c>
      <c r="J135" s="13" t="n">
        <v>0.53</v>
      </c>
      <c r="K135" s="12" t="n">
        <f aca="false">ROUND(F135/100*G135*H135*I135/J135,2)</f>
        <v>5423.66</v>
      </c>
      <c r="L135" s="12" t="n">
        <v>5423.66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1782</v>
      </c>
      <c r="B136" s="14" t="s">
        <v>1980</v>
      </c>
      <c r="C136" s="14" t="s">
        <v>68</v>
      </c>
      <c r="D136" s="14" t="s">
        <v>1981</v>
      </c>
      <c r="E136" s="14" t="s">
        <v>133</v>
      </c>
      <c r="F136" s="15" t="n">
        <v>680000</v>
      </c>
      <c r="G136" s="16" t="n">
        <v>0.38</v>
      </c>
      <c r="H136" s="16" t="n">
        <v>1.38</v>
      </c>
      <c r="I136" s="16" t="n">
        <v>0.9167</v>
      </c>
      <c r="J136" s="16" t="n">
        <v>0.53</v>
      </c>
      <c r="K136" s="15" t="n">
        <f aca="false">ROUND(F136/100*G136*H136*I136/J136,2)</f>
        <v>6167.7</v>
      </c>
      <c r="L136" s="15" t="n">
        <v>6167.7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1982</v>
      </c>
      <c r="B137" s="3" t="s">
        <v>1983</v>
      </c>
      <c r="C137" s="3" t="s">
        <v>169</v>
      </c>
      <c r="D137" s="3" t="s">
        <v>1984</v>
      </c>
      <c r="E137" s="3" t="s">
        <v>56</v>
      </c>
      <c r="F137" s="12" t="n">
        <v>1950000</v>
      </c>
      <c r="G137" s="13" t="n">
        <v>0.55</v>
      </c>
      <c r="H137" s="13" t="n">
        <v>1.07</v>
      </c>
      <c r="I137" s="13" t="n">
        <v>0.9167</v>
      </c>
      <c r="J137" s="13" t="n">
        <v>0.53</v>
      </c>
      <c r="K137" s="12" t="n">
        <f aca="false">ROUND(F137/100*G137*H137*I137/J137,2)</f>
        <v>19848.72</v>
      </c>
      <c r="L137" s="12" t="n">
        <v>19848.72</v>
      </c>
      <c r="M137" s="12" t="n">
        <f aca="false">L137-K137</f>
        <v>0</v>
      </c>
      <c r="N137" s="3" t="s">
        <v>51</v>
      </c>
      <c r="O137" s="3" t="s">
        <v>52</v>
      </c>
    </row>
    <row r="138" customFormat="false" ht="15" hidden="false" customHeight="false" outlineLevel="0" collapsed="false">
      <c r="A138" s="14" t="s">
        <v>1842</v>
      </c>
      <c r="B138" s="14" t="s">
        <v>1985</v>
      </c>
      <c r="C138" s="14" t="s">
        <v>114</v>
      </c>
      <c r="D138" s="14" t="s">
        <v>178</v>
      </c>
      <c r="E138" s="14" t="s">
        <v>56</v>
      </c>
      <c r="F138" s="15" t="n">
        <v>900000</v>
      </c>
      <c r="G138" s="16" t="n">
        <v>0.65</v>
      </c>
      <c r="H138" s="16" t="n">
        <v>1.36</v>
      </c>
      <c r="I138" s="16" t="n">
        <v>0.9167</v>
      </c>
      <c r="J138" s="16" t="n">
        <v>0.53</v>
      </c>
      <c r="K138" s="15" t="n">
        <f aca="false">ROUND(F138/100*G138*H138*I138/J138,2)</f>
        <v>13760.88</v>
      </c>
      <c r="L138" s="15" t="n">
        <v>13760.88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1847</v>
      </c>
      <c r="B139" s="3" t="s">
        <v>1986</v>
      </c>
      <c r="C139" s="3" t="s">
        <v>409</v>
      </c>
      <c r="D139" s="3" t="s">
        <v>447</v>
      </c>
      <c r="E139" s="3" t="s">
        <v>56</v>
      </c>
      <c r="F139" s="12" t="n">
        <v>710000</v>
      </c>
      <c r="G139" s="13" t="n">
        <v>0.65</v>
      </c>
      <c r="H139" s="13" t="n">
        <v>1.3</v>
      </c>
      <c r="I139" s="13" t="n">
        <v>0.9167</v>
      </c>
      <c r="J139" s="13" t="n">
        <v>0.53</v>
      </c>
      <c r="K139" s="12" t="n">
        <f aca="false">ROUND(F139/100*G139*H139*I139/J139,2)</f>
        <v>10376.87</v>
      </c>
      <c r="L139" s="12" t="n">
        <v>10376.87</v>
      </c>
      <c r="M139" s="12" t="n">
        <f aca="false">L139-K139</f>
        <v>0</v>
      </c>
      <c r="N139" s="3" t="s">
        <v>51</v>
      </c>
      <c r="O139" s="3" t="s">
        <v>52</v>
      </c>
    </row>
    <row r="140" customFormat="false" ht="15" hidden="false" customHeight="false" outlineLevel="0" collapsed="false">
      <c r="A140" s="14" t="s">
        <v>1818</v>
      </c>
      <c r="B140" s="14" t="s">
        <v>1987</v>
      </c>
      <c r="C140" s="14" t="s">
        <v>237</v>
      </c>
      <c r="D140" s="14" t="s">
        <v>1328</v>
      </c>
      <c r="E140" s="14" t="s">
        <v>56</v>
      </c>
      <c r="F140" s="15" t="n">
        <v>1245000</v>
      </c>
      <c r="G140" s="16" t="n">
        <v>0.55</v>
      </c>
      <c r="H140" s="16" t="n">
        <v>1.33</v>
      </c>
      <c r="I140" s="16" t="n">
        <v>0.9167</v>
      </c>
      <c r="J140" s="16" t="n">
        <v>0.53</v>
      </c>
      <c r="K140" s="15" t="n">
        <f aca="false">ROUND(F140/100*G140*H140*I140/J140,2)</f>
        <v>15751.98</v>
      </c>
      <c r="L140" s="15" t="n">
        <v>15751.98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1913</v>
      </c>
      <c r="B141" s="3" t="s">
        <v>1988</v>
      </c>
      <c r="C141" s="3" t="s">
        <v>243</v>
      </c>
      <c r="D141" s="3" t="s">
        <v>1521</v>
      </c>
      <c r="E141" s="3" t="s">
        <v>50</v>
      </c>
      <c r="F141" s="12" t="n">
        <v>850000</v>
      </c>
      <c r="G141" s="13" t="n">
        <v>0.95</v>
      </c>
      <c r="H141" s="13" t="n">
        <v>1.14</v>
      </c>
      <c r="I141" s="13" t="n">
        <v>0.9167</v>
      </c>
      <c r="J141" s="13" t="n">
        <v>0.53</v>
      </c>
      <c r="K141" s="12" t="n">
        <f aca="false">ROUND(F141/100*G141*H141*I141/J141,2)</f>
        <v>15922.04</v>
      </c>
      <c r="L141" s="12" t="n">
        <v>15922.04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1842</v>
      </c>
      <c r="B142" s="14" t="s">
        <v>1989</v>
      </c>
      <c r="C142" s="14" t="s">
        <v>217</v>
      </c>
      <c r="D142" s="14" t="s">
        <v>1990</v>
      </c>
      <c r="E142" s="14" t="s">
        <v>74</v>
      </c>
      <c r="F142" s="15" t="n">
        <v>1015000</v>
      </c>
      <c r="G142" s="16" t="n">
        <v>0.38</v>
      </c>
      <c r="H142" s="16" t="n">
        <v>1.3</v>
      </c>
      <c r="I142" s="16" t="n">
        <v>0.9167</v>
      </c>
      <c r="J142" s="16" t="n">
        <v>0.53</v>
      </c>
      <c r="K142" s="15" t="n">
        <f aca="false">ROUND(F142/100*G142*H142*I142/J142,2)</f>
        <v>8672.5</v>
      </c>
      <c r="L142" s="15" t="n">
        <v>8672.5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1982</v>
      </c>
      <c r="B143" s="3" t="s">
        <v>1991</v>
      </c>
      <c r="C143" s="3" t="s">
        <v>188</v>
      </c>
      <c r="D143" s="3" t="s">
        <v>1594</v>
      </c>
      <c r="E143" s="3" t="s">
        <v>74</v>
      </c>
      <c r="F143" s="12" t="n">
        <v>140000</v>
      </c>
      <c r="G143" s="13" t="n">
        <v>0.57</v>
      </c>
      <c r="H143" s="13" t="n">
        <v>1.35</v>
      </c>
      <c r="I143" s="13" t="n">
        <v>0.9167</v>
      </c>
      <c r="J143" s="13" t="n">
        <v>0.53</v>
      </c>
      <c r="K143" s="12" t="n">
        <f aca="false">ROUND(F143/100*G143*H143*I143/J143,2)</f>
        <v>1863.32</v>
      </c>
      <c r="L143" s="12" t="n">
        <v>1863.32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1847</v>
      </c>
      <c r="B144" s="14" t="s">
        <v>1992</v>
      </c>
      <c r="C144" s="14" t="s">
        <v>305</v>
      </c>
      <c r="D144" s="14" t="s">
        <v>356</v>
      </c>
      <c r="E144" s="14" t="s">
        <v>56</v>
      </c>
      <c r="F144" s="15" t="n">
        <v>640000</v>
      </c>
      <c r="G144" s="16" t="n">
        <v>0.65</v>
      </c>
      <c r="H144" s="16" t="n">
        <v>1.12</v>
      </c>
      <c r="I144" s="16" t="n">
        <v>0.9167</v>
      </c>
      <c r="J144" s="16" t="n">
        <v>0.53</v>
      </c>
      <c r="K144" s="15" t="n">
        <f aca="false">ROUND(F144/100*G144*H144*I144/J144,2)</f>
        <v>8058.66</v>
      </c>
      <c r="L144" s="15" t="n">
        <v>8058.65</v>
      </c>
      <c r="M144" s="15" t="n">
        <f aca="false">L144-K144</f>
        <v>-0.0100000000002183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1793</v>
      </c>
      <c r="B145" s="3" t="s">
        <v>1993</v>
      </c>
      <c r="C145" s="3" t="s">
        <v>224</v>
      </c>
      <c r="D145" s="3" t="s">
        <v>897</v>
      </c>
      <c r="E145" s="3" t="s">
        <v>74</v>
      </c>
      <c r="F145" s="12" t="n">
        <v>375000</v>
      </c>
      <c r="G145" s="13" t="n">
        <v>0.48</v>
      </c>
      <c r="H145" s="13" t="n">
        <v>1.1</v>
      </c>
      <c r="I145" s="13" t="n">
        <v>0.9167</v>
      </c>
      <c r="J145" s="13" t="n">
        <v>0.53</v>
      </c>
      <c r="K145" s="12" t="n">
        <f aca="false">ROUND(F145/100*G145*H145*I145/J145,2)</f>
        <v>3424.65</v>
      </c>
      <c r="L145" s="12" t="n">
        <v>3424.65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1974</v>
      </c>
      <c r="B146" s="14" t="s">
        <v>1994</v>
      </c>
      <c r="C146" s="14" t="s">
        <v>409</v>
      </c>
      <c r="D146" s="14" t="s">
        <v>1081</v>
      </c>
      <c r="E146" s="14" t="s">
        <v>50</v>
      </c>
      <c r="F146" s="15" t="n">
        <v>805000</v>
      </c>
      <c r="G146" s="16" t="n">
        <v>0.95</v>
      </c>
      <c r="H146" s="16" t="n">
        <v>1.3</v>
      </c>
      <c r="I146" s="16" t="n">
        <v>0.9167</v>
      </c>
      <c r="J146" s="16" t="n">
        <v>0.53</v>
      </c>
      <c r="K146" s="15" t="n">
        <f aca="false">ROUND(F146/100*G146*H146*I146/J146,2)</f>
        <v>17195.48</v>
      </c>
      <c r="L146" s="15" t="n">
        <v>17195.48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1982</v>
      </c>
      <c r="B147" s="3" t="s">
        <v>1995</v>
      </c>
      <c r="C147" s="3" t="s">
        <v>152</v>
      </c>
      <c r="D147" s="3" t="s">
        <v>1996</v>
      </c>
      <c r="E147" s="3" t="s">
        <v>74</v>
      </c>
      <c r="F147" s="12" t="n">
        <v>815000</v>
      </c>
      <c r="G147" s="13" t="n">
        <v>0.43</v>
      </c>
      <c r="H147" s="13" t="n">
        <v>1</v>
      </c>
      <c r="I147" s="13" t="n">
        <v>0.9167</v>
      </c>
      <c r="J147" s="13" t="n">
        <v>0.53</v>
      </c>
      <c r="K147" s="12" t="n">
        <f aca="false">ROUND(F147/100*G147*H147*I147/J147,2)</f>
        <v>6061.46</v>
      </c>
      <c r="L147" s="12" t="n">
        <v>6061.46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1875</v>
      </c>
      <c r="B148" s="14" t="s">
        <v>1997</v>
      </c>
      <c r="C148" s="14" t="s">
        <v>139</v>
      </c>
      <c r="D148" s="14" t="s">
        <v>1998</v>
      </c>
      <c r="E148" s="14" t="s">
        <v>56</v>
      </c>
      <c r="F148" s="15" t="n">
        <v>405000</v>
      </c>
      <c r="G148" s="16" t="n">
        <v>0.75</v>
      </c>
      <c r="H148" s="16" t="n">
        <v>1.23</v>
      </c>
      <c r="I148" s="16" t="n">
        <v>0.9167</v>
      </c>
      <c r="J148" s="16" t="n">
        <v>0.53</v>
      </c>
      <c r="K148" s="15" t="n">
        <f aca="false">ROUND(F148/100*G148*H148*I148/J148,2)</f>
        <v>6462.09</v>
      </c>
      <c r="L148" s="15" t="n">
        <v>6462.08</v>
      </c>
      <c r="M148" s="15" t="n">
        <f aca="false">L148-K148</f>
        <v>-0.0100000000002183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1800</v>
      </c>
      <c r="B149" s="3" t="s">
        <v>1999</v>
      </c>
      <c r="C149" s="3" t="s">
        <v>435</v>
      </c>
      <c r="D149" s="3" t="s">
        <v>1471</v>
      </c>
      <c r="E149" s="3" t="s">
        <v>74</v>
      </c>
      <c r="F149" s="12" t="n">
        <v>1950000</v>
      </c>
      <c r="G149" s="13" t="n">
        <v>0.38</v>
      </c>
      <c r="H149" s="13" t="n">
        <v>1.13</v>
      </c>
      <c r="I149" s="13" t="n">
        <v>0.9167</v>
      </c>
      <c r="J149" s="13" t="n">
        <v>0.53</v>
      </c>
      <c r="K149" s="12" t="n">
        <f aca="false">ROUND(F149/100*G149*H149*I149/J149,2)</f>
        <v>14482.65</v>
      </c>
      <c r="L149" s="12" t="n">
        <v>14482.65</v>
      </c>
      <c r="M149" s="12" t="n">
        <f aca="false">L149-K149</f>
        <v>0</v>
      </c>
      <c r="N149" s="3" t="s">
        <v>51</v>
      </c>
      <c r="O149" s="3" t="s">
        <v>52</v>
      </c>
    </row>
    <row r="150" customFormat="false" ht="15" hidden="false" customHeight="false" outlineLevel="0" collapsed="false">
      <c r="A150" s="14" t="s">
        <v>1800</v>
      </c>
      <c r="B150" s="14" t="s">
        <v>2000</v>
      </c>
      <c r="C150" s="14" t="s">
        <v>188</v>
      </c>
      <c r="D150" s="14" t="s">
        <v>1939</v>
      </c>
      <c r="E150" s="14" t="s">
        <v>56</v>
      </c>
      <c r="F150" s="15" t="n">
        <v>195000</v>
      </c>
      <c r="G150" s="16" t="n">
        <v>0.92</v>
      </c>
      <c r="H150" s="16" t="n">
        <v>1.35</v>
      </c>
      <c r="I150" s="16" t="n">
        <v>0.9167</v>
      </c>
      <c r="J150" s="16" t="n">
        <v>0.53</v>
      </c>
      <c r="K150" s="15" t="n">
        <f aca="false">ROUND(F150/100*G150*H150*I150/J150,2)</f>
        <v>4188.97</v>
      </c>
      <c r="L150" s="15" t="n">
        <v>4188.97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1795</v>
      </c>
      <c r="B151" s="3" t="s">
        <v>2001</v>
      </c>
      <c r="C151" s="3" t="s">
        <v>237</v>
      </c>
      <c r="D151" s="3" t="s">
        <v>211</v>
      </c>
      <c r="E151" s="3" t="s">
        <v>50</v>
      </c>
      <c r="F151" s="12" t="n">
        <v>1590000</v>
      </c>
      <c r="G151" s="13" t="n">
        <v>0.8</v>
      </c>
      <c r="H151" s="13" t="n">
        <v>1.33</v>
      </c>
      <c r="I151" s="13" t="n">
        <v>0.9167</v>
      </c>
      <c r="J151" s="13" t="n">
        <v>0.53</v>
      </c>
      <c r="K151" s="12" t="n">
        <f aca="false">ROUND(F151/100*G151*H151*I151/J151,2)</f>
        <v>29261.06</v>
      </c>
      <c r="L151" s="12" t="n">
        <v>29261.06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1795</v>
      </c>
      <c r="B152" s="14" t="s">
        <v>2002</v>
      </c>
      <c r="C152" s="14" t="s">
        <v>326</v>
      </c>
      <c r="D152" s="14" t="s">
        <v>1184</v>
      </c>
      <c r="E152" s="14" t="s">
        <v>50</v>
      </c>
      <c r="F152" s="15" t="n">
        <v>1820000</v>
      </c>
      <c r="G152" s="16" t="n">
        <v>0.8</v>
      </c>
      <c r="H152" s="16" t="n">
        <v>1.12</v>
      </c>
      <c r="I152" s="16" t="n">
        <v>0.9167</v>
      </c>
      <c r="J152" s="16" t="n">
        <v>0.53</v>
      </c>
      <c r="K152" s="15" t="n">
        <f aca="false">ROUND(F152/100*G152*H152*I152/J152,2)</f>
        <v>28205.3</v>
      </c>
      <c r="L152" s="15" t="n">
        <v>28205.3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1807</v>
      </c>
      <c r="B153" s="3" t="s">
        <v>2003</v>
      </c>
      <c r="C153" s="3" t="s">
        <v>93</v>
      </c>
      <c r="D153" s="3" t="s">
        <v>2004</v>
      </c>
      <c r="E153" s="3" t="s">
        <v>56</v>
      </c>
      <c r="F153" s="12" t="n">
        <v>690000</v>
      </c>
      <c r="G153" s="13" t="n">
        <v>0.65</v>
      </c>
      <c r="H153" s="13" t="n">
        <v>1.39</v>
      </c>
      <c r="I153" s="13" t="n">
        <v>0.9167</v>
      </c>
      <c r="J153" s="13" t="n">
        <v>0.53</v>
      </c>
      <c r="K153" s="12" t="n">
        <f aca="false">ROUND(F153/100*G153*H153*I153/J153,2)</f>
        <v>10782.73</v>
      </c>
      <c r="L153" s="12" t="n">
        <v>10782.73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1850</v>
      </c>
      <c r="B154" s="14" t="s">
        <v>2005</v>
      </c>
      <c r="C154" s="14" t="s">
        <v>81</v>
      </c>
      <c r="D154" s="14" t="s">
        <v>2006</v>
      </c>
      <c r="E154" s="14" t="s">
        <v>56</v>
      </c>
      <c r="F154" s="15" t="n">
        <v>525000</v>
      </c>
      <c r="G154" s="16" t="n">
        <v>0.65</v>
      </c>
      <c r="H154" s="16" t="n">
        <v>1.27</v>
      </c>
      <c r="I154" s="16" t="n">
        <v>0.9167</v>
      </c>
      <c r="J154" s="16" t="n">
        <v>0.53</v>
      </c>
      <c r="K154" s="15" t="n">
        <f aca="false">ROUND(F154/100*G154*H154*I154/J154,2)</f>
        <v>7495.97</v>
      </c>
      <c r="L154" s="15" t="n">
        <v>7495.97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1789</v>
      </c>
      <c r="B155" s="3" t="s">
        <v>2007</v>
      </c>
      <c r="C155" s="3" t="s">
        <v>305</v>
      </c>
      <c r="D155" s="3" t="s">
        <v>888</v>
      </c>
      <c r="E155" s="3" t="s">
        <v>56</v>
      </c>
      <c r="F155" s="12" t="n">
        <v>620000</v>
      </c>
      <c r="G155" s="13" t="n">
        <v>0.65</v>
      </c>
      <c r="H155" s="13" t="n">
        <v>1.12</v>
      </c>
      <c r="I155" s="13" t="n">
        <v>0.9167</v>
      </c>
      <c r="J155" s="13" t="n">
        <v>0.53</v>
      </c>
      <c r="K155" s="12" t="n">
        <f aca="false">ROUND(F155/100*G155*H155*I155/J155,2)</f>
        <v>7806.82</v>
      </c>
      <c r="L155" s="12" t="n">
        <v>7806.83</v>
      </c>
      <c r="M155" s="12" t="n">
        <f aca="false">L155-K155</f>
        <v>0.0100000000002183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1782</v>
      </c>
      <c r="B156" s="14" t="s">
        <v>2008</v>
      </c>
      <c r="C156" s="14" t="s">
        <v>887</v>
      </c>
      <c r="D156" s="14" t="s">
        <v>2009</v>
      </c>
      <c r="E156" s="14" t="s">
        <v>56</v>
      </c>
      <c r="F156" s="15" t="n">
        <v>580000</v>
      </c>
      <c r="G156" s="16" t="n">
        <v>0.65</v>
      </c>
      <c r="H156" s="16" t="n">
        <v>1.37</v>
      </c>
      <c r="I156" s="16" t="n">
        <v>0.9167</v>
      </c>
      <c r="J156" s="16" t="n">
        <v>0.53</v>
      </c>
      <c r="K156" s="15" t="n">
        <f aca="false">ROUND(F156/100*G156*H156*I156/J156,2)</f>
        <v>8933.33</v>
      </c>
      <c r="L156" s="15" t="n">
        <v>8933.32</v>
      </c>
      <c r="M156" s="15" t="n">
        <f aca="false">L156-K156</f>
        <v>-0.0100000000002183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1810</v>
      </c>
      <c r="B157" s="3" t="s">
        <v>2010</v>
      </c>
      <c r="C157" s="3" t="s">
        <v>169</v>
      </c>
      <c r="D157" s="3" t="s">
        <v>944</v>
      </c>
      <c r="E157" s="3" t="s">
        <v>56</v>
      </c>
      <c r="F157" s="12" t="n">
        <v>410000</v>
      </c>
      <c r="G157" s="13" t="n">
        <v>0.75</v>
      </c>
      <c r="H157" s="13" t="n">
        <v>1.07</v>
      </c>
      <c r="I157" s="13" t="n">
        <v>0.9167</v>
      </c>
      <c r="J157" s="13" t="n">
        <v>0.53</v>
      </c>
      <c r="K157" s="12" t="n">
        <f aca="false">ROUND(F157/100*G157*H157*I157/J157,2)</f>
        <v>5690.89</v>
      </c>
      <c r="L157" s="12" t="n">
        <v>5690.89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1839</v>
      </c>
      <c r="B158" s="14" t="s">
        <v>2011</v>
      </c>
      <c r="C158" s="14" t="s">
        <v>145</v>
      </c>
      <c r="D158" s="14" t="s">
        <v>2012</v>
      </c>
      <c r="E158" s="14" t="s">
        <v>56</v>
      </c>
      <c r="F158" s="15" t="n">
        <v>810000</v>
      </c>
      <c r="G158" s="16" t="n">
        <v>0.65</v>
      </c>
      <c r="H158" s="16" t="n">
        <v>0.96</v>
      </c>
      <c r="I158" s="16" t="n">
        <v>0.9167</v>
      </c>
      <c r="J158" s="16" t="n">
        <v>0.53</v>
      </c>
      <c r="K158" s="15" t="n">
        <f aca="false">ROUND(F158/100*G158*H158*I158/J158,2)</f>
        <v>8742.2</v>
      </c>
      <c r="L158" s="15" t="n">
        <v>8742.2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1913</v>
      </c>
      <c r="B159" s="3" t="s">
        <v>2013</v>
      </c>
      <c r="C159" s="3" t="s">
        <v>77</v>
      </c>
      <c r="D159" s="3" t="s">
        <v>2014</v>
      </c>
      <c r="E159" s="3" t="s">
        <v>74</v>
      </c>
      <c r="F159" s="12" t="n">
        <v>365000</v>
      </c>
      <c r="G159" s="13" t="n">
        <v>0.48</v>
      </c>
      <c r="H159" s="13" t="n">
        <v>1.42</v>
      </c>
      <c r="I159" s="13" t="n">
        <v>0.9167</v>
      </c>
      <c r="J159" s="13" t="n">
        <v>0.53</v>
      </c>
      <c r="K159" s="12" t="n">
        <f aca="false">ROUND(F159/100*G159*H159*I159/J159,2)</f>
        <v>4303.02</v>
      </c>
      <c r="L159" s="12" t="n">
        <v>4303.03</v>
      </c>
      <c r="M159" s="12" t="n">
        <f aca="false">L159-K159</f>
        <v>0.00999999999930878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1789</v>
      </c>
      <c r="B160" s="14" t="s">
        <v>2015</v>
      </c>
      <c r="C160" s="14" t="s">
        <v>48</v>
      </c>
      <c r="D160" s="14" t="s">
        <v>162</v>
      </c>
      <c r="E160" s="14" t="s">
        <v>74</v>
      </c>
      <c r="F160" s="15" t="n">
        <v>835000</v>
      </c>
      <c r="G160" s="16" t="n">
        <v>0.43</v>
      </c>
      <c r="H160" s="16" t="n">
        <v>1.28</v>
      </c>
      <c r="I160" s="16" t="n">
        <v>0.9167</v>
      </c>
      <c r="J160" s="16" t="n">
        <v>0.53</v>
      </c>
      <c r="K160" s="15" t="n">
        <f aca="false">ROUND(F160/100*G160*H160*I160/J160,2)</f>
        <v>7949.07</v>
      </c>
      <c r="L160" s="15" t="n">
        <v>7949.07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1795</v>
      </c>
      <c r="B161" s="3" t="s">
        <v>2016</v>
      </c>
      <c r="C161" s="3" t="s">
        <v>409</v>
      </c>
      <c r="D161" s="3" t="s">
        <v>2017</v>
      </c>
      <c r="E161" s="3" t="s">
        <v>50</v>
      </c>
      <c r="F161" s="12" t="n">
        <v>850000</v>
      </c>
      <c r="G161" s="13" t="n">
        <v>0.95</v>
      </c>
      <c r="H161" s="13" t="n">
        <v>1.3</v>
      </c>
      <c r="I161" s="13" t="n">
        <v>0.9167</v>
      </c>
      <c r="J161" s="13" t="n">
        <v>0.53</v>
      </c>
      <c r="K161" s="12" t="n">
        <f aca="false">ROUND(F161/100*G161*H161*I161/J161,2)</f>
        <v>18156.71</v>
      </c>
      <c r="L161" s="12" t="n">
        <v>18156.71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1855</v>
      </c>
      <c r="B162" s="14" t="s">
        <v>2018</v>
      </c>
      <c r="C162" s="14" t="s">
        <v>366</v>
      </c>
      <c r="D162" s="14" t="s">
        <v>1573</v>
      </c>
      <c r="E162" s="14" t="s">
        <v>56</v>
      </c>
      <c r="F162" s="15" t="n">
        <v>405000</v>
      </c>
      <c r="G162" s="16" t="n">
        <v>0.75</v>
      </c>
      <c r="H162" s="16" t="n">
        <v>1.26</v>
      </c>
      <c r="I162" s="16" t="n">
        <v>0.9167</v>
      </c>
      <c r="J162" s="16" t="n">
        <v>0.53</v>
      </c>
      <c r="K162" s="15" t="n">
        <f aca="false">ROUND(F162/100*G162*H162*I162/J162,2)</f>
        <v>6619.7</v>
      </c>
      <c r="L162" s="15" t="n">
        <v>6619.7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1836</v>
      </c>
      <c r="B163" s="3" t="s">
        <v>2019</v>
      </c>
      <c r="C163" s="3" t="s">
        <v>89</v>
      </c>
      <c r="D163" s="3" t="s">
        <v>761</v>
      </c>
      <c r="E163" s="3" t="s">
        <v>56</v>
      </c>
      <c r="F163" s="12" t="n">
        <v>750000</v>
      </c>
      <c r="G163" s="13" t="n">
        <v>0.65</v>
      </c>
      <c r="H163" s="13" t="n">
        <v>1.35</v>
      </c>
      <c r="I163" s="13" t="n">
        <v>0.9167</v>
      </c>
      <c r="J163" s="13" t="n">
        <v>0.53</v>
      </c>
      <c r="K163" s="12" t="n">
        <f aca="false">ROUND(F163/100*G163*H163*I163/J163,2)</f>
        <v>11383.08</v>
      </c>
      <c r="L163" s="12" t="n">
        <v>11383.08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1791</v>
      </c>
      <c r="B164" s="14" t="s">
        <v>2020</v>
      </c>
      <c r="C164" s="14" t="s">
        <v>77</v>
      </c>
      <c r="D164" s="14" t="s">
        <v>186</v>
      </c>
      <c r="E164" s="14" t="s">
        <v>56</v>
      </c>
      <c r="F164" s="15" t="n">
        <v>745000</v>
      </c>
      <c r="G164" s="16" t="n">
        <v>0.65</v>
      </c>
      <c r="H164" s="16" t="n">
        <v>1.42</v>
      </c>
      <c r="I164" s="16" t="n">
        <v>0.9167</v>
      </c>
      <c r="J164" s="16" t="n">
        <v>0.53</v>
      </c>
      <c r="K164" s="15" t="n">
        <f aca="false">ROUND(F164/100*G164*H164*I164/J164,2)</f>
        <v>11893.49</v>
      </c>
      <c r="L164" s="15" t="n">
        <v>11893.49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1839</v>
      </c>
      <c r="B165" s="3" t="s">
        <v>2021</v>
      </c>
      <c r="C165" s="3" t="s">
        <v>48</v>
      </c>
      <c r="D165" s="3" t="s">
        <v>1012</v>
      </c>
      <c r="E165" s="3" t="s">
        <v>56</v>
      </c>
      <c r="F165" s="12" t="n">
        <v>360000</v>
      </c>
      <c r="G165" s="13" t="n">
        <v>0.75</v>
      </c>
      <c r="H165" s="13" t="n">
        <v>1.28</v>
      </c>
      <c r="I165" s="13" t="n">
        <v>0.9167</v>
      </c>
      <c r="J165" s="13" t="n">
        <v>0.53</v>
      </c>
      <c r="K165" s="12" t="n">
        <f aca="false">ROUND(F165/100*G165*H165*I165/J165,2)</f>
        <v>5977.58</v>
      </c>
      <c r="L165" s="12" t="n">
        <v>5977.57</v>
      </c>
      <c r="M165" s="12" t="n">
        <f aca="false">L165-K165</f>
        <v>-0.0100000000002183</v>
      </c>
      <c r="N165" s="3" t="s">
        <v>51</v>
      </c>
      <c r="O165" s="3" t="s">
        <v>52</v>
      </c>
    </row>
    <row r="166" customFormat="false" ht="15" hidden="false" customHeight="false" outlineLevel="0" collapsed="false">
      <c r="A166" s="14" t="s">
        <v>1780</v>
      </c>
      <c r="B166" s="14" t="s">
        <v>2022</v>
      </c>
      <c r="C166" s="14" t="s">
        <v>326</v>
      </c>
      <c r="D166" s="14" t="s">
        <v>338</v>
      </c>
      <c r="E166" s="14" t="s">
        <v>56</v>
      </c>
      <c r="F166" s="15" t="n">
        <v>695000</v>
      </c>
      <c r="G166" s="16" t="n">
        <v>0.65</v>
      </c>
      <c r="H166" s="16" t="n">
        <v>1.12</v>
      </c>
      <c r="I166" s="16" t="n">
        <v>0.9167</v>
      </c>
      <c r="J166" s="16" t="n">
        <v>0.53</v>
      </c>
      <c r="K166" s="15" t="n">
        <f aca="false">ROUND(F166/100*G166*H166*I166/J166,2)</f>
        <v>8751.2</v>
      </c>
      <c r="L166" s="15" t="n">
        <v>8751.2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1855</v>
      </c>
      <c r="B167" s="3" t="s">
        <v>2023</v>
      </c>
      <c r="C167" s="3" t="s">
        <v>81</v>
      </c>
      <c r="D167" s="3" t="s">
        <v>1365</v>
      </c>
      <c r="E167" s="3" t="s">
        <v>50</v>
      </c>
      <c r="F167" s="12" t="n">
        <v>1950000</v>
      </c>
      <c r="G167" s="13" t="n">
        <v>0.8</v>
      </c>
      <c r="H167" s="13" t="n">
        <v>1.27</v>
      </c>
      <c r="I167" s="13" t="n">
        <v>0.9167</v>
      </c>
      <c r="J167" s="13" t="n">
        <v>0.53</v>
      </c>
      <c r="K167" s="12" t="n">
        <f aca="false">ROUND(F167/100*G167*H167*I167/J167,2)</f>
        <v>34267.28</v>
      </c>
      <c r="L167" s="12" t="n">
        <v>34267.28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1793</v>
      </c>
      <c r="B168" s="14" t="s">
        <v>2024</v>
      </c>
      <c r="C168" s="14" t="s">
        <v>117</v>
      </c>
      <c r="D168" s="14" t="s">
        <v>1640</v>
      </c>
      <c r="E168" s="14" t="s">
        <v>74</v>
      </c>
      <c r="F168" s="15" t="n">
        <v>275000</v>
      </c>
      <c r="G168" s="16" t="n">
        <v>0.48</v>
      </c>
      <c r="H168" s="16" t="n">
        <v>0.91</v>
      </c>
      <c r="I168" s="16" t="n">
        <v>0.9167</v>
      </c>
      <c r="J168" s="16" t="n">
        <v>0.53</v>
      </c>
      <c r="K168" s="15" t="n">
        <f aca="false">ROUND(F168/100*G168*H168*I168/J168,2)</f>
        <v>2077.62</v>
      </c>
      <c r="L168" s="15" t="n">
        <v>2077.63</v>
      </c>
      <c r="M168" s="15" t="n">
        <f aca="false">L168-K168</f>
        <v>0.0100000000002183</v>
      </c>
      <c r="N168" s="14" t="s">
        <v>51</v>
      </c>
      <c r="O168" s="14" t="s">
        <v>52</v>
      </c>
    </row>
    <row r="169" customFormat="false" ht="15" hidden="false" customHeight="false" outlineLevel="0" collapsed="false">
      <c r="A169" s="3" t="s">
        <v>1852</v>
      </c>
      <c r="B169" s="3" t="s">
        <v>2025</v>
      </c>
      <c r="C169" s="3" t="s">
        <v>210</v>
      </c>
      <c r="D169" s="3" t="s">
        <v>378</v>
      </c>
      <c r="E169" s="3" t="s">
        <v>56</v>
      </c>
      <c r="F169" s="12" t="n">
        <v>635000</v>
      </c>
      <c r="G169" s="13" t="n">
        <v>0.65</v>
      </c>
      <c r="H169" s="13" t="n">
        <v>1.21</v>
      </c>
      <c r="I169" s="13" t="n">
        <v>0.9167</v>
      </c>
      <c r="J169" s="13" t="n">
        <v>0.53</v>
      </c>
      <c r="K169" s="12" t="n">
        <f aca="false">ROUND(F169/100*G169*H169*I169/J169,2)</f>
        <v>8638.21</v>
      </c>
      <c r="L169" s="12" t="n">
        <v>8638.21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1852</v>
      </c>
      <c r="B170" s="14" t="s">
        <v>2026</v>
      </c>
      <c r="C170" s="14" t="s">
        <v>230</v>
      </c>
      <c r="D170" s="14" t="s">
        <v>2027</v>
      </c>
      <c r="E170" s="14" t="s">
        <v>56</v>
      </c>
      <c r="F170" s="15" t="n">
        <v>480000</v>
      </c>
      <c r="G170" s="16" t="n">
        <v>0.75</v>
      </c>
      <c r="H170" s="16" t="n">
        <v>1.09</v>
      </c>
      <c r="I170" s="16" t="n">
        <v>0.9167</v>
      </c>
      <c r="J170" s="16" t="n">
        <v>0.53</v>
      </c>
      <c r="K170" s="15" t="n">
        <f aca="false">ROUND(F170/100*G170*H170*I170/J170,2)</f>
        <v>6787.04</v>
      </c>
      <c r="L170" s="15" t="n">
        <v>6787.04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1782</v>
      </c>
      <c r="B171" s="3" t="s">
        <v>2028</v>
      </c>
      <c r="C171" s="3" t="s">
        <v>193</v>
      </c>
      <c r="D171" s="3" t="s">
        <v>2029</v>
      </c>
      <c r="E171" s="3" t="s">
        <v>157</v>
      </c>
      <c r="F171" s="12" t="n">
        <v>355000</v>
      </c>
      <c r="G171" s="13" t="n">
        <v>0.88</v>
      </c>
      <c r="H171" s="13" t="n">
        <v>1.25</v>
      </c>
      <c r="I171" s="13" t="n">
        <v>0.9167</v>
      </c>
      <c r="J171" s="13" t="n">
        <v>0.53</v>
      </c>
      <c r="K171" s="12" t="n">
        <f aca="false">ROUND(F171/100*G171*H171*I171/J171,2)</f>
        <v>6754.18</v>
      </c>
      <c r="L171" s="12" t="n">
        <v>6754.17</v>
      </c>
      <c r="M171" s="12" t="n">
        <f aca="false">L171-K171</f>
        <v>-0.0100000000002183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1787</v>
      </c>
      <c r="B172" s="14" t="s">
        <v>2030</v>
      </c>
      <c r="C172" s="14" t="s">
        <v>243</v>
      </c>
      <c r="D172" s="14" t="s">
        <v>575</v>
      </c>
      <c r="E172" s="14" t="s">
        <v>56</v>
      </c>
      <c r="F172" s="15" t="n">
        <v>465000</v>
      </c>
      <c r="G172" s="16" t="n">
        <v>0.75</v>
      </c>
      <c r="H172" s="16" t="n">
        <v>1.14</v>
      </c>
      <c r="I172" s="16" t="n">
        <v>0.9167</v>
      </c>
      <c r="J172" s="16" t="n">
        <v>0.53</v>
      </c>
      <c r="K172" s="15" t="n">
        <f aca="false">ROUND(F172/100*G172*H172*I172/J172,2)</f>
        <v>6876.55</v>
      </c>
      <c r="L172" s="15" t="n">
        <v>6876.55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1821</v>
      </c>
      <c r="B173" s="3" t="s">
        <v>2031</v>
      </c>
      <c r="C173" s="3" t="s">
        <v>81</v>
      </c>
      <c r="D173" s="3" t="s">
        <v>2032</v>
      </c>
      <c r="E173" s="3" t="s">
        <v>74</v>
      </c>
      <c r="F173" s="12" t="n">
        <v>255000</v>
      </c>
      <c r="G173" s="13" t="n">
        <v>0.48</v>
      </c>
      <c r="H173" s="13" t="n">
        <v>1.27</v>
      </c>
      <c r="I173" s="13" t="n">
        <v>0.9167</v>
      </c>
      <c r="J173" s="13" t="n">
        <v>0.53</v>
      </c>
      <c r="K173" s="12" t="n">
        <f aca="false">ROUND(F173/100*G173*H173*I173/J173,2)</f>
        <v>2688.66</v>
      </c>
      <c r="L173" s="12" t="n">
        <v>2688.66</v>
      </c>
      <c r="M173" s="12" t="n">
        <f aca="false">L173-K173</f>
        <v>0</v>
      </c>
      <c r="N173" s="3" t="s">
        <v>51</v>
      </c>
      <c r="O173" s="3" t="s">
        <v>52</v>
      </c>
    </row>
    <row r="174" customFormat="false" ht="15" hidden="false" customHeight="false" outlineLevel="0" collapsed="false">
      <c r="A174" s="14" t="s">
        <v>1896</v>
      </c>
      <c r="B174" s="14" t="s">
        <v>2033</v>
      </c>
      <c r="C174" s="14" t="s">
        <v>224</v>
      </c>
      <c r="D174" s="14" t="s">
        <v>2034</v>
      </c>
      <c r="E174" s="14" t="s">
        <v>56</v>
      </c>
      <c r="F174" s="15" t="n">
        <v>720000</v>
      </c>
      <c r="G174" s="16" t="n">
        <v>0.65</v>
      </c>
      <c r="H174" s="16" t="n">
        <v>1.1</v>
      </c>
      <c r="I174" s="16" t="n">
        <v>0.9167</v>
      </c>
      <c r="J174" s="16" t="n">
        <v>0.53</v>
      </c>
      <c r="K174" s="15" t="n">
        <f aca="false">ROUND(F174/100*G174*H174*I174/J174,2)</f>
        <v>8904.1</v>
      </c>
      <c r="L174" s="15" t="n">
        <v>8904.1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1896</v>
      </c>
      <c r="B175" s="3" t="s">
        <v>2035</v>
      </c>
      <c r="C175" s="3" t="s">
        <v>462</v>
      </c>
      <c r="D175" s="3" t="s">
        <v>800</v>
      </c>
      <c r="E175" s="3" t="s">
        <v>56</v>
      </c>
      <c r="F175" s="12" t="n">
        <v>325000</v>
      </c>
      <c r="G175" s="13" t="n">
        <v>0.75</v>
      </c>
      <c r="H175" s="13" t="n">
        <v>1.34</v>
      </c>
      <c r="I175" s="13" t="n">
        <v>0.9167</v>
      </c>
      <c r="J175" s="13" t="n">
        <v>0.53</v>
      </c>
      <c r="K175" s="12" t="n">
        <f aca="false">ROUND(F175/100*G175*H175*I175/J175,2)</f>
        <v>5649.38</v>
      </c>
      <c r="L175" s="12" t="n">
        <v>5649.38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1787</v>
      </c>
      <c r="B176" s="14" t="s">
        <v>2036</v>
      </c>
      <c r="C176" s="14" t="s">
        <v>224</v>
      </c>
      <c r="D176" s="14" t="s">
        <v>1599</v>
      </c>
      <c r="E176" s="14" t="s">
        <v>56</v>
      </c>
      <c r="F176" s="15" t="n">
        <v>1140000</v>
      </c>
      <c r="G176" s="16" t="n">
        <v>0.55</v>
      </c>
      <c r="H176" s="16" t="n">
        <v>1.1</v>
      </c>
      <c r="I176" s="16" t="n">
        <v>0.9167</v>
      </c>
      <c r="J176" s="16" t="n">
        <v>0.53</v>
      </c>
      <c r="K176" s="15" t="n">
        <f aca="false">ROUND(F176/100*G176*H176*I176/J176,2)</f>
        <v>11929.21</v>
      </c>
      <c r="L176" s="15" t="n">
        <v>11929.21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1795</v>
      </c>
      <c r="B177" s="3" t="s">
        <v>2037</v>
      </c>
      <c r="C177" s="3" t="s">
        <v>193</v>
      </c>
      <c r="D177" s="3" t="s">
        <v>1360</v>
      </c>
      <c r="E177" s="3" t="s">
        <v>56</v>
      </c>
      <c r="F177" s="12" t="n">
        <v>195000</v>
      </c>
      <c r="G177" s="13" t="n">
        <v>0.92</v>
      </c>
      <c r="H177" s="13" t="n">
        <v>1.25</v>
      </c>
      <c r="I177" s="13" t="n">
        <v>0.9167</v>
      </c>
      <c r="J177" s="13" t="n">
        <v>0.53</v>
      </c>
      <c r="K177" s="12" t="n">
        <f aca="false">ROUND(F177/100*G177*H177*I177/J177,2)</f>
        <v>3878.68</v>
      </c>
      <c r="L177" s="12" t="n">
        <v>3878.68</v>
      </c>
      <c r="M177" s="12" t="n">
        <f aca="false">L177-K177</f>
        <v>0</v>
      </c>
      <c r="N177" s="3" t="s">
        <v>51</v>
      </c>
      <c r="O177" s="3" t="s">
        <v>52</v>
      </c>
    </row>
    <row r="178" customFormat="false" ht="15" hidden="false" customHeight="false" outlineLevel="0" collapsed="false">
      <c r="A178" s="14" t="s">
        <v>1795</v>
      </c>
      <c r="B178" s="14" t="s">
        <v>2038</v>
      </c>
      <c r="C178" s="14" t="s">
        <v>139</v>
      </c>
      <c r="D178" s="14" t="s">
        <v>1285</v>
      </c>
      <c r="E178" s="14" t="s">
        <v>50</v>
      </c>
      <c r="F178" s="15" t="n">
        <v>1805000</v>
      </c>
      <c r="G178" s="16" t="n">
        <v>0.8</v>
      </c>
      <c r="H178" s="16" t="n">
        <v>1.23</v>
      </c>
      <c r="I178" s="16" t="n">
        <v>0.9167</v>
      </c>
      <c r="J178" s="16" t="n">
        <v>0.53</v>
      </c>
      <c r="K178" s="15" t="n">
        <f aca="false">ROUND(F178/100*G178*H178*I178/J178,2)</f>
        <v>30720.17</v>
      </c>
      <c r="L178" s="15" t="n">
        <v>30720.18</v>
      </c>
      <c r="M178" s="15" t="n">
        <f aca="false">L178-K178</f>
        <v>0.0100000000020373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1852</v>
      </c>
      <c r="B179" s="3" t="s">
        <v>2039</v>
      </c>
      <c r="C179" s="3" t="s">
        <v>266</v>
      </c>
      <c r="D179" s="3" t="s">
        <v>566</v>
      </c>
      <c r="E179" s="3" t="s">
        <v>56</v>
      </c>
      <c r="F179" s="12" t="n">
        <v>275000</v>
      </c>
      <c r="G179" s="13" t="n">
        <v>0.75</v>
      </c>
      <c r="H179" s="13" t="n">
        <v>1.1</v>
      </c>
      <c r="I179" s="13" t="n">
        <v>0.9167</v>
      </c>
      <c r="J179" s="13" t="n">
        <v>0.53</v>
      </c>
      <c r="K179" s="12" t="n">
        <f aca="false">ROUND(F179/100*G179*H179*I179/J179,2)</f>
        <v>3924.08</v>
      </c>
      <c r="L179" s="12" t="n">
        <v>3924.08</v>
      </c>
      <c r="M179" s="12" t="n">
        <f aca="false">L179-K179</f>
        <v>0</v>
      </c>
      <c r="N179" s="3" t="s">
        <v>61</v>
      </c>
      <c r="O179" s="3" t="s">
        <v>62</v>
      </c>
    </row>
    <row r="180" customFormat="false" ht="15" hidden="false" customHeight="false" outlineLevel="0" collapsed="false">
      <c r="A180" s="14" t="s">
        <v>1784</v>
      </c>
      <c r="B180" s="14" t="s">
        <v>2040</v>
      </c>
      <c r="C180" s="14" t="s">
        <v>108</v>
      </c>
      <c r="D180" s="14" t="s">
        <v>1263</v>
      </c>
      <c r="E180" s="14" t="s">
        <v>56</v>
      </c>
      <c r="F180" s="15" t="n">
        <v>200000</v>
      </c>
      <c r="G180" s="16" t="n">
        <v>0.92</v>
      </c>
      <c r="H180" s="16" t="n">
        <v>0.93</v>
      </c>
      <c r="I180" s="16" t="n">
        <v>0.9167</v>
      </c>
      <c r="J180" s="16" t="n">
        <v>0.53</v>
      </c>
      <c r="K180" s="15" t="n">
        <f aca="false">ROUND(F180/100*G180*H180*I180/J180,2)</f>
        <v>2959.73</v>
      </c>
      <c r="L180" s="15" t="n">
        <v>2959.73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1847</v>
      </c>
      <c r="B181" s="3" t="s">
        <v>2041</v>
      </c>
      <c r="C181" s="3" t="s">
        <v>89</v>
      </c>
      <c r="D181" s="3" t="s">
        <v>1476</v>
      </c>
      <c r="E181" s="3" t="s">
        <v>50</v>
      </c>
      <c r="F181" s="12" t="n">
        <v>840000</v>
      </c>
      <c r="G181" s="13" t="n">
        <v>0.95</v>
      </c>
      <c r="H181" s="13" t="n">
        <v>1.35</v>
      </c>
      <c r="I181" s="13" t="n">
        <v>0.9167</v>
      </c>
      <c r="J181" s="13" t="n">
        <v>0.53</v>
      </c>
      <c r="K181" s="12" t="n">
        <f aca="false">ROUND(F181/100*G181*H181*I181/J181,2)</f>
        <v>18633.22</v>
      </c>
      <c r="L181" s="12" t="n">
        <v>18633.23</v>
      </c>
      <c r="M181" s="12" t="n">
        <f aca="false">L181-K181</f>
        <v>0.00999999999839929</v>
      </c>
      <c r="N181" s="3" t="s">
        <v>51</v>
      </c>
      <c r="O181" s="3" t="s">
        <v>52</v>
      </c>
    </row>
    <row r="182" customFormat="false" ht="15" hidden="false" customHeight="false" outlineLevel="0" collapsed="false">
      <c r="A182" s="14" t="s">
        <v>1815</v>
      </c>
      <c r="B182" s="14" t="s">
        <v>2042</v>
      </c>
      <c r="C182" s="14" t="s">
        <v>117</v>
      </c>
      <c r="D182" s="14" t="s">
        <v>2043</v>
      </c>
      <c r="E182" s="14" t="s">
        <v>50</v>
      </c>
      <c r="F182" s="15" t="n">
        <v>900000</v>
      </c>
      <c r="G182" s="16" t="n">
        <v>0.95</v>
      </c>
      <c r="H182" s="16" t="n">
        <v>0.91</v>
      </c>
      <c r="I182" s="16" t="n">
        <v>0.9167</v>
      </c>
      <c r="J182" s="16" t="n">
        <v>0.53</v>
      </c>
      <c r="K182" s="15" t="n">
        <f aca="false">ROUND(F182/100*G182*H182*I182/J182,2)</f>
        <v>13457.33</v>
      </c>
      <c r="L182" s="15" t="n">
        <v>13457.33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1974</v>
      </c>
      <c r="B183" s="3" t="s">
        <v>2044</v>
      </c>
      <c r="C183" s="3" t="s">
        <v>59</v>
      </c>
      <c r="D183" s="3" t="s">
        <v>2045</v>
      </c>
      <c r="E183" s="3" t="s">
        <v>56</v>
      </c>
      <c r="F183" s="12" t="n">
        <v>360000</v>
      </c>
      <c r="G183" s="13" t="n">
        <v>0.75</v>
      </c>
      <c r="H183" s="13" t="n">
        <v>0.97</v>
      </c>
      <c r="I183" s="13" t="n">
        <v>0.9167</v>
      </c>
      <c r="J183" s="13" t="n">
        <v>0.53</v>
      </c>
      <c r="K183" s="12" t="n">
        <f aca="false">ROUND(F183/100*G183*H183*I183/J183,2)</f>
        <v>4529.88</v>
      </c>
      <c r="L183" s="12" t="n">
        <v>4529.88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1855</v>
      </c>
      <c r="B184" s="14" t="s">
        <v>2046</v>
      </c>
      <c r="C184" s="14" t="s">
        <v>887</v>
      </c>
      <c r="D184" s="14" t="s">
        <v>1045</v>
      </c>
      <c r="E184" s="14" t="s">
        <v>50</v>
      </c>
      <c r="F184" s="15" t="n">
        <v>605000</v>
      </c>
      <c r="G184" s="16" t="n">
        <v>0.95</v>
      </c>
      <c r="H184" s="16" t="n">
        <v>1.37</v>
      </c>
      <c r="I184" s="16" t="n">
        <v>0.9167</v>
      </c>
      <c r="J184" s="16" t="n">
        <v>0.53</v>
      </c>
      <c r="K184" s="15" t="n">
        <f aca="false">ROUND(F184/100*G184*H184*I184/J184,2)</f>
        <v>13619.18</v>
      </c>
      <c r="L184" s="15" t="n">
        <v>13619.18</v>
      </c>
      <c r="M184" s="15" t="n">
        <f aca="false">L184-K184</f>
        <v>0</v>
      </c>
      <c r="N184" s="14" t="s">
        <v>51</v>
      </c>
      <c r="O184" s="14" t="s">
        <v>52</v>
      </c>
    </row>
    <row r="185" customFormat="false" ht="15" hidden="false" customHeight="false" outlineLevel="0" collapsed="false">
      <c r="A185" s="3" t="s">
        <v>1810</v>
      </c>
      <c r="B185" s="3" t="s">
        <v>2047</v>
      </c>
      <c r="C185" s="3" t="s">
        <v>128</v>
      </c>
      <c r="D185" s="3" t="s">
        <v>939</v>
      </c>
      <c r="E185" s="3" t="s">
        <v>157</v>
      </c>
      <c r="F185" s="12" t="n">
        <v>1480000</v>
      </c>
      <c r="G185" s="13" t="n">
        <v>0.68</v>
      </c>
      <c r="H185" s="13" t="n">
        <v>1.25</v>
      </c>
      <c r="I185" s="13" t="n">
        <v>0.9167</v>
      </c>
      <c r="J185" s="13" t="n">
        <v>0.53</v>
      </c>
      <c r="K185" s="12" t="n">
        <f aca="false">ROUND(F185/100*G185*H185*I185/J185,2)</f>
        <v>21758.65</v>
      </c>
      <c r="L185" s="12" t="n">
        <v>21758.65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1913</v>
      </c>
      <c r="B186" s="14" t="s">
        <v>2048</v>
      </c>
      <c r="C186" s="14" t="s">
        <v>85</v>
      </c>
      <c r="D186" s="14" t="s">
        <v>2004</v>
      </c>
      <c r="E186" s="14" t="s">
        <v>56</v>
      </c>
      <c r="F186" s="15" t="n">
        <v>705000</v>
      </c>
      <c r="G186" s="16" t="n">
        <v>0.65</v>
      </c>
      <c r="H186" s="16" t="n">
        <v>1.28</v>
      </c>
      <c r="I186" s="16" t="n">
        <v>0.9167</v>
      </c>
      <c r="J186" s="16" t="n">
        <v>0.53</v>
      </c>
      <c r="K186" s="15" t="n">
        <f aca="false">ROUND(F186/100*G186*H186*I186/J186,2)</f>
        <v>10145.27</v>
      </c>
      <c r="L186" s="15" t="n">
        <v>10145.27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1852</v>
      </c>
      <c r="B187" s="3" t="s">
        <v>2049</v>
      </c>
      <c r="C187" s="3" t="s">
        <v>184</v>
      </c>
      <c r="D187" s="3" t="s">
        <v>2050</v>
      </c>
      <c r="E187" s="3" t="s">
        <v>56</v>
      </c>
      <c r="F187" s="12" t="n">
        <v>620000</v>
      </c>
      <c r="G187" s="13" t="n">
        <v>0.65</v>
      </c>
      <c r="H187" s="13" t="n">
        <v>1.02</v>
      </c>
      <c r="I187" s="13" t="n">
        <v>0.9167</v>
      </c>
      <c r="J187" s="13" t="n">
        <v>0.53</v>
      </c>
      <c r="K187" s="12" t="n">
        <f aca="false">ROUND(F187/100*G187*H187*I187/J187,2)</f>
        <v>7109.79</v>
      </c>
      <c r="L187" s="12" t="n">
        <v>7109.79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1845</v>
      </c>
      <c r="B188" s="14" t="s">
        <v>2051</v>
      </c>
      <c r="C188" s="14" t="s">
        <v>188</v>
      </c>
      <c r="D188" s="14" t="s">
        <v>1773</v>
      </c>
      <c r="E188" s="14" t="s">
        <v>56</v>
      </c>
      <c r="F188" s="15" t="n">
        <v>345000</v>
      </c>
      <c r="G188" s="16" t="n">
        <v>0.75</v>
      </c>
      <c r="H188" s="16" t="n">
        <v>1.35</v>
      </c>
      <c r="I188" s="16" t="n">
        <v>0.9167</v>
      </c>
      <c r="J188" s="16" t="n">
        <v>0.53</v>
      </c>
      <c r="K188" s="15" t="n">
        <f aca="false">ROUND(F188/100*G188*H188*I188/J188,2)</f>
        <v>6041.79</v>
      </c>
      <c r="L188" s="15" t="n">
        <v>6041.79</v>
      </c>
      <c r="M188" s="15" t="n">
        <f aca="false">L188-K188</f>
        <v>0</v>
      </c>
      <c r="N188" s="14" t="s">
        <v>70</v>
      </c>
      <c r="O188" s="14" t="s">
        <v>52</v>
      </c>
    </row>
    <row r="189" customFormat="false" ht="15" hidden="false" customHeight="false" outlineLevel="0" collapsed="false">
      <c r="A189" s="3" t="s">
        <v>1842</v>
      </c>
      <c r="B189" s="3" t="s">
        <v>2052</v>
      </c>
      <c r="C189" s="3" t="s">
        <v>59</v>
      </c>
      <c r="D189" s="3" t="s">
        <v>1297</v>
      </c>
      <c r="E189" s="3" t="s">
        <v>56</v>
      </c>
      <c r="F189" s="12" t="n">
        <v>285000</v>
      </c>
      <c r="G189" s="13" t="n">
        <v>0.75</v>
      </c>
      <c r="H189" s="13" t="n">
        <v>0.97</v>
      </c>
      <c r="I189" s="13" t="n">
        <v>0.9167</v>
      </c>
      <c r="J189" s="13" t="n">
        <v>0.53</v>
      </c>
      <c r="K189" s="12" t="n">
        <f aca="false">ROUND(F189/100*G189*H189*I189/J189,2)</f>
        <v>3586.16</v>
      </c>
      <c r="L189" s="12" t="n">
        <v>3586.16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1815</v>
      </c>
      <c r="B190" s="14" t="s">
        <v>2053</v>
      </c>
      <c r="C190" s="14" t="s">
        <v>142</v>
      </c>
      <c r="D190" s="14" t="s">
        <v>600</v>
      </c>
      <c r="E190" s="14" t="s">
        <v>157</v>
      </c>
      <c r="F190" s="15" t="n">
        <v>560000</v>
      </c>
      <c r="G190" s="16" t="n">
        <v>0.78</v>
      </c>
      <c r="H190" s="16" t="n">
        <v>1.22</v>
      </c>
      <c r="I190" s="16" t="n">
        <v>0.9167</v>
      </c>
      <c r="J190" s="16" t="n">
        <v>0.53</v>
      </c>
      <c r="K190" s="15" t="n">
        <f aca="false">ROUND(F190/100*G190*H190*I190/J190,2)</f>
        <v>9217.09</v>
      </c>
      <c r="L190" s="15" t="n">
        <v>9217.09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1855</v>
      </c>
      <c r="B191" s="3" t="s">
        <v>2054</v>
      </c>
      <c r="C191" s="3" t="s">
        <v>193</v>
      </c>
      <c r="D191" s="3" t="s">
        <v>544</v>
      </c>
      <c r="E191" s="3" t="s">
        <v>50</v>
      </c>
      <c r="F191" s="12" t="n">
        <v>540000</v>
      </c>
      <c r="G191" s="13" t="n">
        <v>0.95</v>
      </c>
      <c r="H191" s="13" t="n">
        <v>1.25</v>
      </c>
      <c r="I191" s="13" t="n">
        <v>0.9167</v>
      </c>
      <c r="J191" s="13" t="n">
        <v>0.53</v>
      </c>
      <c r="K191" s="12" t="n">
        <f aca="false">ROUND(F191/100*G191*H191*I191/J191,2)</f>
        <v>11091.21</v>
      </c>
      <c r="L191" s="12" t="n">
        <v>11091.21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1847</v>
      </c>
      <c r="B192" s="14" t="s">
        <v>2055</v>
      </c>
      <c r="C192" s="14" t="s">
        <v>435</v>
      </c>
      <c r="D192" s="14" t="s">
        <v>400</v>
      </c>
      <c r="E192" s="14" t="s">
        <v>56</v>
      </c>
      <c r="F192" s="15" t="n">
        <v>820000</v>
      </c>
      <c r="G192" s="16" t="n">
        <v>0.65</v>
      </c>
      <c r="H192" s="16" t="n">
        <v>1.13</v>
      </c>
      <c r="I192" s="16" t="n">
        <v>0.9167</v>
      </c>
      <c r="J192" s="16" t="n">
        <v>0.53</v>
      </c>
      <c r="K192" s="15" t="n">
        <f aca="false">ROUND(F192/100*G192*H192*I192/J192,2)</f>
        <v>10417.34</v>
      </c>
      <c r="L192" s="15" t="n">
        <v>10417.34</v>
      </c>
      <c r="M192" s="15" t="n">
        <f aca="false">L192-K192</f>
        <v>0</v>
      </c>
      <c r="N192" s="14" t="s">
        <v>51</v>
      </c>
      <c r="O192" s="14" t="s">
        <v>52</v>
      </c>
    </row>
    <row r="193" customFormat="false" ht="15" hidden="false" customHeight="false" outlineLevel="0" collapsed="false">
      <c r="A193" s="3" t="s">
        <v>1845</v>
      </c>
      <c r="B193" s="3" t="s">
        <v>2056</v>
      </c>
      <c r="C193" s="3" t="s">
        <v>224</v>
      </c>
      <c r="D193" s="3" t="s">
        <v>2057</v>
      </c>
      <c r="E193" s="3" t="s">
        <v>56</v>
      </c>
      <c r="F193" s="12" t="n">
        <v>310000</v>
      </c>
      <c r="G193" s="13" t="n">
        <v>0.75</v>
      </c>
      <c r="H193" s="13" t="n">
        <v>1.1</v>
      </c>
      <c r="I193" s="13" t="n">
        <v>0.9167</v>
      </c>
      <c r="J193" s="13" t="n">
        <v>0.53</v>
      </c>
      <c r="K193" s="12" t="n">
        <f aca="false">ROUND(F193/100*G193*H193*I193/J193,2)</f>
        <v>4423.51</v>
      </c>
      <c r="L193" s="12" t="n">
        <v>4423.51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1913</v>
      </c>
      <c r="B194" s="14" t="s">
        <v>2058</v>
      </c>
      <c r="C194" s="14" t="s">
        <v>159</v>
      </c>
      <c r="D194" s="14" t="s">
        <v>2059</v>
      </c>
      <c r="E194" s="14" t="s">
        <v>56</v>
      </c>
      <c r="F194" s="15" t="n">
        <v>325000</v>
      </c>
      <c r="G194" s="16" t="n">
        <v>0.75</v>
      </c>
      <c r="H194" s="16" t="n">
        <v>1.15</v>
      </c>
      <c r="I194" s="16" t="n">
        <v>0.9167</v>
      </c>
      <c r="J194" s="16" t="n">
        <v>0.53</v>
      </c>
      <c r="K194" s="15" t="n">
        <f aca="false">ROUND(F194/100*G194*H194*I194/J194,2)</f>
        <v>4848.35</v>
      </c>
      <c r="L194" s="15" t="n">
        <v>4848.35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1845</v>
      </c>
      <c r="B195" s="3" t="s">
        <v>2060</v>
      </c>
      <c r="C195" s="3" t="s">
        <v>300</v>
      </c>
      <c r="D195" s="3" t="s">
        <v>1121</v>
      </c>
      <c r="E195" s="3" t="s">
        <v>50</v>
      </c>
      <c r="F195" s="12" t="n">
        <v>225000</v>
      </c>
      <c r="G195" s="13" t="n">
        <v>1.42</v>
      </c>
      <c r="H195" s="13" t="n">
        <v>1.11</v>
      </c>
      <c r="I195" s="13" t="n">
        <v>0.9167</v>
      </c>
      <c r="J195" s="13" t="n">
        <v>0.53</v>
      </c>
      <c r="K195" s="12" t="n">
        <f aca="false">ROUND(F195/100*G195*H195*I195/J195,2)</f>
        <v>6134.02</v>
      </c>
      <c r="L195" s="12" t="n">
        <v>6134.02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1784</v>
      </c>
      <c r="B196" s="14" t="s">
        <v>2061</v>
      </c>
      <c r="C196" s="14" t="s">
        <v>131</v>
      </c>
      <c r="D196" s="14" t="s">
        <v>1766</v>
      </c>
      <c r="E196" s="14" t="s">
        <v>56</v>
      </c>
      <c r="F196" s="15" t="n">
        <v>410000</v>
      </c>
      <c r="G196" s="16" t="n">
        <v>0.75</v>
      </c>
      <c r="H196" s="16" t="n">
        <v>0.95</v>
      </c>
      <c r="I196" s="16" t="n">
        <v>0.9167</v>
      </c>
      <c r="J196" s="16" t="n">
        <v>0.53</v>
      </c>
      <c r="K196" s="15" t="n">
        <f aca="false">ROUND(F196/100*G196*H196*I196/J196,2)</f>
        <v>5052.66</v>
      </c>
      <c r="L196" s="15" t="n">
        <v>5052.66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1815</v>
      </c>
      <c r="B197" s="3" t="s">
        <v>2062</v>
      </c>
      <c r="C197" s="3" t="s">
        <v>237</v>
      </c>
      <c r="D197" s="3" t="s">
        <v>1700</v>
      </c>
      <c r="E197" s="3" t="s">
        <v>56</v>
      </c>
      <c r="F197" s="12" t="n">
        <v>445000</v>
      </c>
      <c r="G197" s="13" t="n">
        <v>0.75</v>
      </c>
      <c r="H197" s="13" t="n">
        <v>1.33</v>
      </c>
      <c r="I197" s="13" t="n">
        <v>0.9167</v>
      </c>
      <c r="J197" s="13" t="n">
        <v>0.53</v>
      </c>
      <c r="K197" s="12" t="n">
        <f aca="false">ROUND(F197/100*G197*H197*I197/J197,2)</f>
        <v>7677.58</v>
      </c>
      <c r="L197" s="12" t="n">
        <v>7677.58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1787</v>
      </c>
      <c r="B198" s="14" t="s">
        <v>2063</v>
      </c>
      <c r="C198" s="14" t="s">
        <v>188</v>
      </c>
      <c r="D198" s="14" t="s">
        <v>769</v>
      </c>
      <c r="E198" s="14" t="s">
        <v>56</v>
      </c>
      <c r="F198" s="15" t="n">
        <v>380000</v>
      </c>
      <c r="G198" s="16" t="n">
        <v>0.75</v>
      </c>
      <c r="H198" s="16" t="n">
        <v>1.35</v>
      </c>
      <c r="I198" s="16" t="n">
        <v>0.9167</v>
      </c>
      <c r="J198" s="16" t="n">
        <v>0.53</v>
      </c>
      <c r="K198" s="15" t="n">
        <f aca="false">ROUND(F198/100*G198*H198*I198/J198,2)</f>
        <v>6654.72</v>
      </c>
      <c r="L198" s="15" t="n">
        <v>6654.72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1780</v>
      </c>
      <c r="B199" s="3" t="s">
        <v>2064</v>
      </c>
      <c r="C199" s="3" t="s">
        <v>108</v>
      </c>
      <c r="D199" s="3" t="s">
        <v>2065</v>
      </c>
      <c r="E199" s="3" t="s">
        <v>56</v>
      </c>
      <c r="F199" s="12" t="n">
        <v>625000</v>
      </c>
      <c r="G199" s="13" t="n">
        <v>0.65</v>
      </c>
      <c r="H199" s="13" t="n">
        <v>0.93</v>
      </c>
      <c r="I199" s="13" t="n">
        <v>0.9167</v>
      </c>
      <c r="J199" s="13" t="n">
        <v>0.53</v>
      </c>
      <c r="K199" s="12" t="n">
        <f aca="false">ROUND(F199/100*G199*H199*I199/J199,2)</f>
        <v>6534.73</v>
      </c>
      <c r="L199" s="12" t="n">
        <v>6534.73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1800</v>
      </c>
      <c r="B200" s="14" t="s">
        <v>2066</v>
      </c>
      <c r="C200" s="14" t="s">
        <v>152</v>
      </c>
      <c r="D200" s="14" t="s">
        <v>2067</v>
      </c>
      <c r="E200" s="14" t="s">
        <v>50</v>
      </c>
      <c r="F200" s="15" t="n">
        <v>1025000</v>
      </c>
      <c r="G200" s="16" t="n">
        <v>0.8</v>
      </c>
      <c r="H200" s="16" t="n">
        <v>1</v>
      </c>
      <c r="I200" s="16" t="n">
        <v>0.9167</v>
      </c>
      <c r="J200" s="16" t="n">
        <v>0.53</v>
      </c>
      <c r="K200" s="15" t="n">
        <f aca="false">ROUND(F200/100*G200*H200*I200/J200,2)</f>
        <v>14182.91</v>
      </c>
      <c r="L200" s="15" t="n">
        <v>14182.91</v>
      </c>
      <c r="M200" s="15" t="n">
        <f aca="false">L200-K200</f>
        <v>0</v>
      </c>
      <c r="N200" s="14" t="s">
        <v>70</v>
      </c>
      <c r="O200" s="14" t="s">
        <v>52</v>
      </c>
    </row>
    <row r="201" customFormat="false" ht="15" hidden="false" customHeight="false" outlineLevel="0" collapsed="false">
      <c r="A201" s="3" t="s">
        <v>1839</v>
      </c>
      <c r="B201" s="3" t="s">
        <v>2068</v>
      </c>
      <c r="C201" s="3" t="s">
        <v>152</v>
      </c>
      <c r="D201" s="3" t="s">
        <v>2069</v>
      </c>
      <c r="E201" s="3" t="s">
        <v>56</v>
      </c>
      <c r="F201" s="12" t="n">
        <v>375000</v>
      </c>
      <c r="G201" s="13" t="n">
        <v>0.75</v>
      </c>
      <c r="H201" s="13" t="n">
        <v>1</v>
      </c>
      <c r="I201" s="13" t="n">
        <v>0.9167</v>
      </c>
      <c r="J201" s="13" t="n">
        <v>0.53</v>
      </c>
      <c r="K201" s="12" t="n">
        <f aca="false">ROUND(F201/100*G201*H201*I201/J201,2)</f>
        <v>4864.56</v>
      </c>
      <c r="L201" s="12" t="n">
        <v>4864.56</v>
      </c>
      <c r="M201" s="12" t="n">
        <f aca="false">L201-K201</f>
        <v>0</v>
      </c>
      <c r="N201" s="3" t="s">
        <v>51</v>
      </c>
      <c r="O201" s="3" t="s">
        <v>52</v>
      </c>
    </row>
    <row r="202" customFormat="false" ht="15" hidden="false" customHeight="false" outlineLevel="0" collapsed="false">
      <c r="A202" s="14" t="s">
        <v>1845</v>
      </c>
      <c r="B202" s="14" t="s">
        <v>2070</v>
      </c>
      <c r="C202" s="14" t="s">
        <v>81</v>
      </c>
      <c r="D202" s="14" t="s">
        <v>703</v>
      </c>
      <c r="E202" s="14" t="s">
        <v>74</v>
      </c>
      <c r="F202" s="15" t="n">
        <v>705000</v>
      </c>
      <c r="G202" s="16" t="n">
        <v>0.43</v>
      </c>
      <c r="H202" s="16" t="n">
        <v>1.27</v>
      </c>
      <c r="I202" s="16" t="n">
        <v>0.9167</v>
      </c>
      <c r="J202" s="16" t="n">
        <v>0.53</v>
      </c>
      <c r="K202" s="15" t="n">
        <f aca="false">ROUND(F202/100*G202*H202*I202/J202,2)</f>
        <v>6659.06</v>
      </c>
      <c r="L202" s="15" t="n">
        <v>6659.06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1795</v>
      </c>
      <c r="B203" s="3" t="s">
        <v>2071</v>
      </c>
      <c r="C203" s="3" t="s">
        <v>81</v>
      </c>
      <c r="D203" s="3" t="s">
        <v>2072</v>
      </c>
      <c r="E203" s="3" t="s">
        <v>56</v>
      </c>
      <c r="F203" s="12" t="n">
        <v>755000</v>
      </c>
      <c r="G203" s="13" t="n">
        <v>0.65</v>
      </c>
      <c r="H203" s="13" t="n">
        <v>1.27</v>
      </c>
      <c r="I203" s="13" t="n">
        <v>0.9167</v>
      </c>
      <c r="J203" s="13" t="n">
        <v>0.53</v>
      </c>
      <c r="K203" s="12" t="n">
        <f aca="false">ROUND(F203/100*G203*H203*I203/J203,2)</f>
        <v>10779.92</v>
      </c>
      <c r="L203" s="12" t="n">
        <v>10779.92</v>
      </c>
      <c r="M203" s="12" t="n">
        <f aca="false">L203-K203</f>
        <v>0</v>
      </c>
      <c r="N203" s="3" t="s">
        <v>70</v>
      </c>
      <c r="O203" s="3" t="s">
        <v>52</v>
      </c>
    </row>
    <row r="204" customFormat="false" ht="15" hidden="false" customHeight="false" outlineLevel="0" collapsed="false">
      <c r="A204" s="14" t="s">
        <v>1780</v>
      </c>
      <c r="B204" s="14" t="s">
        <v>2073</v>
      </c>
      <c r="C204" s="14" t="s">
        <v>887</v>
      </c>
      <c r="D204" s="14" t="s">
        <v>445</v>
      </c>
      <c r="E204" s="14" t="s">
        <v>56</v>
      </c>
      <c r="F204" s="15" t="n">
        <v>575000</v>
      </c>
      <c r="G204" s="16" t="n">
        <v>0.65</v>
      </c>
      <c r="H204" s="16" t="n">
        <v>1.37</v>
      </c>
      <c r="I204" s="16" t="n">
        <v>0.9167</v>
      </c>
      <c r="J204" s="16" t="n">
        <v>0.53</v>
      </c>
      <c r="K204" s="15" t="n">
        <f aca="false">ROUND(F204/100*G204*H204*I204/J204,2)</f>
        <v>8856.32</v>
      </c>
      <c r="L204" s="15" t="n">
        <v>8856.31</v>
      </c>
      <c r="M204" s="15" t="n">
        <f aca="false">L204-K204</f>
        <v>-0.0100000000002183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1787</v>
      </c>
      <c r="B205" s="3" t="s">
        <v>2074</v>
      </c>
      <c r="C205" s="3" t="s">
        <v>193</v>
      </c>
      <c r="D205" s="3" t="s">
        <v>389</v>
      </c>
      <c r="E205" s="3" t="s">
        <v>50</v>
      </c>
      <c r="F205" s="12" t="n">
        <v>820000</v>
      </c>
      <c r="G205" s="13" t="n">
        <v>0.95</v>
      </c>
      <c r="H205" s="13" t="n">
        <v>1.25</v>
      </c>
      <c r="I205" s="13" t="n">
        <v>0.9167</v>
      </c>
      <c r="J205" s="13" t="n">
        <v>0.53</v>
      </c>
      <c r="K205" s="12" t="n">
        <f aca="false">ROUND(F205/100*G205*H205*I205/J205,2)</f>
        <v>16842.2</v>
      </c>
      <c r="L205" s="12" t="n">
        <v>16842.2</v>
      </c>
      <c r="M205" s="12" t="n">
        <f aca="false">L205-K205</f>
        <v>0</v>
      </c>
      <c r="N205" s="3" t="s">
        <v>51</v>
      </c>
      <c r="O205" s="3" t="s">
        <v>52</v>
      </c>
    </row>
    <row r="206" customFormat="false" ht="15" hidden="false" customHeight="false" outlineLevel="0" collapsed="false">
      <c r="A206" s="14" t="s">
        <v>1815</v>
      </c>
      <c r="B206" s="14" t="s">
        <v>2075</v>
      </c>
      <c r="C206" s="14" t="s">
        <v>48</v>
      </c>
      <c r="D206" s="14" t="s">
        <v>1777</v>
      </c>
      <c r="E206" s="14" t="s">
        <v>50</v>
      </c>
      <c r="F206" s="15" t="n">
        <v>545000</v>
      </c>
      <c r="G206" s="16" t="n">
        <v>0.95</v>
      </c>
      <c r="H206" s="16" t="n">
        <v>1.28</v>
      </c>
      <c r="I206" s="16" t="n">
        <v>0.9167</v>
      </c>
      <c r="J206" s="16" t="n">
        <v>0.53</v>
      </c>
      <c r="K206" s="15" t="n">
        <f aca="false">ROUND(F206/100*G206*H206*I206/J206,2)</f>
        <v>11462.56</v>
      </c>
      <c r="L206" s="15" t="n">
        <v>11462.55</v>
      </c>
      <c r="M206" s="15" t="n">
        <f aca="false">L206-K206</f>
        <v>-0.0100000000002183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1839</v>
      </c>
      <c r="B207" s="3" t="s">
        <v>2076</v>
      </c>
      <c r="C207" s="3" t="s">
        <v>114</v>
      </c>
      <c r="D207" s="3" t="s">
        <v>2077</v>
      </c>
      <c r="E207" s="3" t="s">
        <v>56</v>
      </c>
      <c r="F207" s="12" t="n">
        <v>220000</v>
      </c>
      <c r="G207" s="13" t="n">
        <v>0.92</v>
      </c>
      <c r="H207" s="13" t="n">
        <v>1.36</v>
      </c>
      <c r="I207" s="13" t="n">
        <v>0.9167</v>
      </c>
      <c r="J207" s="13" t="n">
        <v>0.53</v>
      </c>
      <c r="K207" s="12" t="n">
        <f aca="false">ROUND(F207/100*G207*H207*I207/J207,2)</f>
        <v>4761.03</v>
      </c>
      <c r="L207" s="12" t="n">
        <v>4761.03</v>
      </c>
      <c r="M207" s="12" t="n">
        <f aca="false">L207-K207</f>
        <v>0</v>
      </c>
      <c r="N207" s="3" t="s">
        <v>70</v>
      </c>
      <c r="O207" s="3" t="s">
        <v>52</v>
      </c>
    </row>
    <row r="208" customFormat="false" ht="15" hidden="false" customHeight="false" outlineLevel="0" collapsed="false">
      <c r="A208" s="14" t="s">
        <v>1789</v>
      </c>
      <c r="B208" s="14" t="s">
        <v>2078</v>
      </c>
      <c r="C208" s="14" t="s">
        <v>435</v>
      </c>
      <c r="D208" s="14" t="s">
        <v>1627</v>
      </c>
      <c r="E208" s="14" t="s">
        <v>56</v>
      </c>
      <c r="F208" s="15" t="n">
        <v>695000</v>
      </c>
      <c r="G208" s="16" t="n">
        <v>0.65</v>
      </c>
      <c r="H208" s="16" t="n">
        <v>1.13</v>
      </c>
      <c r="I208" s="16" t="n">
        <v>0.9167</v>
      </c>
      <c r="J208" s="16" t="n">
        <v>0.53</v>
      </c>
      <c r="K208" s="15" t="n">
        <f aca="false">ROUND(F208/100*G208*H208*I208/J208,2)</f>
        <v>8829.33</v>
      </c>
      <c r="L208" s="15" t="n">
        <v>8829.33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1832</v>
      </c>
      <c r="B209" s="3" t="s">
        <v>2079</v>
      </c>
      <c r="C209" s="3" t="s">
        <v>89</v>
      </c>
      <c r="D209" s="3" t="s">
        <v>1330</v>
      </c>
      <c r="E209" s="3" t="s">
        <v>56</v>
      </c>
      <c r="F209" s="12" t="n">
        <v>480000</v>
      </c>
      <c r="G209" s="13" t="n">
        <v>0.75</v>
      </c>
      <c r="H209" s="13" t="n">
        <v>1.35</v>
      </c>
      <c r="I209" s="13" t="n">
        <v>0.9167</v>
      </c>
      <c r="J209" s="13" t="n">
        <v>0.53</v>
      </c>
      <c r="K209" s="12" t="n">
        <f aca="false">ROUND(F209/100*G209*H209*I209/J209,2)</f>
        <v>8405.97</v>
      </c>
      <c r="L209" s="12" t="n">
        <v>8405.96</v>
      </c>
      <c r="M209" s="12" t="n">
        <f aca="false">L209-K209</f>
        <v>-0.0100000000002183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1855</v>
      </c>
      <c r="B210" s="14" t="s">
        <v>2080</v>
      </c>
      <c r="C210" s="14" t="s">
        <v>77</v>
      </c>
      <c r="D210" s="14" t="s">
        <v>2081</v>
      </c>
      <c r="E210" s="14" t="s">
        <v>56</v>
      </c>
      <c r="F210" s="15" t="n">
        <v>570000</v>
      </c>
      <c r="G210" s="16" t="n">
        <v>0.65</v>
      </c>
      <c r="H210" s="16" t="n">
        <v>1.42</v>
      </c>
      <c r="I210" s="16" t="n">
        <v>0.9167</v>
      </c>
      <c r="J210" s="16" t="n">
        <v>0.53</v>
      </c>
      <c r="K210" s="15" t="n">
        <f aca="false">ROUND(F210/100*G210*H210*I210/J210,2)</f>
        <v>9099.72</v>
      </c>
      <c r="L210" s="15" t="n">
        <v>9099.71</v>
      </c>
      <c r="M210" s="15" t="n">
        <f aca="false">L210-K210</f>
        <v>-0.0100000000002183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1784</v>
      </c>
      <c r="B211" s="3" t="s">
        <v>2082</v>
      </c>
      <c r="C211" s="3" t="s">
        <v>220</v>
      </c>
      <c r="D211" s="3" t="s">
        <v>2083</v>
      </c>
      <c r="E211" s="3" t="s">
        <v>133</v>
      </c>
      <c r="F211" s="12" t="n">
        <v>870000</v>
      </c>
      <c r="G211" s="13" t="n">
        <v>0.38</v>
      </c>
      <c r="H211" s="13" t="n">
        <v>1.01</v>
      </c>
      <c r="I211" s="13" t="n">
        <v>0.9167</v>
      </c>
      <c r="J211" s="13" t="n">
        <v>0.53</v>
      </c>
      <c r="K211" s="12" t="n">
        <f aca="false">ROUND(F211/100*G211*H211*I211/J211,2)</f>
        <v>5775.31</v>
      </c>
      <c r="L211" s="12" t="n">
        <v>5775.31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1815</v>
      </c>
      <c r="B212" s="14" t="s">
        <v>2084</v>
      </c>
      <c r="C212" s="14" t="s">
        <v>142</v>
      </c>
      <c r="D212" s="14" t="s">
        <v>634</v>
      </c>
      <c r="E212" s="14" t="s">
        <v>56</v>
      </c>
      <c r="F212" s="15" t="n">
        <v>845000</v>
      </c>
      <c r="G212" s="16" t="n">
        <v>0.65</v>
      </c>
      <c r="H212" s="16" t="n">
        <v>1.22</v>
      </c>
      <c r="I212" s="16" t="n">
        <v>0.9167</v>
      </c>
      <c r="J212" s="16" t="n">
        <v>0.53</v>
      </c>
      <c r="K212" s="15" t="n">
        <f aca="false">ROUND(F212/100*G212*H212*I212/J212,2)</f>
        <v>11589.94</v>
      </c>
      <c r="L212" s="15" t="n">
        <v>11589.94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1836</v>
      </c>
      <c r="B213" s="3" t="s">
        <v>2085</v>
      </c>
      <c r="C213" s="3" t="s">
        <v>435</v>
      </c>
      <c r="D213" s="3" t="s">
        <v>256</v>
      </c>
      <c r="E213" s="3" t="s">
        <v>56</v>
      </c>
      <c r="F213" s="12" t="n">
        <v>1310000</v>
      </c>
      <c r="G213" s="13" t="n">
        <v>0.55</v>
      </c>
      <c r="H213" s="13" t="n">
        <v>1.13</v>
      </c>
      <c r="I213" s="13" t="n">
        <v>0.9167</v>
      </c>
      <c r="J213" s="13" t="n">
        <v>0.53</v>
      </c>
      <c r="K213" s="12" t="n">
        <f aca="false">ROUND(F213/100*G213*H213*I213/J213,2)</f>
        <v>14081.98</v>
      </c>
      <c r="L213" s="12" t="n">
        <v>14081.98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1839</v>
      </c>
      <c r="B214" s="14" t="s">
        <v>2086</v>
      </c>
      <c r="C214" s="14" t="s">
        <v>145</v>
      </c>
      <c r="D214" s="14" t="s">
        <v>1690</v>
      </c>
      <c r="E214" s="14" t="s">
        <v>56</v>
      </c>
      <c r="F214" s="15" t="n">
        <v>1070000</v>
      </c>
      <c r="G214" s="16" t="n">
        <v>0.55</v>
      </c>
      <c r="H214" s="16" t="n">
        <v>0.96</v>
      </c>
      <c r="I214" s="16" t="n">
        <v>0.9167</v>
      </c>
      <c r="J214" s="16" t="n">
        <v>0.53</v>
      </c>
      <c r="K214" s="15" t="n">
        <f aca="false">ROUND(F214/100*G214*H214*I214/J214,2)</f>
        <v>9771.68</v>
      </c>
      <c r="L214" s="15" t="n">
        <v>9771.67</v>
      </c>
      <c r="M214" s="15" t="n">
        <f aca="false">L214-K214</f>
        <v>-0.0100000000002183</v>
      </c>
      <c r="N214" s="14" t="s">
        <v>61</v>
      </c>
      <c r="O214" s="14" t="s">
        <v>62</v>
      </c>
    </row>
    <row r="215" customFormat="false" ht="15" hidden="false" customHeight="false" outlineLevel="0" collapsed="false">
      <c r="A215" s="3" t="s">
        <v>1782</v>
      </c>
      <c r="B215" s="3" t="s">
        <v>2087</v>
      </c>
      <c r="C215" s="3" t="s">
        <v>220</v>
      </c>
      <c r="D215" s="3" t="s">
        <v>2088</v>
      </c>
      <c r="E215" s="3" t="s">
        <v>133</v>
      </c>
      <c r="F215" s="12" t="n">
        <v>1410000</v>
      </c>
      <c r="G215" s="13" t="n">
        <v>0.34</v>
      </c>
      <c r="H215" s="13" t="n">
        <v>1.01</v>
      </c>
      <c r="I215" s="13" t="n">
        <v>0.9167</v>
      </c>
      <c r="J215" s="13" t="n">
        <v>0.53</v>
      </c>
      <c r="K215" s="12" t="n">
        <f aca="false">ROUND(F215/100*G215*H215*I215/J215,2)</f>
        <v>8374.73</v>
      </c>
      <c r="L215" s="12" t="n">
        <v>8374.73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1784</v>
      </c>
      <c r="B216" s="14" t="s">
        <v>2089</v>
      </c>
      <c r="C216" s="14" t="s">
        <v>128</v>
      </c>
      <c r="D216" s="14" t="s">
        <v>1085</v>
      </c>
      <c r="E216" s="14" t="s">
        <v>56</v>
      </c>
      <c r="F216" s="15" t="n">
        <v>575000</v>
      </c>
      <c r="G216" s="16" t="n">
        <v>0.65</v>
      </c>
      <c r="H216" s="16" t="n">
        <v>1.25</v>
      </c>
      <c r="I216" s="16" t="n">
        <v>0.9167</v>
      </c>
      <c r="J216" s="16" t="n">
        <v>0.53</v>
      </c>
      <c r="K216" s="15" t="n">
        <f aca="false">ROUND(F216/100*G216*H216*I216/J216,2)</f>
        <v>8080.58</v>
      </c>
      <c r="L216" s="15" t="n">
        <v>8080.58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1850</v>
      </c>
      <c r="B217" s="3" t="s">
        <v>2090</v>
      </c>
      <c r="C217" s="3" t="s">
        <v>117</v>
      </c>
      <c r="D217" s="3" t="s">
        <v>2077</v>
      </c>
      <c r="E217" s="3" t="s">
        <v>56</v>
      </c>
      <c r="F217" s="12" t="n">
        <v>685000</v>
      </c>
      <c r="G217" s="13" t="n">
        <v>0.65</v>
      </c>
      <c r="H217" s="13" t="n">
        <v>0.91</v>
      </c>
      <c r="I217" s="13" t="n">
        <v>0.9167</v>
      </c>
      <c r="J217" s="13" t="n">
        <v>0.53</v>
      </c>
      <c r="K217" s="12" t="n">
        <f aca="false">ROUND(F217/100*G217*H217*I217/J217,2)</f>
        <v>7008.04</v>
      </c>
      <c r="L217" s="12" t="n">
        <v>7008.04</v>
      </c>
      <c r="M217" s="12" t="n">
        <f aca="false">L217-K217</f>
        <v>0</v>
      </c>
      <c r="N217" s="3" t="s">
        <v>51</v>
      </c>
      <c r="O217" s="3" t="s">
        <v>52</v>
      </c>
    </row>
    <row r="218" customFormat="false" ht="15" hidden="false" customHeight="false" outlineLevel="0" collapsed="false">
      <c r="A218" s="14" t="s">
        <v>1974</v>
      </c>
      <c r="B218" s="14" t="s">
        <v>2091</v>
      </c>
      <c r="C218" s="14" t="s">
        <v>64</v>
      </c>
      <c r="D218" s="14" t="s">
        <v>1549</v>
      </c>
      <c r="E218" s="14" t="s">
        <v>56</v>
      </c>
      <c r="F218" s="15" t="n">
        <v>445000</v>
      </c>
      <c r="G218" s="16" t="n">
        <v>0.75</v>
      </c>
      <c r="H218" s="16" t="n">
        <v>1.17</v>
      </c>
      <c r="I218" s="16" t="n">
        <v>0.9167</v>
      </c>
      <c r="J218" s="16" t="n">
        <v>0.53</v>
      </c>
      <c r="K218" s="15" t="n">
        <f aca="false">ROUND(F218/100*G218*H218*I218/J218,2)</f>
        <v>6753.96</v>
      </c>
      <c r="L218" s="15" t="n">
        <v>6753.96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1800</v>
      </c>
      <c r="B219" s="3" t="s">
        <v>2092</v>
      </c>
      <c r="C219" s="3" t="s">
        <v>224</v>
      </c>
      <c r="D219" s="3" t="s">
        <v>682</v>
      </c>
      <c r="E219" s="3" t="s">
        <v>56</v>
      </c>
      <c r="F219" s="12" t="n">
        <v>355000</v>
      </c>
      <c r="G219" s="13" t="n">
        <v>0.75</v>
      </c>
      <c r="H219" s="13" t="n">
        <v>1.1</v>
      </c>
      <c r="I219" s="13" t="n">
        <v>0.9167</v>
      </c>
      <c r="J219" s="13" t="n">
        <v>0.53</v>
      </c>
      <c r="K219" s="12" t="n">
        <f aca="false">ROUND(F219/100*G219*H219*I219/J219,2)</f>
        <v>5065.63</v>
      </c>
      <c r="L219" s="12" t="n">
        <v>5065.63</v>
      </c>
      <c r="M219" s="12" t="n">
        <f aca="false">L219-K219</f>
        <v>0</v>
      </c>
      <c r="N219" s="3" t="s">
        <v>70</v>
      </c>
      <c r="O219" s="3" t="s">
        <v>52</v>
      </c>
    </row>
    <row r="220" customFormat="false" ht="15" hidden="false" customHeight="false" outlineLevel="0" collapsed="false">
      <c r="A220" s="14" t="s">
        <v>1847</v>
      </c>
      <c r="B220" s="14" t="s">
        <v>2093</v>
      </c>
      <c r="C220" s="14" t="s">
        <v>237</v>
      </c>
      <c r="D220" s="14" t="s">
        <v>880</v>
      </c>
      <c r="E220" s="14" t="s">
        <v>56</v>
      </c>
      <c r="F220" s="15" t="n">
        <v>640000</v>
      </c>
      <c r="G220" s="16" t="n">
        <v>0.65</v>
      </c>
      <c r="H220" s="16" t="n">
        <v>1.33</v>
      </c>
      <c r="I220" s="16" t="n">
        <v>0.9167</v>
      </c>
      <c r="J220" s="16" t="n">
        <v>0.53</v>
      </c>
      <c r="K220" s="15" t="n">
        <f aca="false">ROUND(F220/100*G220*H220*I220/J220,2)</f>
        <v>9569.66</v>
      </c>
      <c r="L220" s="15" t="n">
        <v>9569.66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1974</v>
      </c>
      <c r="B221" s="3" t="s">
        <v>2094</v>
      </c>
      <c r="C221" s="3" t="s">
        <v>152</v>
      </c>
      <c r="D221" s="3" t="s">
        <v>1589</v>
      </c>
      <c r="E221" s="3" t="s">
        <v>74</v>
      </c>
      <c r="F221" s="12" t="n">
        <v>365000</v>
      </c>
      <c r="G221" s="13" t="n">
        <v>0.48</v>
      </c>
      <c r="H221" s="13" t="n">
        <v>1</v>
      </c>
      <c r="I221" s="13" t="n">
        <v>0.9167</v>
      </c>
      <c r="J221" s="13" t="n">
        <v>0.53</v>
      </c>
      <c r="K221" s="12" t="n">
        <f aca="false">ROUND(F221/100*G221*H221*I221/J221,2)</f>
        <v>3030.3</v>
      </c>
      <c r="L221" s="12" t="n">
        <v>3030.3</v>
      </c>
      <c r="M221" s="12" t="n">
        <f aca="false">L221-K221</f>
        <v>0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1787</v>
      </c>
      <c r="B222" s="14" t="s">
        <v>2095</v>
      </c>
      <c r="C222" s="14" t="s">
        <v>230</v>
      </c>
      <c r="D222" s="14" t="s">
        <v>2096</v>
      </c>
      <c r="E222" s="14" t="s">
        <v>50</v>
      </c>
      <c r="F222" s="15" t="n">
        <v>775000</v>
      </c>
      <c r="G222" s="16" t="n">
        <v>0.95</v>
      </c>
      <c r="H222" s="16" t="n">
        <v>1.09</v>
      </c>
      <c r="I222" s="16" t="n">
        <v>0.9167</v>
      </c>
      <c r="J222" s="16" t="n">
        <v>0.53</v>
      </c>
      <c r="K222" s="15" t="n">
        <f aca="false">ROUND(F222/100*G222*H222*I222/J222,2)</f>
        <v>13880.44</v>
      </c>
      <c r="L222" s="15" t="n">
        <v>13880.44</v>
      </c>
      <c r="M222" s="15" t="n">
        <f aca="false">L222-K222</f>
        <v>0</v>
      </c>
      <c r="N222" s="14" t="s">
        <v>70</v>
      </c>
      <c r="O222" s="14" t="s">
        <v>52</v>
      </c>
    </row>
    <row r="223" customFormat="false" ht="15" hidden="false" customHeight="false" outlineLevel="0" collapsed="false">
      <c r="A223" s="3" t="s">
        <v>1839</v>
      </c>
      <c r="B223" s="3" t="s">
        <v>2097</v>
      </c>
      <c r="C223" s="3" t="s">
        <v>217</v>
      </c>
      <c r="D223" s="3" t="s">
        <v>2017</v>
      </c>
      <c r="E223" s="3" t="s">
        <v>50</v>
      </c>
      <c r="F223" s="12" t="n">
        <v>1935000</v>
      </c>
      <c r="G223" s="13" t="n">
        <v>0.8</v>
      </c>
      <c r="H223" s="13" t="n">
        <v>1.3</v>
      </c>
      <c r="I223" s="13" t="n">
        <v>0.9167</v>
      </c>
      <c r="J223" s="13" t="n">
        <v>0.53</v>
      </c>
      <c r="K223" s="12" t="n">
        <f aca="false">ROUND(F223/100*G223*H223*I223/J223,2)</f>
        <v>34806.93</v>
      </c>
      <c r="L223" s="12" t="n">
        <v>34806.92</v>
      </c>
      <c r="M223" s="12" t="n">
        <f aca="false">L223-K223</f>
        <v>-0.0100000000020373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1850</v>
      </c>
      <c r="B224" s="14" t="s">
        <v>2098</v>
      </c>
      <c r="C224" s="14" t="s">
        <v>300</v>
      </c>
      <c r="D224" s="14" t="s">
        <v>2099</v>
      </c>
      <c r="E224" s="14" t="s">
        <v>50</v>
      </c>
      <c r="F224" s="15" t="n">
        <v>985000</v>
      </c>
      <c r="G224" s="16" t="n">
        <v>0.95</v>
      </c>
      <c r="H224" s="16" t="n">
        <v>1.11</v>
      </c>
      <c r="I224" s="16" t="n">
        <v>0.9167</v>
      </c>
      <c r="J224" s="16" t="n">
        <v>0.53</v>
      </c>
      <c r="K224" s="15" t="n">
        <f aca="false">ROUND(F224/100*G224*H224*I224/J224,2)</f>
        <v>17965.29</v>
      </c>
      <c r="L224" s="15" t="n">
        <v>17965.28</v>
      </c>
      <c r="M224" s="15" t="n">
        <f aca="false">L224-K224</f>
        <v>-0.0100000000020373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1842</v>
      </c>
      <c r="B225" s="3" t="s">
        <v>2100</v>
      </c>
      <c r="C225" s="3" t="s">
        <v>417</v>
      </c>
      <c r="D225" s="3" t="s">
        <v>2101</v>
      </c>
      <c r="E225" s="3" t="s">
        <v>50</v>
      </c>
      <c r="F225" s="12" t="n">
        <v>1160000</v>
      </c>
      <c r="G225" s="13" t="n">
        <v>0.8</v>
      </c>
      <c r="H225" s="13" t="n">
        <v>1.24</v>
      </c>
      <c r="I225" s="13" t="n">
        <v>0.9167</v>
      </c>
      <c r="J225" s="13" t="n">
        <v>0.53</v>
      </c>
      <c r="K225" s="12" t="n">
        <f aca="false">ROUND(F225/100*G225*H225*I225/J225,2)</f>
        <v>19903.11</v>
      </c>
      <c r="L225" s="12" t="n">
        <v>19903.12</v>
      </c>
      <c r="M225" s="12" t="n">
        <f aca="false">L225-K225</f>
        <v>0.00999999999839929</v>
      </c>
      <c r="N225" s="3" t="s">
        <v>61</v>
      </c>
      <c r="O225" s="3" t="s">
        <v>62</v>
      </c>
    </row>
    <row r="226" customFormat="false" ht="15" hidden="false" customHeight="false" outlineLevel="0" collapsed="false">
      <c r="A226" s="14" t="s">
        <v>1845</v>
      </c>
      <c r="B226" s="14" t="s">
        <v>2102</v>
      </c>
      <c r="C226" s="14" t="s">
        <v>435</v>
      </c>
      <c r="D226" s="14" t="s">
        <v>2103</v>
      </c>
      <c r="E226" s="14" t="s">
        <v>157</v>
      </c>
      <c r="F226" s="15" t="n">
        <v>635000</v>
      </c>
      <c r="G226" s="16" t="n">
        <v>0.78</v>
      </c>
      <c r="H226" s="16" t="n">
        <v>1.13</v>
      </c>
      <c r="I226" s="16" t="n">
        <v>0.9167</v>
      </c>
      <c r="J226" s="16" t="n">
        <v>0.53</v>
      </c>
      <c r="K226" s="15" t="n">
        <f aca="false">ROUND(F226/100*G226*H226*I226/J226,2)</f>
        <v>9680.51</v>
      </c>
      <c r="L226" s="15" t="n">
        <v>9680.51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1850</v>
      </c>
      <c r="B227" s="3" t="s">
        <v>2104</v>
      </c>
      <c r="C227" s="3" t="s">
        <v>68</v>
      </c>
      <c r="D227" s="3" t="s">
        <v>2105</v>
      </c>
      <c r="E227" s="3" t="s">
        <v>74</v>
      </c>
      <c r="F227" s="12" t="n">
        <v>300000</v>
      </c>
      <c r="G227" s="13" t="n">
        <v>0.48</v>
      </c>
      <c r="H227" s="13" t="n">
        <v>1.38</v>
      </c>
      <c r="I227" s="13" t="n">
        <v>0.9167</v>
      </c>
      <c r="J227" s="13" t="n">
        <v>0.53</v>
      </c>
      <c r="K227" s="12" t="n">
        <f aca="false">ROUND(F227/100*G227*H227*I227/J227,2)</f>
        <v>3437.11</v>
      </c>
      <c r="L227" s="12" t="n">
        <v>3437.1</v>
      </c>
      <c r="M227" s="12" t="n">
        <f aca="false">L227-K227</f>
        <v>-0.0100000000002183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1782</v>
      </c>
      <c r="B228" s="14" t="s">
        <v>2106</v>
      </c>
      <c r="C228" s="14" t="s">
        <v>300</v>
      </c>
      <c r="D228" s="14" t="s">
        <v>1849</v>
      </c>
      <c r="E228" s="14" t="s">
        <v>56</v>
      </c>
      <c r="F228" s="15" t="n">
        <v>555000</v>
      </c>
      <c r="G228" s="16" t="n">
        <v>0.65</v>
      </c>
      <c r="H228" s="16" t="n">
        <v>1.11</v>
      </c>
      <c r="I228" s="16" t="n">
        <v>0.9167</v>
      </c>
      <c r="J228" s="16" t="n">
        <v>0.53</v>
      </c>
      <c r="K228" s="15" t="n">
        <f aca="false">ROUND(F228/100*G228*H228*I228/J228,2)</f>
        <v>6925.97</v>
      </c>
      <c r="L228" s="15" t="n">
        <v>6925.97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1826</v>
      </c>
      <c r="B229" s="3" t="s">
        <v>2107</v>
      </c>
      <c r="C229" s="3" t="s">
        <v>120</v>
      </c>
      <c r="D229" s="3" t="s">
        <v>225</v>
      </c>
      <c r="E229" s="3" t="s">
        <v>56</v>
      </c>
      <c r="F229" s="12" t="n">
        <v>570000</v>
      </c>
      <c r="G229" s="13" t="n">
        <v>0.65</v>
      </c>
      <c r="H229" s="13" t="n">
        <v>1.15</v>
      </c>
      <c r="I229" s="13" t="n">
        <v>0.9167</v>
      </c>
      <c r="J229" s="13" t="n">
        <v>0.53</v>
      </c>
      <c r="K229" s="12" t="n">
        <f aca="false">ROUND(F229/100*G229*H229*I229/J229,2)</f>
        <v>7369.49</v>
      </c>
      <c r="L229" s="12" t="n">
        <v>7369.49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1810</v>
      </c>
      <c r="B230" s="14" t="s">
        <v>2108</v>
      </c>
      <c r="C230" s="14" t="s">
        <v>300</v>
      </c>
      <c r="D230" s="14" t="s">
        <v>517</v>
      </c>
      <c r="E230" s="14" t="s">
        <v>74</v>
      </c>
      <c r="F230" s="15" t="n">
        <v>945000</v>
      </c>
      <c r="G230" s="16" t="n">
        <v>0.43</v>
      </c>
      <c r="H230" s="16" t="n">
        <v>1.11</v>
      </c>
      <c r="I230" s="16" t="n">
        <v>0.9167</v>
      </c>
      <c r="J230" s="16" t="n">
        <v>0.53</v>
      </c>
      <c r="K230" s="15" t="n">
        <f aca="false">ROUND(F230/100*G230*H230*I230/J230,2)</f>
        <v>7801.44</v>
      </c>
      <c r="L230" s="15" t="n">
        <v>7801.44</v>
      </c>
      <c r="M230" s="15" t="n">
        <f aca="false">L230-K230</f>
        <v>0</v>
      </c>
      <c r="N230" s="14" t="s">
        <v>70</v>
      </c>
      <c r="O230" s="14" t="s">
        <v>52</v>
      </c>
    </row>
    <row r="231" customFormat="false" ht="15" hidden="false" customHeight="false" outlineLevel="0" collapsed="false">
      <c r="A231" s="3" t="s">
        <v>1847</v>
      </c>
      <c r="B231" s="3" t="s">
        <v>2109</v>
      </c>
      <c r="C231" s="3" t="s">
        <v>85</v>
      </c>
      <c r="D231" s="3" t="s">
        <v>521</v>
      </c>
      <c r="E231" s="3" t="s">
        <v>50</v>
      </c>
      <c r="F231" s="12" t="n">
        <v>580000</v>
      </c>
      <c r="G231" s="13" t="n">
        <v>0.95</v>
      </c>
      <c r="H231" s="13" t="n">
        <v>1.28</v>
      </c>
      <c r="I231" s="13" t="n">
        <v>0.9167</v>
      </c>
      <c r="J231" s="13" t="n">
        <v>0.53</v>
      </c>
      <c r="K231" s="12" t="n">
        <f aca="false">ROUND(F231/100*G231*H231*I231/J231,2)</f>
        <v>12198.68</v>
      </c>
      <c r="L231" s="12" t="n">
        <v>12198.68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1847</v>
      </c>
      <c r="B232" s="14" t="s">
        <v>2110</v>
      </c>
      <c r="C232" s="14" t="s">
        <v>220</v>
      </c>
      <c r="D232" s="14" t="s">
        <v>817</v>
      </c>
      <c r="E232" s="14" t="s">
        <v>56</v>
      </c>
      <c r="F232" s="15" t="n">
        <v>1625000</v>
      </c>
      <c r="G232" s="16" t="n">
        <v>0.55</v>
      </c>
      <c r="H232" s="16" t="n">
        <v>1.01</v>
      </c>
      <c r="I232" s="16" t="n">
        <v>0.9167</v>
      </c>
      <c r="J232" s="16" t="n">
        <v>0.53</v>
      </c>
      <c r="K232" s="15" t="n">
        <f aca="false">ROUND(F232/100*G232*H232*I232/J232,2)</f>
        <v>15613.09</v>
      </c>
      <c r="L232" s="15" t="n">
        <v>15613.09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1787</v>
      </c>
      <c r="B233" s="3" t="s">
        <v>2111</v>
      </c>
      <c r="C233" s="3" t="s">
        <v>224</v>
      </c>
      <c r="D233" s="3" t="s">
        <v>2112</v>
      </c>
      <c r="E233" s="3" t="s">
        <v>56</v>
      </c>
      <c r="F233" s="12" t="n">
        <v>1295000</v>
      </c>
      <c r="G233" s="13" t="n">
        <v>0.55</v>
      </c>
      <c r="H233" s="13" t="n">
        <v>1.1</v>
      </c>
      <c r="I233" s="13" t="n">
        <v>0.9167</v>
      </c>
      <c r="J233" s="13" t="n">
        <v>0.53</v>
      </c>
      <c r="K233" s="12" t="n">
        <f aca="false">ROUND(F233/100*G233*H233*I233/J233,2)</f>
        <v>13551.16</v>
      </c>
      <c r="L233" s="12" t="n">
        <v>13551.16</v>
      </c>
      <c r="M233" s="12" t="n">
        <f aca="false">L233-K233</f>
        <v>0</v>
      </c>
      <c r="N233" s="3" t="s">
        <v>51</v>
      </c>
      <c r="O233" s="3" t="s">
        <v>52</v>
      </c>
    </row>
    <row r="234" customFormat="false" ht="15" hidden="false" customHeight="false" outlineLevel="0" collapsed="false">
      <c r="A234" s="14" t="s">
        <v>1804</v>
      </c>
      <c r="B234" s="14" t="s">
        <v>2113</v>
      </c>
      <c r="C234" s="14" t="s">
        <v>136</v>
      </c>
      <c r="D234" s="14" t="s">
        <v>373</v>
      </c>
      <c r="E234" s="14" t="s">
        <v>56</v>
      </c>
      <c r="F234" s="15" t="n">
        <v>485000</v>
      </c>
      <c r="G234" s="16" t="n">
        <v>0.75</v>
      </c>
      <c r="H234" s="16" t="n">
        <v>1.32</v>
      </c>
      <c r="I234" s="16" t="n">
        <v>0.9167</v>
      </c>
      <c r="J234" s="16" t="n">
        <v>0.53</v>
      </c>
      <c r="K234" s="15" t="n">
        <f aca="false">ROUND(F234/100*G234*H234*I234/J234,2)</f>
        <v>8304.78</v>
      </c>
      <c r="L234" s="15" t="n">
        <v>8304.78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1815</v>
      </c>
      <c r="B235" s="3" t="s">
        <v>2114</v>
      </c>
      <c r="C235" s="3" t="s">
        <v>462</v>
      </c>
      <c r="D235" s="3" t="s">
        <v>2115</v>
      </c>
      <c r="E235" s="3" t="s">
        <v>50</v>
      </c>
      <c r="F235" s="12" t="n">
        <v>1505000</v>
      </c>
      <c r="G235" s="13" t="n">
        <v>0.8</v>
      </c>
      <c r="H235" s="13" t="n">
        <v>1.34</v>
      </c>
      <c r="I235" s="13" t="n">
        <v>0.9167</v>
      </c>
      <c r="J235" s="13" t="n">
        <v>0.53</v>
      </c>
      <c r="K235" s="12" t="n">
        <f aca="false">ROUND(F235/100*G235*H235*I235/J235,2)</f>
        <v>27905.04</v>
      </c>
      <c r="L235" s="12" t="n">
        <v>27905.04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1821</v>
      </c>
      <c r="B236" s="14" t="s">
        <v>2116</v>
      </c>
      <c r="C236" s="14" t="s">
        <v>237</v>
      </c>
      <c r="D236" s="14" t="s">
        <v>2057</v>
      </c>
      <c r="E236" s="14" t="s">
        <v>56</v>
      </c>
      <c r="F236" s="15" t="n">
        <v>615000</v>
      </c>
      <c r="G236" s="16" t="n">
        <v>0.65</v>
      </c>
      <c r="H236" s="16" t="n">
        <v>1.33</v>
      </c>
      <c r="I236" s="16" t="n">
        <v>0.9167</v>
      </c>
      <c r="J236" s="16" t="n">
        <v>0.53</v>
      </c>
      <c r="K236" s="15" t="n">
        <f aca="false">ROUND(F236/100*G236*H236*I236/J236,2)</f>
        <v>9195.84</v>
      </c>
      <c r="L236" s="15" t="n">
        <v>9195.84</v>
      </c>
      <c r="M236" s="15" t="n">
        <f aca="false">L236-K236</f>
        <v>0</v>
      </c>
      <c r="N236" s="14" t="s">
        <v>51</v>
      </c>
      <c r="O236" s="14" t="s">
        <v>52</v>
      </c>
    </row>
    <row r="237" customFormat="false" ht="15" hidden="false" customHeight="false" outlineLevel="0" collapsed="false">
      <c r="A237" s="3" t="s">
        <v>1847</v>
      </c>
      <c r="B237" s="3" t="s">
        <v>2117</v>
      </c>
      <c r="C237" s="3" t="s">
        <v>275</v>
      </c>
      <c r="D237" s="3" t="s">
        <v>2118</v>
      </c>
      <c r="E237" s="3" t="s">
        <v>74</v>
      </c>
      <c r="F237" s="12" t="n">
        <v>650000</v>
      </c>
      <c r="G237" s="13" t="n">
        <v>0.43</v>
      </c>
      <c r="H237" s="13" t="n">
        <v>1.19</v>
      </c>
      <c r="I237" s="13" t="n">
        <v>0.9167</v>
      </c>
      <c r="J237" s="13" t="n">
        <v>0.53</v>
      </c>
      <c r="K237" s="12" t="n">
        <f aca="false">ROUND(F237/100*G237*H237*I237/J237,2)</f>
        <v>5752.81</v>
      </c>
      <c r="L237" s="12" t="n">
        <v>5752.82</v>
      </c>
      <c r="M237" s="12" t="n">
        <f aca="false">L237-K237</f>
        <v>0.00999999999930878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1836</v>
      </c>
      <c r="B238" s="14" t="s">
        <v>2119</v>
      </c>
      <c r="C238" s="14" t="s">
        <v>196</v>
      </c>
      <c r="D238" s="14" t="s">
        <v>2120</v>
      </c>
      <c r="E238" s="14" t="s">
        <v>50</v>
      </c>
      <c r="F238" s="15" t="n">
        <v>290000</v>
      </c>
      <c r="G238" s="16" t="n">
        <v>1.15</v>
      </c>
      <c r="H238" s="16" t="n">
        <v>1.04</v>
      </c>
      <c r="I238" s="16" t="n">
        <v>0.9167</v>
      </c>
      <c r="J238" s="16" t="n">
        <v>0.53</v>
      </c>
      <c r="K238" s="15" t="n">
        <f aca="false">ROUND(F238/100*G238*H238*I238/J238,2)</f>
        <v>5999.02</v>
      </c>
      <c r="L238" s="15" t="n">
        <v>5999.02</v>
      </c>
      <c r="M238" s="15" t="n">
        <f aca="false">L238-K238</f>
        <v>0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1850</v>
      </c>
      <c r="B239" s="3" t="s">
        <v>2121</v>
      </c>
      <c r="C239" s="3" t="s">
        <v>85</v>
      </c>
      <c r="D239" s="3" t="s">
        <v>2122</v>
      </c>
      <c r="E239" s="3" t="s">
        <v>56</v>
      </c>
      <c r="F239" s="12" t="n">
        <v>410000</v>
      </c>
      <c r="G239" s="13" t="n">
        <v>0.75</v>
      </c>
      <c r="H239" s="13" t="n">
        <v>1.28</v>
      </c>
      <c r="I239" s="13" t="n">
        <v>0.9167</v>
      </c>
      <c r="J239" s="13" t="n">
        <v>0.53</v>
      </c>
      <c r="K239" s="12" t="n">
        <f aca="false">ROUND(F239/100*G239*H239*I239/J239,2)</f>
        <v>6807.79</v>
      </c>
      <c r="L239" s="12" t="n">
        <v>6807.8</v>
      </c>
      <c r="M239" s="12" t="n">
        <f aca="false">L239-K239</f>
        <v>0.0100000000002183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1845</v>
      </c>
      <c r="B240" s="14" t="s">
        <v>2123</v>
      </c>
      <c r="C240" s="14" t="s">
        <v>174</v>
      </c>
      <c r="D240" s="14" t="s">
        <v>2124</v>
      </c>
      <c r="E240" s="14" t="s">
        <v>56</v>
      </c>
      <c r="F240" s="15" t="n">
        <v>785000</v>
      </c>
      <c r="G240" s="16" t="n">
        <v>0.65</v>
      </c>
      <c r="H240" s="16" t="n">
        <v>1.55</v>
      </c>
      <c r="I240" s="16" t="n">
        <v>0.9167</v>
      </c>
      <c r="J240" s="16" t="n">
        <v>0.53</v>
      </c>
      <c r="K240" s="15" t="n">
        <f aca="false">ROUND(F240/100*G240*H240*I240/J240,2)</f>
        <v>13679.37</v>
      </c>
      <c r="L240" s="15" t="n">
        <v>13679.37</v>
      </c>
      <c r="M240" s="15" t="n">
        <f aca="false">L240-K240</f>
        <v>0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1804</v>
      </c>
      <c r="B241" s="3" t="s">
        <v>2125</v>
      </c>
      <c r="C241" s="3" t="s">
        <v>114</v>
      </c>
      <c r="D241" s="3" t="s">
        <v>2126</v>
      </c>
      <c r="E241" s="3" t="s">
        <v>56</v>
      </c>
      <c r="F241" s="12" t="n">
        <v>675000</v>
      </c>
      <c r="G241" s="13" t="n">
        <v>0.65</v>
      </c>
      <c r="H241" s="13" t="n">
        <v>1.36</v>
      </c>
      <c r="I241" s="13" t="n">
        <v>0.9167</v>
      </c>
      <c r="J241" s="13" t="n">
        <v>0.53</v>
      </c>
      <c r="K241" s="12" t="n">
        <f aca="false">ROUND(F241/100*G241*H241*I241/J241,2)</f>
        <v>10320.66</v>
      </c>
      <c r="L241" s="12" t="n">
        <v>10320.66</v>
      </c>
      <c r="M241" s="12" t="n">
        <f aca="false">L241-K241</f>
        <v>0</v>
      </c>
      <c r="N241" s="3" t="s">
        <v>51</v>
      </c>
      <c r="O241" s="3" t="s">
        <v>52</v>
      </c>
    </row>
    <row r="242" customFormat="false" ht="15" hidden="false" customHeight="false" outlineLevel="0" collapsed="false">
      <c r="A242" s="14" t="s">
        <v>1974</v>
      </c>
      <c r="B242" s="14" t="s">
        <v>2127</v>
      </c>
      <c r="C242" s="14" t="s">
        <v>77</v>
      </c>
      <c r="D242" s="14" t="s">
        <v>2128</v>
      </c>
      <c r="E242" s="14" t="s">
        <v>56</v>
      </c>
      <c r="F242" s="15" t="n">
        <v>440000</v>
      </c>
      <c r="G242" s="16" t="n">
        <v>0.75</v>
      </c>
      <c r="H242" s="16" t="n">
        <v>1.42</v>
      </c>
      <c r="I242" s="16" t="n">
        <v>0.9167</v>
      </c>
      <c r="J242" s="16" t="n">
        <v>0.53</v>
      </c>
      <c r="K242" s="15" t="n">
        <f aca="false">ROUND(F242/100*G242*H242*I242/J242,2)</f>
        <v>8105.01</v>
      </c>
      <c r="L242" s="15" t="n">
        <v>8105.01</v>
      </c>
      <c r="M242" s="15" t="n">
        <f aca="false">L242-K242</f>
        <v>0</v>
      </c>
      <c r="N242" s="14" t="s">
        <v>61</v>
      </c>
      <c r="O242" s="14" t="s">
        <v>62</v>
      </c>
    </row>
    <row r="243" customFormat="false" ht="15" hidden="false" customHeight="false" outlineLevel="0" collapsed="false">
      <c r="A243" s="3" t="s">
        <v>1815</v>
      </c>
      <c r="B243" s="3" t="s">
        <v>2129</v>
      </c>
      <c r="C243" s="3" t="s">
        <v>48</v>
      </c>
      <c r="D243" s="3" t="s">
        <v>2130</v>
      </c>
      <c r="E243" s="3" t="s">
        <v>74</v>
      </c>
      <c r="F243" s="12" t="n">
        <v>415000</v>
      </c>
      <c r="G243" s="13" t="n">
        <v>0.48</v>
      </c>
      <c r="H243" s="13" t="n">
        <v>1.28</v>
      </c>
      <c r="I243" s="13" t="n">
        <v>0.9167</v>
      </c>
      <c r="J243" s="13" t="n">
        <v>0.53</v>
      </c>
      <c r="K243" s="12" t="n">
        <f aca="false">ROUND(F243/100*G243*H243*I243/J243,2)</f>
        <v>4410.12</v>
      </c>
      <c r="L243" s="12" t="n">
        <v>4410.12</v>
      </c>
      <c r="M243" s="12" t="n">
        <f aca="false">L243-K243</f>
        <v>0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1913</v>
      </c>
      <c r="B244" s="14" t="s">
        <v>2131</v>
      </c>
      <c r="C244" s="14" t="s">
        <v>81</v>
      </c>
      <c r="D244" s="14" t="s">
        <v>754</v>
      </c>
      <c r="E244" s="14" t="s">
        <v>56</v>
      </c>
      <c r="F244" s="15" t="n">
        <v>1115000</v>
      </c>
      <c r="G244" s="16" t="n">
        <v>0.55</v>
      </c>
      <c r="H244" s="16" t="n">
        <v>1.27</v>
      </c>
      <c r="I244" s="16" t="n">
        <v>0.9167</v>
      </c>
      <c r="J244" s="16" t="n">
        <v>0.53</v>
      </c>
      <c r="K244" s="15" t="n">
        <f aca="false">ROUND(F244/100*G244*H244*I244/J244,2)</f>
        <v>13470.78</v>
      </c>
      <c r="L244" s="15" t="n">
        <v>13470.78</v>
      </c>
      <c r="M244" s="15" t="n">
        <f aca="false">L244-K244</f>
        <v>0</v>
      </c>
      <c r="N244" s="14" t="s">
        <v>70</v>
      </c>
      <c r="O244" s="14" t="s">
        <v>52</v>
      </c>
    </row>
    <row r="245" customFormat="false" ht="15" hidden="false" customHeight="false" outlineLevel="0" collapsed="false">
      <c r="A245" s="3" t="s">
        <v>1855</v>
      </c>
      <c r="B245" s="3" t="s">
        <v>2132</v>
      </c>
      <c r="C245" s="3" t="s">
        <v>193</v>
      </c>
      <c r="D245" s="3" t="s">
        <v>986</v>
      </c>
      <c r="E245" s="3" t="s">
        <v>56</v>
      </c>
      <c r="F245" s="12" t="n">
        <v>405000</v>
      </c>
      <c r="G245" s="13" t="n">
        <v>0.75</v>
      </c>
      <c r="H245" s="13" t="n">
        <v>1.25</v>
      </c>
      <c r="I245" s="13" t="n">
        <v>0.9167</v>
      </c>
      <c r="J245" s="13" t="n">
        <v>0.53</v>
      </c>
      <c r="K245" s="12" t="n">
        <f aca="false">ROUND(F245/100*G245*H245*I245/J245,2)</f>
        <v>6567.16</v>
      </c>
      <c r="L245" s="12" t="n">
        <v>6567.17</v>
      </c>
      <c r="M245" s="12" t="n">
        <f aca="false">L245-K245</f>
        <v>0.0100000000002183</v>
      </c>
      <c r="N245" s="3" t="s">
        <v>51</v>
      </c>
      <c r="O245" s="3" t="s">
        <v>52</v>
      </c>
    </row>
    <row r="246" customFormat="false" ht="15" hidden="false" customHeight="false" outlineLevel="0" collapsed="false">
      <c r="A246" s="14" t="s">
        <v>1782</v>
      </c>
      <c r="B246" s="14" t="s">
        <v>2133</v>
      </c>
      <c r="C246" s="14" t="s">
        <v>311</v>
      </c>
      <c r="D246" s="14" t="s">
        <v>1445</v>
      </c>
      <c r="E246" s="14" t="s">
        <v>74</v>
      </c>
      <c r="F246" s="15" t="n">
        <v>1950000</v>
      </c>
      <c r="G246" s="16" t="n">
        <v>0.38</v>
      </c>
      <c r="H246" s="16" t="n">
        <v>1.06</v>
      </c>
      <c r="I246" s="16" t="n">
        <v>0.9167</v>
      </c>
      <c r="J246" s="16" t="n">
        <v>0.53</v>
      </c>
      <c r="K246" s="15" t="n">
        <f aca="false">ROUND(F246/100*G246*H246*I246/J246,2)</f>
        <v>13585.49</v>
      </c>
      <c r="L246" s="15" t="n">
        <v>13585.49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1795</v>
      </c>
      <c r="B247" s="3" t="s">
        <v>2134</v>
      </c>
      <c r="C247" s="3" t="s">
        <v>174</v>
      </c>
      <c r="D247" s="3" t="s">
        <v>2135</v>
      </c>
      <c r="E247" s="3" t="s">
        <v>74</v>
      </c>
      <c r="F247" s="12" t="n">
        <v>500000</v>
      </c>
      <c r="G247" s="13" t="n">
        <v>0.43</v>
      </c>
      <c r="H247" s="13" t="n">
        <v>1.55</v>
      </c>
      <c r="I247" s="13" t="n">
        <v>0.9167</v>
      </c>
      <c r="J247" s="13" t="n">
        <v>0.53</v>
      </c>
      <c r="K247" s="12" t="n">
        <f aca="false">ROUND(F247/100*G247*H247*I247/J247,2)</f>
        <v>5763.97</v>
      </c>
      <c r="L247" s="12" t="n">
        <v>5763.97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1795</v>
      </c>
      <c r="B248" s="14" t="s">
        <v>2136</v>
      </c>
      <c r="C248" s="14" t="s">
        <v>224</v>
      </c>
      <c r="D248" s="14" t="s">
        <v>1886</v>
      </c>
      <c r="E248" s="14" t="s">
        <v>74</v>
      </c>
      <c r="F248" s="15" t="n">
        <v>650000</v>
      </c>
      <c r="G248" s="16" t="n">
        <v>0.43</v>
      </c>
      <c r="H248" s="16" t="n">
        <v>1.1</v>
      </c>
      <c r="I248" s="16" t="n">
        <v>0.9167</v>
      </c>
      <c r="J248" s="16" t="n">
        <v>0.53</v>
      </c>
      <c r="K248" s="15" t="n">
        <f aca="false">ROUND(F248/100*G248*H248*I248/J248,2)</f>
        <v>5317.72</v>
      </c>
      <c r="L248" s="15" t="n">
        <v>5317.72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1807</v>
      </c>
      <c r="B249" s="3" t="s">
        <v>2137</v>
      </c>
      <c r="C249" s="3" t="s">
        <v>159</v>
      </c>
      <c r="D249" s="3" t="s">
        <v>2138</v>
      </c>
      <c r="E249" s="3" t="s">
        <v>56</v>
      </c>
      <c r="F249" s="12" t="n">
        <v>915000</v>
      </c>
      <c r="G249" s="13" t="n">
        <v>0.65</v>
      </c>
      <c r="H249" s="13" t="n">
        <v>1.15</v>
      </c>
      <c r="I249" s="13" t="n">
        <v>0.9167</v>
      </c>
      <c r="J249" s="13" t="n">
        <v>0.53</v>
      </c>
      <c r="K249" s="12" t="n">
        <f aca="false">ROUND(F249/100*G249*H249*I249/J249,2)</f>
        <v>11829.97</v>
      </c>
      <c r="L249" s="12" t="n">
        <v>11829.97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1807</v>
      </c>
      <c r="B250" s="14" t="s">
        <v>2139</v>
      </c>
      <c r="C250" s="14" t="s">
        <v>89</v>
      </c>
      <c r="D250" s="14" t="s">
        <v>431</v>
      </c>
      <c r="E250" s="14" t="s">
        <v>56</v>
      </c>
      <c r="F250" s="15" t="n">
        <v>1170000</v>
      </c>
      <c r="G250" s="16" t="n">
        <v>0.55</v>
      </c>
      <c r="H250" s="16" t="n">
        <v>1.35</v>
      </c>
      <c r="I250" s="16" t="n">
        <v>0.9167</v>
      </c>
      <c r="J250" s="16" t="n">
        <v>0.53</v>
      </c>
      <c r="K250" s="15" t="n">
        <f aca="false">ROUND(F250/100*G250*H250*I250/J250,2)</f>
        <v>15025.66</v>
      </c>
      <c r="L250" s="15" t="n">
        <v>15025.67</v>
      </c>
      <c r="M250" s="15" t="n">
        <f aca="false">L250-K250</f>
        <v>0.0100000000002183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1836</v>
      </c>
      <c r="B251" s="3" t="s">
        <v>2140</v>
      </c>
      <c r="C251" s="3" t="s">
        <v>275</v>
      </c>
      <c r="D251" s="3" t="s">
        <v>2141</v>
      </c>
      <c r="E251" s="3" t="s">
        <v>50</v>
      </c>
      <c r="F251" s="12" t="n">
        <v>745000</v>
      </c>
      <c r="G251" s="13" t="n">
        <v>0.95</v>
      </c>
      <c r="H251" s="13" t="n">
        <v>1.19</v>
      </c>
      <c r="I251" s="13" t="n">
        <v>0.9167</v>
      </c>
      <c r="J251" s="13" t="n">
        <v>0.53</v>
      </c>
      <c r="K251" s="12" t="n">
        <f aca="false">ROUND(F251/100*G251*H251*I251/J251,2)</f>
        <v>14567.27</v>
      </c>
      <c r="L251" s="12" t="n">
        <v>14567.27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1810</v>
      </c>
      <c r="B252" s="14" t="s">
        <v>2142</v>
      </c>
      <c r="C252" s="14" t="s">
        <v>366</v>
      </c>
      <c r="D252" s="14" t="s">
        <v>2009</v>
      </c>
      <c r="E252" s="14" t="s">
        <v>56</v>
      </c>
      <c r="F252" s="15" t="n">
        <v>400000</v>
      </c>
      <c r="G252" s="16" t="n">
        <v>0.75</v>
      </c>
      <c r="H252" s="16" t="n">
        <v>1.26</v>
      </c>
      <c r="I252" s="16" t="n">
        <v>0.9167</v>
      </c>
      <c r="J252" s="16" t="n">
        <v>0.53</v>
      </c>
      <c r="K252" s="15" t="n">
        <f aca="false">ROUND(F252/100*G252*H252*I252/J252,2)</f>
        <v>6537.97</v>
      </c>
      <c r="L252" s="15" t="n">
        <v>6537.98</v>
      </c>
      <c r="M252" s="15" t="n">
        <f aca="false">L252-K252</f>
        <v>0.00999999999930878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1787</v>
      </c>
      <c r="B253" s="3" t="s">
        <v>2143</v>
      </c>
      <c r="C253" s="3" t="s">
        <v>108</v>
      </c>
      <c r="D253" s="3" t="s">
        <v>270</v>
      </c>
      <c r="E253" s="3" t="s">
        <v>56</v>
      </c>
      <c r="F253" s="12" t="n">
        <v>955000</v>
      </c>
      <c r="G253" s="13" t="n">
        <v>0.65</v>
      </c>
      <c r="H253" s="13" t="n">
        <v>0.93</v>
      </c>
      <c r="I253" s="13" t="n">
        <v>0.9167</v>
      </c>
      <c r="J253" s="13" t="n">
        <v>0.53</v>
      </c>
      <c r="K253" s="12" t="n">
        <f aca="false">ROUND(F253/100*G253*H253*I253/J253,2)</f>
        <v>9985.07</v>
      </c>
      <c r="L253" s="12" t="n">
        <v>9985.07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1974</v>
      </c>
      <c r="B254" s="14" t="s">
        <v>2144</v>
      </c>
      <c r="C254" s="14" t="s">
        <v>108</v>
      </c>
      <c r="D254" s="14" t="s">
        <v>968</v>
      </c>
      <c r="E254" s="14" t="s">
        <v>50</v>
      </c>
      <c r="F254" s="15" t="n">
        <v>610000</v>
      </c>
      <c r="G254" s="16" t="n">
        <v>0.95</v>
      </c>
      <c r="H254" s="16" t="n">
        <v>0.93</v>
      </c>
      <c r="I254" s="16" t="n">
        <v>0.9167</v>
      </c>
      <c r="J254" s="16" t="n">
        <v>0.53</v>
      </c>
      <c r="K254" s="15" t="n">
        <f aca="false">ROUND(F254/100*G254*H254*I254/J254,2)</f>
        <v>9321.54</v>
      </c>
      <c r="L254" s="15" t="n">
        <v>9321.54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1807</v>
      </c>
      <c r="B255" s="3" t="s">
        <v>2145</v>
      </c>
      <c r="C255" s="3" t="s">
        <v>435</v>
      </c>
      <c r="D255" s="3" t="s">
        <v>1488</v>
      </c>
      <c r="E255" s="3" t="s">
        <v>50</v>
      </c>
      <c r="F255" s="12" t="n">
        <v>440000</v>
      </c>
      <c r="G255" s="13" t="n">
        <v>1.15</v>
      </c>
      <c r="H255" s="13" t="n">
        <v>1.13</v>
      </c>
      <c r="I255" s="13" t="n">
        <v>0.9167</v>
      </c>
      <c r="J255" s="13" t="n">
        <v>0.53</v>
      </c>
      <c r="K255" s="12" t="n">
        <f aca="false">ROUND(F255/100*G255*H255*I255/J255,2)</f>
        <v>9889.64</v>
      </c>
      <c r="L255" s="12" t="n">
        <v>9889.63</v>
      </c>
      <c r="M255" s="12" t="n">
        <f aca="false">L255-K255</f>
        <v>-0.0100000000002183</v>
      </c>
      <c r="N255" s="3" t="s">
        <v>70</v>
      </c>
      <c r="O255" s="3" t="s">
        <v>52</v>
      </c>
    </row>
    <row r="256" customFormat="false" ht="15" hidden="false" customHeight="false" outlineLevel="0" collapsed="false">
      <c r="A256" s="14" t="s">
        <v>1974</v>
      </c>
      <c r="B256" s="14" t="s">
        <v>2146</v>
      </c>
      <c r="C256" s="14" t="s">
        <v>48</v>
      </c>
      <c r="D256" s="14" t="s">
        <v>1213</v>
      </c>
      <c r="E256" s="14" t="s">
        <v>56</v>
      </c>
      <c r="F256" s="15" t="n">
        <v>675000</v>
      </c>
      <c r="G256" s="16" t="n">
        <v>0.65</v>
      </c>
      <c r="H256" s="16" t="n">
        <v>1.28</v>
      </c>
      <c r="I256" s="16" t="n">
        <v>0.9167</v>
      </c>
      <c r="J256" s="16" t="n">
        <v>0.53</v>
      </c>
      <c r="K256" s="15" t="n">
        <f aca="false">ROUND(F256/100*G256*H256*I256/J256,2)</f>
        <v>9713.56</v>
      </c>
      <c r="L256" s="15" t="n">
        <v>9713.56</v>
      </c>
      <c r="M256" s="15" t="n">
        <f aca="false">L256-K256</f>
        <v>0</v>
      </c>
      <c r="N256" s="14" t="s">
        <v>61</v>
      </c>
      <c r="O256" s="14" t="s">
        <v>62</v>
      </c>
    </row>
    <row r="257" customFormat="false" ht="15" hidden="false" customHeight="false" outlineLevel="0" collapsed="false">
      <c r="A257" s="3" t="s">
        <v>1784</v>
      </c>
      <c r="B257" s="3" t="s">
        <v>2147</v>
      </c>
      <c r="C257" s="3" t="s">
        <v>210</v>
      </c>
      <c r="D257" s="3" t="s">
        <v>460</v>
      </c>
      <c r="E257" s="3" t="s">
        <v>56</v>
      </c>
      <c r="F257" s="12" t="n">
        <v>150000</v>
      </c>
      <c r="G257" s="13" t="n">
        <v>0.92</v>
      </c>
      <c r="H257" s="13" t="n">
        <v>1.21</v>
      </c>
      <c r="I257" s="13" t="n">
        <v>0.9167</v>
      </c>
      <c r="J257" s="13" t="n">
        <v>0.53</v>
      </c>
      <c r="K257" s="12" t="n">
        <f aca="false">ROUND(F257/100*G257*H257*I257/J257,2)</f>
        <v>2888.12</v>
      </c>
      <c r="L257" s="12" t="n">
        <v>2888.13</v>
      </c>
      <c r="M257" s="12" t="n">
        <f aca="false">L257-K257</f>
        <v>0.0100000000002183</v>
      </c>
      <c r="N257" s="3" t="s">
        <v>51</v>
      </c>
      <c r="O257" s="3" t="s">
        <v>52</v>
      </c>
    </row>
    <row r="258" customFormat="false" ht="15" hidden="false" customHeight="false" outlineLevel="0" collapsed="false">
      <c r="A258" s="14" t="s">
        <v>1845</v>
      </c>
      <c r="B258" s="14" t="s">
        <v>2148</v>
      </c>
      <c r="C258" s="14" t="s">
        <v>188</v>
      </c>
      <c r="D258" s="14" t="s">
        <v>696</v>
      </c>
      <c r="E258" s="14" t="s">
        <v>56</v>
      </c>
      <c r="F258" s="15" t="n">
        <v>445000</v>
      </c>
      <c r="G258" s="16" t="n">
        <v>0.75</v>
      </c>
      <c r="H258" s="16" t="n">
        <v>1.35</v>
      </c>
      <c r="I258" s="16" t="n">
        <v>0.9167</v>
      </c>
      <c r="J258" s="16" t="n">
        <v>0.53</v>
      </c>
      <c r="K258" s="15" t="n">
        <f aca="false">ROUND(F258/100*G258*H258*I258/J258,2)</f>
        <v>7793.03</v>
      </c>
      <c r="L258" s="15" t="n">
        <v>7793.03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1913</v>
      </c>
      <c r="B259" s="3" t="s">
        <v>2149</v>
      </c>
      <c r="C259" s="3" t="s">
        <v>152</v>
      </c>
      <c r="D259" s="3" t="s">
        <v>2150</v>
      </c>
      <c r="E259" s="3" t="s">
        <v>56</v>
      </c>
      <c r="F259" s="12" t="n">
        <v>320000</v>
      </c>
      <c r="G259" s="13" t="n">
        <v>0.75</v>
      </c>
      <c r="H259" s="13" t="n">
        <v>1</v>
      </c>
      <c r="I259" s="13" t="n">
        <v>0.9167</v>
      </c>
      <c r="J259" s="13" t="n">
        <v>0.53</v>
      </c>
      <c r="K259" s="12" t="n">
        <f aca="false">ROUND(F259/100*G259*H259*I259/J259,2)</f>
        <v>4151.09</v>
      </c>
      <c r="L259" s="12" t="n">
        <v>4151.09</v>
      </c>
      <c r="M259" s="12" t="n">
        <f aca="false">L259-K259</f>
        <v>0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1800</v>
      </c>
      <c r="B260" s="14" t="s">
        <v>2151</v>
      </c>
      <c r="C260" s="14" t="s">
        <v>887</v>
      </c>
      <c r="D260" s="14" t="s">
        <v>1998</v>
      </c>
      <c r="E260" s="14" t="s">
        <v>56</v>
      </c>
      <c r="F260" s="15" t="n">
        <v>545000</v>
      </c>
      <c r="G260" s="16" t="n">
        <v>0.65</v>
      </c>
      <c r="H260" s="16" t="n">
        <v>1.37</v>
      </c>
      <c r="I260" s="16" t="n">
        <v>0.9167</v>
      </c>
      <c r="J260" s="16" t="n">
        <v>0.53</v>
      </c>
      <c r="K260" s="15" t="n">
        <f aca="false">ROUND(F260/100*G260*H260*I260/J260,2)</f>
        <v>8394.25</v>
      </c>
      <c r="L260" s="15" t="n">
        <v>8394.25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1782</v>
      </c>
      <c r="B261" s="3" t="s">
        <v>2152</v>
      </c>
      <c r="C261" s="3" t="s">
        <v>462</v>
      </c>
      <c r="D261" s="3" t="s">
        <v>2153</v>
      </c>
      <c r="E261" s="3" t="s">
        <v>50</v>
      </c>
      <c r="F261" s="12" t="n">
        <v>505000</v>
      </c>
      <c r="G261" s="13" t="n">
        <v>0.95</v>
      </c>
      <c r="H261" s="13" t="n">
        <v>1.34</v>
      </c>
      <c r="I261" s="13" t="n">
        <v>0.9167</v>
      </c>
      <c r="J261" s="13" t="n">
        <v>0.53</v>
      </c>
      <c r="K261" s="12" t="n">
        <f aca="false">ROUND(F261/100*G261*H261*I261/J261,2)</f>
        <v>11119.14</v>
      </c>
      <c r="L261" s="12" t="n">
        <v>11119.14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1780</v>
      </c>
      <c r="B262" s="14" t="s">
        <v>2154</v>
      </c>
      <c r="C262" s="14" t="s">
        <v>417</v>
      </c>
      <c r="D262" s="14" t="s">
        <v>2155</v>
      </c>
      <c r="E262" s="14" t="s">
        <v>133</v>
      </c>
      <c r="F262" s="15" t="n">
        <v>120000</v>
      </c>
      <c r="G262" s="16" t="n">
        <v>0.5</v>
      </c>
      <c r="H262" s="16" t="n">
        <v>1.24</v>
      </c>
      <c r="I262" s="16" t="n">
        <v>0.9167</v>
      </c>
      <c r="J262" s="16" t="n">
        <v>0.53</v>
      </c>
      <c r="K262" s="15" t="n">
        <f aca="false">ROUND(F262/100*G262*H262*I262/J262,2)</f>
        <v>1286.84</v>
      </c>
      <c r="L262" s="15" t="n">
        <v>1286.84</v>
      </c>
      <c r="M262" s="15" t="n">
        <f aca="false">L262-K262</f>
        <v>0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1791</v>
      </c>
      <c r="B263" s="3" t="s">
        <v>2156</v>
      </c>
      <c r="C263" s="3" t="s">
        <v>159</v>
      </c>
      <c r="D263" s="3" t="s">
        <v>1368</v>
      </c>
      <c r="E263" s="3" t="s">
        <v>157</v>
      </c>
      <c r="F263" s="12" t="n">
        <v>610000</v>
      </c>
      <c r="G263" s="13" t="n">
        <v>0.78</v>
      </c>
      <c r="H263" s="13" t="n">
        <v>1.15</v>
      </c>
      <c r="I263" s="13" t="n">
        <v>0.9167</v>
      </c>
      <c r="J263" s="13" t="n">
        <v>0.53</v>
      </c>
      <c r="K263" s="12" t="n">
        <f aca="false">ROUND(F263/100*G263*H263*I263/J263,2)</f>
        <v>9463.98</v>
      </c>
      <c r="L263" s="12" t="n">
        <v>9463.97</v>
      </c>
      <c r="M263" s="12" t="n">
        <f aca="false">L263-K263</f>
        <v>-0.0100000000002183</v>
      </c>
      <c r="N263" s="3" t="s">
        <v>61</v>
      </c>
      <c r="O263" s="3" t="s">
        <v>62</v>
      </c>
    </row>
    <row r="264" customFormat="false" ht="15" hidden="false" customHeight="false" outlineLevel="0" collapsed="false">
      <c r="A264" s="14" t="s">
        <v>1847</v>
      </c>
      <c r="B264" s="14" t="s">
        <v>2157</v>
      </c>
      <c r="C264" s="14" t="s">
        <v>48</v>
      </c>
      <c r="D264" s="14" t="s">
        <v>918</v>
      </c>
      <c r="E264" s="14" t="s">
        <v>74</v>
      </c>
      <c r="F264" s="15" t="n">
        <v>325000</v>
      </c>
      <c r="G264" s="16" t="n">
        <v>0.48</v>
      </c>
      <c r="H264" s="16" t="n">
        <v>1.28</v>
      </c>
      <c r="I264" s="16" t="n">
        <v>0.9167</v>
      </c>
      <c r="J264" s="16" t="n">
        <v>0.53</v>
      </c>
      <c r="K264" s="15" t="n">
        <f aca="false">ROUND(F264/100*G264*H264*I264/J264,2)</f>
        <v>3453.71</v>
      </c>
      <c r="L264" s="15" t="n">
        <v>3453.71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1810</v>
      </c>
      <c r="B265" s="3" t="s">
        <v>2158</v>
      </c>
      <c r="C265" s="3" t="s">
        <v>131</v>
      </c>
      <c r="D265" s="3" t="s">
        <v>276</v>
      </c>
      <c r="E265" s="3" t="s">
        <v>56</v>
      </c>
      <c r="F265" s="12" t="n">
        <v>520000</v>
      </c>
      <c r="G265" s="13" t="n">
        <v>0.65</v>
      </c>
      <c r="H265" s="13" t="n">
        <v>0.95</v>
      </c>
      <c r="I265" s="13" t="n">
        <v>0.9167</v>
      </c>
      <c r="J265" s="13" t="n">
        <v>0.53</v>
      </c>
      <c r="K265" s="12" t="n">
        <f aca="false">ROUND(F265/100*G265*H265*I265/J265,2)</f>
        <v>5553.82</v>
      </c>
      <c r="L265" s="12" t="n">
        <v>5553.82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1821</v>
      </c>
      <c r="B266" s="14" t="s">
        <v>2159</v>
      </c>
      <c r="C266" s="14" t="s">
        <v>196</v>
      </c>
      <c r="D266" s="14" t="s">
        <v>476</v>
      </c>
      <c r="E266" s="14" t="s">
        <v>56</v>
      </c>
      <c r="F266" s="15" t="n">
        <v>750000</v>
      </c>
      <c r="G266" s="16" t="n">
        <v>0.65</v>
      </c>
      <c r="H266" s="16" t="n">
        <v>1.04</v>
      </c>
      <c r="I266" s="16" t="n">
        <v>0.9167</v>
      </c>
      <c r="J266" s="16" t="n">
        <v>0.53</v>
      </c>
      <c r="K266" s="15" t="n">
        <f aca="false">ROUND(F266/100*G266*H266*I266/J266,2)</f>
        <v>8769.19</v>
      </c>
      <c r="L266" s="15" t="n">
        <v>8769.19</v>
      </c>
      <c r="M266" s="15" t="n">
        <f aca="false">L266-K266</f>
        <v>0</v>
      </c>
      <c r="N266" s="14" t="s">
        <v>61</v>
      </c>
      <c r="O266" s="14" t="s">
        <v>62</v>
      </c>
    </row>
    <row r="267" customFormat="false" ht="15" hidden="false" customHeight="false" outlineLevel="0" collapsed="false">
      <c r="A267" s="3" t="s">
        <v>1815</v>
      </c>
      <c r="B267" s="3" t="s">
        <v>2160</v>
      </c>
      <c r="C267" s="3" t="s">
        <v>159</v>
      </c>
      <c r="D267" s="3" t="s">
        <v>2161</v>
      </c>
      <c r="E267" s="3" t="s">
        <v>56</v>
      </c>
      <c r="F267" s="12" t="n">
        <v>1070000</v>
      </c>
      <c r="G267" s="13" t="n">
        <v>0.55</v>
      </c>
      <c r="H267" s="13" t="n">
        <v>1.15</v>
      </c>
      <c r="I267" s="13" t="n">
        <v>0.9167</v>
      </c>
      <c r="J267" s="13" t="n">
        <v>0.53</v>
      </c>
      <c r="K267" s="12" t="n">
        <f aca="false">ROUND(F267/100*G267*H267*I267/J267,2)</f>
        <v>11705.65</v>
      </c>
      <c r="L267" s="12" t="n">
        <v>11705.65</v>
      </c>
      <c r="M267" s="12" t="n">
        <f aca="false">L267-K267</f>
        <v>0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1847</v>
      </c>
      <c r="B268" s="14" t="s">
        <v>2162</v>
      </c>
      <c r="C268" s="14" t="s">
        <v>266</v>
      </c>
      <c r="D268" s="14" t="s">
        <v>2163</v>
      </c>
      <c r="E268" s="14" t="s">
        <v>157</v>
      </c>
      <c r="F268" s="15" t="n">
        <v>305000</v>
      </c>
      <c r="G268" s="16" t="n">
        <v>0.88</v>
      </c>
      <c r="H268" s="16" t="n">
        <v>1.1</v>
      </c>
      <c r="I268" s="16" t="n">
        <v>0.9167</v>
      </c>
      <c r="J268" s="16" t="n">
        <v>0.53</v>
      </c>
      <c r="K268" s="15" t="n">
        <f aca="false">ROUND(F268/100*G268*H268*I268/J268,2)</f>
        <v>5106.54</v>
      </c>
      <c r="L268" s="15" t="n">
        <v>5106.54</v>
      </c>
      <c r="M268" s="15" t="n">
        <f aca="false">L268-K268</f>
        <v>0</v>
      </c>
      <c r="N268" s="14" t="s">
        <v>51</v>
      </c>
      <c r="O268" s="14" t="s">
        <v>52</v>
      </c>
    </row>
    <row r="269" customFormat="false" ht="15" hidden="false" customHeight="false" outlineLevel="0" collapsed="false">
      <c r="A269" s="3" t="s">
        <v>1787</v>
      </c>
      <c r="B269" s="3" t="s">
        <v>2164</v>
      </c>
      <c r="C269" s="3" t="s">
        <v>193</v>
      </c>
      <c r="D269" s="3" t="s">
        <v>186</v>
      </c>
      <c r="E269" s="3" t="s">
        <v>56</v>
      </c>
      <c r="F269" s="12" t="n">
        <v>1320000</v>
      </c>
      <c r="G269" s="13" t="n">
        <v>0.55</v>
      </c>
      <c r="H269" s="13" t="n">
        <v>1.25</v>
      </c>
      <c r="I269" s="13" t="n">
        <v>0.9167</v>
      </c>
      <c r="J269" s="13" t="n">
        <v>0.53</v>
      </c>
      <c r="K269" s="12" t="n">
        <f aca="false">ROUND(F269/100*G269*H269*I269/J269,2)</f>
        <v>15696.33</v>
      </c>
      <c r="L269" s="12" t="n">
        <v>15696.32</v>
      </c>
      <c r="M269" s="12" t="n">
        <f aca="false">L269-K269</f>
        <v>-0.0100000000002183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1807</v>
      </c>
      <c r="B270" s="14" t="s">
        <v>2165</v>
      </c>
      <c r="C270" s="14" t="s">
        <v>89</v>
      </c>
      <c r="D270" s="14" t="s">
        <v>874</v>
      </c>
      <c r="E270" s="14" t="s">
        <v>56</v>
      </c>
      <c r="F270" s="15" t="n">
        <v>1275000</v>
      </c>
      <c r="G270" s="16" t="n">
        <v>0.55</v>
      </c>
      <c r="H270" s="16" t="n">
        <v>1.35</v>
      </c>
      <c r="I270" s="16" t="n">
        <v>0.9167</v>
      </c>
      <c r="J270" s="16" t="n">
        <v>0.53</v>
      </c>
      <c r="K270" s="15" t="n">
        <f aca="false">ROUND(F270/100*G270*H270*I270/J270,2)</f>
        <v>16374.12</v>
      </c>
      <c r="L270" s="15" t="n">
        <v>16374.12</v>
      </c>
      <c r="M270" s="15" t="n">
        <f aca="false">L270-K270</f>
        <v>0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1793</v>
      </c>
      <c r="B271" s="3" t="s">
        <v>2166</v>
      </c>
      <c r="C271" s="3" t="s">
        <v>93</v>
      </c>
      <c r="D271" s="3" t="s">
        <v>1283</v>
      </c>
      <c r="E271" s="3" t="s">
        <v>56</v>
      </c>
      <c r="F271" s="12" t="n">
        <v>905000</v>
      </c>
      <c r="G271" s="13" t="n">
        <v>0.65</v>
      </c>
      <c r="H271" s="13" t="n">
        <v>1.39</v>
      </c>
      <c r="I271" s="13" t="n">
        <v>0.9167</v>
      </c>
      <c r="J271" s="13" t="n">
        <v>0.53</v>
      </c>
      <c r="K271" s="12" t="n">
        <f aca="false">ROUND(F271/100*G271*H271*I271/J271,2)</f>
        <v>14142.56</v>
      </c>
      <c r="L271" s="12" t="n">
        <v>14142.56</v>
      </c>
      <c r="M271" s="12" t="n">
        <f aca="false">L271-K271</f>
        <v>0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1845</v>
      </c>
      <c r="B272" s="14" t="s">
        <v>2167</v>
      </c>
      <c r="C272" s="14" t="s">
        <v>64</v>
      </c>
      <c r="D272" s="14" t="s">
        <v>1279</v>
      </c>
      <c r="E272" s="14" t="s">
        <v>133</v>
      </c>
      <c r="F272" s="15" t="n">
        <v>905000</v>
      </c>
      <c r="G272" s="16" t="n">
        <v>0.38</v>
      </c>
      <c r="H272" s="16" t="n">
        <v>1.17</v>
      </c>
      <c r="I272" s="16" t="n">
        <v>0.9167</v>
      </c>
      <c r="J272" s="16" t="n">
        <v>0.53</v>
      </c>
      <c r="K272" s="15" t="n">
        <f aca="false">ROUND(F272/100*G272*H272*I272/J272,2)</f>
        <v>6959.36</v>
      </c>
      <c r="L272" s="15" t="n">
        <v>6959.36</v>
      </c>
      <c r="M272" s="15" t="n">
        <f aca="false">L272-K272</f>
        <v>0</v>
      </c>
      <c r="N272" s="14" t="s">
        <v>51</v>
      </c>
      <c r="O272" s="14" t="s">
        <v>52</v>
      </c>
    </row>
    <row r="274" customFormat="false" ht="15" hidden="false" customHeight="false" outlineLevel="0" collapsed="false">
      <c r="A274" s="10" t="s">
        <v>551</v>
      </c>
      <c r="C274" s="17" t="n">
        <f aca="false">COUNTA(B5:B272)</f>
        <v>268</v>
      </c>
    </row>
    <row r="275" customFormat="false" ht="15" hidden="false" customHeight="false" outlineLevel="0" collapsed="false">
      <c r="A275" s="10" t="s">
        <v>552</v>
      </c>
      <c r="C275" s="17" t="n">
        <f aca="false">COUNTIF(O5:O272,"bound")</f>
        <v>195</v>
      </c>
    </row>
    <row r="276" customFormat="false" ht="15" hidden="false" customHeight="false" outlineLevel="0" collapsed="false">
      <c r="A276" s="10" t="s">
        <v>553</v>
      </c>
      <c r="C276" s="18" t="n">
        <f aca="false">AVERAGE(L5:L272)</f>
        <v>9346.46843283582</v>
      </c>
    </row>
    <row r="277" customFormat="false" ht="15" hidden="false" customHeight="false" outlineLevel="0" collapsed="false">
      <c r="A277" s="10" t="s">
        <v>554</v>
      </c>
      <c r="C277" s="18" t="n">
        <f aca="false">AVERAGEIF(O5:O272,"bound",L5:L272)</f>
        <v>9205.29364102564</v>
      </c>
    </row>
    <row r="278" customFormat="false" ht="15" hidden="false" customHeight="false" outlineLevel="0" collapsed="false">
      <c r="A278" s="10" t="s">
        <v>555</v>
      </c>
      <c r="C278" s="18" t="n">
        <f aca="false">SUMIF(O5:O272,"bound",L5:L272)</f>
        <v>1795032.26</v>
      </c>
    </row>
    <row r="279" customFormat="false" ht="15" hidden="false" customHeight="false" outlineLevel="0" collapsed="false">
      <c r="A279" s="10" t="s">
        <v>556</v>
      </c>
      <c r="C279" s="19" t="n">
        <v>0.9167</v>
      </c>
    </row>
  </sheetData>
  <autoFilter ref="A4:O2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2168</v>
      </c>
    </row>
    <row r="2" customFormat="false" ht="15" hidden="false" customHeight="false" outlineLevel="0" collapsed="false">
      <c r="A2" s="4" t="s">
        <v>2169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2170</v>
      </c>
      <c r="B5" s="3" t="s">
        <v>2171</v>
      </c>
      <c r="C5" s="3" t="s">
        <v>409</v>
      </c>
      <c r="D5" s="3" t="s">
        <v>498</v>
      </c>
      <c r="E5" s="3" t="s">
        <v>56</v>
      </c>
      <c r="F5" s="12" t="n">
        <v>190000</v>
      </c>
      <c r="G5" s="13" t="n">
        <v>0.92</v>
      </c>
      <c r="H5" s="13" t="n">
        <v>1.3</v>
      </c>
      <c r="I5" s="13" t="n">
        <v>0.8972</v>
      </c>
      <c r="J5" s="13" t="n">
        <v>0.53</v>
      </c>
      <c r="K5" s="12" t="n">
        <f aca="false">ROUND(F5/100*G5*H5*I5/J5,2)</f>
        <v>3846.79</v>
      </c>
      <c r="L5" s="12" t="n">
        <v>3846.79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2172</v>
      </c>
      <c r="B6" s="14" t="s">
        <v>2173</v>
      </c>
      <c r="C6" s="14" t="s">
        <v>59</v>
      </c>
      <c r="D6" s="14" t="s">
        <v>1909</v>
      </c>
      <c r="E6" s="14" t="s">
        <v>56</v>
      </c>
      <c r="F6" s="15" t="n">
        <v>760000</v>
      </c>
      <c r="G6" s="16" t="n">
        <v>0.65</v>
      </c>
      <c r="H6" s="16" t="n">
        <v>0.97</v>
      </c>
      <c r="I6" s="16" t="n">
        <v>0.8972</v>
      </c>
      <c r="J6" s="16" t="n">
        <v>0.53</v>
      </c>
      <c r="K6" s="15" t="n">
        <f aca="false">ROUND(F6/100*G6*H6*I6/J6,2)</f>
        <v>8111.7</v>
      </c>
      <c r="L6" s="15" t="n">
        <v>8111.7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2174</v>
      </c>
      <c r="B7" s="3" t="s">
        <v>2175</v>
      </c>
      <c r="C7" s="3" t="s">
        <v>174</v>
      </c>
      <c r="D7" s="3" t="s">
        <v>2176</v>
      </c>
      <c r="E7" s="3" t="s">
        <v>50</v>
      </c>
      <c r="F7" s="12" t="n">
        <v>595000</v>
      </c>
      <c r="G7" s="13" t="n">
        <v>0.95</v>
      </c>
      <c r="H7" s="13" t="n">
        <v>1.55</v>
      </c>
      <c r="I7" s="13" t="n">
        <v>0.8972</v>
      </c>
      <c r="J7" s="13" t="n">
        <v>0.53</v>
      </c>
      <c r="K7" s="12" t="n">
        <f aca="false">ROUND(F7/100*G7*H7*I7/J7,2)</f>
        <v>14831.52</v>
      </c>
      <c r="L7" s="12" t="n">
        <v>14831.52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2177</v>
      </c>
      <c r="B8" s="14" t="s">
        <v>2178</v>
      </c>
      <c r="C8" s="14" t="s">
        <v>887</v>
      </c>
      <c r="D8" s="14" t="s">
        <v>283</v>
      </c>
      <c r="E8" s="14" t="s">
        <v>56</v>
      </c>
      <c r="F8" s="15" t="n">
        <v>290000</v>
      </c>
      <c r="G8" s="16" t="n">
        <v>0.75</v>
      </c>
      <c r="H8" s="16" t="n">
        <v>1.37</v>
      </c>
      <c r="I8" s="16" t="n">
        <v>0.8972</v>
      </c>
      <c r="J8" s="16" t="n">
        <v>0.53</v>
      </c>
      <c r="K8" s="15" t="n">
        <f aca="false">ROUND(F8/100*G8*H8*I8/J8,2)</f>
        <v>5044.21</v>
      </c>
      <c r="L8" s="15" t="n">
        <v>5044.21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2179</v>
      </c>
      <c r="B9" s="3" t="s">
        <v>2180</v>
      </c>
      <c r="C9" s="3" t="s">
        <v>48</v>
      </c>
      <c r="D9" s="3" t="s">
        <v>1330</v>
      </c>
      <c r="E9" s="3" t="s">
        <v>56</v>
      </c>
      <c r="F9" s="12" t="n">
        <v>1265000</v>
      </c>
      <c r="G9" s="13" t="n">
        <v>0.55</v>
      </c>
      <c r="H9" s="13" t="n">
        <v>1.28</v>
      </c>
      <c r="I9" s="13" t="n">
        <v>0.8972</v>
      </c>
      <c r="J9" s="13" t="n">
        <v>0.53</v>
      </c>
      <c r="K9" s="12" t="n">
        <f aca="false">ROUND(F9/100*G9*H9*I9/J9,2)</f>
        <v>15075.67</v>
      </c>
      <c r="L9" s="12" t="n">
        <v>15075.67</v>
      </c>
      <c r="M9" s="12" t="n">
        <f aca="false">L9-K9</f>
        <v>0</v>
      </c>
      <c r="N9" s="3" t="s">
        <v>51</v>
      </c>
      <c r="O9" s="3" t="s">
        <v>52</v>
      </c>
    </row>
    <row r="10" customFormat="false" ht="15" hidden="false" customHeight="false" outlineLevel="0" collapsed="false">
      <c r="A10" s="14" t="s">
        <v>2181</v>
      </c>
      <c r="B10" s="14" t="s">
        <v>2182</v>
      </c>
      <c r="C10" s="14" t="s">
        <v>220</v>
      </c>
      <c r="D10" s="14" t="s">
        <v>759</v>
      </c>
      <c r="E10" s="14" t="s">
        <v>56</v>
      </c>
      <c r="F10" s="15" t="n">
        <v>930000</v>
      </c>
      <c r="G10" s="16" t="n">
        <v>0.65</v>
      </c>
      <c r="H10" s="16" t="n">
        <v>1.01</v>
      </c>
      <c r="I10" s="16" t="n">
        <v>0.8972</v>
      </c>
      <c r="J10" s="16" t="n">
        <v>0.53</v>
      </c>
      <c r="K10" s="15" t="n">
        <f aca="false">ROUND(F10/100*G10*H10*I10/J10,2)</f>
        <v>10335.49</v>
      </c>
      <c r="L10" s="15" t="n">
        <v>10335.49</v>
      </c>
      <c r="M10" s="15" t="n">
        <f aca="false">L10-K10</f>
        <v>0</v>
      </c>
      <c r="N10" s="14" t="s">
        <v>51</v>
      </c>
      <c r="O10" s="14" t="s">
        <v>52</v>
      </c>
    </row>
    <row r="11" customFormat="false" ht="15" hidden="false" customHeight="false" outlineLevel="0" collapsed="false">
      <c r="A11" s="3" t="s">
        <v>2183</v>
      </c>
      <c r="B11" s="3" t="s">
        <v>2184</v>
      </c>
      <c r="C11" s="3" t="s">
        <v>224</v>
      </c>
      <c r="D11" s="3" t="s">
        <v>1707</v>
      </c>
      <c r="E11" s="3" t="s">
        <v>56</v>
      </c>
      <c r="F11" s="12" t="n">
        <v>1685000</v>
      </c>
      <c r="G11" s="13" t="n">
        <v>0.55</v>
      </c>
      <c r="H11" s="13" t="n">
        <v>1.1</v>
      </c>
      <c r="I11" s="13" t="n">
        <v>0.8972</v>
      </c>
      <c r="J11" s="13" t="n">
        <v>0.53</v>
      </c>
      <c r="K11" s="12" t="n">
        <f aca="false">ROUND(F11/100*G11*H11*I11/J11,2)</f>
        <v>17257.13</v>
      </c>
      <c r="L11" s="12" t="n">
        <v>17257.13</v>
      </c>
      <c r="M11" s="12" t="n">
        <f aca="false">L11-K11</f>
        <v>0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2185</v>
      </c>
      <c r="B12" s="14" t="s">
        <v>2186</v>
      </c>
      <c r="C12" s="14" t="s">
        <v>174</v>
      </c>
      <c r="D12" s="14" t="s">
        <v>1640</v>
      </c>
      <c r="E12" s="14" t="s">
        <v>74</v>
      </c>
      <c r="F12" s="15" t="n">
        <v>1775000</v>
      </c>
      <c r="G12" s="16" t="n">
        <v>0.38</v>
      </c>
      <c r="H12" s="16" t="n">
        <v>1.55</v>
      </c>
      <c r="I12" s="16" t="n">
        <v>0.8972</v>
      </c>
      <c r="J12" s="16" t="n">
        <v>0.53</v>
      </c>
      <c r="K12" s="15" t="n">
        <f aca="false">ROUND(F12/100*G12*H12*I12/J12,2)</f>
        <v>17698.12</v>
      </c>
      <c r="L12" s="15" t="n">
        <v>17698.11</v>
      </c>
      <c r="M12" s="15" t="n">
        <f aca="false">L12-K12</f>
        <v>-0.00999999999839929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2187</v>
      </c>
      <c r="B13" s="3" t="s">
        <v>2188</v>
      </c>
      <c r="C13" s="3" t="s">
        <v>145</v>
      </c>
      <c r="D13" s="3" t="s">
        <v>842</v>
      </c>
      <c r="E13" s="3" t="s">
        <v>56</v>
      </c>
      <c r="F13" s="12" t="n">
        <v>365000</v>
      </c>
      <c r="G13" s="13" t="n">
        <v>0.75</v>
      </c>
      <c r="H13" s="13" t="n">
        <v>0.96</v>
      </c>
      <c r="I13" s="13" t="n">
        <v>0.8972</v>
      </c>
      <c r="J13" s="13" t="n">
        <v>0.53</v>
      </c>
      <c r="K13" s="12" t="n">
        <f aca="false">ROUND(F13/100*G13*H13*I13/J13,2)</f>
        <v>4448.76</v>
      </c>
      <c r="L13" s="12" t="n">
        <v>4448.76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2177</v>
      </c>
      <c r="B14" s="14" t="s">
        <v>2189</v>
      </c>
      <c r="C14" s="14" t="s">
        <v>174</v>
      </c>
      <c r="D14" s="14" t="s">
        <v>2190</v>
      </c>
      <c r="E14" s="14" t="s">
        <v>50</v>
      </c>
      <c r="F14" s="15" t="n">
        <v>905000</v>
      </c>
      <c r="G14" s="16" t="n">
        <v>0.95</v>
      </c>
      <c r="H14" s="16" t="n">
        <v>1.55</v>
      </c>
      <c r="I14" s="16" t="n">
        <v>0.8972</v>
      </c>
      <c r="J14" s="16" t="n">
        <v>0.53</v>
      </c>
      <c r="K14" s="15" t="n">
        <f aca="false">ROUND(F14/100*G14*H14*I14/J14,2)</f>
        <v>22558.87</v>
      </c>
      <c r="L14" s="15" t="n">
        <v>22558.86</v>
      </c>
      <c r="M14" s="15" t="n">
        <f aca="false">L14-K14</f>
        <v>-0.00999999999839929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2191</v>
      </c>
      <c r="B15" s="3" t="s">
        <v>2192</v>
      </c>
      <c r="C15" s="3" t="s">
        <v>145</v>
      </c>
      <c r="D15" s="3" t="s">
        <v>289</v>
      </c>
      <c r="E15" s="3" t="s">
        <v>56</v>
      </c>
      <c r="F15" s="12" t="n">
        <v>370000</v>
      </c>
      <c r="G15" s="13" t="n">
        <v>0.75</v>
      </c>
      <c r="H15" s="13" t="n">
        <v>0.96</v>
      </c>
      <c r="I15" s="13" t="n">
        <v>0.8972</v>
      </c>
      <c r="J15" s="13" t="n">
        <v>0.53</v>
      </c>
      <c r="K15" s="12" t="n">
        <f aca="false">ROUND(F15/100*G15*H15*I15/J15,2)</f>
        <v>4509.7</v>
      </c>
      <c r="L15" s="12" t="n">
        <v>4509.7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2193</v>
      </c>
      <c r="B16" s="14" t="s">
        <v>2194</v>
      </c>
      <c r="C16" s="14" t="s">
        <v>193</v>
      </c>
      <c r="D16" s="14" t="s">
        <v>2195</v>
      </c>
      <c r="E16" s="14" t="s">
        <v>133</v>
      </c>
      <c r="F16" s="15" t="n">
        <v>790000</v>
      </c>
      <c r="G16" s="16" t="n">
        <v>0.38</v>
      </c>
      <c r="H16" s="16" t="n">
        <v>1.25</v>
      </c>
      <c r="I16" s="16" t="n">
        <v>0.8972</v>
      </c>
      <c r="J16" s="16" t="n">
        <v>0.53</v>
      </c>
      <c r="K16" s="15" t="n">
        <f aca="false">ROUND(F16/100*G16*H16*I16/J16,2)</f>
        <v>6352.35</v>
      </c>
      <c r="L16" s="15" t="n">
        <v>6352.35</v>
      </c>
      <c r="M16" s="15" t="n">
        <f aca="false">L16-K16</f>
        <v>0</v>
      </c>
      <c r="N16" s="14" t="s">
        <v>51</v>
      </c>
      <c r="O16" s="14" t="s">
        <v>52</v>
      </c>
    </row>
    <row r="17" customFormat="false" ht="15" hidden="false" customHeight="false" outlineLevel="0" collapsed="false">
      <c r="A17" s="3" t="s">
        <v>2170</v>
      </c>
      <c r="B17" s="3" t="s">
        <v>2196</v>
      </c>
      <c r="C17" s="3" t="s">
        <v>174</v>
      </c>
      <c r="D17" s="3" t="s">
        <v>2197</v>
      </c>
      <c r="E17" s="3" t="s">
        <v>74</v>
      </c>
      <c r="F17" s="12" t="n">
        <v>300000</v>
      </c>
      <c r="G17" s="13" t="n">
        <v>0.48</v>
      </c>
      <c r="H17" s="13" t="n">
        <v>1.55</v>
      </c>
      <c r="I17" s="13" t="n">
        <v>0.8972</v>
      </c>
      <c r="J17" s="13" t="n">
        <v>0.53</v>
      </c>
      <c r="K17" s="12" t="n">
        <f aca="false">ROUND(F17/100*G17*H17*I17/J17,2)</f>
        <v>3778.4</v>
      </c>
      <c r="L17" s="12" t="n">
        <v>3778.4</v>
      </c>
      <c r="M17" s="12" t="n">
        <f aca="false">L17-K17</f>
        <v>0</v>
      </c>
      <c r="N17" s="3" t="s">
        <v>51</v>
      </c>
      <c r="O17" s="3" t="s">
        <v>52</v>
      </c>
    </row>
    <row r="18" customFormat="false" ht="15" hidden="false" customHeight="false" outlineLevel="0" collapsed="false">
      <c r="A18" s="14" t="s">
        <v>2172</v>
      </c>
      <c r="B18" s="14" t="s">
        <v>2198</v>
      </c>
      <c r="C18" s="14" t="s">
        <v>89</v>
      </c>
      <c r="D18" s="14" t="s">
        <v>2199</v>
      </c>
      <c r="E18" s="14" t="s">
        <v>56</v>
      </c>
      <c r="F18" s="15" t="n">
        <v>655000</v>
      </c>
      <c r="G18" s="16" t="n">
        <v>0.65</v>
      </c>
      <c r="H18" s="16" t="n">
        <v>1.35</v>
      </c>
      <c r="I18" s="16" t="n">
        <v>0.8972</v>
      </c>
      <c r="J18" s="16" t="n">
        <v>0.53</v>
      </c>
      <c r="K18" s="15" t="n">
        <f aca="false">ROUND(F18/100*G18*H18*I18/J18,2)</f>
        <v>9729.75</v>
      </c>
      <c r="L18" s="15" t="n">
        <v>9729.76</v>
      </c>
      <c r="M18" s="15" t="n">
        <f aca="false">L18-K18</f>
        <v>0.0100000000002183</v>
      </c>
      <c r="N18" s="14" t="s">
        <v>51</v>
      </c>
      <c r="O18" s="14" t="s">
        <v>52</v>
      </c>
    </row>
    <row r="19" customFormat="false" ht="15" hidden="false" customHeight="false" outlineLevel="0" collapsed="false">
      <c r="A19" s="3" t="s">
        <v>2200</v>
      </c>
      <c r="B19" s="3" t="s">
        <v>2201</v>
      </c>
      <c r="C19" s="3" t="s">
        <v>48</v>
      </c>
      <c r="D19" s="3" t="s">
        <v>782</v>
      </c>
      <c r="E19" s="3" t="s">
        <v>56</v>
      </c>
      <c r="F19" s="12" t="n">
        <v>235000</v>
      </c>
      <c r="G19" s="13" t="n">
        <v>0.92</v>
      </c>
      <c r="H19" s="13" t="n">
        <v>1.28</v>
      </c>
      <c r="I19" s="13" t="n">
        <v>0.8972</v>
      </c>
      <c r="J19" s="13" t="n">
        <v>0.53</v>
      </c>
      <c r="K19" s="12" t="n">
        <f aca="false">ROUND(F19/100*G19*H19*I19/J19,2)</f>
        <v>4684.67</v>
      </c>
      <c r="L19" s="12" t="n">
        <v>4684.67</v>
      </c>
      <c r="M19" s="12" t="n">
        <f aca="false">L19-K19</f>
        <v>0</v>
      </c>
      <c r="N19" s="3" t="s">
        <v>51</v>
      </c>
      <c r="O19" s="3" t="s">
        <v>52</v>
      </c>
    </row>
    <row r="20" customFormat="false" ht="15" hidden="false" customHeight="false" outlineLevel="0" collapsed="false">
      <c r="A20" s="14" t="s">
        <v>2183</v>
      </c>
      <c r="B20" s="14" t="s">
        <v>2202</v>
      </c>
      <c r="C20" s="14" t="s">
        <v>237</v>
      </c>
      <c r="D20" s="14" t="s">
        <v>933</v>
      </c>
      <c r="E20" s="14" t="s">
        <v>56</v>
      </c>
      <c r="F20" s="15" t="n">
        <v>705000</v>
      </c>
      <c r="G20" s="16" t="n">
        <v>0.65</v>
      </c>
      <c r="H20" s="16" t="n">
        <v>1.33</v>
      </c>
      <c r="I20" s="16" t="n">
        <v>0.8972</v>
      </c>
      <c r="J20" s="16" t="n">
        <v>0.53</v>
      </c>
      <c r="K20" s="15" t="n">
        <f aca="false">ROUND(F20/100*G20*H20*I20/J20,2)</f>
        <v>10317.33</v>
      </c>
      <c r="L20" s="15" t="n">
        <v>10317.33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2179</v>
      </c>
      <c r="B21" s="3" t="s">
        <v>2203</v>
      </c>
      <c r="C21" s="3" t="s">
        <v>217</v>
      </c>
      <c r="D21" s="3" t="s">
        <v>2204</v>
      </c>
      <c r="E21" s="3" t="s">
        <v>50</v>
      </c>
      <c r="F21" s="12" t="n">
        <v>1330000</v>
      </c>
      <c r="G21" s="13" t="n">
        <v>0.8</v>
      </c>
      <c r="H21" s="13" t="n">
        <v>1.3</v>
      </c>
      <c r="I21" s="13" t="n">
        <v>0.8972</v>
      </c>
      <c r="J21" s="13" t="n">
        <v>0.53</v>
      </c>
      <c r="K21" s="12" t="n">
        <f aca="false">ROUND(F21/100*G21*H21*I21/J21,2)</f>
        <v>23415.23</v>
      </c>
      <c r="L21" s="12" t="n">
        <v>23415.22</v>
      </c>
      <c r="M21" s="12" t="n">
        <f aca="false">L21-K21</f>
        <v>-0.00999999999839929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2193</v>
      </c>
      <c r="B22" s="14" t="s">
        <v>2205</v>
      </c>
      <c r="C22" s="14" t="s">
        <v>48</v>
      </c>
      <c r="D22" s="14" t="s">
        <v>2206</v>
      </c>
      <c r="E22" s="14" t="s">
        <v>157</v>
      </c>
      <c r="F22" s="15" t="n">
        <v>1145000</v>
      </c>
      <c r="G22" s="16" t="n">
        <v>0.68</v>
      </c>
      <c r="H22" s="16" t="n">
        <v>1.28</v>
      </c>
      <c r="I22" s="16" t="n">
        <v>0.8972</v>
      </c>
      <c r="J22" s="16" t="n">
        <v>0.53</v>
      </c>
      <c r="K22" s="15" t="n">
        <f aca="false">ROUND(F22/100*G22*H22*I22/J22,2)</f>
        <v>16870.88</v>
      </c>
      <c r="L22" s="15" t="n">
        <v>16870.88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2193</v>
      </c>
      <c r="B23" s="3" t="s">
        <v>2207</v>
      </c>
      <c r="C23" s="3" t="s">
        <v>184</v>
      </c>
      <c r="D23" s="3" t="s">
        <v>2208</v>
      </c>
      <c r="E23" s="3" t="s">
        <v>56</v>
      </c>
      <c r="F23" s="12" t="n">
        <v>355000</v>
      </c>
      <c r="G23" s="13" t="n">
        <v>0.75</v>
      </c>
      <c r="H23" s="13" t="n">
        <v>1.02</v>
      </c>
      <c r="I23" s="13" t="n">
        <v>0.8972</v>
      </c>
      <c r="J23" s="13" t="n">
        <v>0.53</v>
      </c>
      <c r="K23" s="12" t="n">
        <f aca="false">ROUND(F23/100*G23*H23*I23/J23,2)</f>
        <v>4597.3</v>
      </c>
      <c r="L23" s="12" t="n">
        <v>4597.31</v>
      </c>
      <c r="M23" s="12" t="n">
        <f aca="false">L23-K23</f>
        <v>0.0100000000002183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2181</v>
      </c>
      <c r="B24" s="14" t="s">
        <v>2209</v>
      </c>
      <c r="C24" s="14" t="s">
        <v>193</v>
      </c>
      <c r="D24" s="14" t="s">
        <v>1594</v>
      </c>
      <c r="E24" s="14" t="s">
        <v>74</v>
      </c>
      <c r="F24" s="15" t="n">
        <v>345000</v>
      </c>
      <c r="G24" s="16" t="n">
        <v>0.48</v>
      </c>
      <c r="H24" s="16" t="n">
        <v>1.25</v>
      </c>
      <c r="I24" s="16" t="n">
        <v>0.8972</v>
      </c>
      <c r="J24" s="16" t="n">
        <v>0.53</v>
      </c>
      <c r="K24" s="15" t="n">
        <f aca="false">ROUND(F24/100*G24*H24*I24/J24,2)</f>
        <v>3504.16</v>
      </c>
      <c r="L24" s="15" t="n">
        <v>3504.16</v>
      </c>
      <c r="M24" s="15" t="n">
        <f aca="false">L24-K24</f>
        <v>0</v>
      </c>
      <c r="N24" s="14" t="s">
        <v>70</v>
      </c>
      <c r="O24" s="14" t="s">
        <v>52</v>
      </c>
    </row>
    <row r="25" customFormat="false" ht="15" hidden="false" customHeight="false" outlineLevel="0" collapsed="false">
      <c r="A25" s="3" t="s">
        <v>2210</v>
      </c>
      <c r="B25" s="3" t="s">
        <v>2211</v>
      </c>
      <c r="C25" s="3" t="s">
        <v>120</v>
      </c>
      <c r="D25" s="3" t="s">
        <v>1766</v>
      </c>
      <c r="E25" s="3" t="s">
        <v>56</v>
      </c>
      <c r="F25" s="12" t="n">
        <v>555000</v>
      </c>
      <c r="G25" s="13" t="n">
        <v>0.65</v>
      </c>
      <c r="H25" s="13" t="n">
        <v>1.15</v>
      </c>
      <c r="I25" s="13" t="n">
        <v>0.8972</v>
      </c>
      <c r="J25" s="13" t="n">
        <v>0.53</v>
      </c>
      <c r="K25" s="12" t="n">
        <f aca="false">ROUND(F25/100*G25*H25*I25/J25,2)</f>
        <v>7022.92</v>
      </c>
      <c r="L25" s="12" t="n">
        <v>7022.91</v>
      </c>
      <c r="M25" s="12" t="n">
        <f aca="false">L25-K25</f>
        <v>-0.0100000000002183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2172</v>
      </c>
      <c r="B26" s="14" t="s">
        <v>2212</v>
      </c>
      <c r="C26" s="14" t="s">
        <v>266</v>
      </c>
      <c r="D26" s="14" t="s">
        <v>471</v>
      </c>
      <c r="E26" s="14" t="s">
        <v>74</v>
      </c>
      <c r="F26" s="15" t="n">
        <v>1425000</v>
      </c>
      <c r="G26" s="16" t="n">
        <v>0.38</v>
      </c>
      <c r="H26" s="16" t="n">
        <v>1.1</v>
      </c>
      <c r="I26" s="16" t="n">
        <v>0.8972</v>
      </c>
      <c r="J26" s="16" t="n">
        <v>0.53</v>
      </c>
      <c r="K26" s="15" t="n">
        <f aca="false">ROUND(F26/100*G26*H26*I26/J26,2)</f>
        <v>10083.34</v>
      </c>
      <c r="L26" s="15" t="n">
        <v>10083.34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2210</v>
      </c>
      <c r="B27" s="3" t="s">
        <v>2213</v>
      </c>
      <c r="C27" s="3" t="s">
        <v>326</v>
      </c>
      <c r="D27" s="3" t="s">
        <v>2214</v>
      </c>
      <c r="E27" s="3" t="s">
        <v>133</v>
      </c>
      <c r="F27" s="12" t="n">
        <v>720000</v>
      </c>
      <c r="G27" s="13" t="n">
        <v>0.38</v>
      </c>
      <c r="H27" s="13" t="n">
        <v>1.12</v>
      </c>
      <c r="I27" s="13" t="n">
        <v>0.8972</v>
      </c>
      <c r="J27" s="13" t="n">
        <v>0.53</v>
      </c>
      <c r="K27" s="12" t="n">
        <f aca="false">ROUND(F27/100*G27*H27*I27/J27,2)</f>
        <v>5187.37</v>
      </c>
      <c r="L27" s="12" t="n">
        <v>5187.38</v>
      </c>
      <c r="M27" s="12" t="n">
        <f aca="false">L27-K27</f>
        <v>0.0100000000002183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2181</v>
      </c>
      <c r="B28" s="14" t="s">
        <v>2215</v>
      </c>
      <c r="C28" s="14" t="s">
        <v>435</v>
      </c>
      <c r="D28" s="14" t="s">
        <v>2216</v>
      </c>
      <c r="E28" s="14" t="s">
        <v>56</v>
      </c>
      <c r="F28" s="15" t="n">
        <v>370000</v>
      </c>
      <c r="G28" s="16" t="n">
        <v>0.75</v>
      </c>
      <c r="H28" s="16" t="n">
        <v>1.13</v>
      </c>
      <c r="I28" s="16" t="n">
        <v>0.8972</v>
      </c>
      <c r="J28" s="16" t="n">
        <v>0.53</v>
      </c>
      <c r="K28" s="15" t="n">
        <f aca="false">ROUND(F28/100*G28*H28*I28/J28,2)</f>
        <v>5308.29</v>
      </c>
      <c r="L28" s="15" t="n">
        <v>5308.29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2183</v>
      </c>
      <c r="B29" s="3" t="s">
        <v>2217</v>
      </c>
      <c r="C29" s="3" t="s">
        <v>224</v>
      </c>
      <c r="D29" s="3" t="s">
        <v>2218</v>
      </c>
      <c r="E29" s="3" t="s">
        <v>56</v>
      </c>
      <c r="F29" s="12" t="n">
        <v>205000</v>
      </c>
      <c r="G29" s="13" t="n">
        <v>0.92</v>
      </c>
      <c r="H29" s="13" t="n">
        <v>1.1</v>
      </c>
      <c r="I29" s="13" t="n">
        <v>0.8972</v>
      </c>
      <c r="J29" s="13" t="n">
        <v>0.53</v>
      </c>
      <c r="K29" s="12" t="n">
        <f aca="false">ROUND(F29/100*G29*H29*I29/J29,2)</f>
        <v>3511.95</v>
      </c>
      <c r="L29" s="12" t="n">
        <v>3511.95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2219</v>
      </c>
      <c r="B30" s="14" t="s">
        <v>2220</v>
      </c>
      <c r="C30" s="14" t="s">
        <v>48</v>
      </c>
      <c r="D30" s="14" t="s">
        <v>202</v>
      </c>
      <c r="E30" s="14" t="s">
        <v>50</v>
      </c>
      <c r="F30" s="15" t="n">
        <v>490000</v>
      </c>
      <c r="G30" s="16" t="n">
        <v>1.15</v>
      </c>
      <c r="H30" s="16" t="n">
        <v>1.28</v>
      </c>
      <c r="I30" s="16" t="n">
        <v>0.8972</v>
      </c>
      <c r="J30" s="16" t="n">
        <v>0.53</v>
      </c>
      <c r="K30" s="15" t="n">
        <f aca="false">ROUND(F30/100*G30*H30*I30/J30,2)</f>
        <v>12210.05</v>
      </c>
      <c r="L30" s="15" t="n">
        <v>12210.05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2172</v>
      </c>
      <c r="B31" s="3" t="s">
        <v>2221</v>
      </c>
      <c r="C31" s="3" t="s">
        <v>159</v>
      </c>
      <c r="D31" s="3" t="s">
        <v>1764</v>
      </c>
      <c r="E31" s="3" t="s">
        <v>74</v>
      </c>
      <c r="F31" s="12" t="n">
        <v>835000</v>
      </c>
      <c r="G31" s="13" t="n">
        <v>0.43</v>
      </c>
      <c r="H31" s="13" t="n">
        <v>1.15</v>
      </c>
      <c r="I31" s="13" t="n">
        <v>0.8972</v>
      </c>
      <c r="J31" s="13" t="n">
        <v>0.53</v>
      </c>
      <c r="K31" s="12" t="n">
        <f aca="false">ROUND(F31/100*G31*H31*I31/J31,2)</f>
        <v>6989.82</v>
      </c>
      <c r="L31" s="12" t="n">
        <v>6989.83</v>
      </c>
      <c r="M31" s="12" t="n">
        <f aca="false">L31-K31</f>
        <v>0.0100000000002183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2222</v>
      </c>
      <c r="B32" s="14" t="s">
        <v>2223</v>
      </c>
      <c r="C32" s="14" t="s">
        <v>892</v>
      </c>
      <c r="D32" s="14" t="s">
        <v>2034</v>
      </c>
      <c r="E32" s="14" t="s">
        <v>56</v>
      </c>
      <c r="F32" s="15" t="n">
        <v>1170000</v>
      </c>
      <c r="G32" s="16" t="n">
        <v>0.55</v>
      </c>
      <c r="H32" s="16" t="n">
        <v>1.08</v>
      </c>
      <c r="I32" s="16" t="n">
        <v>0.8972</v>
      </c>
      <c r="J32" s="16" t="n">
        <v>0.53</v>
      </c>
      <c r="K32" s="15" t="n">
        <f aca="false">ROUND(F32/100*G32*H32*I32/J32,2)</f>
        <v>11764.83</v>
      </c>
      <c r="L32" s="15" t="n">
        <v>11764.83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2170</v>
      </c>
      <c r="B33" s="3" t="s">
        <v>2224</v>
      </c>
      <c r="C33" s="3" t="s">
        <v>326</v>
      </c>
      <c r="D33" s="3" t="s">
        <v>2225</v>
      </c>
      <c r="E33" s="3" t="s">
        <v>56</v>
      </c>
      <c r="F33" s="12" t="n">
        <v>130000</v>
      </c>
      <c r="G33" s="13" t="n">
        <v>0.92</v>
      </c>
      <c r="H33" s="13" t="n">
        <v>1.12</v>
      </c>
      <c r="I33" s="13" t="n">
        <v>0.8972</v>
      </c>
      <c r="J33" s="13" t="n">
        <v>0.53</v>
      </c>
      <c r="K33" s="12" t="n">
        <f aca="false">ROUND(F33/100*G33*H33*I33/J33,2)</f>
        <v>2267.58</v>
      </c>
      <c r="L33" s="12" t="n">
        <v>2267.58</v>
      </c>
      <c r="M33" s="12" t="n">
        <f aca="false">L33-K33</f>
        <v>0</v>
      </c>
      <c r="N33" s="3" t="s">
        <v>70</v>
      </c>
      <c r="O33" s="3" t="s">
        <v>52</v>
      </c>
    </row>
    <row r="34" customFormat="false" ht="15" hidden="false" customHeight="false" outlineLevel="0" collapsed="false">
      <c r="A34" s="14" t="s">
        <v>2226</v>
      </c>
      <c r="B34" s="14" t="s">
        <v>2227</v>
      </c>
      <c r="C34" s="14" t="s">
        <v>145</v>
      </c>
      <c r="D34" s="14" t="s">
        <v>2228</v>
      </c>
      <c r="E34" s="14" t="s">
        <v>50</v>
      </c>
      <c r="F34" s="15" t="n">
        <v>1225000</v>
      </c>
      <c r="G34" s="16" t="n">
        <v>0.8</v>
      </c>
      <c r="H34" s="16" t="n">
        <v>0.96</v>
      </c>
      <c r="I34" s="16" t="n">
        <v>0.8972</v>
      </c>
      <c r="J34" s="16" t="n">
        <v>0.53</v>
      </c>
      <c r="K34" s="15" t="n">
        <f aca="false">ROUND(F34/100*G34*H34*I34/J34,2)</f>
        <v>15926.15</v>
      </c>
      <c r="L34" s="15" t="n">
        <v>15926.14</v>
      </c>
      <c r="M34" s="15" t="n">
        <f aca="false">L34-K34</f>
        <v>-0.0100000000002183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2200</v>
      </c>
      <c r="B35" s="3" t="s">
        <v>2229</v>
      </c>
      <c r="C35" s="3" t="s">
        <v>114</v>
      </c>
      <c r="D35" s="3" t="s">
        <v>1146</v>
      </c>
      <c r="E35" s="3" t="s">
        <v>56</v>
      </c>
      <c r="F35" s="12" t="n">
        <v>445000</v>
      </c>
      <c r="G35" s="13" t="n">
        <v>0.75</v>
      </c>
      <c r="H35" s="13" t="n">
        <v>1.36</v>
      </c>
      <c r="I35" s="13" t="n">
        <v>0.8972</v>
      </c>
      <c r="J35" s="13" t="n">
        <v>0.53</v>
      </c>
      <c r="K35" s="12" t="n">
        <f aca="false">ROUND(F35/100*G35*H35*I35/J35,2)</f>
        <v>7683.76</v>
      </c>
      <c r="L35" s="12" t="n">
        <v>7683.76</v>
      </c>
      <c r="M35" s="12" t="n">
        <f aca="false">L35-K35</f>
        <v>0</v>
      </c>
      <c r="N35" s="3" t="s">
        <v>70</v>
      </c>
      <c r="O35" s="3" t="s">
        <v>52</v>
      </c>
    </row>
    <row r="36" customFormat="false" ht="15" hidden="false" customHeight="false" outlineLevel="0" collapsed="false">
      <c r="A36" s="14" t="s">
        <v>2230</v>
      </c>
      <c r="B36" s="14" t="s">
        <v>2231</v>
      </c>
      <c r="C36" s="14" t="s">
        <v>184</v>
      </c>
      <c r="D36" s="14" t="s">
        <v>2232</v>
      </c>
      <c r="E36" s="14" t="s">
        <v>74</v>
      </c>
      <c r="F36" s="15" t="n">
        <v>305000</v>
      </c>
      <c r="G36" s="16" t="n">
        <v>0.48</v>
      </c>
      <c r="H36" s="16" t="n">
        <v>1.02</v>
      </c>
      <c r="I36" s="16" t="n">
        <v>0.8972</v>
      </c>
      <c r="J36" s="16" t="n">
        <v>0.53</v>
      </c>
      <c r="K36" s="15" t="n">
        <f aca="false">ROUND(F36/100*G36*H36*I36/J36,2)</f>
        <v>2527.87</v>
      </c>
      <c r="L36" s="15" t="n">
        <v>2527.87</v>
      </c>
      <c r="M36" s="15" t="n">
        <f aca="false">L36-K36</f>
        <v>0</v>
      </c>
      <c r="N36" s="14" t="s">
        <v>51</v>
      </c>
      <c r="O36" s="14" t="s">
        <v>52</v>
      </c>
    </row>
    <row r="37" customFormat="false" ht="15" hidden="false" customHeight="false" outlineLevel="0" collapsed="false">
      <c r="A37" s="3" t="s">
        <v>2226</v>
      </c>
      <c r="B37" s="3" t="s">
        <v>2233</v>
      </c>
      <c r="C37" s="3" t="s">
        <v>117</v>
      </c>
      <c r="D37" s="3" t="s">
        <v>617</v>
      </c>
      <c r="E37" s="3" t="s">
        <v>56</v>
      </c>
      <c r="F37" s="12" t="n">
        <v>245000</v>
      </c>
      <c r="G37" s="13" t="n">
        <v>0.92</v>
      </c>
      <c r="H37" s="13" t="n">
        <v>0.91</v>
      </c>
      <c r="I37" s="13" t="n">
        <v>0.8972</v>
      </c>
      <c r="J37" s="13" t="n">
        <v>0.53</v>
      </c>
      <c r="K37" s="12" t="n">
        <f aca="false">ROUND(F37/100*G37*H37*I37/J37,2)</f>
        <v>3472.23</v>
      </c>
      <c r="L37" s="12" t="n">
        <v>3472.24</v>
      </c>
      <c r="M37" s="12" t="n">
        <f aca="false">L37-K37</f>
        <v>0.00999999999976353</v>
      </c>
      <c r="N37" s="3" t="s">
        <v>70</v>
      </c>
      <c r="O37" s="3" t="s">
        <v>52</v>
      </c>
    </row>
    <row r="38" customFormat="false" ht="15" hidden="false" customHeight="false" outlineLevel="0" collapsed="false">
      <c r="A38" s="14" t="s">
        <v>2210</v>
      </c>
      <c r="B38" s="14" t="s">
        <v>2234</v>
      </c>
      <c r="C38" s="14" t="s">
        <v>89</v>
      </c>
      <c r="D38" s="14" t="s">
        <v>709</v>
      </c>
      <c r="E38" s="14" t="s">
        <v>56</v>
      </c>
      <c r="F38" s="15" t="n">
        <v>530000</v>
      </c>
      <c r="G38" s="16" t="n">
        <v>0.65</v>
      </c>
      <c r="H38" s="16" t="n">
        <v>1.35</v>
      </c>
      <c r="I38" s="16" t="n">
        <v>0.8972</v>
      </c>
      <c r="J38" s="16" t="n">
        <v>0.53</v>
      </c>
      <c r="K38" s="15" t="n">
        <f aca="false">ROUND(F38/100*G38*H38*I38/J38,2)</f>
        <v>7872.93</v>
      </c>
      <c r="L38" s="15" t="n">
        <v>7872.93</v>
      </c>
      <c r="M38" s="15" t="n">
        <f aca="false">L38-K38</f>
        <v>0</v>
      </c>
      <c r="N38" s="14" t="s">
        <v>51</v>
      </c>
      <c r="O38" s="14" t="s">
        <v>52</v>
      </c>
    </row>
    <row r="39" customFormat="false" ht="15" hidden="false" customHeight="false" outlineLevel="0" collapsed="false">
      <c r="A39" s="3" t="s">
        <v>2235</v>
      </c>
      <c r="B39" s="3" t="s">
        <v>2236</v>
      </c>
      <c r="C39" s="3" t="s">
        <v>892</v>
      </c>
      <c r="D39" s="3" t="s">
        <v>1325</v>
      </c>
      <c r="E39" s="3" t="s">
        <v>56</v>
      </c>
      <c r="F39" s="12" t="n">
        <v>235000</v>
      </c>
      <c r="G39" s="13" t="n">
        <v>0.92</v>
      </c>
      <c r="H39" s="13" t="n">
        <v>1.08</v>
      </c>
      <c r="I39" s="13" t="n">
        <v>0.8972</v>
      </c>
      <c r="J39" s="13" t="n">
        <v>0.53</v>
      </c>
      <c r="K39" s="12" t="n">
        <f aca="false">ROUND(F39/100*G39*H39*I39/J39,2)</f>
        <v>3952.69</v>
      </c>
      <c r="L39" s="12" t="n">
        <v>3952.69</v>
      </c>
      <c r="M39" s="12" t="n">
        <f aca="false">L39-K39</f>
        <v>0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2230</v>
      </c>
      <c r="B40" s="14" t="s">
        <v>2237</v>
      </c>
      <c r="C40" s="14" t="s">
        <v>48</v>
      </c>
      <c r="D40" s="14" t="s">
        <v>402</v>
      </c>
      <c r="E40" s="14" t="s">
        <v>56</v>
      </c>
      <c r="F40" s="15" t="n">
        <v>390000</v>
      </c>
      <c r="G40" s="16" t="n">
        <v>0.75</v>
      </c>
      <c r="H40" s="16" t="n">
        <v>1.28</v>
      </c>
      <c r="I40" s="16" t="n">
        <v>0.8972</v>
      </c>
      <c r="J40" s="16" t="n">
        <v>0.53</v>
      </c>
      <c r="K40" s="15" t="n">
        <f aca="false">ROUND(F40/100*G40*H40*I40/J40,2)</f>
        <v>6337.96</v>
      </c>
      <c r="L40" s="15" t="n">
        <v>6337.96</v>
      </c>
      <c r="M40" s="15" t="n">
        <f aca="false">L40-K40</f>
        <v>0</v>
      </c>
      <c r="N40" s="14" t="s">
        <v>51</v>
      </c>
      <c r="O40" s="14" t="s">
        <v>52</v>
      </c>
    </row>
    <row r="41" customFormat="false" ht="15" hidden="false" customHeight="false" outlineLevel="0" collapsed="false">
      <c r="A41" s="3" t="s">
        <v>2177</v>
      </c>
      <c r="B41" s="3" t="s">
        <v>2238</v>
      </c>
      <c r="C41" s="3" t="s">
        <v>196</v>
      </c>
      <c r="D41" s="3" t="s">
        <v>78</v>
      </c>
      <c r="E41" s="3" t="s">
        <v>56</v>
      </c>
      <c r="F41" s="12" t="n">
        <v>390000</v>
      </c>
      <c r="G41" s="13" t="n">
        <v>0.75</v>
      </c>
      <c r="H41" s="13" t="n">
        <v>1.04</v>
      </c>
      <c r="I41" s="13" t="n">
        <v>0.8972</v>
      </c>
      <c r="J41" s="13" t="n">
        <v>0.53</v>
      </c>
      <c r="K41" s="12" t="n">
        <f aca="false">ROUND(F41/100*G41*H41*I41/J41,2)</f>
        <v>5149.59</v>
      </c>
      <c r="L41" s="12" t="n">
        <v>5149.59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2174</v>
      </c>
      <c r="B42" s="14" t="s">
        <v>2239</v>
      </c>
      <c r="C42" s="14" t="s">
        <v>159</v>
      </c>
      <c r="D42" s="14" t="s">
        <v>2240</v>
      </c>
      <c r="E42" s="14" t="s">
        <v>50</v>
      </c>
      <c r="F42" s="15" t="n">
        <v>1950000</v>
      </c>
      <c r="G42" s="16" t="n">
        <v>0.8</v>
      </c>
      <c r="H42" s="16" t="n">
        <v>1.15</v>
      </c>
      <c r="I42" s="16" t="n">
        <v>0.8972</v>
      </c>
      <c r="J42" s="16" t="n">
        <v>0.53</v>
      </c>
      <c r="K42" s="15" t="n">
        <f aca="false">ROUND(F42/100*G42*H42*I42/J42,2)</f>
        <v>30369.37</v>
      </c>
      <c r="L42" s="15" t="n">
        <v>30369.38</v>
      </c>
      <c r="M42" s="15" t="n">
        <f aca="false">L42-K42</f>
        <v>0.0100000000020373</v>
      </c>
      <c r="N42" s="14" t="s">
        <v>70</v>
      </c>
      <c r="O42" s="14" t="s">
        <v>52</v>
      </c>
    </row>
    <row r="43" customFormat="false" ht="15" hidden="false" customHeight="false" outlineLevel="0" collapsed="false">
      <c r="A43" s="3" t="s">
        <v>2191</v>
      </c>
      <c r="B43" s="3" t="s">
        <v>2241</v>
      </c>
      <c r="C43" s="3" t="s">
        <v>93</v>
      </c>
      <c r="D43" s="3" t="s">
        <v>1501</v>
      </c>
      <c r="E43" s="3" t="s">
        <v>56</v>
      </c>
      <c r="F43" s="12" t="n">
        <v>1950000</v>
      </c>
      <c r="G43" s="13" t="n">
        <v>0.55</v>
      </c>
      <c r="H43" s="13" t="n">
        <v>1.39</v>
      </c>
      <c r="I43" s="13" t="n">
        <v>0.8972</v>
      </c>
      <c r="J43" s="13" t="n">
        <v>0.53</v>
      </c>
      <c r="K43" s="12" t="n">
        <f aca="false">ROUND(F43/100*G43*H43*I43/J43,2)</f>
        <v>25236.29</v>
      </c>
      <c r="L43" s="12" t="n">
        <v>25236.29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2170</v>
      </c>
      <c r="B44" s="14" t="s">
        <v>2242</v>
      </c>
      <c r="C44" s="14" t="s">
        <v>48</v>
      </c>
      <c r="D44" s="14" t="s">
        <v>398</v>
      </c>
      <c r="E44" s="14" t="s">
        <v>56</v>
      </c>
      <c r="F44" s="15" t="n">
        <v>615000</v>
      </c>
      <c r="G44" s="16" t="n">
        <v>0.65</v>
      </c>
      <c r="H44" s="16" t="n">
        <v>1.28</v>
      </c>
      <c r="I44" s="16" t="n">
        <v>0.8972</v>
      </c>
      <c r="J44" s="16" t="n">
        <v>0.53</v>
      </c>
      <c r="K44" s="15" t="n">
        <f aca="false">ROUND(F44/100*G44*H44*I44/J44,2)</f>
        <v>8661.87</v>
      </c>
      <c r="L44" s="15" t="n">
        <v>8661.87</v>
      </c>
      <c r="M44" s="15" t="n">
        <f aca="false">L44-K44</f>
        <v>0</v>
      </c>
      <c r="N44" s="14" t="s">
        <v>70</v>
      </c>
      <c r="O44" s="14" t="s">
        <v>52</v>
      </c>
    </row>
    <row r="45" customFormat="false" ht="15" hidden="false" customHeight="false" outlineLevel="0" collapsed="false">
      <c r="A45" s="3" t="s">
        <v>2172</v>
      </c>
      <c r="B45" s="3" t="s">
        <v>2243</v>
      </c>
      <c r="C45" s="3" t="s">
        <v>108</v>
      </c>
      <c r="D45" s="3" t="s">
        <v>937</v>
      </c>
      <c r="E45" s="3" t="s">
        <v>56</v>
      </c>
      <c r="F45" s="12" t="n">
        <v>575000</v>
      </c>
      <c r="G45" s="13" t="n">
        <v>0.65</v>
      </c>
      <c r="H45" s="13" t="n">
        <v>0.93</v>
      </c>
      <c r="I45" s="13" t="n">
        <v>0.8972</v>
      </c>
      <c r="J45" s="13" t="n">
        <v>0.53</v>
      </c>
      <c r="K45" s="12" t="n">
        <f aca="false">ROUND(F45/100*G45*H45*I45/J45,2)</f>
        <v>5884.07</v>
      </c>
      <c r="L45" s="12" t="n">
        <v>5884.06</v>
      </c>
      <c r="M45" s="12" t="n">
        <f aca="false">L45-K45</f>
        <v>-0.00999999999930878</v>
      </c>
      <c r="N45" s="3" t="s">
        <v>51</v>
      </c>
      <c r="O45" s="3" t="s">
        <v>52</v>
      </c>
    </row>
    <row r="46" customFormat="false" ht="15" hidden="false" customHeight="false" outlineLevel="0" collapsed="false">
      <c r="A46" s="14" t="s">
        <v>2179</v>
      </c>
      <c r="B46" s="14" t="s">
        <v>2244</v>
      </c>
      <c r="C46" s="14" t="s">
        <v>114</v>
      </c>
      <c r="D46" s="14" t="s">
        <v>2245</v>
      </c>
      <c r="E46" s="14" t="s">
        <v>50</v>
      </c>
      <c r="F46" s="15" t="n">
        <v>1455000</v>
      </c>
      <c r="G46" s="16" t="n">
        <v>0.8</v>
      </c>
      <c r="H46" s="16" t="n">
        <v>1.36</v>
      </c>
      <c r="I46" s="16" t="n">
        <v>0.8972</v>
      </c>
      <c r="J46" s="16" t="n">
        <v>0.53</v>
      </c>
      <c r="K46" s="15" t="n">
        <f aca="false">ROUND(F46/100*G46*H46*I46/J46,2)</f>
        <v>26798.18</v>
      </c>
      <c r="L46" s="15" t="n">
        <v>26798.18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2246</v>
      </c>
      <c r="B47" s="3" t="s">
        <v>2247</v>
      </c>
      <c r="C47" s="3" t="s">
        <v>85</v>
      </c>
      <c r="D47" s="3" t="s">
        <v>1537</v>
      </c>
      <c r="E47" s="3" t="s">
        <v>50</v>
      </c>
      <c r="F47" s="12" t="n">
        <v>1260000</v>
      </c>
      <c r="G47" s="13" t="n">
        <v>0.8</v>
      </c>
      <c r="H47" s="13" t="n">
        <v>1.28</v>
      </c>
      <c r="I47" s="13" t="n">
        <v>0.8972</v>
      </c>
      <c r="J47" s="13" t="n">
        <v>0.53</v>
      </c>
      <c r="K47" s="12" t="n">
        <f aca="false">ROUND(F47/100*G47*H47*I47/J47,2)</f>
        <v>21841.57</v>
      </c>
      <c r="L47" s="12" t="n">
        <v>21841.57</v>
      </c>
      <c r="M47" s="12" t="n">
        <f aca="false">L47-K47</f>
        <v>0</v>
      </c>
      <c r="N47" s="3" t="s">
        <v>51</v>
      </c>
      <c r="O47" s="3" t="s">
        <v>52</v>
      </c>
    </row>
    <row r="48" customFormat="false" ht="15" hidden="false" customHeight="false" outlineLevel="0" collapsed="false">
      <c r="A48" s="14" t="s">
        <v>2248</v>
      </c>
      <c r="B48" s="14" t="s">
        <v>2249</v>
      </c>
      <c r="C48" s="14" t="s">
        <v>230</v>
      </c>
      <c r="D48" s="14" t="s">
        <v>1028</v>
      </c>
      <c r="E48" s="14" t="s">
        <v>50</v>
      </c>
      <c r="F48" s="15" t="n">
        <v>355000</v>
      </c>
      <c r="G48" s="16" t="n">
        <v>1.15</v>
      </c>
      <c r="H48" s="16" t="n">
        <v>1.09</v>
      </c>
      <c r="I48" s="16" t="n">
        <v>0.8972</v>
      </c>
      <c r="J48" s="16" t="n">
        <v>0.53</v>
      </c>
      <c r="K48" s="15" t="n">
        <f aca="false">ROUND(F48/100*G48*H48*I48/J48,2)</f>
        <v>7532.97</v>
      </c>
      <c r="L48" s="15" t="n">
        <v>7532.96</v>
      </c>
      <c r="M48" s="15" t="n">
        <f aca="false">L48-K48</f>
        <v>-0.0100000000002183</v>
      </c>
      <c r="N48" s="14" t="s">
        <v>70</v>
      </c>
      <c r="O48" s="14" t="s">
        <v>52</v>
      </c>
    </row>
    <row r="49" customFormat="false" ht="15" hidden="false" customHeight="false" outlineLevel="0" collapsed="false">
      <c r="A49" s="3" t="s">
        <v>2200</v>
      </c>
      <c r="B49" s="3" t="s">
        <v>2250</v>
      </c>
      <c r="C49" s="3" t="s">
        <v>326</v>
      </c>
      <c r="D49" s="3" t="s">
        <v>1535</v>
      </c>
      <c r="E49" s="3" t="s">
        <v>74</v>
      </c>
      <c r="F49" s="12" t="n">
        <v>430000</v>
      </c>
      <c r="G49" s="13" t="n">
        <v>0.48</v>
      </c>
      <c r="H49" s="13" t="n">
        <v>1.12</v>
      </c>
      <c r="I49" s="13" t="n">
        <v>0.8972</v>
      </c>
      <c r="J49" s="13" t="n">
        <v>0.53</v>
      </c>
      <c r="K49" s="12" t="n">
        <f aca="false">ROUND(F49/100*G49*H49*I49/J49,2)</f>
        <v>3913.28</v>
      </c>
      <c r="L49" s="12" t="n">
        <v>3913.28</v>
      </c>
      <c r="M49" s="12" t="n">
        <f aca="false">L49-K49</f>
        <v>0</v>
      </c>
      <c r="N49" s="3" t="s">
        <v>51</v>
      </c>
      <c r="O49" s="3" t="s">
        <v>52</v>
      </c>
    </row>
    <row r="50" customFormat="false" ht="15" hidden="false" customHeight="false" outlineLevel="0" collapsed="false">
      <c r="A50" s="14" t="s">
        <v>2251</v>
      </c>
      <c r="B50" s="14" t="s">
        <v>2252</v>
      </c>
      <c r="C50" s="14" t="s">
        <v>114</v>
      </c>
      <c r="D50" s="14" t="s">
        <v>218</v>
      </c>
      <c r="E50" s="14" t="s">
        <v>56</v>
      </c>
      <c r="F50" s="15" t="n">
        <v>580000</v>
      </c>
      <c r="G50" s="16" t="n">
        <v>0.65</v>
      </c>
      <c r="H50" s="16" t="n">
        <v>1.36</v>
      </c>
      <c r="I50" s="16" t="n">
        <v>0.8972</v>
      </c>
      <c r="J50" s="16" t="n">
        <v>0.53</v>
      </c>
      <c r="K50" s="15" t="n">
        <f aca="false">ROUND(F50/100*G50*H50*I50/J50,2)</f>
        <v>8679.48</v>
      </c>
      <c r="L50" s="15" t="n">
        <v>8679.48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2235</v>
      </c>
      <c r="B51" s="3" t="s">
        <v>2253</v>
      </c>
      <c r="C51" s="3" t="s">
        <v>188</v>
      </c>
      <c r="D51" s="3" t="s">
        <v>1806</v>
      </c>
      <c r="E51" s="3" t="s">
        <v>56</v>
      </c>
      <c r="F51" s="12" t="n">
        <v>830000</v>
      </c>
      <c r="G51" s="13" t="n">
        <v>0.65</v>
      </c>
      <c r="H51" s="13" t="n">
        <v>1.35</v>
      </c>
      <c r="I51" s="13" t="n">
        <v>0.8972</v>
      </c>
      <c r="J51" s="13" t="n">
        <v>0.53</v>
      </c>
      <c r="K51" s="12" t="n">
        <f aca="false">ROUND(F51/100*G51*H51*I51/J51,2)</f>
        <v>12329.31</v>
      </c>
      <c r="L51" s="12" t="n">
        <v>12329.3</v>
      </c>
      <c r="M51" s="12" t="n">
        <f aca="false">L51-K51</f>
        <v>-0.0100000000002183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2254</v>
      </c>
      <c r="B52" s="14" t="s">
        <v>2255</v>
      </c>
      <c r="C52" s="14" t="s">
        <v>89</v>
      </c>
      <c r="D52" s="14" t="s">
        <v>55</v>
      </c>
      <c r="E52" s="14" t="s">
        <v>56</v>
      </c>
      <c r="F52" s="15" t="n">
        <v>885000</v>
      </c>
      <c r="G52" s="16" t="n">
        <v>0.65</v>
      </c>
      <c r="H52" s="16" t="n">
        <v>1.35</v>
      </c>
      <c r="I52" s="16" t="n">
        <v>0.8972</v>
      </c>
      <c r="J52" s="16" t="n">
        <v>0.53</v>
      </c>
      <c r="K52" s="15" t="n">
        <f aca="false">ROUND(F52/100*G52*H52*I52/J52,2)</f>
        <v>13146.31</v>
      </c>
      <c r="L52" s="15" t="n">
        <v>13146.3</v>
      </c>
      <c r="M52" s="15" t="n">
        <f aca="false">L52-K52</f>
        <v>-0.0100000000002183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2181</v>
      </c>
      <c r="B53" s="3" t="s">
        <v>2256</v>
      </c>
      <c r="C53" s="3" t="s">
        <v>174</v>
      </c>
      <c r="D53" s="3" t="s">
        <v>2257</v>
      </c>
      <c r="E53" s="3" t="s">
        <v>56</v>
      </c>
      <c r="F53" s="12" t="n">
        <v>680000</v>
      </c>
      <c r="G53" s="13" t="n">
        <v>0.65</v>
      </c>
      <c r="H53" s="13" t="n">
        <v>1.55</v>
      </c>
      <c r="I53" s="13" t="n">
        <v>0.8972</v>
      </c>
      <c r="J53" s="13" t="n">
        <v>0.53</v>
      </c>
      <c r="K53" s="12" t="n">
        <f aca="false">ROUND(F53/100*G53*H53*I53/J53,2)</f>
        <v>11597.58</v>
      </c>
      <c r="L53" s="12" t="n">
        <v>11597.58</v>
      </c>
      <c r="M53" s="12" t="n">
        <f aca="false">L53-K53</f>
        <v>0</v>
      </c>
      <c r="N53" s="3" t="s">
        <v>51</v>
      </c>
      <c r="O53" s="3" t="s">
        <v>52</v>
      </c>
    </row>
    <row r="54" customFormat="false" ht="15" hidden="false" customHeight="false" outlineLevel="0" collapsed="false">
      <c r="A54" s="14" t="s">
        <v>2185</v>
      </c>
      <c r="B54" s="14" t="s">
        <v>2258</v>
      </c>
      <c r="C54" s="14" t="s">
        <v>243</v>
      </c>
      <c r="D54" s="14" t="s">
        <v>1255</v>
      </c>
      <c r="E54" s="14" t="s">
        <v>50</v>
      </c>
      <c r="F54" s="15" t="n">
        <v>655000</v>
      </c>
      <c r="G54" s="16" t="n">
        <v>0.95</v>
      </c>
      <c r="H54" s="16" t="n">
        <v>1.14</v>
      </c>
      <c r="I54" s="16" t="n">
        <v>0.8972</v>
      </c>
      <c r="J54" s="16" t="n">
        <v>0.53</v>
      </c>
      <c r="K54" s="15" t="n">
        <f aca="false">ROUND(F54/100*G54*H54*I54/J54,2)</f>
        <v>12008.34</v>
      </c>
      <c r="L54" s="15" t="n">
        <v>12008.35</v>
      </c>
      <c r="M54" s="15" t="n">
        <f aca="false">L54-K54</f>
        <v>0.0100000000002183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2226</v>
      </c>
      <c r="B55" s="3" t="s">
        <v>2259</v>
      </c>
      <c r="C55" s="3" t="s">
        <v>174</v>
      </c>
      <c r="D55" s="3" t="s">
        <v>2260</v>
      </c>
      <c r="E55" s="3" t="s">
        <v>56</v>
      </c>
      <c r="F55" s="12" t="n">
        <v>295000</v>
      </c>
      <c r="G55" s="13" t="n">
        <v>0.75</v>
      </c>
      <c r="H55" s="13" t="n">
        <v>1.55</v>
      </c>
      <c r="I55" s="13" t="n">
        <v>0.8972</v>
      </c>
      <c r="J55" s="13" t="n">
        <v>0.53</v>
      </c>
      <c r="K55" s="12" t="n">
        <f aca="false">ROUND(F55/100*G55*H55*I55/J55,2)</f>
        <v>5805.35</v>
      </c>
      <c r="L55" s="12" t="n">
        <v>5805.35</v>
      </c>
      <c r="M55" s="12" t="n">
        <f aca="false">L55-K55</f>
        <v>0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2187</v>
      </c>
      <c r="B56" s="14" t="s">
        <v>2261</v>
      </c>
      <c r="C56" s="14" t="s">
        <v>114</v>
      </c>
      <c r="D56" s="14" t="s">
        <v>2262</v>
      </c>
      <c r="E56" s="14" t="s">
        <v>74</v>
      </c>
      <c r="F56" s="15" t="n">
        <v>610000</v>
      </c>
      <c r="G56" s="16" t="n">
        <v>0.43</v>
      </c>
      <c r="H56" s="16" t="n">
        <v>1.36</v>
      </c>
      <c r="I56" s="16" t="n">
        <v>0.8972</v>
      </c>
      <c r="J56" s="16" t="n">
        <v>0.53</v>
      </c>
      <c r="K56" s="15" t="n">
        <f aca="false">ROUND(F56/100*G56*H56*I56/J56,2)</f>
        <v>6038.8</v>
      </c>
      <c r="L56" s="15" t="n">
        <v>6038.8</v>
      </c>
      <c r="M56" s="15" t="n">
        <f aca="false">L56-K56</f>
        <v>0</v>
      </c>
      <c r="N56" s="14" t="s">
        <v>51</v>
      </c>
      <c r="O56" s="14" t="s">
        <v>52</v>
      </c>
    </row>
    <row r="57" customFormat="false" ht="15" hidden="false" customHeight="false" outlineLevel="0" collapsed="false">
      <c r="A57" s="3" t="s">
        <v>2191</v>
      </c>
      <c r="B57" s="3" t="s">
        <v>2263</v>
      </c>
      <c r="C57" s="3" t="s">
        <v>136</v>
      </c>
      <c r="D57" s="3" t="s">
        <v>628</v>
      </c>
      <c r="E57" s="3" t="s">
        <v>56</v>
      </c>
      <c r="F57" s="12" t="n">
        <v>410000</v>
      </c>
      <c r="G57" s="13" t="n">
        <v>0.75</v>
      </c>
      <c r="H57" s="13" t="n">
        <v>1.32</v>
      </c>
      <c r="I57" s="13" t="n">
        <v>0.8972</v>
      </c>
      <c r="J57" s="13" t="n">
        <v>0.53</v>
      </c>
      <c r="K57" s="12" t="n">
        <f aca="false">ROUND(F57/100*G57*H57*I57/J57,2)</f>
        <v>6871.2</v>
      </c>
      <c r="L57" s="12" t="n">
        <v>6871.2</v>
      </c>
      <c r="M57" s="12" t="n">
        <f aca="false">L57-K57</f>
        <v>0</v>
      </c>
      <c r="N57" s="3" t="s">
        <v>51</v>
      </c>
      <c r="O57" s="3" t="s">
        <v>52</v>
      </c>
    </row>
    <row r="58" customFormat="false" ht="15" hidden="false" customHeight="false" outlineLevel="0" collapsed="false">
      <c r="A58" s="14" t="s">
        <v>2210</v>
      </c>
      <c r="B58" s="14" t="s">
        <v>2264</v>
      </c>
      <c r="C58" s="14" t="s">
        <v>159</v>
      </c>
      <c r="D58" s="14" t="s">
        <v>2265</v>
      </c>
      <c r="E58" s="14" t="s">
        <v>157</v>
      </c>
      <c r="F58" s="15" t="n">
        <v>955000</v>
      </c>
      <c r="G58" s="16" t="n">
        <v>0.78</v>
      </c>
      <c r="H58" s="16" t="n">
        <v>1.15</v>
      </c>
      <c r="I58" s="16" t="n">
        <v>0.8972</v>
      </c>
      <c r="J58" s="16" t="n">
        <v>0.53</v>
      </c>
      <c r="K58" s="15" t="n">
        <f aca="false">ROUND(F58/100*G58*H58*I58/J58,2)</f>
        <v>14501.38</v>
      </c>
      <c r="L58" s="15" t="n">
        <v>14501.37</v>
      </c>
      <c r="M58" s="15" t="n">
        <f aca="false">L58-K58</f>
        <v>-0.00999999999839929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2174</v>
      </c>
      <c r="B59" s="3" t="s">
        <v>2266</v>
      </c>
      <c r="C59" s="3" t="s">
        <v>275</v>
      </c>
      <c r="D59" s="3" t="s">
        <v>2267</v>
      </c>
      <c r="E59" s="3" t="s">
        <v>74</v>
      </c>
      <c r="F59" s="12" t="n">
        <v>295000</v>
      </c>
      <c r="G59" s="13" t="n">
        <v>0.48</v>
      </c>
      <c r="H59" s="13" t="n">
        <v>1.19</v>
      </c>
      <c r="I59" s="13" t="n">
        <v>0.8972</v>
      </c>
      <c r="J59" s="13" t="n">
        <v>0.53</v>
      </c>
      <c r="K59" s="12" t="n">
        <f aca="false">ROUND(F59/100*G59*H59*I59/J59,2)</f>
        <v>2852.49</v>
      </c>
      <c r="L59" s="12" t="n">
        <v>2852.49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2172</v>
      </c>
      <c r="B60" s="14" t="s">
        <v>2268</v>
      </c>
      <c r="C60" s="14" t="s">
        <v>77</v>
      </c>
      <c r="D60" s="14" t="s">
        <v>1188</v>
      </c>
      <c r="E60" s="14" t="s">
        <v>56</v>
      </c>
      <c r="F60" s="15" t="n">
        <v>475000</v>
      </c>
      <c r="G60" s="16" t="n">
        <v>0.75</v>
      </c>
      <c r="H60" s="16" t="n">
        <v>1.42</v>
      </c>
      <c r="I60" s="16" t="n">
        <v>0.8972</v>
      </c>
      <c r="J60" s="16" t="n">
        <v>0.53</v>
      </c>
      <c r="K60" s="15" t="n">
        <f aca="false">ROUND(F60/100*G60*H60*I60/J60,2)</f>
        <v>8563.6</v>
      </c>
      <c r="L60" s="15" t="n">
        <v>8563.6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2193</v>
      </c>
      <c r="B61" s="3" t="s">
        <v>2269</v>
      </c>
      <c r="C61" s="3" t="s">
        <v>196</v>
      </c>
      <c r="D61" s="3" t="s">
        <v>2270</v>
      </c>
      <c r="E61" s="3" t="s">
        <v>74</v>
      </c>
      <c r="F61" s="12" t="n">
        <v>290000</v>
      </c>
      <c r="G61" s="13" t="n">
        <v>0.48</v>
      </c>
      <c r="H61" s="13" t="n">
        <v>1.04</v>
      </c>
      <c r="I61" s="13" t="n">
        <v>0.8972</v>
      </c>
      <c r="J61" s="13" t="n">
        <v>0.53</v>
      </c>
      <c r="K61" s="12" t="n">
        <f aca="false">ROUND(F61/100*G61*H61*I61/J61,2)</f>
        <v>2450.68</v>
      </c>
      <c r="L61" s="12" t="n">
        <v>2450.67</v>
      </c>
      <c r="M61" s="12" t="n">
        <f aca="false">L61-K61</f>
        <v>-0.00999999999976353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2210</v>
      </c>
      <c r="B62" s="14" t="s">
        <v>2271</v>
      </c>
      <c r="C62" s="14" t="s">
        <v>305</v>
      </c>
      <c r="D62" s="14" t="s">
        <v>2138</v>
      </c>
      <c r="E62" s="14" t="s">
        <v>56</v>
      </c>
      <c r="F62" s="15" t="n">
        <v>975000</v>
      </c>
      <c r="G62" s="16" t="n">
        <v>0.65</v>
      </c>
      <c r="H62" s="16" t="n">
        <v>1.12</v>
      </c>
      <c r="I62" s="16" t="n">
        <v>0.8972</v>
      </c>
      <c r="J62" s="16" t="n">
        <v>0.53</v>
      </c>
      <c r="K62" s="15" t="n">
        <f aca="false">ROUND(F62/100*G62*H62*I62/J62,2)</f>
        <v>12015.71</v>
      </c>
      <c r="L62" s="15" t="n">
        <v>12015.71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2272</v>
      </c>
      <c r="B63" s="3" t="s">
        <v>2273</v>
      </c>
      <c r="C63" s="3" t="s">
        <v>117</v>
      </c>
      <c r="D63" s="3" t="s">
        <v>761</v>
      </c>
      <c r="E63" s="3" t="s">
        <v>56</v>
      </c>
      <c r="F63" s="12" t="n">
        <v>640000</v>
      </c>
      <c r="G63" s="13" t="n">
        <v>0.65</v>
      </c>
      <c r="H63" s="13" t="n">
        <v>0.91</v>
      </c>
      <c r="I63" s="13" t="n">
        <v>0.8972</v>
      </c>
      <c r="J63" s="13" t="n">
        <v>0.53</v>
      </c>
      <c r="K63" s="12" t="n">
        <f aca="false">ROUND(F63/100*G63*H63*I63/J63,2)</f>
        <v>6408.38</v>
      </c>
      <c r="L63" s="12" t="n">
        <v>6408.38</v>
      </c>
      <c r="M63" s="12" t="n">
        <f aca="false">L63-K63</f>
        <v>0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2274</v>
      </c>
      <c r="B64" s="14" t="s">
        <v>2275</v>
      </c>
      <c r="C64" s="14" t="s">
        <v>159</v>
      </c>
      <c r="D64" s="14" t="s">
        <v>149</v>
      </c>
      <c r="E64" s="14" t="s">
        <v>74</v>
      </c>
      <c r="F64" s="15" t="n">
        <v>1950000</v>
      </c>
      <c r="G64" s="16" t="n">
        <v>0.38</v>
      </c>
      <c r="H64" s="16" t="n">
        <v>1.15</v>
      </c>
      <c r="I64" s="16" t="n">
        <v>0.8972</v>
      </c>
      <c r="J64" s="16" t="n">
        <v>0.53</v>
      </c>
      <c r="K64" s="15" t="n">
        <f aca="false">ROUND(F64/100*G64*H64*I64/J64,2)</f>
        <v>14425.45</v>
      </c>
      <c r="L64" s="15" t="n">
        <v>14425.45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2183</v>
      </c>
      <c r="B65" s="3" t="s">
        <v>2276</v>
      </c>
      <c r="C65" s="3" t="s">
        <v>59</v>
      </c>
      <c r="D65" s="3" t="s">
        <v>2277</v>
      </c>
      <c r="E65" s="3" t="s">
        <v>157</v>
      </c>
      <c r="F65" s="12" t="n">
        <v>215000</v>
      </c>
      <c r="G65" s="13" t="n">
        <v>1.05</v>
      </c>
      <c r="H65" s="13" t="n">
        <v>0.97</v>
      </c>
      <c r="I65" s="13" t="n">
        <v>0.8972</v>
      </c>
      <c r="J65" s="13" t="n">
        <v>0.53</v>
      </c>
      <c r="K65" s="12" t="n">
        <f aca="false">ROUND(F65/100*G65*H65*I65/J65,2)</f>
        <v>3706.92</v>
      </c>
      <c r="L65" s="12" t="n">
        <v>3706.92</v>
      </c>
      <c r="M65" s="12" t="n">
        <f aca="false">L65-K65</f>
        <v>0</v>
      </c>
      <c r="N65" s="3" t="s">
        <v>51</v>
      </c>
      <c r="O65" s="3" t="s">
        <v>52</v>
      </c>
    </row>
    <row r="66" customFormat="false" ht="15" hidden="false" customHeight="false" outlineLevel="0" collapsed="false">
      <c r="A66" s="14" t="s">
        <v>2278</v>
      </c>
      <c r="B66" s="14" t="s">
        <v>2279</v>
      </c>
      <c r="C66" s="14" t="s">
        <v>77</v>
      </c>
      <c r="D66" s="14" t="s">
        <v>624</v>
      </c>
      <c r="E66" s="14" t="s">
        <v>56</v>
      </c>
      <c r="F66" s="15" t="n">
        <v>455000</v>
      </c>
      <c r="G66" s="16" t="n">
        <v>0.75</v>
      </c>
      <c r="H66" s="16" t="n">
        <v>1.42</v>
      </c>
      <c r="I66" s="16" t="n">
        <v>0.8972</v>
      </c>
      <c r="J66" s="16" t="n">
        <v>0.53</v>
      </c>
      <c r="K66" s="15" t="n">
        <f aca="false">ROUND(F66/100*G66*H66*I66/J66,2)</f>
        <v>8203.03</v>
      </c>
      <c r="L66" s="15" t="n">
        <v>8203.03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2222</v>
      </c>
      <c r="B67" s="3" t="s">
        <v>2280</v>
      </c>
      <c r="C67" s="3" t="s">
        <v>266</v>
      </c>
      <c r="D67" s="3" t="s">
        <v>1743</v>
      </c>
      <c r="E67" s="3" t="s">
        <v>56</v>
      </c>
      <c r="F67" s="12" t="n">
        <v>520000</v>
      </c>
      <c r="G67" s="13" t="n">
        <v>0.65</v>
      </c>
      <c r="H67" s="13" t="n">
        <v>1.1</v>
      </c>
      <c r="I67" s="13" t="n">
        <v>0.8972</v>
      </c>
      <c r="J67" s="13" t="n">
        <v>0.53</v>
      </c>
      <c r="K67" s="12" t="n">
        <f aca="false">ROUND(F67/100*G67*H67*I67/J67,2)</f>
        <v>6293.94</v>
      </c>
      <c r="L67" s="12" t="n">
        <v>6293.94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2226</v>
      </c>
      <c r="B68" s="14" t="s">
        <v>2281</v>
      </c>
      <c r="C68" s="14" t="s">
        <v>193</v>
      </c>
      <c r="D68" s="14" t="s">
        <v>402</v>
      </c>
      <c r="E68" s="14" t="s">
        <v>56</v>
      </c>
      <c r="F68" s="15" t="n">
        <v>1570000</v>
      </c>
      <c r="G68" s="16" t="n">
        <v>0.55</v>
      </c>
      <c r="H68" s="16" t="n">
        <v>1.25</v>
      </c>
      <c r="I68" s="16" t="n">
        <v>0.8972</v>
      </c>
      <c r="J68" s="16" t="n">
        <v>0.53</v>
      </c>
      <c r="K68" s="15" t="n">
        <f aca="false">ROUND(F68/100*G68*H68*I68/J68,2)</f>
        <v>18271.99</v>
      </c>
      <c r="L68" s="15" t="n">
        <v>18271.99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2254</v>
      </c>
      <c r="B69" s="3" t="s">
        <v>2282</v>
      </c>
      <c r="C69" s="3" t="s">
        <v>89</v>
      </c>
      <c r="D69" s="3" t="s">
        <v>2283</v>
      </c>
      <c r="E69" s="3" t="s">
        <v>74</v>
      </c>
      <c r="F69" s="12" t="n">
        <v>1180000</v>
      </c>
      <c r="G69" s="13" t="n">
        <v>0.38</v>
      </c>
      <c r="H69" s="13" t="n">
        <v>1.35</v>
      </c>
      <c r="I69" s="13" t="n">
        <v>0.8972</v>
      </c>
      <c r="J69" s="13" t="n">
        <v>0.53</v>
      </c>
      <c r="K69" s="12" t="n">
        <f aca="false">ROUND(F69/100*G69*H69*I69/J69,2)</f>
        <v>10247.38</v>
      </c>
      <c r="L69" s="12" t="n">
        <v>10247.38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2284</v>
      </c>
      <c r="B70" s="14" t="s">
        <v>2285</v>
      </c>
      <c r="C70" s="14" t="s">
        <v>77</v>
      </c>
      <c r="D70" s="14" t="s">
        <v>2286</v>
      </c>
      <c r="E70" s="14" t="s">
        <v>56</v>
      </c>
      <c r="F70" s="15" t="n">
        <v>360000</v>
      </c>
      <c r="G70" s="16" t="n">
        <v>0.75</v>
      </c>
      <c r="H70" s="16" t="n">
        <v>1.42</v>
      </c>
      <c r="I70" s="16" t="n">
        <v>0.8972</v>
      </c>
      <c r="J70" s="16" t="n">
        <v>0.53</v>
      </c>
      <c r="K70" s="15" t="n">
        <f aca="false">ROUND(F70/100*G70*H70*I70/J70,2)</f>
        <v>6490.31</v>
      </c>
      <c r="L70" s="15" t="n">
        <v>6490.31</v>
      </c>
      <c r="M70" s="15" t="n">
        <f aca="false">L70-K70</f>
        <v>0</v>
      </c>
      <c r="N70" s="14" t="s">
        <v>51</v>
      </c>
      <c r="O70" s="14" t="s">
        <v>52</v>
      </c>
    </row>
    <row r="71" customFormat="false" ht="15" hidden="false" customHeight="false" outlineLevel="0" collapsed="false">
      <c r="A71" s="3" t="s">
        <v>2284</v>
      </c>
      <c r="B71" s="3" t="s">
        <v>2287</v>
      </c>
      <c r="C71" s="3" t="s">
        <v>275</v>
      </c>
      <c r="D71" s="3" t="s">
        <v>2288</v>
      </c>
      <c r="E71" s="3" t="s">
        <v>50</v>
      </c>
      <c r="F71" s="12" t="n">
        <v>605000</v>
      </c>
      <c r="G71" s="13" t="n">
        <v>0.95</v>
      </c>
      <c r="H71" s="13" t="n">
        <v>1.19</v>
      </c>
      <c r="I71" s="13" t="n">
        <v>0.8972</v>
      </c>
      <c r="J71" s="13" t="n">
        <v>0.53</v>
      </c>
      <c r="K71" s="12" t="n">
        <f aca="false">ROUND(F71/100*G71*H71*I71/J71,2)</f>
        <v>11578.15</v>
      </c>
      <c r="L71" s="12" t="n">
        <v>11578.15</v>
      </c>
      <c r="M71" s="12" t="n">
        <f aca="false">L71-K71</f>
        <v>0</v>
      </c>
      <c r="N71" s="3" t="s">
        <v>51</v>
      </c>
      <c r="O71" s="3" t="s">
        <v>52</v>
      </c>
    </row>
    <row r="72" customFormat="false" ht="15" hidden="false" customHeight="false" outlineLevel="0" collapsed="false">
      <c r="A72" s="14" t="s">
        <v>2254</v>
      </c>
      <c r="B72" s="14" t="s">
        <v>2289</v>
      </c>
      <c r="C72" s="14" t="s">
        <v>145</v>
      </c>
      <c r="D72" s="14" t="s">
        <v>2290</v>
      </c>
      <c r="E72" s="14" t="s">
        <v>74</v>
      </c>
      <c r="F72" s="15" t="n">
        <v>405000</v>
      </c>
      <c r="G72" s="16" t="n">
        <v>0.48</v>
      </c>
      <c r="H72" s="16" t="n">
        <v>0.96</v>
      </c>
      <c r="I72" s="16" t="n">
        <v>0.8972</v>
      </c>
      <c r="J72" s="16" t="n">
        <v>0.53</v>
      </c>
      <c r="K72" s="15" t="n">
        <f aca="false">ROUND(F72/100*G72*H72*I72/J72,2)</f>
        <v>3159.23</v>
      </c>
      <c r="L72" s="15" t="n">
        <v>3159.23</v>
      </c>
      <c r="M72" s="15" t="n">
        <f aca="false">L72-K72</f>
        <v>0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2246</v>
      </c>
      <c r="B73" s="3" t="s">
        <v>2291</v>
      </c>
      <c r="C73" s="3" t="s">
        <v>120</v>
      </c>
      <c r="D73" s="3" t="s">
        <v>460</v>
      </c>
      <c r="E73" s="3" t="s">
        <v>56</v>
      </c>
      <c r="F73" s="12" t="n">
        <v>810000</v>
      </c>
      <c r="G73" s="13" t="n">
        <v>0.65</v>
      </c>
      <c r="H73" s="13" t="n">
        <v>1.15</v>
      </c>
      <c r="I73" s="13" t="n">
        <v>0.8972</v>
      </c>
      <c r="J73" s="13" t="n">
        <v>0.53</v>
      </c>
      <c r="K73" s="12" t="n">
        <f aca="false">ROUND(F73/100*G73*H73*I73/J73,2)</f>
        <v>10249.66</v>
      </c>
      <c r="L73" s="12" t="n">
        <v>10249.67</v>
      </c>
      <c r="M73" s="12" t="n">
        <f aca="false">L73-K73</f>
        <v>0.0100000000002183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2174</v>
      </c>
      <c r="B74" s="14" t="s">
        <v>2292</v>
      </c>
      <c r="C74" s="14" t="s">
        <v>68</v>
      </c>
      <c r="D74" s="14" t="s">
        <v>598</v>
      </c>
      <c r="E74" s="14" t="s">
        <v>56</v>
      </c>
      <c r="F74" s="15" t="n">
        <v>830000</v>
      </c>
      <c r="G74" s="16" t="n">
        <v>0.65</v>
      </c>
      <c r="H74" s="16" t="n">
        <v>1.38</v>
      </c>
      <c r="I74" s="16" t="n">
        <v>0.8972</v>
      </c>
      <c r="J74" s="16" t="n">
        <v>0.53</v>
      </c>
      <c r="K74" s="15" t="n">
        <f aca="false">ROUND(F74/100*G74*H74*I74/J74,2)</f>
        <v>12603.29</v>
      </c>
      <c r="L74" s="15" t="n">
        <v>12603.29</v>
      </c>
      <c r="M74" s="15" t="n">
        <f aca="false">L74-K74</f>
        <v>0</v>
      </c>
      <c r="N74" s="14" t="s">
        <v>51</v>
      </c>
      <c r="O74" s="14" t="s">
        <v>52</v>
      </c>
    </row>
    <row r="75" customFormat="false" ht="15" hidden="false" customHeight="false" outlineLevel="0" collapsed="false">
      <c r="A75" s="3" t="s">
        <v>2278</v>
      </c>
      <c r="B75" s="3" t="s">
        <v>2293</v>
      </c>
      <c r="C75" s="3" t="s">
        <v>89</v>
      </c>
      <c r="D75" s="3" t="s">
        <v>137</v>
      </c>
      <c r="E75" s="3" t="s">
        <v>56</v>
      </c>
      <c r="F75" s="12" t="n">
        <v>910000</v>
      </c>
      <c r="G75" s="13" t="n">
        <v>0.65</v>
      </c>
      <c r="H75" s="13" t="n">
        <v>1.35</v>
      </c>
      <c r="I75" s="13" t="n">
        <v>0.8972</v>
      </c>
      <c r="J75" s="13" t="n">
        <v>0.53</v>
      </c>
      <c r="K75" s="12" t="n">
        <f aca="false">ROUND(F75/100*G75*H75*I75/J75,2)</f>
        <v>13517.67</v>
      </c>
      <c r="L75" s="12" t="n">
        <v>13517.67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2294</v>
      </c>
      <c r="B76" s="14" t="s">
        <v>2295</v>
      </c>
      <c r="C76" s="14" t="s">
        <v>887</v>
      </c>
      <c r="D76" s="14" t="s">
        <v>2118</v>
      </c>
      <c r="E76" s="14" t="s">
        <v>74</v>
      </c>
      <c r="F76" s="15" t="n">
        <v>1950000</v>
      </c>
      <c r="G76" s="16" t="n">
        <v>0.38</v>
      </c>
      <c r="H76" s="16" t="n">
        <v>1.37</v>
      </c>
      <c r="I76" s="16" t="n">
        <v>0.8972</v>
      </c>
      <c r="J76" s="16" t="n">
        <v>0.53</v>
      </c>
      <c r="K76" s="15" t="n">
        <f aca="false">ROUND(F76/100*G76*H76*I76/J76,2)</f>
        <v>17185.1</v>
      </c>
      <c r="L76" s="15" t="n">
        <v>17185.1</v>
      </c>
      <c r="M76" s="15" t="n">
        <f aca="false">L76-K76</f>
        <v>0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2183</v>
      </c>
      <c r="B77" s="3" t="s">
        <v>2296</v>
      </c>
      <c r="C77" s="3" t="s">
        <v>89</v>
      </c>
      <c r="D77" s="3" t="s">
        <v>340</v>
      </c>
      <c r="E77" s="3" t="s">
        <v>50</v>
      </c>
      <c r="F77" s="12" t="n">
        <v>475000</v>
      </c>
      <c r="G77" s="13" t="n">
        <v>1.15</v>
      </c>
      <c r="H77" s="13" t="n">
        <v>1.35</v>
      </c>
      <c r="I77" s="13" t="n">
        <v>0.8972</v>
      </c>
      <c r="J77" s="13" t="n">
        <v>0.53</v>
      </c>
      <c r="K77" s="12" t="n">
        <f aca="false">ROUND(F77/100*G77*H77*I77/J77,2)</f>
        <v>12483.56</v>
      </c>
      <c r="L77" s="12" t="n">
        <v>12483.57</v>
      </c>
      <c r="M77" s="12" t="n">
        <f aca="false">L77-K77</f>
        <v>0.0100000000002183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2251</v>
      </c>
      <c r="B78" s="14" t="s">
        <v>2297</v>
      </c>
      <c r="C78" s="14" t="s">
        <v>174</v>
      </c>
      <c r="D78" s="14" t="s">
        <v>250</v>
      </c>
      <c r="E78" s="14" t="s">
        <v>56</v>
      </c>
      <c r="F78" s="15" t="n">
        <v>235000</v>
      </c>
      <c r="G78" s="16" t="n">
        <v>0.92</v>
      </c>
      <c r="H78" s="16" t="n">
        <v>1.55</v>
      </c>
      <c r="I78" s="16" t="n">
        <v>0.8972</v>
      </c>
      <c r="J78" s="16" t="n">
        <v>0.53</v>
      </c>
      <c r="K78" s="15" t="n">
        <f aca="false">ROUND(F78/100*G78*H78*I78/J78,2)</f>
        <v>5672.84</v>
      </c>
      <c r="L78" s="15" t="n">
        <v>5672.84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2210</v>
      </c>
      <c r="B79" s="3" t="s">
        <v>2298</v>
      </c>
      <c r="C79" s="3" t="s">
        <v>311</v>
      </c>
      <c r="D79" s="3" t="s">
        <v>228</v>
      </c>
      <c r="E79" s="3" t="s">
        <v>74</v>
      </c>
      <c r="F79" s="12" t="n">
        <v>550000</v>
      </c>
      <c r="G79" s="13" t="n">
        <v>0.43</v>
      </c>
      <c r="H79" s="13" t="n">
        <v>1.06</v>
      </c>
      <c r="I79" s="13" t="n">
        <v>0.8972</v>
      </c>
      <c r="J79" s="13" t="n">
        <v>0.53</v>
      </c>
      <c r="K79" s="12" t="n">
        <f aca="false">ROUND(F79/100*G79*H79*I79/J79,2)</f>
        <v>4243.76</v>
      </c>
      <c r="L79" s="12" t="n">
        <v>4243.76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2251</v>
      </c>
      <c r="B80" s="14" t="s">
        <v>2299</v>
      </c>
      <c r="C80" s="14" t="s">
        <v>326</v>
      </c>
      <c r="D80" s="14" t="s">
        <v>1673</v>
      </c>
      <c r="E80" s="14" t="s">
        <v>74</v>
      </c>
      <c r="F80" s="15" t="n">
        <v>665000</v>
      </c>
      <c r="G80" s="16" t="n">
        <v>0.43</v>
      </c>
      <c r="H80" s="16" t="n">
        <v>1.12</v>
      </c>
      <c r="I80" s="16" t="n">
        <v>0.8972</v>
      </c>
      <c r="J80" s="16" t="n">
        <v>0.53</v>
      </c>
      <c r="K80" s="15" t="n">
        <f aca="false">ROUND(F80/100*G80*H80*I80/J80,2)</f>
        <v>5421.53</v>
      </c>
      <c r="L80" s="15" t="n">
        <v>5421.53</v>
      </c>
      <c r="M80" s="15" t="n">
        <f aca="false">L80-K80</f>
        <v>0</v>
      </c>
      <c r="N80" s="14" t="s">
        <v>51</v>
      </c>
      <c r="O80" s="14" t="s">
        <v>52</v>
      </c>
    </row>
    <row r="81" customFormat="false" ht="15" hidden="false" customHeight="false" outlineLevel="0" collapsed="false">
      <c r="A81" s="3" t="s">
        <v>2191</v>
      </c>
      <c r="B81" s="3" t="s">
        <v>2300</v>
      </c>
      <c r="C81" s="3" t="s">
        <v>139</v>
      </c>
      <c r="D81" s="3" t="s">
        <v>1186</v>
      </c>
      <c r="E81" s="3" t="s">
        <v>56</v>
      </c>
      <c r="F81" s="12" t="n">
        <v>490000</v>
      </c>
      <c r="G81" s="13" t="n">
        <v>0.75</v>
      </c>
      <c r="H81" s="13" t="n">
        <v>1.23</v>
      </c>
      <c r="I81" s="13" t="n">
        <v>0.8972</v>
      </c>
      <c r="J81" s="13" t="n">
        <v>0.53</v>
      </c>
      <c r="K81" s="12" t="n">
        <f aca="false">ROUND(F81/100*G81*H81*I81/J81,2)</f>
        <v>7652.02</v>
      </c>
      <c r="L81" s="12" t="n">
        <v>7652.01</v>
      </c>
      <c r="M81" s="12" t="n">
        <f aca="false">L81-K81</f>
        <v>-0.0100000000002183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2254</v>
      </c>
      <c r="B82" s="14" t="s">
        <v>2301</v>
      </c>
      <c r="C82" s="14" t="s">
        <v>48</v>
      </c>
      <c r="D82" s="14" t="s">
        <v>2302</v>
      </c>
      <c r="E82" s="14" t="s">
        <v>74</v>
      </c>
      <c r="F82" s="15" t="n">
        <v>1140000</v>
      </c>
      <c r="G82" s="16" t="n">
        <v>0.38</v>
      </c>
      <c r="H82" s="16" t="n">
        <v>1.28</v>
      </c>
      <c r="I82" s="16" t="n">
        <v>0.8972</v>
      </c>
      <c r="J82" s="16" t="n">
        <v>0.53</v>
      </c>
      <c r="K82" s="15" t="n">
        <f aca="false">ROUND(F82/100*G82*H82*I82/J82,2)</f>
        <v>9386.68</v>
      </c>
      <c r="L82" s="15" t="n">
        <v>9386.68</v>
      </c>
      <c r="M82" s="15" t="n">
        <f aca="false">L82-K82</f>
        <v>0</v>
      </c>
      <c r="N82" s="14" t="s">
        <v>51</v>
      </c>
      <c r="O82" s="14" t="s">
        <v>52</v>
      </c>
    </row>
    <row r="83" customFormat="false" ht="15" hidden="false" customHeight="false" outlineLevel="0" collapsed="false">
      <c r="A83" s="3" t="s">
        <v>2294</v>
      </c>
      <c r="B83" s="3" t="s">
        <v>2303</v>
      </c>
      <c r="C83" s="3" t="s">
        <v>230</v>
      </c>
      <c r="D83" s="3" t="s">
        <v>2304</v>
      </c>
      <c r="E83" s="3" t="s">
        <v>157</v>
      </c>
      <c r="F83" s="12" t="n">
        <v>525000</v>
      </c>
      <c r="G83" s="13" t="n">
        <v>0.78</v>
      </c>
      <c r="H83" s="13" t="n">
        <v>1.09</v>
      </c>
      <c r="I83" s="13" t="n">
        <v>0.8972</v>
      </c>
      <c r="J83" s="13" t="n">
        <v>0.53</v>
      </c>
      <c r="K83" s="12" t="n">
        <f aca="false">ROUND(F83/100*G83*H83*I83/J83,2)</f>
        <v>7556.03</v>
      </c>
      <c r="L83" s="12" t="n">
        <v>7556.03</v>
      </c>
      <c r="M83" s="12" t="n">
        <f aca="false">L83-K83</f>
        <v>0</v>
      </c>
      <c r="N83" s="3" t="s">
        <v>70</v>
      </c>
      <c r="O83" s="3" t="s">
        <v>52</v>
      </c>
    </row>
    <row r="84" customFormat="false" ht="15" hidden="false" customHeight="false" outlineLevel="0" collapsed="false">
      <c r="A84" s="14" t="s">
        <v>2219</v>
      </c>
      <c r="B84" s="14" t="s">
        <v>2305</v>
      </c>
      <c r="C84" s="14" t="s">
        <v>409</v>
      </c>
      <c r="D84" s="14" t="s">
        <v>1984</v>
      </c>
      <c r="E84" s="14" t="s">
        <v>56</v>
      </c>
      <c r="F84" s="15" t="n">
        <v>610000</v>
      </c>
      <c r="G84" s="16" t="n">
        <v>0.65</v>
      </c>
      <c r="H84" s="16" t="n">
        <v>1.3</v>
      </c>
      <c r="I84" s="16" t="n">
        <v>0.8972</v>
      </c>
      <c r="J84" s="16" t="n">
        <v>0.53</v>
      </c>
      <c r="K84" s="15" t="n">
        <f aca="false">ROUND(F84/100*G84*H84*I84/J84,2)</f>
        <v>8725.69</v>
      </c>
      <c r="L84" s="15" t="n">
        <v>8725.69</v>
      </c>
      <c r="M84" s="15" t="n">
        <f aca="false">L84-K84</f>
        <v>0</v>
      </c>
      <c r="N84" s="14" t="s">
        <v>51</v>
      </c>
      <c r="O84" s="14" t="s">
        <v>52</v>
      </c>
    </row>
    <row r="85" customFormat="false" ht="15" hidden="false" customHeight="false" outlineLevel="0" collapsed="false">
      <c r="A85" s="3" t="s">
        <v>2219</v>
      </c>
      <c r="B85" s="3" t="s">
        <v>2306</v>
      </c>
      <c r="C85" s="3" t="s">
        <v>89</v>
      </c>
      <c r="D85" s="3" t="s">
        <v>1510</v>
      </c>
      <c r="E85" s="3" t="s">
        <v>74</v>
      </c>
      <c r="F85" s="12" t="n">
        <v>685000</v>
      </c>
      <c r="G85" s="13" t="n">
        <v>0.43</v>
      </c>
      <c r="H85" s="13" t="n">
        <v>1.35</v>
      </c>
      <c r="I85" s="13" t="n">
        <v>0.8972</v>
      </c>
      <c r="J85" s="13" t="n">
        <v>0.53</v>
      </c>
      <c r="K85" s="12" t="n">
        <f aca="false">ROUND(F85/100*G85*H85*I85/J85,2)</f>
        <v>6731.41</v>
      </c>
      <c r="L85" s="12" t="n">
        <v>6731.41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2187</v>
      </c>
      <c r="B86" s="14" t="s">
        <v>2307</v>
      </c>
      <c r="C86" s="14" t="s">
        <v>64</v>
      </c>
      <c r="D86" s="14" t="s">
        <v>2308</v>
      </c>
      <c r="E86" s="14" t="s">
        <v>74</v>
      </c>
      <c r="F86" s="15" t="n">
        <v>230000</v>
      </c>
      <c r="G86" s="16" t="n">
        <v>0.57</v>
      </c>
      <c r="H86" s="16" t="n">
        <v>1.17</v>
      </c>
      <c r="I86" s="16" t="n">
        <v>0.8972</v>
      </c>
      <c r="J86" s="16" t="n">
        <v>0.53</v>
      </c>
      <c r="K86" s="15" t="n">
        <f aca="false">ROUND(F86/100*G86*H86*I86/J86,2)</f>
        <v>2596.58</v>
      </c>
      <c r="L86" s="15" t="n">
        <v>2596.58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2246</v>
      </c>
      <c r="B87" s="3" t="s">
        <v>2309</v>
      </c>
      <c r="C87" s="3" t="s">
        <v>174</v>
      </c>
      <c r="D87" s="3" t="s">
        <v>1285</v>
      </c>
      <c r="E87" s="3" t="s">
        <v>50</v>
      </c>
      <c r="F87" s="12" t="n">
        <v>1025000</v>
      </c>
      <c r="G87" s="13" t="n">
        <v>0.8</v>
      </c>
      <c r="H87" s="13" t="n">
        <v>1.55</v>
      </c>
      <c r="I87" s="13" t="n">
        <v>0.8972</v>
      </c>
      <c r="J87" s="13" t="n">
        <v>0.53</v>
      </c>
      <c r="K87" s="12" t="n">
        <f aca="false">ROUND(F87/100*G87*H87*I87/J87,2)</f>
        <v>21515.87</v>
      </c>
      <c r="L87" s="12" t="n">
        <v>21515.87</v>
      </c>
      <c r="M87" s="12" t="n">
        <f aca="false">L87-K87</f>
        <v>0</v>
      </c>
      <c r="N87" s="3" t="s">
        <v>70</v>
      </c>
      <c r="O87" s="3" t="s">
        <v>52</v>
      </c>
    </row>
    <row r="88" customFormat="false" ht="15" hidden="false" customHeight="false" outlineLevel="0" collapsed="false">
      <c r="A88" s="14" t="s">
        <v>2177</v>
      </c>
      <c r="B88" s="14" t="s">
        <v>2310</v>
      </c>
      <c r="C88" s="14" t="s">
        <v>435</v>
      </c>
      <c r="D88" s="14" t="s">
        <v>2311</v>
      </c>
      <c r="E88" s="14" t="s">
        <v>56</v>
      </c>
      <c r="F88" s="15" t="n">
        <v>285000</v>
      </c>
      <c r="G88" s="16" t="n">
        <v>0.75</v>
      </c>
      <c r="H88" s="16" t="n">
        <v>1.13</v>
      </c>
      <c r="I88" s="16" t="n">
        <v>0.8972</v>
      </c>
      <c r="J88" s="16" t="n">
        <v>0.53</v>
      </c>
      <c r="K88" s="15" t="n">
        <f aca="false">ROUND(F88/100*G88*H88*I88/J88,2)</f>
        <v>4088.82</v>
      </c>
      <c r="L88" s="15" t="n">
        <v>4088.82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2248</v>
      </c>
      <c r="B89" s="3" t="s">
        <v>2312</v>
      </c>
      <c r="C89" s="3" t="s">
        <v>77</v>
      </c>
      <c r="D89" s="3" t="s">
        <v>1315</v>
      </c>
      <c r="E89" s="3" t="s">
        <v>56</v>
      </c>
      <c r="F89" s="12" t="n">
        <v>715000</v>
      </c>
      <c r="G89" s="13" t="n">
        <v>0.65</v>
      </c>
      <c r="H89" s="13" t="n">
        <v>1.42</v>
      </c>
      <c r="I89" s="13" t="n">
        <v>0.8972</v>
      </c>
      <c r="J89" s="13" t="n">
        <v>0.53</v>
      </c>
      <c r="K89" s="12" t="n">
        <f aca="false">ROUND(F89/100*G89*H89*I89/J89,2)</f>
        <v>11171.75</v>
      </c>
      <c r="L89" s="12" t="n">
        <v>11171.75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2284</v>
      </c>
      <c r="B90" s="14" t="s">
        <v>2313</v>
      </c>
      <c r="C90" s="14" t="s">
        <v>887</v>
      </c>
      <c r="D90" s="14" t="s">
        <v>194</v>
      </c>
      <c r="E90" s="14" t="s">
        <v>56</v>
      </c>
      <c r="F90" s="15" t="n">
        <v>175000</v>
      </c>
      <c r="G90" s="16" t="n">
        <v>0.92</v>
      </c>
      <c r="H90" s="16" t="n">
        <v>1.37</v>
      </c>
      <c r="I90" s="16" t="n">
        <v>0.8972</v>
      </c>
      <c r="J90" s="16" t="n">
        <v>0.53</v>
      </c>
      <c r="K90" s="15" t="n">
        <f aca="false">ROUND(F90/100*G90*H90*I90/J90,2)</f>
        <v>3733.88</v>
      </c>
      <c r="L90" s="15" t="n">
        <v>3733.88</v>
      </c>
      <c r="M90" s="15" t="n">
        <f aca="false">L90-K90</f>
        <v>0</v>
      </c>
      <c r="N90" s="14" t="s">
        <v>51</v>
      </c>
      <c r="O90" s="14" t="s">
        <v>52</v>
      </c>
    </row>
    <row r="91" customFormat="false" ht="15" hidden="false" customHeight="false" outlineLevel="0" collapsed="false">
      <c r="A91" s="3" t="s">
        <v>2183</v>
      </c>
      <c r="B91" s="3" t="s">
        <v>2314</v>
      </c>
      <c r="C91" s="3" t="s">
        <v>278</v>
      </c>
      <c r="D91" s="3" t="s">
        <v>2315</v>
      </c>
      <c r="E91" s="3" t="s">
        <v>157</v>
      </c>
      <c r="F91" s="12" t="n">
        <v>600000</v>
      </c>
      <c r="G91" s="13" t="n">
        <v>0.78</v>
      </c>
      <c r="H91" s="13" t="n">
        <v>0.98</v>
      </c>
      <c r="I91" s="13" t="n">
        <v>0.8972</v>
      </c>
      <c r="J91" s="13" t="n">
        <v>0.53</v>
      </c>
      <c r="K91" s="12" t="n">
        <f aca="false">ROUND(F91/100*G91*H91*I91/J91,2)</f>
        <v>7764</v>
      </c>
      <c r="L91" s="12" t="n">
        <v>7763.99</v>
      </c>
      <c r="M91" s="12" t="n">
        <f aca="false">L91-K91</f>
        <v>-0.0100000000002183</v>
      </c>
      <c r="N91" s="3" t="s">
        <v>51</v>
      </c>
      <c r="O91" s="3" t="s">
        <v>52</v>
      </c>
    </row>
    <row r="92" customFormat="false" ht="15" hidden="false" customHeight="false" outlineLevel="0" collapsed="false">
      <c r="A92" s="14" t="s">
        <v>2222</v>
      </c>
      <c r="B92" s="14" t="s">
        <v>2316</v>
      </c>
      <c r="C92" s="14" t="s">
        <v>217</v>
      </c>
      <c r="D92" s="14" t="s">
        <v>615</v>
      </c>
      <c r="E92" s="14" t="s">
        <v>56</v>
      </c>
      <c r="F92" s="15" t="n">
        <v>420000</v>
      </c>
      <c r="G92" s="16" t="n">
        <v>0.75</v>
      </c>
      <c r="H92" s="16" t="n">
        <v>1.3</v>
      </c>
      <c r="I92" s="16" t="n">
        <v>0.8972</v>
      </c>
      <c r="J92" s="16" t="n">
        <v>0.53</v>
      </c>
      <c r="K92" s="15" t="n">
        <f aca="false">ROUND(F92/100*G92*H92*I92/J92,2)</f>
        <v>6932.14</v>
      </c>
      <c r="L92" s="15" t="n">
        <v>6932.14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2174</v>
      </c>
      <c r="B93" s="3" t="s">
        <v>2317</v>
      </c>
      <c r="C93" s="3" t="s">
        <v>174</v>
      </c>
      <c r="D93" s="3" t="s">
        <v>2318</v>
      </c>
      <c r="E93" s="3" t="s">
        <v>50</v>
      </c>
      <c r="F93" s="12" t="n">
        <v>605000</v>
      </c>
      <c r="G93" s="13" t="n">
        <v>0.95</v>
      </c>
      <c r="H93" s="13" t="n">
        <v>1.55</v>
      </c>
      <c r="I93" s="13" t="n">
        <v>0.8972</v>
      </c>
      <c r="J93" s="13" t="n">
        <v>0.53</v>
      </c>
      <c r="K93" s="12" t="n">
        <f aca="false">ROUND(F93/100*G93*H93*I93/J93,2)</f>
        <v>15080.79</v>
      </c>
      <c r="L93" s="12" t="n">
        <v>15080.79</v>
      </c>
      <c r="M93" s="12" t="n">
        <f aca="false">L93-K93</f>
        <v>0</v>
      </c>
      <c r="N93" s="3" t="s">
        <v>51</v>
      </c>
      <c r="O93" s="3" t="s">
        <v>52</v>
      </c>
    </row>
    <row r="94" customFormat="false" ht="15" hidden="false" customHeight="false" outlineLevel="0" collapsed="false">
      <c r="A94" s="14" t="s">
        <v>2210</v>
      </c>
      <c r="B94" s="14" t="s">
        <v>2319</v>
      </c>
      <c r="C94" s="14" t="s">
        <v>128</v>
      </c>
      <c r="D94" s="14" t="s">
        <v>2320</v>
      </c>
      <c r="E94" s="14" t="s">
        <v>50</v>
      </c>
      <c r="F94" s="15" t="n">
        <v>740000</v>
      </c>
      <c r="G94" s="16" t="n">
        <v>0.95</v>
      </c>
      <c r="H94" s="16" t="n">
        <v>1.25</v>
      </c>
      <c r="I94" s="16" t="n">
        <v>0.8972</v>
      </c>
      <c r="J94" s="16" t="n">
        <v>0.53</v>
      </c>
      <c r="K94" s="15" t="n">
        <f aca="false">ROUND(F94/100*G94*H94*I94/J94,2)</f>
        <v>14875.75</v>
      </c>
      <c r="L94" s="15" t="n">
        <v>14875.75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2222</v>
      </c>
      <c r="B95" s="3" t="s">
        <v>2321</v>
      </c>
      <c r="C95" s="3" t="s">
        <v>435</v>
      </c>
      <c r="D95" s="3" t="s">
        <v>1173</v>
      </c>
      <c r="E95" s="3" t="s">
        <v>56</v>
      </c>
      <c r="F95" s="12" t="n">
        <v>985000</v>
      </c>
      <c r="G95" s="13" t="n">
        <v>0.65</v>
      </c>
      <c r="H95" s="13" t="n">
        <v>1.13</v>
      </c>
      <c r="I95" s="13" t="n">
        <v>0.8972</v>
      </c>
      <c r="J95" s="13" t="n">
        <v>0.53</v>
      </c>
      <c r="K95" s="12" t="n">
        <f aca="false">ROUND(F95/100*G95*H95*I95/J95,2)</f>
        <v>12247.33</v>
      </c>
      <c r="L95" s="12" t="n">
        <v>12247.33</v>
      </c>
      <c r="M95" s="12" t="n">
        <f aca="false">L95-K95</f>
        <v>0</v>
      </c>
      <c r="N95" s="3" t="s">
        <v>51</v>
      </c>
      <c r="O95" s="3" t="s">
        <v>52</v>
      </c>
    </row>
    <row r="96" customFormat="false" ht="15" hidden="false" customHeight="false" outlineLevel="0" collapsed="false">
      <c r="A96" s="14" t="s">
        <v>2187</v>
      </c>
      <c r="B96" s="14" t="s">
        <v>2322</v>
      </c>
      <c r="C96" s="14" t="s">
        <v>295</v>
      </c>
      <c r="D96" s="14" t="s">
        <v>1344</v>
      </c>
      <c r="E96" s="14" t="s">
        <v>56</v>
      </c>
      <c r="F96" s="15" t="n">
        <v>205000</v>
      </c>
      <c r="G96" s="16" t="n">
        <v>0.92</v>
      </c>
      <c r="H96" s="16" t="n">
        <v>1.2</v>
      </c>
      <c r="I96" s="16" t="n">
        <v>0.8972</v>
      </c>
      <c r="J96" s="16" t="n">
        <v>0.53</v>
      </c>
      <c r="K96" s="15" t="n">
        <f aca="false">ROUND(F96/100*G96*H96*I96/J96,2)</f>
        <v>3831.21</v>
      </c>
      <c r="L96" s="15" t="n">
        <v>3831.21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2191</v>
      </c>
      <c r="B97" s="3" t="s">
        <v>2323</v>
      </c>
      <c r="C97" s="3" t="s">
        <v>305</v>
      </c>
      <c r="D97" s="3" t="s">
        <v>1301</v>
      </c>
      <c r="E97" s="3" t="s">
        <v>56</v>
      </c>
      <c r="F97" s="12" t="n">
        <v>630000</v>
      </c>
      <c r="G97" s="13" t="n">
        <v>0.65</v>
      </c>
      <c r="H97" s="13" t="n">
        <v>1.12</v>
      </c>
      <c r="I97" s="13" t="n">
        <v>0.8972</v>
      </c>
      <c r="J97" s="13" t="n">
        <v>0.53</v>
      </c>
      <c r="K97" s="12" t="n">
        <f aca="false">ROUND(F97/100*G97*H97*I97/J97,2)</f>
        <v>7764</v>
      </c>
      <c r="L97" s="12" t="n">
        <v>7763.99</v>
      </c>
      <c r="M97" s="12" t="n">
        <f aca="false">L97-K97</f>
        <v>-0.0100000000002183</v>
      </c>
      <c r="N97" s="3" t="s">
        <v>51</v>
      </c>
      <c r="O97" s="3" t="s">
        <v>52</v>
      </c>
    </row>
    <row r="98" customFormat="false" ht="15" hidden="false" customHeight="false" outlineLevel="0" collapsed="false">
      <c r="A98" s="14" t="s">
        <v>2193</v>
      </c>
      <c r="B98" s="14" t="s">
        <v>2324</v>
      </c>
      <c r="C98" s="14" t="s">
        <v>142</v>
      </c>
      <c r="D98" s="14" t="s">
        <v>2325</v>
      </c>
      <c r="E98" s="14" t="s">
        <v>74</v>
      </c>
      <c r="F98" s="15" t="n">
        <v>1655000</v>
      </c>
      <c r="G98" s="16" t="n">
        <v>0.38</v>
      </c>
      <c r="H98" s="16" t="n">
        <v>1.22</v>
      </c>
      <c r="I98" s="16" t="n">
        <v>0.8972</v>
      </c>
      <c r="J98" s="16" t="n">
        <v>0.53</v>
      </c>
      <c r="K98" s="15" t="n">
        <f aca="false">ROUND(F98/100*G98*H98*I98/J98,2)</f>
        <v>12988.38</v>
      </c>
      <c r="L98" s="15" t="n">
        <v>12988.38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2210</v>
      </c>
      <c r="B99" s="3" t="s">
        <v>2326</v>
      </c>
      <c r="C99" s="3" t="s">
        <v>409</v>
      </c>
      <c r="D99" s="3" t="s">
        <v>1352</v>
      </c>
      <c r="E99" s="3" t="s">
        <v>50</v>
      </c>
      <c r="F99" s="12" t="n">
        <v>895000</v>
      </c>
      <c r="G99" s="13" t="n">
        <v>0.95</v>
      </c>
      <c r="H99" s="13" t="n">
        <v>1.3</v>
      </c>
      <c r="I99" s="13" t="n">
        <v>0.8972</v>
      </c>
      <c r="J99" s="13" t="n">
        <v>0.53</v>
      </c>
      <c r="K99" s="12" t="n">
        <f aca="false">ROUND(F99/100*G99*H99*I99/J99,2)</f>
        <v>18711.28</v>
      </c>
      <c r="L99" s="12" t="n">
        <v>18711.28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2187</v>
      </c>
      <c r="B100" s="14" t="s">
        <v>2327</v>
      </c>
      <c r="C100" s="14" t="s">
        <v>105</v>
      </c>
      <c r="D100" s="14" t="s">
        <v>1786</v>
      </c>
      <c r="E100" s="14" t="s">
        <v>56</v>
      </c>
      <c r="F100" s="15" t="n">
        <v>990000</v>
      </c>
      <c r="G100" s="16" t="n">
        <v>0.65</v>
      </c>
      <c r="H100" s="16" t="n">
        <v>0.99</v>
      </c>
      <c r="I100" s="16" t="n">
        <v>0.8972</v>
      </c>
      <c r="J100" s="16" t="n">
        <v>0.53</v>
      </c>
      <c r="K100" s="15" t="n">
        <f aca="false">ROUND(F100/100*G100*H100*I100/J100,2)</f>
        <v>10784.43</v>
      </c>
      <c r="L100" s="15" t="n">
        <v>10784.42</v>
      </c>
      <c r="M100" s="15" t="n">
        <f aca="false">L100-K100</f>
        <v>-0.0100000000002183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2177</v>
      </c>
      <c r="B101" s="3" t="s">
        <v>2328</v>
      </c>
      <c r="C101" s="3" t="s">
        <v>159</v>
      </c>
      <c r="D101" s="3" t="s">
        <v>1156</v>
      </c>
      <c r="E101" s="3" t="s">
        <v>56</v>
      </c>
      <c r="F101" s="12" t="n">
        <v>1145000</v>
      </c>
      <c r="G101" s="13" t="n">
        <v>0.55</v>
      </c>
      <c r="H101" s="13" t="n">
        <v>1.15</v>
      </c>
      <c r="I101" s="13" t="n">
        <v>0.8972</v>
      </c>
      <c r="J101" s="13" t="n">
        <v>0.53</v>
      </c>
      <c r="K101" s="12" t="n">
        <f aca="false">ROUND(F101/100*G101*H101*I101/J101,2)</f>
        <v>12259.69</v>
      </c>
      <c r="L101" s="12" t="n">
        <v>12259.69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2274</v>
      </c>
      <c r="B102" s="14" t="s">
        <v>2329</v>
      </c>
      <c r="C102" s="14" t="s">
        <v>159</v>
      </c>
      <c r="D102" s="14" t="s">
        <v>250</v>
      </c>
      <c r="E102" s="14" t="s">
        <v>56</v>
      </c>
      <c r="F102" s="15" t="n">
        <v>345000</v>
      </c>
      <c r="G102" s="16" t="n">
        <v>0.75</v>
      </c>
      <c r="H102" s="16" t="n">
        <v>1.15</v>
      </c>
      <c r="I102" s="16" t="n">
        <v>0.8972</v>
      </c>
      <c r="J102" s="16" t="n">
        <v>0.53</v>
      </c>
      <c r="K102" s="15" t="n">
        <f aca="false">ROUND(F102/100*G102*H102*I102/J102,2)</f>
        <v>5037.23</v>
      </c>
      <c r="L102" s="15" t="n">
        <v>5037.23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2278</v>
      </c>
      <c r="B103" s="3" t="s">
        <v>2330</v>
      </c>
      <c r="C103" s="3" t="s">
        <v>48</v>
      </c>
      <c r="D103" s="3" t="s">
        <v>2331</v>
      </c>
      <c r="E103" s="3" t="s">
        <v>133</v>
      </c>
      <c r="F103" s="12" t="n">
        <v>515000</v>
      </c>
      <c r="G103" s="13" t="n">
        <v>0.38</v>
      </c>
      <c r="H103" s="13" t="n">
        <v>1.28</v>
      </c>
      <c r="I103" s="13" t="n">
        <v>0.8972</v>
      </c>
      <c r="J103" s="13" t="n">
        <v>0.53</v>
      </c>
      <c r="K103" s="12" t="n">
        <f aca="false">ROUND(F103/100*G103*H103*I103/J103,2)</f>
        <v>4240.47</v>
      </c>
      <c r="L103" s="12" t="n">
        <v>4240.47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2181</v>
      </c>
      <c r="B104" s="14" t="s">
        <v>2332</v>
      </c>
      <c r="C104" s="14" t="s">
        <v>311</v>
      </c>
      <c r="D104" s="14" t="s">
        <v>2333</v>
      </c>
      <c r="E104" s="14" t="s">
        <v>74</v>
      </c>
      <c r="F104" s="15" t="n">
        <v>700000</v>
      </c>
      <c r="G104" s="16" t="n">
        <v>0.43</v>
      </c>
      <c r="H104" s="16" t="n">
        <v>1.06</v>
      </c>
      <c r="I104" s="16" t="n">
        <v>0.8972</v>
      </c>
      <c r="J104" s="16" t="n">
        <v>0.53</v>
      </c>
      <c r="K104" s="15" t="n">
        <f aca="false">ROUND(F104/100*G104*H104*I104/J104,2)</f>
        <v>5401.14</v>
      </c>
      <c r="L104" s="15" t="n">
        <v>5401.14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2185</v>
      </c>
      <c r="B105" s="3" t="s">
        <v>2334</v>
      </c>
      <c r="C105" s="3" t="s">
        <v>193</v>
      </c>
      <c r="D105" s="3" t="s">
        <v>1627</v>
      </c>
      <c r="E105" s="3" t="s">
        <v>56</v>
      </c>
      <c r="F105" s="12" t="n">
        <v>490000</v>
      </c>
      <c r="G105" s="13" t="n">
        <v>0.75</v>
      </c>
      <c r="H105" s="13" t="n">
        <v>1.25</v>
      </c>
      <c r="I105" s="13" t="n">
        <v>0.8972</v>
      </c>
      <c r="J105" s="13" t="n">
        <v>0.53</v>
      </c>
      <c r="K105" s="12" t="n">
        <f aca="false">ROUND(F105/100*G105*H105*I105/J105,2)</f>
        <v>7776.44</v>
      </c>
      <c r="L105" s="12" t="n">
        <v>7776.44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2177</v>
      </c>
      <c r="B106" s="14" t="s">
        <v>2335</v>
      </c>
      <c r="C106" s="14" t="s">
        <v>59</v>
      </c>
      <c r="D106" s="14" t="s">
        <v>1684</v>
      </c>
      <c r="E106" s="14" t="s">
        <v>50</v>
      </c>
      <c r="F106" s="15" t="n">
        <v>300000</v>
      </c>
      <c r="G106" s="16" t="n">
        <v>1.15</v>
      </c>
      <c r="H106" s="16" t="n">
        <v>0.97</v>
      </c>
      <c r="I106" s="16" t="n">
        <v>0.8972</v>
      </c>
      <c r="J106" s="16" t="n">
        <v>0.53</v>
      </c>
      <c r="K106" s="15" t="n">
        <f aca="false">ROUND(F106/100*G106*H106*I106/J106,2)</f>
        <v>5665.06</v>
      </c>
      <c r="L106" s="15" t="n">
        <v>5665.06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2284</v>
      </c>
      <c r="B107" s="3" t="s">
        <v>2336</v>
      </c>
      <c r="C107" s="3" t="s">
        <v>462</v>
      </c>
      <c r="D107" s="3" t="s">
        <v>2337</v>
      </c>
      <c r="E107" s="3" t="s">
        <v>157</v>
      </c>
      <c r="F107" s="12" t="n">
        <v>685000</v>
      </c>
      <c r="G107" s="13" t="n">
        <v>0.78</v>
      </c>
      <c r="H107" s="13" t="n">
        <v>1.34</v>
      </c>
      <c r="I107" s="13" t="n">
        <v>0.8972</v>
      </c>
      <c r="J107" s="13" t="n">
        <v>0.53</v>
      </c>
      <c r="K107" s="12" t="n">
        <f aca="false">ROUND(F107/100*G107*H107*I107/J107,2)</f>
        <v>12120.02</v>
      </c>
      <c r="L107" s="12" t="n">
        <v>12120.02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2174</v>
      </c>
      <c r="B108" s="14" t="s">
        <v>2338</v>
      </c>
      <c r="C108" s="14" t="s">
        <v>193</v>
      </c>
      <c r="D108" s="14" t="s">
        <v>65</v>
      </c>
      <c r="E108" s="14" t="s">
        <v>50</v>
      </c>
      <c r="F108" s="15" t="n">
        <v>1240000</v>
      </c>
      <c r="G108" s="16" t="n">
        <v>0.8</v>
      </c>
      <c r="H108" s="16" t="n">
        <v>1.25</v>
      </c>
      <c r="I108" s="16" t="n">
        <v>0.8972</v>
      </c>
      <c r="J108" s="16" t="n">
        <v>0.53</v>
      </c>
      <c r="K108" s="15" t="n">
        <f aca="false">ROUND(F108/100*G108*H108*I108/J108,2)</f>
        <v>20991.09</v>
      </c>
      <c r="L108" s="15" t="n">
        <v>20991.1</v>
      </c>
      <c r="M108" s="15" t="n">
        <f aca="false">L108-K108</f>
        <v>0.00999999999839929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2170</v>
      </c>
      <c r="B109" s="3" t="s">
        <v>2339</v>
      </c>
      <c r="C109" s="3" t="s">
        <v>48</v>
      </c>
      <c r="D109" s="3" t="s">
        <v>2340</v>
      </c>
      <c r="E109" s="3" t="s">
        <v>133</v>
      </c>
      <c r="F109" s="12" t="n">
        <v>500000</v>
      </c>
      <c r="G109" s="13" t="n">
        <v>0.38</v>
      </c>
      <c r="H109" s="13" t="n">
        <v>1.28</v>
      </c>
      <c r="I109" s="13" t="n">
        <v>0.8972</v>
      </c>
      <c r="J109" s="13" t="n">
        <v>0.53</v>
      </c>
      <c r="K109" s="12" t="n">
        <f aca="false">ROUND(F109/100*G109*H109*I109/J109,2)</f>
        <v>4116.96</v>
      </c>
      <c r="L109" s="12" t="n">
        <v>4116.96</v>
      </c>
      <c r="M109" s="12" t="n">
        <f aca="false">L109-K109</f>
        <v>0</v>
      </c>
      <c r="N109" s="3" t="s">
        <v>51</v>
      </c>
      <c r="O109" s="3" t="s">
        <v>52</v>
      </c>
    </row>
    <row r="110" customFormat="false" ht="15" hidden="false" customHeight="false" outlineLevel="0" collapsed="false">
      <c r="A110" s="14" t="s">
        <v>2341</v>
      </c>
      <c r="B110" s="14" t="s">
        <v>2342</v>
      </c>
      <c r="C110" s="14" t="s">
        <v>59</v>
      </c>
      <c r="D110" s="14" t="s">
        <v>888</v>
      </c>
      <c r="E110" s="14" t="s">
        <v>56</v>
      </c>
      <c r="F110" s="15" t="n">
        <v>1480000</v>
      </c>
      <c r="G110" s="16" t="n">
        <v>0.55</v>
      </c>
      <c r="H110" s="16" t="n">
        <v>0.97</v>
      </c>
      <c r="I110" s="16" t="n">
        <v>0.8972</v>
      </c>
      <c r="J110" s="16" t="n">
        <v>0.53</v>
      </c>
      <c r="K110" s="15" t="n">
        <f aca="false">ROUND(F110/100*G110*H110*I110/J110,2)</f>
        <v>13366.25</v>
      </c>
      <c r="L110" s="15" t="n">
        <v>13366.25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2172</v>
      </c>
      <c r="B111" s="3" t="s">
        <v>2343</v>
      </c>
      <c r="C111" s="3" t="s">
        <v>68</v>
      </c>
      <c r="D111" s="3" t="s">
        <v>260</v>
      </c>
      <c r="E111" s="3" t="s">
        <v>56</v>
      </c>
      <c r="F111" s="12" t="n">
        <v>285000</v>
      </c>
      <c r="G111" s="13" t="n">
        <v>0.75</v>
      </c>
      <c r="H111" s="13" t="n">
        <v>1.38</v>
      </c>
      <c r="I111" s="13" t="n">
        <v>0.8972</v>
      </c>
      <c r="J111" s="13" t="n">
        <v>0.53</v>
      </c>
      <c r="K111" s="12" t="n">
        <f aca="false">ROUND(F111/100*G111*H111*I111/J111,2)</f>
        <v>4993.43</v>
      </c>
      <c r="L111" s="12" t="n">
        <v>4993.43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2191</v>
      </c>
      <c r="B112" s="14" t="s">
        <v>2344</v>
      </c>
      <c r="C112" s="14" t="s">
        <v>136</v>
      </c>
      <c r="D112" s="14" t="s">
        <v>1285</v>
      </c>
      <c r="E112" s="14" t="s">
        <v>50</v>
      </c>
      <c r="F112" s="15" t="n">
        <v>355000</v>
      </c>
      <c r="G112" s="16" t="n">
        <v>1.15</v>
      </c>
      <c r="H112" s="16" t="n">
        <v>1.32</v>
      </c>
      <c r="I112" s="16" t="n">
        <v>0.8972</v>
      </c>
      <c r="J112" s="16" t="n">
        <v>0.53</v>
      </c>
      <c r="K112" s="15" t="n">
        <f aca="false">ROUND(F112/100*G112*H112*I112/J112,2)</f>
        <v>9122.49</v>
      </c>
      <c r="L112" s="15" t="n">
        <v>9122.5</v>
      </c>
      <c r="M112" s="15" t="n">
        <f aca="false">L112-K112</f>
        <v>0.0100000000002183</v>
      </c>
      <c r="N112" s="14" t="s">
        <v>51</v>
      </c>
      <c r="O112" s="14" t="s">
        <v>52</v>
      </c>
    </row>
    <row r="113" customFormat="false" ht="15" hidden="false" customHeight="false" outlineLevel="0" collapsed="false">
      <c r="A113" s="3" t="s">
        <v>2174</v>
      </c>
      <c r="B113" s="3" t="s">
        <v>2345</v>
      </c>
      <c r="C113" s="3" t="s">
        <v>77</v>
      </c>
      <c r="D113" s="3" t="s">
        <v>2346</v>
      </c>
      <c r="E113" s="3" t="s">
        <v>50</v>
      </c>
      <c r="F113" s="12" t="n">
        <v>730000</v>
      </c>
      <c r="G113" s="13" t="n">
        <v>0.95</v>
      </c>
      <c r="H113" s="13" t="n">
        <v>1.42</v>
      </c>
      <c r="I113" s="13" t="n">
        <v>0.8972</v>
      </c>
      <c r="J113" s="13" t="n">
        <v>0.53</v>
      </c>
      <c r="K113" s="12" t="n">
        <f aca="false">ROUND(F113/100*G113*H113*I113/J113,2)</f>
        <v>16670.48</v>
      </c>
      <c r="L113" s="12" t="n">
        <v>16670.49</v>
      </c>
      <c r="M113" s="12" t="n">
        <f aca="false">L113-K113</f>
        <v>0.0100000000020373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2174</v>
      </c>
      <c r="B114" s="14" t="s">
        <v>2347</v>
      </c>
      <c r="C114" s="14" t="s">
        <v>77</v>
      </c>
      <c r="D114" s="14" t="s">
        <v>1754</v>
      </c>
      <c r="E114" s="14" t="s">
        <v>56</v>
      </c>
      <c r="F114" s="15" t="n">
        <v>380000</v>
      </c>
      <c r="G114" s="16" t="n">
        <v>0.75</v>
      </c>
      <c r="H114" s="16" t="n">
        <v>1.42</v>
      </c>
      <c r="I114" s="16" t="n">
        <v>0.8972</v>
      </c>
      <c r="J114" s="16" t="n">
        <v>0.53</v>
      </c>
      <c r="K114" s="15" t="n">
        <f aca="false">ROUND(F114/100*G114*H114*I114/J114,2)</f>
        <v>6850.88</v>
      </c>
      <c r="L114" s="15" t="n">
        <v>6850.88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2191</v>
      </c>
      <c r="B115" s="3" t="s">
        <v>2348</v>
      </c>
      <c r="C115" s="3" t="s">
        <v>174</v>
      </c>
      <c r="D115" s="3" t="s">
        <v>2349</v>
      </c>
      <c r="E115" s="3" t="s">
        <v>133</v>
      </c>
      <c r="F115" s="12" t="n">
        <v>745000</v>
      </c>
      <c r="G115" s="13" t="n">
        <v>0.38</v>
      </c>
      <c r="H115" s="13" t="n">
        <v>1.55</v>
      </c>
      <c r="I115" s="13" t="n">
        <v>0.8972</v>
      </c>
      <c r="J115" s="13" t="n">
        <v>0.53</v>
      </c>
      <c r="K115" s="12" t="n">
        <f aca="false">ROUND(F115/100*G115*H115*I115/J115,2)</f>
        <v>7428.22</v>
      </c>
      <c r="L115" s="12" t="n">
        <v>7428.22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2246</v>
      </c>
      <c r="B116" s="14" t="s">
        <v>2350</v>
      </c>
      <c r="C116" s="14" t="s">
        <v>210</v>
      </c>
      <c r="D116" s="14" t="s">
        <v>233</v>
      </c>
      <c r="E116" s="14" t="s">
        <v>50</v>
      </c>
      <c r="F116" s="15" t="n">
        <v>690000</v>
      </c>
      <c r="G116" s="16" t="n">
        <v>0.95</v>
      </c>
      <c r="H116" s="16" t="n">
        <v>1.21</v>
      </c>
      <c r="I116" s="16" t="n">
        <v>0.8972</v>
      </c>
      <c r="J116" s="16" t="n">
        <v>0.53</v>
      </c>
      <c r="K116" s="15" t="n">
        <f aca="false">ROUND(F116/100*G116*H116*I116/J116,2)</f>
        <v>13426.77</v>
      </c>
      <c r="L116" s="15" t="n">
        <v>13426.77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2200</v>
      </c>
      <c r="B117" s="3" t="s">
        <v>2351</v>
      </c>
      <c r="C117" s="3" t="s">
        <v>892</v>
      </c>
      <c r="D117" s="3" t="s">
        <v>281</v>
      </c>
      <c r="E117" s="3" t="s">
        <v>56</v>
      </c>
      <c r="F117" s="12" t="n">
        <v>810000</v>
      </c>
      <c r="G117" s="13" t="n">
        <v>0.65</v>
      </c>
      <c r="H117" s="13" t="n">
        <v>1.08</v>
      </c>
      <c r="I117" s="13" t="n">
        <v>0.8972</v>
      </c>
      <c r="J117" s="13" t="n">
        <v>0.53</v>
      </c>
      <c r="K117" s="12" t="n">
        <f aca="false">ROUND(F117/100*G117*H117*I117/J117,2)</f>
        <v>9625.77</v>
      </c>
      <c r="L117" s="12" t="n">
        <v>9625.77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2246</v>
      </c>
      <c r="B118" s="14" t="s">
        <v>2352</v>
      </c>
      <c r="C118" s="14" t="s">
        <v>305</v>
      </c>
      <c r="D118" s="14" t="s">
        <v>400</v>
      </c>
      <c r="E118" s="14" t="s">
        <v>56</v>
      </c>
      <c r="F118" s="15" t="n">
        <v>1060000</v>
      </c>
      <c r="G118" s="16" t="n">
        <v>0.55</v>
      </c>
      <c r="H118" s="16" t="n">
        <v>1.12</v>
      </c>
      <c r="I118" s="16" t="n">
        <v>0.8972</v>
      </c>
      <c r="J118" s="16" t="n">
        <v>0.53</v>
      </c>
      <c r="K118" s="15" t="n">
        <f aca="false">ROUND(F118/100*G118*H118*I118/J118,2)</f>
        <v>11053.5</v>
      </c>
      <c r="L118" s="15" t="n">
        <v>11053.5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2187</v>
      </c>
      <c r="B119" s="3" t="s">
        <v>2353</v>
      </c>
      <c r="C119" s="3" t="s">
        <v>48</v>
      </c>
      <c r="D119" s="3" t="s">
        <v>2354</v>
      </c>
      <c r="E119" s="3" t="s">
        <v>56</v>
      </c>
      <c r="F119" s="12" t="n">
        <v>675000</v>
      </c>
      <c r="G119" s="13" t="n">
        <v>0.65</v>
      </c>
      <c r="H119" s="13" t="n">
        <v>1.28</v>
      </c>
      <c r="I119" s="13" t="n">
        <v>0.8972</v>
      </c>
      <c r="J119" s="13" t="n">
        <v>0.53</v>
      </c>
      <c r="K119" s="12" t="n">
        <f aca="false">ROUND(F119/100*G119*H119*I119/J119,2)</f>
        <v>9506.93</v>
      </c>
      <c r="L119" s="12" t="n">
        <v>9506.94</v>
      </c>
      <c r="M119" s="12" t="n">
        <f aca="false">L119-K119</f>
        <v>0.0100000000002183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2193</v>
      </c>
      <c r="B120" s="14" t="s">
        <v>2355</v>
      </c>
      <c r="C120" s="14" t="s">
        <v>435</v>
      </c>
      <c r="D120" s="14" t="s">
        <v>2356</v>
      </c>
      <c r="E120" s="14" t="s">
        <v>74</v>
      </c>
      <c r="F120" s="15" t="n">
        <v>835000</v>
      </c>
      <c r="G120" s="16" t="n">
        <v>0.43</v>
      </c>
      <c r="H120" s="16" t="n">
        <v>1.13</v>
      </c>
      <c r="I120" s="16" t="n">
        <v>0.8972</v>
      </c>
      <c r="J120" s="16" t="n">
        <v>0.53</v>
      </c>
      <c r="K120" s="15" t="n">
        <f aca="false">ROUND(F120/100*G120*H120*I120/J120,2)</f>
        <v>6868.26</v>
      </c>
      <c r="L120" s="15" t="n">
        <v>6868.26</v>
      </c>
      <c r="M120" s="15" t="n">
        <f aca="false">L120-K120</f>
        <v>0</v>
      </c>
      <c r="N120" s="14" t="s">
        <v>51</v>
      </c>
      <c r="O120" s="14" t="s">
        <v>52</v>
      </c>
    </row>
    <row r="121" customFormat="false" ht="15" hidden="false" customHeight="false" outlineLevel="0" collapsed="false">
      <c r="A121" s="3" t="s">
        <v>2191</v>
      </c>
      <c r="B121" s="3" t="s">
        <v>2357</v>
      </c>
      <c r="C121" s="3" t="s">
        <v>462</v>
      </c>
      <c r="D121" s="3" t="s">
        <v>2358</v>
      </c>
      <c r="E121" s="3" t="s">
        <v>157</v>
      </c>
      <c r="F121" s="12" t="n">
        <v>345000</v>
      </c>
      <c r="G121" s="13" t="n">
        <v>0.88</v>
      </c>
      <c r="H121" s="13" t="n">
        <v>1.34</v>
      </c>
      <c r="I121" s="13" t="n">
        <v>0.8972</v>
      </c>
      <c r="J121" s="13" t="n">
        <v>0.53</v>
      </c>
      <c r="K121" s="12" t="n">
        <f aca="false">ROUND(F121/100*G121*H121*I121/J121,2)</f>
        <v>6886.84</v>
      </c>
      <c r="L121" s="12" t="n">
        <v>6886.84</v>
      </c>
      <c r="M121" s="12" t="n">
        <f aca="false">L121-K121</f>
        <v>0</v>
      </c>
      <c r="N121" s="3" t="s">
        <v>70</v>
      </c>
      <c r="O121" s="3" t="s">
        <v>52</v>
      </c>
    </row>
    <row r="122" customFormat="false" ht="15" hidden="false" customHeight="false" outlineLevel="0" collapsed="false">
      <c r="A122" s="14" t="s">
        <v>2181</v>
      </c>
      <c r="B122" s="14" t="s">
        <v>2359</v>
      </c>
      <c r="C122" s="14" t="s">
        <v>159</v>
      </c>
      <c r="D122" s="14" t="s">
        <v>878</v>
      </c>
      <c r="E122" s="14" t="s">
        <v>56</v>
      </c>
      <c r="F122" s="15" t="n">
        <v>835000</v>
      </c>
      <c r="G122" s="16" t="n">
        <v>0.65</v>
      </c>
      <c r="H122" s="16" t="n">
        <v>1.15</v>
      </c>
      <c r="I122" s="16" t="n">
        <v>0.8972</v>
      </c>
      <c r="J122" s="16" t="n">
        <v>0.53</v>
      </c>
      <c r="K122" s="15" t="n">
        <f aca="false">ROUND(F122/100*G122*H122*I122/J122,2)</f>
        <v>10566.01</v>
      </c>
      <c r="L122" s="15" t="n">
        <v>10566.01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2248</v>
      </c>
      <c r="B123" s="3" t="s">
        <v>2360</v>
      </c>
      <c r="C123" s="3" t="s">
        <v>275</v>
      </c>
      <c r="D123" s="3" t="s">
        <v>369</v>
      </c>
      <c r="E123" s="3" t="s">
        <v>74</v>
      </c>
      <c r="F123" s="12" t="n">
        <v>1870000</v>
      </c>
      <c r="G123" s="13" t="n">
        <v>0.38</v>
      </c>
      <c r="H123" s="13" t="n">
        <v>1.19</v>
      </c>
      <c r="I123" s="13" t="n">
        <v>0.8972</v>
      </c>
      <c r="J123" s="13" t="n">
        <v>0.53</v>
      </c>
      <c r="K123" s="12" t="n">
        <f aca="false">ROUND(F123/100*G123*H123*I123/J123,2)</f>
        <v>14314.81</v>
      </c>
      <c r="L123" s="12" t="n">
        <v>14314.81</v>
      </c>
      <c r="M123" s="12" t="n">
        <f aca="false">L123-K123</f>
        <v>0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2361</v>
      </c>
      <c r="B124" s="14" t="s">
        <v>2362</v>
      </c>
      <c r="C124" s="14" t="s">
        <v>196</v>
      </c>
      <c r="D124" s="14" t="s">
        <v>1276</v>
      </c>
      <c r="E124" s="14" t="s">
        <v>56</v>
      </c>
      <c r="F124" s="15" t="n">
        <v>940000</v>
      </c>
      <c r="G124" s="16" t="n">
        <v>0.65</v>
      </c>
      <c r="H124" s="16" t="n">
        <v>1.04</v>
      </c>
      <c r="I124" s="16" t="n">
        <v>0.8972</v>
      </c>
      <c r="J124" s="16" t="n">
        <v>0.53</v>
      </c>
      <c r="K124" s="15" t="n">
        <f aca="false">ROUND(F124/100*G124*H124*I124/J124,2)</f>
        <v>10756.92</v>
      </c>
      <c r="L124" s="15" t="n">
        <v>10756.92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2294</v>
      </c>
      <c r="B125" s="3" t="s">
        <v>2363</v>
      </c>
      <c r="C125" s="3" t="s">
        <v>131</v>
      </c>
      <c r="D125" s="3" t="s">
        <v>367</v>
      </c>
      <c r="E125" s="3" t="s">
        <v>56</v>
      </c>
      <c r="F125" s="12" t="n">
        <v>1140000</v>
      </c>
      <c r="G125" s="13" t="n">
        <v>0.55</v>
      </c>
      <c r="H125" s="13" t="n">
        <v>0.95</v>
      </c>
      <c r="I125" s="13" t="n">
        <v>0.8972</v>
      </c>
      <c r="J125" s="13" t="n">
        <v>0.53</v>
      </c>
      <c r="K125" s="12" t="n">
        <f aca="false">ROUND(F125/100*G125*H125*I125/J125,2)</f>
        <v>10083.34</v>
      </c>
      <c r="L125" s="12" t="n">
        <v>10083.34</v>
      </c>
      <c r="M125" s="12" t="n">
        <f aca="false">L125-K125</f>
        <v>0</v>
      </c>
      <c r="N125" s="3" t="s">
        <v>51</v>
      </c>
      <c r="O125" s="3" t="s">
        <v>52</v>
      </c>
    </row>
    <row r="126" customFormat="false" ht="15" hidden="false" customHeight="false" outlineLevel="0" collapsed="false">
      <c r="A126" s="14" t="s">
        <v>2187</v>
      </c>
      <c r="B126" s="14" t="s">
        <v>2364</v>
      </c>
      <c r="C126" s="14" t="s">
        <v>243</v>
      </c>
      <c r="D126" s="14" t="s">
        <v>682</v>
      </c>
      <c r="E126" s="14" t="s">
        <v>56</v>
      </c>
      <c r="F126" s="15" t="n">
        <v>710000</v>
      </c>
      <c r="G126" s="16" t="n">
        <v>0.65</v>
      </c>
      <c r="H126" s="16" t="n">
        <v>1.14</v>
      </c>
      <c r="I126" s="16" t="n">
        <v>0.8972</v>
      </c>
      <c r="J126" s="16" t="n">
        <v>0.53</v>
      </c>
      <c r="K126" s="15" t="n">
        <f aca="false">ROUND(F126/100*G126*H126*I126/J126,2)</f>
        <v>8906.15</v>
      </c>
      <c r="L126" s="15" t="n">
        <v>8906.15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2177</v>
      </c>
      <c r="B127" s="3" t="s">
        <v>2365</v>
      </c>
      <c r="C127" s="3" t="s">
        <v>224</v>
      </c>
      <c r="D127" s="3" t="s">
        <v>2366</v>
      </c>
      <c r="E127" s="3" t="s">
        <v>50</v>
      </c>
      <c r="F127" s="12" t="n">
        <v>275000</v>
      </c>
      <c r="G127" s="13" t="n">
        <v>1.15</v>
      </c>
      <c r="H127" s="13" t="n">
        <v>1.1</v>
      </c>
      <c r="I127" s="13" t="n">
        <v>0.8972</v>
      </c>
      <c r="J127" s="13" t="n">
        <v>0.53</v>
      </c>
      <c r="K127" s="12" t="n">
        <f aca="false">ROUND(F127/100*G127*H127*I127/J127,2)</f>
        <v>5888.93</v>
      </c>
      <c r="L127" s="12" t="n">
        <v>5888.93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2361</v>
      </c>
      <c r="B128" s="14" t="s">
        <v>2367</v>
      </c>
      <c r="C128" s="14" t="s">
        <v>237</v>
      </c>
      <c r="D128" s="14" t="s">
        <v>2368</v>
      </c>
      <c r="E128" s="14" t="s">
        <v>56</v>
      </c>
      <c r="F128" s="15" t="n">
        <v>1285000</v>
      </c>
      <c r="G128" s="16" t="n">
        <v>0.55</v>
      </c>
      <c r="H128" s="16" t="n">
        <v>1.33</v>
      </c>
      <c r="I128" s="16" t="n">
        <v>0.8972</v>
      </c>
      <c r="J128" s="16" t="n">
        <v>0.53</v>
      </c>
      <c r="K128" s="15" t="n">
        <f aca="false">ROUND(F128/100*G128*H128*I128/J128,2)</f>
        <v>15912.22</v>
      </c>
      <c r="L128" s="15" t="n">
        <v>15912.22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2200</v>
      </c>
      <c r="B129" s="3" t="s">
        <v>2369</v>
      </c>
      <c r="C129" s="3" t="s">
        <v>409</v>
      </c>
      <c r="D129" s="3" t="s">
        <v>276</v>
      </c>
      <c r="E129" s="3" t="s">
        <v>56</v>
      </c>
      <c r="F129" s="12" t="n">
        <v>435000</v>
      </c>
      <c r="G129" s="13" t="n">
        <v>0.75</v>
      </c>
      <c r="H129" s="13" t="n">
        <v>1.3</v>
      </c>
      <c r="I129" s="13" t="n">
        <v>0.8972</v>
      </c>
      <c r="J129" s="13" t="n">
        <v>0.53</v>
      </c>
      <c r="K129" s="12" t="n">
        <f aca="false">ROUND(F129/100*G129*H129*I129/J129,2)</f>
        <v>7179.72</v>
      </c>
      <c r="L129" s="12" t="n">
        <v>7179.72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2284</v>
      </c>
      <c r="B130" s="14" t="s">
        <v>2370</v>
      </c>
      <c r="C130" s="14" t="s">
        <v>892</v>
      </c>
      <c r="D130" s="14" t="s">
        <v>2371</v>
      </c>
      <c r="E130" s="14" t="s">
        <v>74</v>
      </c>
      <c r="F130" s="15" t="n">
        <v>1275000</v>
      </c>
      <c r="G130" s="16" t="n">
        <v>0.38</v>
      </c>
      <c r="H130" s="16" t="n">
        <v>1.08</v>
      </c>
      <c r="I130" s="16" t="n">
        <v>0.8972</v>
      </c>
      <c r="J130" s="16" t="n">
        <v>0.53</v>
      </c>
      <c r="K130" s="15" t="n">
        <f aca="false">ROUND(F130/100*G130*H130*I130/J130,2)</f>
        <v>8857.9</v>
      </c>
      <c r="L130" s="15" t="n">
        <v>8857.9</v>
      </c>
      <c r="M130" s="15" t="n">
        <f aca="false">L130-K130</f>
        <v>0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2210</v>
      </c>
      <c r="B131" s="3" t="s">
        <v>2372</v>
      </c>
      <c r="C131" s="3" t="s">
        <v>128</v>
      </c>
      <c r="D131" s="3" t="s">
        <v>1368</v>
      </c>
      <c r="E131" s="3" t="s">
        <v>157</v>
      </c>
      <c r="F131" s="12" t="n">
        <v>1785000</v>
      </c>
      <c r="G131" s="13" t="n">
        <v>0.68</v>
      </c>
      <c r="H131" s="13" t="n">
        <v>1.25</v>
      </c>
      <c r="I131" s="13" t="n">
        <v>0.8972</v>
      </c>
      <c r="J131" s="13" t="n">
        <v>0.53</v>
      </c>
      <c r="K131" s="12" t="n">
        <f aca="false">ROUND(F131/100*G131*H131*I131/J131,2)</f>
        <v>25684.47</v>
      </c>
      <c r="L131" s="12" t="n">
        <v>25684.47</v>
      </c>
      <c r="M131" s="12" t="n">
        <f aca="false">L131-K131</f>
        <v>0</v>
      </c>
      <c r="N131" s="3" t="s">
        <v>70</v>
      </c>
      <c r="O131" s="3" t="s">
        <v>52</v>
      </c>
    </row>
    <row r="132" customFormat="false" ht="15" hidden="false" customHeight="false" outlineLevel="0" collapsed="false">
      <c r="A132" s="14" t="s">
        <v>2278</v>
      </c>
      <c r="B132" s="14" t="s">
        <v>2373</v>
      </c>
      <c r="C132" s="14" t="s">
        <v>114</v>
      </c>
      <c r="D132" s="14" t="s">
        <v>849</v>
      </c>
      <c r="E132" s="14" t="s">
        <v>74</v>
      </c>
      <c r="F132" s="15" t="n">
        <v>365000</v>
      </c>
      <c r="G132" s="16" t="n">
        <v>0.48</v>
      </c>
      <c r="H132" s="16" t="n">
        <v>1.36</v>
      </c>
      <c r="I132" s="16" t="n">
        <v>0.8972</v>
      </c>
      <c r="J132" s="16" t="n">
        <v>0.53</v>
      </c>
      <c r="K132" s="15" t="n">
        <f aca="false">ROUND(F132/100*G132*H132*I132/J132,2)</f>
        <v>4033.54</v>
      </c>
      <c r="L132" s="15" t="n">
        <v>4033.54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2374</v>
      </c>
      <c r="B133" s="3" t="s">
        <v>2375</v>
      </c>
      <c r="C133" s="3" t="s">
        <v>114</v>
      </c>
      <c r="D133" s="3" t="s">
        <v>2072</v>
      </c>
      <c r="E133" s="3" t="s">
        <v>56</v>
      </c>
      <c r="F133" s="12" t="n">
        <v>645000</v>
      </c>
      <c r="G133" s="13" t="n">
        <v>0.65</v>
      </c>
      <c r="H133" s="13" t="n">
        <v>1.36</v>
      </c>
      <c r="I133" s="13" t="n">
        <v>0.8972</v>
      </c>
      <c r="J133" s="13" t="n">
        <v>0.53</v>
      </c>
      <c r="K133" s="12" t="n">
        <f aca="false">ROUND(F133/100*G133*H133*I133/J133,2)</f>
        <v>9652.18</v>
      </c>
      <c r="L133" s="12" t="n">
        <v>9652.18</v>
      </c>
      <c r="M133" s="12" t="n">
        <f aca="false">L133-K133</f>
        <v>0</v>
      </c>
      <c r="N133" s="3" t="s">
        <v>51</v>
      </c>
      <c r="O133" s="3" t="s">
        <v>52</v>
      </c>
    </row>
    <row r="134" customFormat="false" ht="15" hidden="false" customHeight="false" outlineLevel="0" collapsed="false">
      <c r="A134" s="14" t="s">
        <v>2174</v>
      </c>
      <c r="B134" s="14" t="s">
        <v>2376</v>
      </c>
      <c r="C134" s="14" t="s">
        <v>89</v>
      </c>
      <c r="D134" s="14" t="s">
        <v>279</v>
      </c>
      <c r="E134" s="14" t="s">
        <v>50</v>
      </c>
      <c r="F134" s="15" t="n">
        <v>490000</v>
      </c>
      <c r="G134" s="16" t="n">
        <v>1.15</v>
      </c>
      <c r="H134" s="16" t="n">
        <v>1.35</v>
      </c>
      <c r="I134" s="16" t="n">
        <v>0.8972</v>
      </c>
      <c r="J134" s="16" t="n">
        <v>0.53</v>
      </c>
      <c r="K134" s="15" t="n">
        <f aca="false">ROUND(F134/100*G134*H134*I134/J134,2)</f>
        <v>12877.78</v>
      </c>
      <c r="L134" s="15" t="n">
        <v>12877.78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2251</v>
      </c>
      <c r="B135" s="3" t="s">
        <v>2377</v>
      </c>
      <c r="C135" s="3" t="s">
        <v>224</v>
      </c>
      <c r="D135" s="3" t="s">
        <v>1535</v>
      </c>
      <c r="E135" s="3" t="s">
        <v>74</v>
      </c>
      <c r="F135" s="12" t="n">
        <v>1350000</v>
      </c>
      <c r="G135" s="13" t="n">
        <v>0.38</v>
      </c>
      <c r="H135" s="13" t="n">
        <v>1.1</v>
      </c>
      <c r="I135" s="13" t="n">
        <v>0.8972</v>
      </c>
      <c r="J135" s="13" t="n">
        <v>0.53</v>
      </c>
      <c r="K135" s="12" t="n">
        <f aca="false">ROUND(F135/100*G135*H135*I135/J135,2)</f>
        <v>9552.64</v>
      </c>
      <c r="L135" s="12" t="n">
        <v>9552.64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2219</v>
      </c>
      <c r="B136" s="14" t="s">
        <v>2378</v>
      </c>
      <c r="C136" s="14" t="s">
        <v>117</v>
      </c>
      <c r="D136" s="14" t="s">
        <v>726</v>
      </c>
      <c r="E136" s="14" t="s">
        <v>157</v>
      </c>
      <c r="F136" s="15" t="n">
        <v>420000</v>
      </c>
      <c r="G136" s="16" t="n">
        <v>0.88</v>
      </c>
      <c r="H136" s="16" t="n">
        <v>0.91</v>
      </c>
      <c r="I136" s="16" t="n">
        <v>0.8972</v>
      </c>
      <c r="J136" s="16" t="n">
        <v>0.53</v>
      </c>
      <c r="K136" s="15" t="n">
        <f aca="false">ROUND(F136/100*G136*H136*I136/J136,2)</f>
        <v>5693.6</v>
      </c>
      <c r="L136" s="15" t="n">
        <v>5693.6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2254</v>
      </c>
      <c r="B137" s="3" t="s">
        <v>2379</v>
      </c>
      <c r="C137" s="3" t="s">
        <v>326</v>
      </c>
      <c r="D137" s="3" t="s">
        <v>2380</v>
      </c>
      <c r="E137" s="3" t="s">
        <v>56</v>
      </c>
      <c r="F137" s="12" t="n">
        <v>310000</v>
      </c>
      <c r="G137" s="13" t="n">
        <v>0.75</v>
      </c>
      <c r="H137" s="13" t="n">
        <v>1.12</v>
      </c>
      <c r="I137" s="13" t="n">
        <v>0.8972</v>
      </c>
      <c r="J137" s="13" t="n">
        <v>0.53</v>
      </c>
      <c r="K137" s="12" t="n">
        <f aca="false">ROUND(F137/100*G137*H137*I137/J137,2)</f>
        <v>4408.13</v>
      </c>
      <c r="L137" s="12" t="n">
        <v>4408.13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2294</v>
      </c>
      <c r="B138" s="14" t="s">
        <v>2381</v>
      </c>
      <c r="C138" s="14" t="s">
        <v>117</v>
      </c>
      <c r="D138" s="14" t="s">
        <v>385</v>
      </c>
      <c r="E138" s="14" t="s">
        <v>56</v>
      </c>
      <c r="F138" s="15" t="n">
        <v>270000</v>
      </c>
      <c r="G138" s="16" t="n">
        <v>0.75</v>
      </c>
      <c r="H138" s="16" t="n">
        <v>0.91</v>
      </c>
      <c r="I138" s="16" t="n">
        <v>0.8972</v>
      </c>
      <c r="J138" s="16" t="n">
        <v>0.53</v>
      </c>
      <c r="K138" s="15" t="n">
        <f aca="false">ROUND(F138/100*G138*H138*I138/J138,2)</f>
        <v>3119.46</v>
      </c>
      <c r="L138" s="15" t="n">
        <v>3119.47</v>
      </c>
      <c r="M138" s="15" t="n">
        <f aca="false">L138-K138</f>
        <v>0.00999999999976353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2200</v>
      </c>
      <c r="B139" s="3" t="s">
        <v>2382</v>
      </c>
      <c r="C139" s="3" t="s">
        <v>89</v>
      </c>
      <c r="D139" s="3" t="s">
        <v>2383</v>
      </c>
      <c r="E139" s="3" t="s">
        <v>56</v>
      </c>
      <c r="F139" s="12" t="n">
        <v>450000</v>
      </c>
      <c r="G139" s="13" t="n">
        <v>0.75</v>
      </c>
      <c r="H139" s="13" t="n">
        <v>1.35</v>
      </c>
      <c r="I139" s="13" t="n">
        <v>0.8972</v>
      </c>
      <c r="J139" s="13" t="n">
        <v>0.53</v>
      </c>
      <c r="K139" s="12" t="n">
        <f aca="false">ROUND(F139/100*G139*H139*I139/J139,2)</f>
        <v>7712.96</v>
      </c>
      <c r="L139" s="12" t="n">
        <v>7712.96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2341</v>
      </c>
      <c r="B140" s="14" t="s">
        <v>2384</v>
      </c>
      <c r="C140" s="14" t="s">
        <v>220</v>
      </c>
      <c r="D140" s="14" t="s">
        <v>2385</v>
      </c>
      <c r="E140" s="14" t="s">
        <v>50</v>
      </c>
      <c r="F140" s="15" t="n">
        <v>1155000</v>
      </c>
      <c r="G140" s="16" t="n">
        <v>0.8</v>
      </c>
      <c r="H140" s="16" t="n">
        <v>1.01</v>
      </c>
      <c r="I140" s="16" t="n">
        <v>0.8972</v>
      </c>
      <c r="J140" s="16" t="n">
        <v>0.53</v>
      </c>
      <c r="K140" s="15" t="n">
        <f aca="false">ROUND(F140/100*G140*H140*I140/J140,2)</f>
        <v>15798.17</v>
      </c>
      <c r="L140" s="15" t="n">
        <v>15798.17</v>
      </c>
      <c r="M140" s="15" t="n">
        <f aca="false">L140-K140</f>
        <v>0</v>
      </c>
      <c r="N140" s="14" t="s">
        <v>70</v>
      </c>
      <c r="O140" s="14" t="s">
        <v>52</v>
      </c>
    </row>
    <row r="141" customFormat="false" ht="15" hidden="false" customHeight="false" outlineLevel="0" collapsed="false">
      <c r="A141" s="3" t="s">
        <v>2278</v>
      </c>
      <c r="B141" s="3" t="s">
        <v>2386</v>
      </c>
      <c r="C141" s="3" t="s">
        <v>311</v>
      </c>
      <c r="D141" s="3" t="s">
        <v>298</v>
      </c>
      <c r="E141" s="3" t="s">
        <v>56</v>
      </c>
      <c r="F141" s="12" t="n">
        <v>510000</v>
      </c>
      <c r="G141" s="13" t="n">
        <v>0.65</v>
      </c>
      <c r="H141" s="13" t="n">
        <v>1.06</v>
      </c>
      <c r="I141" s="13" t="n">
        <v>0.8972</v>
      </c>
      <c r="J141" s="13" t="n">
        <v>0.53</v>
      </c>
      <c r="K141" s="12" t="n">
        <f aca="false">ROUND(F141/100*G141*H141*I141/J141,2)</f>
        <v>5948.44</v>
      </c>
      <c r="L141" s="12" t="n">
        <v>5948.44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2254</v>
      </c>
      <c r="B142" s="14" t="s">
        <v>2387</v>
      </c>
      <c r="C142" s="14" t="s">
        <v>243</v>
      </c>
      <c r="D142" s="14" t="s">
        <v>1809</v>
      </c>
      <c r="E142" s="14" t="s">
        <v>56</v>
      </c>
      <c r="F142" s="15" t="n">
        <v>450000</v>
      </c>
      <c r="G142" s="16" t="n">
        <v>0.75</v>
      </c>
      <c r="H142" s="16" t="n">
        <v>1.14</v>
      </c>
      <c r="I142" s="16" t="n">
        <v>0.8972</v>
      </c>
      <c r="J142" s="16" t="n">
        <v>0.53</v>
      </c>
      <c r="K142" s="15" t="n">
        <f aca="false">ROUND(F142/100*G142*H142*I142/J142,2)</f>
        <v>6513.16</v>
      </c>
      <c r="L142" s="15" t="n">
        <v>6513.16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2246</v>
      </c>
      <c r="B143" s="3" t="s">
        <v>2388</v>
      </c>
      <c r="C143" s="3" t="s">
        <v>174</v>
      </c>
      <c r="D143" s="3" t="s">
        <v>1103</v>
      </c>
      <c r="E143" s="3" t="s">
        <v>56</v>
      </c>
      <c r="F143" s="12" t="n">
        <v>615000</v>
      </c>
      <c r="G143" s="13" t="n">
        <v>0.65</v>
      </c>
      <c r="H143" s="13" t="n">
        <v>1.55</v>
      </c>
      <c r="I143" s="13" t="n">
        <v>0.8972</v>
      </c>
      <c r="J143" s="13" t="n">
        <v>0.53</v>
      </c>
      <c r="K143" s="12" t="n">
        <f aca="false">ROUND(F143/100*G143*H143*I143/J143,2)</f>
        <v>10488.99</v>
      </c>
      <c r="L143" s="12" t="n">
        <v>10488.99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2179</v>
      </c>
      <c r="B144" s="14" t="s">
        <v>2389</v>
      </c>
      <c r="C144" s="14" t="s">
        <v>59</v>
      </c>
      <c r="D144" s="14" t="s">
        <v>427</v>
      </c>
      <c r="E144" s="14" t="s">
        <v>56</v>
      </c>
      <c r="F144" s="15" t="n">
        <v>505000</v>
      </c>
      <c r="G144" s="16" t="n">
        <v>0.65</v>
      </c>
      <c r="H144" s="16" t="n">
        <v>0.97</v>
      </c>
      <c r="I144" s="16" t="n">
        <v>0.8972</v>
      </c>
      <c r="J144" s="16" t="n">
        <v>0.53</v>
      </c>
      <c r="K144" s="15" t="n">
        <f aca="false">ROUND(F144/100*G144*H144*I144/J144,2)</f>
        <v>5390.01</v>
      </c>
      <c r="L144" s="15" t="n">
        <v>5390.01</v>
      </c>
      <c r="M144" s="15" t="n">
        <f aca="false">L144-K144</f>
        <v>0</v>
      </c>
      <c r="N144" s="14" t="s">
        <v>70</v>
      </c>
      <c r="O144" s="14" t="s">
        <v>52</v>
      </c>
    </row>
    <row r="145" customFormat="false" ht="15" hidden="false" customHeight="false" outlineLevel="0" collapsed="false">
      <c r="A145" s="3" t="s">
        <v>2174</v>
      </c>
      <c r="B145" s="3" t="s">
        <v>2390</v>
      </c>
      <c r="C145" s="3" t="s">
        <v>139</v>
      </c>
      <c r="D145" s="3" t="s">
        <v>2391</v>
      </c>
      <c r="E145" s="3" t="s">
        <v>50</v>
      </c>
      <c r="F145" s="12" t="n">
        <v>480000</v>
      </c>
      <c r="G145" s="13" t="n">
        <v>1.15</v>
      </c>
      <c r="H145" s="13" t="n">
        <v>1.23</v>
      </c>
      <c r="I145" s="13" t="n">
        <v>0.8972</v>
      </c>
      <c r="J145" s="13" t="n">
        <v>0.53</v>
      </c>
      <c r="K145" s="12" t="n">
        <f aca="false">ROUND(F145/100*G145*H145*I145/J145,2)</f>
        <v>11493.64</v>
      </c>
      <c r="L145" s="12" t="n">
        <v>11493.64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2210</v>
      </c>
      <c r="B146" s="14" t="s">
        <v>2392</v>
      </c>
      <c r="C146" s="14" t="s">
        <v>159</v>
      </c>
      <c r="D146" s="14" t="s">
        <v>180</v>
      </c>
      <c r="E146" s="14" t="s">
        <v>56</v>
      </c>
      <c r="F146" s="15" t="n">
        <v>495000</v>
      </c>
      <c r="G146" s="16" t="n">
        <v>0.75</v>
      </c>
      <c r="H146" s="16" t="n">
        <v>1.15</v>
      </c>
      <c r="I146" s="16" t="n">
        <v>0.8972</v>
      </c>
      <c r="J146" s="16" t="n">
        <v>0.53</v>
      </c>
      <c r="K146" s="15" t="n">
        <f aca="false">ROUND(F146/100*G146*H146*I146/J146,2)</f>
        <v>7227.33</v>
      </c>
      <c r="L146" s="15" t="n">
        <v>7227.32</v>
      </c>
      <c r="M146" s="15" t="n">
        <f aca="false">L146-K146</f>
        <v>-0.0100000000002183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2294</v>
      </c>
      <c r="B147" s="3" t="s">
        <v>2393</v>
      </c>
      <c r="C147" s="3" t="s">
        <v>174</v>
      </c>
      <c r="D147" s="3" t="s">
        <v>2394</v>
      </c>
      <c r="E147" s="3" t="s">
        <v>74</v>
      </c>
      <c r="F147" s="12" t="n">
        <v>1645000</v>
      </c>
      <c r="G147" s="13" t="n">
        <v>0.38</v>
      </c>
      <c r="H147" s="13" t="n">
        <v>1.55</v>
      </c>
      <c r="I147" s="13" t="n">
        <v>0.8972</v>
      </c>
      <c r="J147" s="13" t="n">
        <v>0.53</v>
      </c>
      <c r="K147" s="12" t="n">
        <f aca="false">ROUND(F147/100*G147*H147*I147/J147,2)</f>
        <v>16401.92</v>
      </c>
      <c r="L147" s="12" t="n">
        <v>16401.92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2361</v>
      </c>
      <c r="B148" s="14" t="s">
        <v>2395</v>
      </c>
      <c r="C148" s="14" t="s">
        <v>217</v>
      </c>
      <c r="D148" s="14" t="s">
        <v>2396</v>
      </c>
      <c r="E148" s="14" t="s">
        <v>56</v>
      </c>
      <c r="F148" s="15" t="n">
        <v>595000</v>
      </c>
      <c r="G148" s="16" t="n">
        <v>0.65</v>
      </c>
      <c r="H148" s="16" t="n">
        <v>1.3</v>
      </c>
      <c r="I148" s="16" t="n">
        <v>0.8972</v>
      </c>
      <c r="J148" s="16" t="n">
        <v>0.53</v>
      </c>
      <c r="K148" s="15" t="n">
        <f aca="false">ROUND(F148/100*G148*H148*I148/J148,2)</f>
        <v>8511.13</v>
      </c>
      <c r="L148" s="15" t="n">
        <v>8511.13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2254</v>
      </c>
      <c r="B149" s="3" t="s">
        <v>2397</v>
      </c>
      <c r="C149" s="3" t="s">
        <v>59</v>
      </c>
      <c r="D149" s="3" t="s">
        <v>2398</v>
      </c>
      <c r="E149" s="3" t="s">
        <v>50</v>
      </c>
      <c r="F149" s="12" t="n">
        <v>770000</v>
      </c>
      <c r="G149" s="13" t="n">
        <v>0.95</v>
      </c>
      <c r="H149" s="13" t="n">
        <v>0.97</v>
      </c>
      <c r="I149" s="13" t="n">
        <v>0.8972</v>
      </c>
      <c r="J149" s="13" t="n">
        <v>0.53</v>
      </c>
      <c r="K149" s="12" t="n">
        <f aca="false">ROUND(F149/100*G149*H149*I149/J149,2)</f>
        <v>12011.56</v>
      </c>
      <c r="L149" s="12" t="n">
        <v>12011.56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2170</v>
      </c>
      <c r="B150" s="14" t="s">
        <v>2399</v>
      </c>
      <c r="C150" s="14" t="s">
        <v>152</v>
      </c>
      <c r="D150" s="14" t="s">
        <v>476</v>
      </c>
      <c r="E150" s="14" t="s">
        <v>56</v>
      </c>
      <c r="F150" s="15" t="n">
        <v>290000</v>
      </c>
      <c r="G150" s="16" t="n">
        <v>0.75</v>
      </c>
      <c r="H150" s="16" t="n">
        <v>1</v>
      </c>
      <c r="I150" s="16" t="n">
        <v>0.8972</v>
      </c>
      <c r="J150" s="16" t="n">
        <v>0.53</v>
      </c>
      <c r="K150" s="15" t="n">
        <f aca="false">ROUND(F150/100*G150*H150*I150/J150,2)</f>
        <v>3681.91</v>
      </c>
      <c r="L150" s="15" t="n">
        <v>3681.9</v>
      </c>
      <c r="M150" s="15" t="n">
        <f aca="false">L150-K150</f>
        <v>-0.00999999999976353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2294</v>
      </c>
      <c r="B151" s="3" t="s">
        <v>2400</v>
      </c>
      <c r="C151" s="3" t="s">
        <v>184</v>
      </c>
      <c r="D151" s="3" t="s">
        <v>1939</v>
      </c>
      <c r="E151" s="3" t="s">
        <v>56</v>
      </c>
      <c r="F151" s="12" t="n">
        <v>430000</v>
      </c>
      <c r="G151" s="13" t="n">
        <v>0.75</v>
      </c>
      <c r="H151" s="13" t="n">
        <v>1.02</v>
      </c>
      <c r="I151" s="13" t="n">
        <v>0.8972</v>
      </c>
      <c r="J151" s="13" t="n">
        <v>0.53</v>
      </c>
      <c r="K151" s="12" t="n">
        <f aca="false">ROUND(F151/100*G151*H151*I151/J151,2)</f>
        <v>5568.56</v>
      </c>
      <c r="L151" s="12" t="n">
        <v>5568.56</v>
      </c>
      <c r="M151" s="12" t="n">
        <f aca="false">L151-K151</f>
        <v>0</v>
      </c>
      <c r="N151" s="3" t="s">
        <v>51</v>
      </c>
      <c r="O151" s="3" t="s">
        <v>52</v>
      </c>
    </row>
    <row r="152" customFormat="false" ht="15" hidden="false" customHeight="false" outlineLevel="0" collapsed="false">
      <c r="A152" s="14" t="s">
        <v>2246</v>
      </c>
      <c r="B152" s="14" t="s">
        <v>2401</v>
      </c>
      <c r="C152" s="14" t="s">
        <v>220</v>
      </c>
      <c r="D152" s="14" t="s">
        <v>2402</v>
      </c>
      <c r="E152" s="14" t="s">
        <v>50</v>
      </c>
      <c r="F152" s="15" t="n">
        <v>1180000</v>
      </c>
      <c r="G152" s="16" t="n">
        <v>0.8</v>
      </c>
      <c r="H152" s="16" t="n">
        <v>1.01</v>
      </c>
      <c r="I152" s="16" t="n">
        <v>0.8972</v>
      </c>
      <c r="J152" s="16" t="n">
        <v>0.53</v>
      </c>
      <c r="K152" s="15" t="n">
        <f aca="false">ROUND(F152/100*G152*H152*I152/J152,2)</f>
        <v>16140.12</v>
      </c>
      <c r="L152" s="15" t="n">
        <v>16140.12</v>
      </c>
      <c r="M152" s="15" t="n">
        <f aca="false">L152-K152</f>
        <v>0</v>
      </c>
      <c r="N152" s="14" t="s">
        <v>51</v>
      </c>
      <c r="O152" s="14" t="s">
        <v>52</v>
      </c>
    </row>
    <row r="153" customFormat="false" ht="15" hidden="false" customHeight="false" outlineLevel="0" collapsed="false">
      <c r="A153" s="3" t="s">
        <v>2179</v>
      </c>
      <c r="B153" s="3" t="s">
        <v>2403</v>
      </c>
      <c r="C153" s="3" t="s">
        <v>105</v>
      </c>
      <c r="D153" s="3" t="s">
        <v>2404</v>
      </c>
      <c r="E153" s="3" t="s">
        <v>157</v>
      </c>
      <c r="F153" s="12" t="n">
        <v>755000</v>
      </c>
      <c r="G153" s="13" t="n">
        <v>0.78</v>
      </c>
      <c r="H153" s="13" t="n">
        <v>0.99</v>
      </c>
      <c r="I153" s="13" t="n">
        <v>0.8972</v>
      </c>
      <c r="J153" s="13" t="n">
        <v>0.53</v>
      </c>
      <c r="K153" s="12" t="n">
        <f aca="false">ROUND(F153/100*G153*H153*I153/J153,2)</f>
        <v>9869.39</v>
      </c>
      <c r="L153" s="12" t="n">
        <v>9869.39</v>
      </c>
      <c r="M153" s="12" t="n">
        <f aca="false">L153-K153</f>
        <v>0</v>
      </c>
      <c r="N153" s="3" t="s">
        <v>51</v>
      </c>
      <c r="O153" s="3" t="s">
        <v>52</v>
      </c>
    </row>
    <row r="154" customFormat="false" ht="15" hidden="false" customHeight="false" outlineLevel="0" collapsed="false">
      <c r="A154" s="14" t="s">
        <v>2191</v>
      </c>
      <c r="B154" s="14" t="s">
        <v>2405</v>
      </c>
      <c r="C154" s="14" t="s">
        <v>305</v>
      </c>
      <c r="D154" s="14" t="s">
        <v>1743</v>
      </c>
      <c r="E154" s="14" t="s">
        <v>56</v>
      </c>
      <c r="F154" s="15" t="n">
        <v>395000</v>
      </c>
      <c r="G154" s="16" t="n">
        <v>0.75</v>
      </c>
      <c r="H154" s="16" t="n">
        <v>1.12</v>
      </c>
      <c r="I154" s="16" t="n">
        <v>0.8972</v>
      </c>
      <c r="J154" s="16" t="n">
        <v>0.53</v>
      </c>
      <c r="K154" s="15" t="n">
        <f aca="false">ROUND(F154/100*G154*H154*I154/J154,2)</f>
        <v>5616.81</v>
      </c>
      <c r="L154" s="15" t="n">
        <v>5616.81</v>
      </c>
      <c r="M154" s="15" t="n">
        <f aca="false">L154-K154</f>
        <v>0</v>
      </c>
      <c r="N154" s="14" t="s">
        <v>51</v>
      </c>
      <c r="O154" s="14" t="s">
        <v>52</v>
      </c>
    </row>
    <row r="155" customFormat="false" ht="15" hidden="false" customHeight="false" outlineLevel="0" collapsed="false">
      <c r="A155" s="3" t="s">
        <v>2235</v>
      </c>
      <c r="B155" s="3" t="s">
        <v>2406</v>
      </c>
      <c r="C155" s="3" t="s">
        <v>114</v>
      </c>
      <c r="D155" s="3" t="s">
        <v>348</v>
      </c>
      <c r="E155" s="3" t="s">
        <v>50</v>
      </c>
      <c r="F155" s="12" t="n">
        <v>790000</v>
      </c>
      <c r="G155" s="13" t="n">
        <v>0.95</v>
      </c>
      <c r="H155" s="13" t="n">
        <v>1.36</v>
      </c>
      <c r="I155" s="13" t="n">
        <v>0.8972</v>
      </c>
      <c r="J155" s="13" t="n">
        <v>0.53</v>
      </c>
      <c r="K155" s="12" t="n">
        <f aca="false">ROUND(F155/100*G155*H155*I155/J155,2)</f>
        <v>17278.38</v>
      </c>
      <c r="L155" s="12" t="n">
        <v>17278.38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2170</v>
      </c>
      <c r="B156" s="14" t="s">
        <v>2407</v>
      </c>
      <c r="C156" s="14" t="s">
        <v>105</v>
      </c>
      <c r="D156" s="14" t="s">
        <v>566</v>
      </c>
      <c r="E156" s="14" t="s">
        <v>56</v>
      </c>
      <c r="F156" s="15" t="n">
        <v>830000</v>
      </c>
      <c r="G156" s="16" t="n">
        <v>0.65</v>
      </c>
      <c r="H156" s="16" t="n">
        <v>0.99</v>
      </c>
      <c r="I156" s="16" t="n">
        <v>0.8972</v>
      </c>
      <c r="J156" s="16" t="n">
        <v>0.53</v>
      </c>
      <c r="K156" s="15" t="n">
        <f aca="false">ROUND(F156/100*G156*H156*I156/J156,2)</f>
        <v>9041.49</v>
      </c>
      <c r="L156" s="15" t="n">
        <v>9041.49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2177</v>
      </c>
      <c r="B157" s="3" t="s">
        <v>2408</v>
      </c>
      <c r="C157" s="3" t="s">
        <v>174</v>
      </c>
      <c r="D157" s="3" t="s">
        <v>713</v>
      </c>
      <c r="E157" s="3" t="s">
        <v>50</v>
      </c>
      <c r="F157" s="12" t="n">
        <v>1030000</v>
      </c>
      <c r="G157" s="13" t="n">
        <v>0.8</v>
      </c>
      <c r="H157" s="13" t="n">
        <v>1.55</v>
      </c>
      <c r="I157" s="13" t="n">
        <v>0.8972</v>
      </c>
      <c r="J157" s="13" t="n">
        <v>0.53</v>
      </c>
      <c r="K157" s="12" t="n">
        <f aca="false">ROUND(F157/100*G157*H157*I157/J157,2)</f>
        <v>21620.83</v>
      </c>
      <c r="L157" s="12" t="n">
        <v>21620.82</v>
      </c>
      <c r="M157" s="12" t="n">
        <f aca="false">L157-K157</f>
        <v>-0.0100000000020373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2341</v>
      </c>
      <c r="B158" s="14" t="s">
        <v>2409</v>
      </c>
      <c r="C158" s="14" t="s">
        <v>224</v>
      </c>
      <c r="D158" s="14" t="s">
        <v>2311</v>
      </c>
      <c r="E158" s="14" t="s">
        <v>56</v>
      </c>
      <c r="F158" s="15" t="n">
        <v>415000</v>
      </c>
      <c r="G158" s="16" t="n">
        <v>0.75</v>
      </c>
      <c r="H158" s="16" t="n">
        <v>1.1</v>
      </c>
      <c r="I158" s="16" t="n">
        <v>0.8972</v>
      </c>
      <c r="J158" s="16" t="n">
        <v>0.53</v>
      </c>
      <c r="K158" s="15" t="n">
        <f aca="false">ROUND(F158/100*G158*H158*I158/J158,2)</f>
        <v>5795.83</v>
      </c>
      <c r="L158" s="15" t="n">
        <v>5795.83</v>
      </c>
      <c r="M158" s="15" t="n">
        <f aca="false">L158-K158</f>
        <v>0</v>
      </c>
      <c r="N158" s="14" t="s">
        <v>51</v>
      </c>
      <c r="O158" s="14" t="s">
        <v>52</v>
      </c>
    </row>
    <row r="159" customFormat="false" ht="15" hidden="false" customHeight="false" outlineLevel="0" collapsed="false">
      <c r="A159" s="3" t="s">
        <v>2222</v>
      </c>
      <c r="B159" s="3" t="s">
        <v>2410</v>
      </c>
      <c r="C159" s="3" t="s">
        <v>159</v>
      </c>
      <c r="D159" s="3" t="s">
        <v>2411</v>
      </c>
      <c r="E159" s="3" t="s">
        <v>56</v>
      </c>
      <c r="F159" s="12" t="n">
        <v>600000</v>
      </c>
      <c r="G159" s="13" t="n">
        <v>0.65</v>
      </c>
      <c r="H159" s="13" t="n">
        <v>1.15</v>
      </c>
      <c r="I159" s="13" t="n">
        <v>0.8972</v>
      </c>
      <c r="J159" s="13" t="n">
        <v>0.53</v>
      </c>
      <c r="K159" s="12" t="n">
        <f aca="false">ROUND(F159/100*G159*H159*I159/J159,2)</f>
        <v>7592.34</v>
      </c>
      <c r="L159" s="12" t="n">
        <v>7592.34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2187</v>
      </c>
      <c r="B160" s="14" t="s">
        <v>2412</v>
      </c>
      <c r="C160" s="14" t="s">
        <v>48</v>
      </c>
      <c r="D160" s="14" t="s">
        <v>2413</v>
      </c>
      <c r="E160" s="14" t="s">
        <v>50</v>
      </c>
      <c r="F160" s="15" t="n">
        <v>1190000</v>
      </c>
      <c r="G160" s="16" t="n">
        <v>0.8</v>
      </c>
      <c r="H160" s="16" t="n">
        <v>1.28</v>
      </c>
      <c r="I160" s="16" t="n">
        <v>0.8972</v>
      </c>
      <c r="J160" s="16" t="n">
        <v>0.53</v>
      </c>
      <c r="K160" s="15" t="n">
        <f aca="false">ROUND(F160/100*G160*H160*I160/J160,2)</f>
        <v>20628.15</v>
      </c>
      <c r="L160" s="15" t="n">
        <v>20628.15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2181</v>
      </c>
      <c r="B161" s="3" t="s">
        <v>2414</v>
      </c>
      <c r="C161" s="3" t="s">
        <v>217</v>
      </c>
      <c r="D161" s="3" t="s">
        <v>806</v>
      </c>
      <c r="E161" s="3" t="s">
        <v>50</v>
      </c>
      <c r="F161" s="12" t="n">
        <v>420000</v>
      </c>
      <c r="G161" s="13" t="n">
        <v>1.15</v>
      </c>
      <c r="H161" s="13" t="n">
        <v>1.3</v>
      </c>
      <c r="I161" s="13" t="n">
        <v>0.8972</v>
      </c>
      <c r="J161" s="13" t="n">
        <v>0.53</v>
      </c>
      <c r="K161" s="12" t="n">
        <f aca="false">ROUND(F161/100*G161*H161*I161/J161,2)</f>
        <v>10629.28</v>
      </c>
      <c r="L161" s="12" t="n">
        <v>10629.28</v>
      </c>
      <c r="M161" s="12" t="n">
        <f aca="false">L161-K161</f>
        <v>0</v>
      </c>
      <c r="N161" s="3" t="s">
        <v>70</v>
      </c>
      <c r="O161" s="3" t="s">
        <v>52</v>
      </c>
    </row>
    <row r="162" customFormat="false" ht="15" hidden="false" customHeight="false" outlineLevel="0" collapsed="false">
      <c r="A162" s="14" t="s">
        <v>2248</v>
      </c>
      <c r="B162" s="14" t="s">
        <v>2415</v>
      </c>
      <c r="C162" s="14" t="s">
        <v>142</v>
      </c>
      <c r="D162" s="14" t="s">
        <v>2416</v>
      </c>
      <c r="E162" s="14" t="s">
        <v>74</v>
      </c>
      <c r="F162" s="15" t="n">
        <v>275000</v>
      </c>
      <c r="G162" s="16" t="n">
        <v>0.48</v>
      </c>
      <c r="H162" s="16" t="n">
        <v>1.22</v>
      </c>
      <c r="I162" s="16" t="n">
        <v>0.8972</v>
      </c>
      <c r="J162" s="16" t="n">
        <v>0.53</v>
      </c>
      <c r="K162" s="15" t="n">
        <f aca="false">ROUND(F162/100*G162*H162*I162/J162,2)</f>
        <v>2726.13</v>
      </c>
      <c r="L162" s="15" t="n">
        <v>2726.13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2170</v>
      </c>
      <c r="B163" s="3" t="s">
        <v>2417</v>
      </c>
      <c r="C163" s="3" t="s">
        <v>108</v>
      </c>
      <c r="D163" s="3" t="s">
        <v>2418</v>
      </c>
      <c r="E163" s="3" t="s">
        <v>133</v>
      </c>
      <c r="F163" s="12" t="n">
        <v>820000</v>
      </c>
      <c r="G163" s="13" t="n">
        <v>0.38</v>
      </c>
      <c r="H163" s="13" t="n">
        <v>0.93</v>
      </c>
      <c r="I163" s="13" t="n">
        <v>0.8972</v>
      </c>
      <c r="J163" s="13" t="n">
        <v>0.53</v>
      </c>
      <c r="K163" s="12" t="n">
        <f aca="false">ROUND(F163/100*G163*H163*I163/J163,2)</f>
        <v>4905.62</v>
      </c>
      <c r="L163" s="12" t="n">
        <v>4905.62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2374</v>
      </c>
      <c r="B164" s="14" t="s">
        <v>2419</v>
      </c>
      <c r="C164" s="14" t="s">
        <v>120</v>
      </c>
      <c r="D164" s="14" t="s">
        <v>2420</v>
      </c>
      <c r="E164" s="14" t="s">
        <v>50</v>
      </c>
      <c r="F164" s="15" t="n">
        <v>365000</v>
      </c>
      <c r="G164" s="16" t="n">
        <v>1.15</v>
      </c>
      <c r="H164" s="16" t="n">
        <v>1.15</v>
      </c>
      <c r="I164" s="16" t="n">
        <v>0.8972</v>
      </c>
      <c r="J164" s="16" t="n">
        <v>0.53</v>
      </c>
      <c r="K164" s="15" t="n">
        <f aca="false">ROUND(F164/100*G164*H164*I164/J164,2)</f>
        <v>8171.5</v>
      </c>
      <c r="L164" s="15" t="n">
        <v>8171.5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2226</v>
      </c>
      <c r="B165" s="3" t="s">
        <v>2421</v>
      </c>
      <c r="C165" s="3" t="s">
        <v>93</v>
      </c>
      <c r="D165" s="3" t="s">
        <v>648</v>
      </c>
      <c r="E165" s="3" t="s">
        <v>56</v>
      </c>
      <c r="F165" s="12" t="n">
        <v>365000</v>
      </c>
      <c r="G165" s="13" t="n">
        <v>0.75</v>
      </c>
      <c r="H165" s="13" t="n">
        <v>1.39</v>
      </c>
      <c r="I165" s="13" t="n">
        <v>0.8972</v>
      </c>
      <c r="J165" s="13" t="n">
        <v>0.53</v>
      </c>
      <c r="K165" s="12" t="n">
        <f aca="false">ROUND(F165/100*G165*H165*I165/J165,2)</f>
        <v>6441.43</v>
      </c>
      <c r="L165" s="12" t="n">
        <v>6441.43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2183</v>
      </c>
      <c r="B166" s="14" t="s">
        <v>2422</v>
      </c>
      <c r="C166" s="14" t="s">
        <v>139</v>
      </c>
      <c r="D166" s="14" t="s">
        <v>2396</v>
      </c>
      <c r="E166" s="14" t="s">
        <v>56</v>
      </c>
      <c r="F166" s="15" t="n">
        <v>1345000</v>
      </c>
      <c r="G166" s="16" t="n">
        <v>0.55</v>
      </c>
      <c r="H166" s="16" t="n">
        <v>1.23</v>
      </c>
      <c r="I166" s="16" t="n">
        <v>0.8972</v>
      </c>
      <c r="J166" s="16" t="n">
        <v>0.53</v>
      </c>
      <c r="K166" s="15" t="n">
        <f aca="false">ROUND(F166/100*G166*H166*I166/J166,2)</f>
        <v>15402.93</v>
      </c>
      <c r="L166" s="15" t="n">
        <v>15402.93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2272</v>
      </c>
      <c r="B167" s="3" t="s">
        <v>2423</v>
      </c>
      <c r="C167" s="3" t="s">
        <v>152</v>
      </c>
      <c r="D167" s="3" t="s">
        <v>720</v>
      </c>
      <c r="E167" s="3" t="s">
        <v>50</v>
      </c>
      <c r="F167" s="12" t="n">
        <v>1205000</v>
      </c>
      <c r="G167" s="13" t="n">
        <v>0.8</v>
      </c>
      <c r="H167" s="13" t="n">
        <v>1</v>
      </c>
      <c r="I167" s="13" t="n">
        <v>0.8972</v>
      </c>
      <c r="J167" s="13" t="n">
        <v>0.53</v>
      </c>
      <c r="K167" s="12" t="n">
        <f aca="false">ROUND(F167/100*G167*H167*I167/J167,2)</f>
        <v>16318.88</v>
      </c>
      <c r="L167" s="12" t="n">
        <v>16318.88</v>
      </c>
      <c r="M167" s="12" t="n">
        <f aca="false">L167-K167</f>
        <v>0</v>
      </c>
      <c r="N167" s="3" t="s">
        <v>51</v>
      </c>
      <c r="O167" s="3" t="s">
        <v>52</v>
      </c>
    </row>
    <row r="168" customFormat="false" ht="15" hidden="false" customHeight="false" outlineLevel="0" collapsed="false">
      <c r="A168" s="14" t="s">
        <v>2191</v>
      </c>
      <c r="B168" s="14" t="s">
        <v>2424</v>
      </c>
      <c r="C168" s="14" t="s">
        <v>48</v>
      </c>
      <c r="D168" s="14" t="s">
        <v>2034</v>
      </c>
      <c r="E168" s="14" t="s">
        <v>56</v>
      </c>
      <c r="F168" s="15" t="n">
        <v>925000</v>
      </c>
      <c r="G168" s="16" t="n">
        <v>0.65</v>
      </c>
      <c r="H168" s="16" t="n">
        <v>1.28</v>
      </c>
      <c r="I168" s="16" t="n">
        <v>0.8972</v>
      </c>
      <c r="J168" s="16" t="n">
        <v>0.53</v>
      </c>
      <c r="K168" s="15" t="n">
        <f aca="false">ROUND(F168/100*G168*H168*I168/J168,2)</f>
        <v>13028.02</v>
      </c>
      <c r="L168" s="15" t="n">
        <v>13028.02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2226</v>
      </c>
      <c r="B169" s="3" t="s">
        <v>2425</v>
      </c>
      <c r="C169" s="3" t="s">
        <v>131</v>
      </c>
      <c r="D169" s="3" t="s">
        <v>769</v>
      </c>
      <c r="E169" s="3" t="s">
        <v>56</v>
      </c>
      <c r="F169" s="12" t="n">
        <v>355000</v>
      </c>
      <c r="G169" s="13" t="n">
        <v>0.75</v>
      </c>
      <c r="H169" s="13" t="n">
        <v>0.95</v>
      </c>
      <c r="I169" s="13" t="n">
        <v>0.8972</v>
      </c>
      <c r="J169" s="13" t="n">
        <v>0.53</v>
      </c>
      <c r="K169" s="12" t="n">
        <f aca="false">ROUND(F169/100*G169*H169*I169/J169,2)</f>
        <v>4281.8</v>
      </c>
      <c r="L169" s="12" t="n">
        <v>4281.81</v>
      </c>
      <c r="M169" s="12" t="n">
        <f aca="false">L169-K169</f>
        <v>0.0100000000002183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2374</v>
      </c>
      <c r="B170" s="14" t="s">
        <v>2426</v>
      </c>
      <c r="C170" s="14" t="s">
        <v>435</v>
      </c>
      <c r="D170" s="14" t="s">
        <v>2427</v>
      </c>
      <c r="E170" s="14" t="s">
        <v>74</v>
      </c>
      <c r="F170" s="15" t="n">
        <v>525000</v>
      </c>
      <c r="G170" s="16" t="n">
        <v>0.43</v>
      </c>
      <c r="H170" s="16" t="n">
        <v>1.13</v>
      </c>
      <c r="I170" s="16" t="n">
        <v>0.8972</v>
      </c>
      <c r="J170" s="16" t="n">
        <v>0.53</v>
      </c>
      <c r="K170" s="15" t="n">
        <f aca="false">ROUND(F170/100*G170*H170*I170/J170,2)</f>
        <v>4318.37</v>
      </c>
      <c r="L170" s="15" t="n">
        <v>4318.37</v>
      </c>
      <c r="M170" s="15" t="n">
        <f aca="false">L170-K170</f>
        <v>0</v>
      </c>
      <c r="N170" s="14" t="s">
        <v>51</v>
      </c>
      <c r="O170" s="14" t="s">
        <v>52</v>
      </c>
    </row>
    <row r="171" customFormat="false" ht="15" hidden="false" customHeight="false" outlineLevel="0" collapsed="false">
      <c r="A171" s="3" t="s">
        <v>2185</v>
      </c>
      <c r="B171" s="3" t="s">
        <v>2428</v>
      </c>
      <c r="C171" s="3" t="s">
        <v>169</v>
      </c>
      <c r="D171" s="3" t="s">
        <v>2380</v>
      </c>
      <c r="E171" s="3" t="s">
        <v>56</v>
      </c>
      <c r="F171" s="12" t="n">
        <v>275000</v>
      </c>
      <c r="G171" s="13" t="n">
        <v>0.75</v>
      </c>
      <c r="H171" s="13" t="n">
        <v>1.07</v>
      </c>
      <c r="I171" s="13" t="n">
        <v>0.8972</v>
      </c>
      <c r="J171" s="13" t="n">
        <v>0.53</v>
      </c>
      <c r="K171" s="12" t="n">
        <f aca="false">ROUND(F171/100*G171*H171*I171/J171,2)</f>
        <v>3735.86</v>
      </c>
      <c r="L171" s="12" t="n">
        <v>3735.87</v>
      </c>
      <c r="M171" s="12" t="n">
        <f aca="false">L171-K171</f>
        <v>0.00999999999976353</v>
      </c>
      <c r="N171" s="3" t="s">
        <v>51</v>
      </c>
      <c r="O171" s="3" t="s">
        <v>52</v>
      </c>
    </row>
    <row r="172" customFormat="false" ht="15" hidden="false" customHeight="false" outlineLevel="0" collapsed="false">
      <c r="A172" s="14" t="s">
        <v>2235</v>
      </c>
      <c r="B172" s="14" t="s">
        <v>2429</v>
      </c>
      <c r="C172" s="14" t="s">
        <v>108</v>
      </c>
      <c r="D172" s="14" t="s">
        <v>2430</v>
      </c>
      <c r="E172" s="14" t="s">
        <v>157</v>
      </c>
      <c r="F172" s="15" t="n">
        <v>835000</v>
      </c>
      <c r="G172" s="16" t="n">
        <v>0.78</v>
      </c>
      <c r="H172" s="16" t="n">
        <v>0.93</v>
      </c>
      <c r="I172" s="16" t="n">
        <v>0.8972</v>
      </c>
      <c r="J172" s="16" t="n">
        <v>0.53</v>
      </c>
      <c r="K172" s="15" t="n">
        <f aca="false">ROUND(F172/100*G172*H172*I172/J172,2)</f>
        <v>10253.62</v>
      </c>
      <c r="L172" s="15" t="n">
        <v>10253.62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2254</v>
      </c>
      <c r="B173" s="3" t="s">
        <v>2431</v>
      </c>
      <c r="C173" s="3" t="s">
        <v>300</v>
      </c>
      <c r="D173" s="3" t="s">
        <v>2432</v>
      </c>
      <c r="E173" s="3" t="s">
        <v>74</v>
      </c>
      <c r="F173" s="12" t="n">
        <v>355000</v>
      </c>
      <c r="G173" s="13" t="n">
        <v>0.48</v>
      </c>
      <c r="H173" s="13" t="n">
        <v>1.11</v>
      </c>
      <c r="I173" s="13" t="n">
        <v>0.8972</v>
      </c>
      <c r="J173" s="13" t="n">
        <v>0.53</v>
      </c>
      <c r="K173" s="12" t="n">
        <f aca="false">ROUND(F173/100*G173*H173*I173/J173,2)</f>
        <v>3201.89</v>
      </c>
      <c r="L173" s="12" t="n">
        <v>3201.88</v>
      </c>
      <c r="M173" s="12" t="n">
        <f aca="false">L173-K173</f>
        <v>-0.00999999999976353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2177</v>
      </c>
      <c r="B174" s="14" t="s">
        <v>2433</v>
      </c>
      <c r="C174" s="14" t="s">
        <v>145</v>
      </c>
      <c r="D174" s="14" t="s">
        <v>385</v>
      </c>
      <c r="E174" s="14" t="s">
        <v>56</v>
      </c>
      <c r="F174" s="15" t="n">
        <v>420000</v>
      </c>
      <c r="G174" s="16" t="n">
        <v>0.75</v>
      </c>
      <c r="H174" s="16" t="n">
        <v>0.96</v>
      </c>
      <c r="I174" s="16" t="n">
        <v>0.8972</v>
      </c>
      <c r="J174" s="16" t="n">
        <v>0.53</v>
      </c>
      <c r="K174" s="15" t="n">
        <f aca="false">ROUND(F174/100*G174*H174*I174/J174,2)</f>
        <v>5119.12</v>
      </c>
      <c r="L174" s="15" t="n">
        <v>5119.12</v>
      </c>
      <c r="M174" s="15" t="n">
        <f aca="false">L174-K174</f>
        <v>0</v>
      </c>
      <c r="N174" s="14" t="s">
        <v>70</v>
      </c>
      <c r="O174" s="14" t="s">
        <v>52</v>
      </c>
    </row>
    <row r="175" customFormat="false" ht="15" hidden="false" customHeight="false" outlineLevel="0" collapsed="false">
      <c r="A175" s="3" t="s">
        <v>2172</v>
      </c>
      <c r="B175" s="3" t="s">
        <v>2434</v>
      </c>
      <c r="C175" s="3" t="s">
        <v>117</v>
      </c>
      <c r="D175" s="3" t="s">
        <v>2435</v>
      </c>
      <c r="E175" s="3" t="s">
        <v>74</v>
      </c>
      <c r="F175" s="12" t="n">
        <v>1430000</v>
      </c>
      <c r="G175" s="13" t="n">
        <v>0.38</v>
      </c>
      <c r="H175" s="13" t="n">
        <v>0.91</v>
      </c>
      <c r="I175" s="13" t="n">
        <v>0.8972</v>
      </c>
      <c r="J175" s="13" t="n">
        <v>0.53</v>
      </c>
      <c r="K175" s="12" t="n">
        <f aca="false">ROUND(F175/100*G175*H175*I175/J175,2)</f>
        <v>8370.94</v>
      </c>
      <c r="L175" s="12" t="n">
        <v>8370.95</v>
      </c>
      <c r="M175" s="12" t="n">
        <f aca="false">L175-K175</f>
        <v>0.0100000000002183</v>
      </c>
      <c r="N175" s="3" t="s">
        <v>51</v>
      </c>
      <c r="O175" s="3" t="s">
        <v>52</v>
      </c>
    </row>
    <row r="176" customFormat="false" ht="15" hidden="false" customHeight="false" outlineLevel="0" collapsed="false">
      <c r="A176" s="14" t="s">
        <v>2436</v>
      </c>
      <c r="B176" s="14" t="s">
        <v>2437</v>
      </c>
      <c r="C176" s="14" t="s">
        <v>300</v>
      </c>
      <c r="D176" s="14" t="s">
        <v>1123</v>
      </c>
      <c r="E176" s="14" t="s">
        <v>157</v>
      </c>
      <c r="F176" s="15" t="n">
        <v>1335000</v>
      </c>
      <c r="G176" s="16" t="n">
        <v>0.68</v>
      </c>
      <c r="H176" s="16" t="n">
        <v>1.11</v>
      </c>
      <c r="I176" s="16" t="n">
        <v>0.8972</v>
      </c>
      <c r="J176" s="16" t="n">
        <v>0.53</v>
      </c>
      <c r="K176" s="15" t="n">
        <f aca="false">ROUND(F176/100*G176*H176*I176/J176,2)</f>
        <v>17057.94</v>
      </c>
      <c r="L176" s="15" t="n">
        <v>17057.94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2246</v>
      </c>
      <c r="B177" s="3" t="s">
        <v>2438</v>
      </c>
      <c r="C177" s="3" t="s">
        <v>114</v>
      </c>
      <c r="D177" s="3" t="s">
        <v>1188</v>
      </c>
      <c r="E177" s="3" t="s">
        <v>56</v>
      </c>
      <c r="F177" s="12" t="n">
        <v>405000</v>
      </c>
      <c r="G177" s="13" t="n">
        <v>0.75</v>
      </c>
      <c r="H177" s="13" t="n">
        <v>1.36</v>
      </c>
      <c r="I177" s="13" t="n">
        <v>0.8972</v>
      </c>
      <c r="J177" s="13" t="n">
        <v>0.53</v>
      </c>
      <c r="K177" s="12" t="n">
        <f aca="false">ROUND(F177/100*G177*H177*I177/J177,2)</f>
        <v>6993.08</v>
      </c>
      <c r="L177" s="12" t="n">
        <v>6993.08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2181</v>
      </c>
      <c r="B178" s="14" t="s">
        <v>2439</v>
      </c>
      <c r="C178" s="14" t="s">
        <v>174</v>
      </c>
      <c r="D178" s="14" t="s">
        <v>1168</v>
      </c>
      <c r="E178" s="14" t="s">
        <v>56</v>
      </c>
      <c r="F178" s="15" t="n">
        <v>825000</v>
      </c>
      <c r="G178" s="16" t="n">
        <v>0.65</v>
      </c>
      <c r="H178" s="16" t="n">
        <v>1.55</v>
      </c>
      <c r="I178" s="16" t="n">
        <v>0.8972</v>
      </c>
      <c r="J178" s="16" t="n">
        <v>0.53</v>
      </c>
      <c r="K178" s="15" t="n">
        <f aca="false">ROUND(F178/100*G178*H178*I178/J178,2)</f>
        <v>14070.59</v>
      </c>
      <c r="L178" s="15" t="n">
        <v>14070.59</v>
      </c>
      <c r="M178" s="15" t="n">
        <f aca="false">L178-K178</f>
        <v>0</v>
      </c>
      <c r="N178" s="14" t="s">
        <v>70</v>
      </c>
      <c r="O178" s="14" t="s">
        <v>52</v>
      </c>
    </row>
    <row r="179" customFormat="false" ht="15" hidden="false" customHeight="false" outlineLevel="0" collapsed="false">
      <c r="A179" s="3" t="s">
        <v>2251</v>
      </c>
      <c r="B179" s="3" t="s">
        <v>2440</v>
      </c>
      <c r="C179" s="3" t="s">
        <v>85</v>
      </c>
      <c r="D179" s="3" t="s">
        <v>1922</v>
      </c>
      <c r="E179" s="3" t="s">
        <v>56</v>
      </c>
      <c r="F179" s="12" t="n">
        <v>300000</v>
      </c>
      <c r="G179" s="13" t="n">
        <v>0.75</v>
      </c>
      <c r="H179" s="13" t="n">
        <v>1.28</v>
      </c>
      <c r="I179" s="13" t="n">
        <v>0.8972</v>
      </c>
      <c r="J179" s="13" t="n">
        <v>0.53</v>
      </c>
      <c r="K179" s="12" t="n">
        <f aca="false">ROUND(F179/100*G179*H179*I179/J179,2)</f>
        <v>4875.35</v>
      </c>
      <c r="L179" s="12" t="n">
        <v>4875.35</v>
      </c>
      <c r="M179" s="12" t="n">
        <f aca="false">L179-K179</f>
        <v>0</v>
      </c>
      <c r="N179" s="3" t="s">
        <v>51</v>
      </c>
      <c r="O179" s="3" t="s">
        <v>52</v>
      </c>
    </row>
    <row r="180" customFormat="false" ht="15" hidden="false" customHeight="false" outlineLevel="0" collapsed="false">
      <c r="A180" s="14" t="s">
        <v>2294</v>
      </c>
      <c r="B180" s="14" t="s">
        <v>2441</v>
      </c>
      <c r="C180" s="14" t="s">
        <v>435</v>
      </c>
      <c r="D180" s="14" t="s">
        <v>1806</v>
      </c>
      <c r="E180" s="14" t="s">
        <v>56</v>
      </c>
      <c r="F180" s="15" t="n">
        <v>860000</v>
      </c>
      <c r="G180" s="16" t="n">
        <v>0.65</v>
      </c>
      <c r="H180" s="16" t="n">
        <v>1.13</v>
      </c>
      <c r="I180" s="16" t="n">
        <v>0.8972</v>
      </c>
      <c r="J180" s="16" t="n">
        <v>0.53</v>
      </c>
      <c r="K180" s="15" t="n">
        <f aca="false">ROUND(F180/100*G180*H180*I180/J180,2)</f>
        <v>10693.1</v>
      </c>
      <c r="L180" s="15" t="n">
        <v>10693.1</v>
      </c>
      <c r="M180" s="15" t="n">
        <f aca="false">L180-K180</f>
        <v>0</v>
      </c>
      <c r="N180" s="14" t="s">
        <v>51</v>
      </c>
      <c r="O180" s="14" t="s">
        <v>52</v>
      </c>
    </row>
    <row r="181" customFormat="false" ht="15" hidden="false" customHeight="false" outlineLevel="0" collapsed="false">
      <c r="A181" s="3" t="s">
        <v>2246</v>
      </c>
      <c r="B181" s="3" t="s">
        <v>2442</v>
      </c>
      <c r="C181" s="3" t="s">
        <v>77</v>
      </c>
      <c r="D181" s="3" t="s">
        <v>2443</v>
      </c>
      <c r="E181" s="3" t="s">
        <v>157</v>
      </c>
      <c r="F181" s="12" t="n">
        <v>605000</v>
      </c>
      <c r="G181" s="13" t="n">
        <v>0.78</v>
      </c>
      <c r="H181" s="13" t="n">
        <v>1.42</v>
      </c>
      <c r="I181" s="13" t="n">
        <v>0.8972</v>
      </c>
      <c r="J181" s="13" t="n">
        <v>0.53</v>
      </c>
      <c r="K181" s="12" t="n">
        <f aca="false">ROUND(F181/100*G181*H181*I181/J181,2)</f>
        <v>11343.62</v>
      </c>
      <c r="L181" s="12" t="n">
        <v>11343.62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2278</v>
      </c>
      <c r="B182" s="14" t="s">
        <v>2444</v>
      </c>
      <c r="C182" s="14" t="s">
        <v>108</v>
      </c>
      <c r="D182" s="14" t="s">
        <v>2445</v>
      </c>
      <c r="E182" s="14" t="s">
        <v>50</v>
      </c>
      <c r="F182" s="15" t="n">
        <v>1075000</v>
      </c>
      <c r="G182" s="16" t="n">
        <v>0.8</v>
      </c>
      <c r="H182" s="16" t="n">
        <v>0.93</v>
      </c>
      <c r="I182" s="16" t="n">
        <v>0.8972</v>
      </c>
      <c r="J182" s="16" t="n">
        <v>0.53</v>
      </c>
      <c r="K182" s="15" t="n">
        <f aca="false">ROUND(F182/100*G182*H182*I182/J182,2)</f>
        <v>13539.26</v>
      </c>
      <c r="L182" s="15" t="n">
        <v>13539.26</v>
      </c>
      <c r="M182" s="15" t="n">
        <f aca="false">L182-K182</f>
        <v>0</v>
      </c>
      <c r="N182" s="14" t="s">
        <v>51</v>
      </c>
      <c r="O182" s="14" t="s">
        <v>52</v>
      </c>
    </row>
    <row r="183" customFormat="false" ht="15" hidden="false" customHeight="false" outlineLevel="0" collapsed="false">
      <c r="A183" s="3" t="s">
        <v>2185</v>
      </c>
      <c r="B183" s="3" t="s">
        <v>2446</v>
      </c>
      <c r="C183" s="3" t="s">
        <v>887</v>
      </c>
      <c r="D183" s="3" t="s">
        <v>60</v>
      </c>
      <c r="E183" s="3" t="s">
        <v>56</v>
      </c>
      <c r="F183" s="12" t="n">
        <v>290000</v>
      </c>
      <c r="G183" s="13" t="n">
        <v>0.75</v>
      </c>
      <c r="H183" s="13" t="n">
        <v>1.37</v>
      </c>
      <c r="I183" s="13" t="n">
        <v>0.8972</v>
      </c>
      <c r="J183" s="13" t="n">
        <v>0.53</v>
      </c>
      <c r="K183" s="12" t="n">
        <f aca="false">ROUND(F183/100*G183*H183*I183/J183,2)</f>
        <v>5044.21</v>
      </c>
      <c r="L183" s="12" t="n">
        <v>5044.21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2222</v>
      </c>
      <c r="B184" s="14" t="s">
        <v>2447</v>
      </c>
      <c r="C184" s="14" t="s">
        <v>892</v>
      </c>
      <c r="D184" s="14" t="s">
        <v>628</v>
      </c>
      <c r="E184" s="14" t="s">
        <v>56</v>
      </c>
      <c r="F184" s="15" t="n">
        <v>780000</v>
      </c>
      <c r="G184" s="16" t="n">
        <v>0.65</v>
      </c>
      <c r="H184" s="16" t="n">
        <v>1.08</v>
      </c>
      <c r="I184" s="16" t="n">
        <v>0.8972</v>
      </c>
      <c r="J184" s="16" t="n">
        <v>0.53</v>
      </c>
      <c r="K184" s="15" t="n">
        <f aca="false">ROUND(F184/100*G184*H184*I184/J184,2)</f>
        <v>9269.26</v>
      </c>
      <c r="L184" s="15" t="n">
        <v>9269.26</v>
      </c>
      <c r="M184" s="15" t="n">
        <f aca="false">L184-K184</f>
        <v>0</v>
      </c>
      <c r="N184" s="14" t="s">
        <v>70</v>
      </c>
      <c r="O184" s="14" t="s">
        <v>52</v>
      </c>
    </row>
    <row r="185" customFormat="false" ht="15" hidden="false" customHeight="false" outlineLevel="0" collapsed="false">
      <c r="A185" s="3" t="s">
        <v>2294</v>
      </c>
      <c r="B185" s="3" t="s">
        <v>2448</v>
      </c>
      <c r="C185" s="3" t="s">
        <v>159</v>
      </c>
      <c r="D185" s="3" t="s">
        <v>1089</v>
      </c>
      <c r="E185" s="3" t="s">
        <v>74</v>
      </c>
      <c r="F185" s="12" t="n">
        <v>1950000</v>
      </c>
      <c r="G185" s="13" t="n">
        <v>0.38</v>
      </c>
      <c r="H185" s="13" t="n">
        <v>1.15</v>
      </c>
      <c r="I185" s="13" t="n">
        <v>0.8972</v>
      </c>
      <c r="J185" s="13" t="n">
        <v>0.53</v>
      </c>
      <c r="K185" s="12" t="n">
        <f aca="false">ROUND(F185/100*G185*H185*I185/J185,2)</f>
        <v>14425.45</v>
      </c>
      <c r="L185" s="12" t="n">
        <v>14425.45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2374</v>
      </c>
      <c r="B186" s="14" t="s">
        <v>2449</v>
      </c>
      <c r="C186" s="14" t="s">
        <v>89</v>
      </c>
      <c r="D186" s="14" t="s">
        <v>331</v>
      </c>
      <c r="E186" s="14" t="s">
        <v>56</v>
      </c>
      <c r="F186" s="15" t="n">
        <v>1385000</v>
      </c>
      <c r="G186" s="16" t="n">
        <v>0.55</v>
      </c>
      <c r="H186" s="16" t="n">
        <v>1.35</v>
      </c>
      <c r="I186" s="16" t="n">
        <v>0.8972</v>
      </c>
      <c r="J186" s="16" t="n">
        <v>0.53</v>
      </c>
      <c r="K186" s="15" t="n">
        <f aca="false">ROUND(F186/100*G186*H186*I186/J186,2)</f>
        <v>17408.43</v>
      </c>
      <c r="L186" s="15" t="n">
        <v>17408.43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2187</v>
      </c>
      <c r="B187" s="3" t="s">
        <v>2450</v>
      </c>
      <c r="C187" s="3" t="s">
        <v>224</v>
      </c>
      <c r="D187" s="3" t="s">
        <v>511</v>
      </c>
      <c r="E187" s="3" t="s">
        <v>56</v>
      </c>
      <c r="F187" s="12" t="n">
        <v>335000</v>
      </c>
      <c r="G187" s="13" t="n">
        <v>0.75</v>
      </c>
      <c r="H187" s="13" t="n">
        <v>1.1</v>
      </c>
      <c r="I187" s="13" t="n">
        <v>0.8972</v>
      </c>
      <c r="J187" s="13" t="n">
        <v>0.53</v>
      </c>
      <c r="K187" s="12" t="n">
        <f aca="false">ROUND(F187/100*G187*H187*I187/J187,2)</f>
        <v>4678.56</v>
      </c>
      <c r="L187" s="12" t="n">
        <v>4678.56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2210</v>
      </c>
      <c r="B188" s="14" t="s">
        <v>2451</v>
      </c>
      <c r="C188" s="14" t="s">
        <v>48</v>
      </c>
      <c r="D188" s="14" t="s">
        <v>256</v>
      </c>
      <c r="E188" s="14" t="s">
        <v>56</v>
      </c>
      <c r="F188" s="15" t="n">
        <v>520000</v>
      </c>
      <c r="G188" s="16" t="n">
        <v>0.65</v>
      </c>
      <c r="H188" s="16" t="n">
        <v>1.28</v>
      </c>
      <c r="I188" s="16" t="n">
        <v>0.8972</v>
      </c>
      <c r="J188" s="16" t="n">
        <v>0.53</v>
      </c>
      <c r="K188" s="15" t="n">
        <f aca="false">ROUND(F188/100*G188*H188*I188/J188,2)</f>
        <v>7323.86</v>
      </c>
      <c r="L188" s="15" t="n">
        <v>7323.86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2246</v>
      </c>
      <c r="B189" s="3" t="s">
        <v>2452</v>
      </c>
      <c r="C189" s="3" t="s">
        <v>159</v>
      </c>
      <c r="D189" s="3" t="s">
        <v>364</v>
      </c>
      <c r="E189" s="3" t="s">
        <v>56</v>
      </c>
      <c r="F189" s="12" t="n">
        <v>530000</v>
      </c>
      <c r="G189" s="13" t="n">
        <v>0.65</v>
      </c>
      <c r="H189" s="13" t="n">
        <v>1.15</v>
      </c>
      <c r="I189" s="13" t="n">
        <v>0.8972</v>
      </c>
      <c r="J189" s="13" t="n">
        <v>0.53</v>
      </c>
      <c r="K189" s="12" t="n">
        <f aca="false">ROUND(F189/100*G189*H189*I189/J189,2)</f>
        <v>6706.57</v>
      </c>
      <c r="L189" s="12" t="n">
        <v>6706.57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2200</v>
      </c>
      <c r="B190" s="14" t="s">
        <v>2453</v>
      </c>
      <c r="C190" s="14" t="s">
        <v>224</v>
      </c>
      <c r="D190" s="14" t="s">
        <v>1589</v>
      </c>
      <c r="E190" s="14" t="s">
        <v>74</v>
      </c>
      <c r="F190" s="15" t="n">
        <v>610000</v>
      </c>
      <c r="G190" s="16" t="n">
        <v>0.43</v>
      </c>
      <c r="H190" s="16" t="n">
        <v>1.1</v>
      </c>
      <c r="I190" s="16" t="n">
        <v>0.8972</v>
      </c>
      <c r="J190" s="16" t="n">
        <v>0.53</v>
      </c>
      <c r="K190" s="15" t="n">
        <f aca="false">ROUND(F190/100*G190*H190*I190/J190,2)</f>
        <v>4884.32</v>
      </c>
      <c r="L190" s="15" t="n">
        <v>4884.32</v>
      </c>
      <c r="M190" s="15" t="n">
        <f aca="false">L190-K190</f>
        <v>0</v>
      </c>
      <c r="N190" s="14" t="s">
        <v>70</v>
      </c>
      <c r="O190" s="14" t="s">
        <v>52</v>
      </c>
    </row>
    <row r="191" customFormat="false" ht="15" hidden="false" customHeight="false" outlineLevel="0" collapsed="false">
      <c r="A191" s="3" t="s">
        <v>2170</v>
      </c>
      <c r="B191" s="3" t="s">
        <v>2454</v>
      </c>
      <c r="C191" s="3" t="s">
        <v>77</v>
      </c>
      <c r="D191" s="3" t="s">
        <v>2455</v>
      </c>
      <c r="E191" s="3" t="s">
        <v>56</v>
      </c>
      <c r="F191" s="12" t="n">
        <v>620000</v>
      </c>
      <c r="G191" s="13" t="n">
        <v>0.65</v>
      </c>
      <c r="H191" s="13" t="n">
        <v>1.42</v>
      </c>
      <c r="I191" s="13" t="n">
        <v>0.8972</v>
      </c>
      <c r="J191" s="13" t="n">
        <v>0.53</v>
      </c>
      <c r="K191" s="12" t="n">
        <f aca="false">ROUND(F191/100*G191*H191*I191/J191,2)</f>
        <v>9687.39</v>
      </c>
      <c r="L191" s="12" t="n">
        <v>9687.39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2172</v>
      </c>
      <c r="B192" s="14" t="s">
        <v>2456</v>
      </c>
      <c r="C192" s="14" t="s">
        <v>89</v>
      </c>
      <c r="D192" s="14" t="s">
        <v>2457</v>
      </c>
      <c r="E192" s="14" t="s">
        <v>157</v>
      </c>
      <c r="F192" s="15" t="n">
        <v>560000</v>
      </c>
      <c r="G192" s="16" t="n">
        <v>0.78</v>
      </c>
      <c r="H192" s="16" t="n">
        <v>1.35</v>
      </c>
      <c r="I192" s="16" t="n">
        <v>0.8972</v>
      </c>
      <c r="J192" s="16" t="n">
        <v>0.53</v>
      </c>
      <c r="K192" s="15" t="n">
        <f aca="false">ROUND(F192/100*G192*H192*I192/J192,2)</f>
        <v>9982.28</v>
      </c>
      <c r="L192" s="15" t="n">
        <v>9982.28</v>
      </c>
      <c r="M192" s="15" t="n">
        <f aca="false">L192-K192</f>
        <v>0</v>
      </c>
      <c r="N192" s="14" t="s">
        <v>70</v>
      </c>
      <c r="O192" s="14" t="s">
        <v>52</v>
      </c>
    </row>
    <row r="193" customFormat="false" ht="15" hidden="false" customHeight="false" outlineLevel="0" collapsed="false">
      <c r="A193" s="3" t="s">
        <v>2436</v>
      </c>
      <c r="B193" s="3" t="s">
        <v>2458</v>
      </c>
      <c r="C193" s="3" t="s">
        <v>64</v>
      </c>
      <c r="D193" s="3" t="s">
        <v>662</v>
      </c>
      <c r="E193" s="3" t="s">
        <v>56</v>
      </c>
      <c r="F193" s="12" t="n">
        <v>555000</v>
      </c>
      <c r="G193" s="13" t="n">
        <v>0.65</v>
      </c>
      <c r="H193" s="13" t="n">
        <v>1.17</v>
      </c>
      <c r="I193" s="13" t="n">
        <v>0.8972</v>
      </c>
      <c r="J193" s="13" t="n">
        <v>0.53</v>
      </c>
      <c r="K193" s="12" t="n">
        <f aca="false">ROUND(F193/100*G193*H193*I193/J193,2)</f>
        <v>7145.06</v>
      </c>
      <c r="L193" s="12" t="n">
        <v>7145.06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2219</v>
      </c>
      <c r="B194" s="14" t="s">
        <v>2459</v>
      </c>
      <c r="C194" s="14" t="s">
        <v>77</v>
      </c>
      <c r="D194" s="14" t="s">
        <v>1033</v>
      </c>
      <c r="E194" s="14" t="s">
        <v>56</v>
      </c>
      <c r="F194" s="15" t="n">
        <v>985000</v>
      </c>
      <c r="G194" s="16" t="n">
        <v>0.65</v>
      </c>
      <c r="H194" s="16" t="n">
        <v>1.42</v>
      </c>
      <c r="I194" s="16" t="n">
        <v>0.8972</v>
      </c>
      <c r="J194" s="16" t="n">
        <v>0.53</v>
      </c>
      <c r="K194" s="15" t="n">
        <f aca="false">ROUND(F194/100*G194*H194*I194/J194,2)</f>
        <v>15390.45</v>
      </c>
      <c r="L194" s="15" t="n">
        <v>15390.45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2294</v>
      </c>
      <c r="B195" s="3" t="s">
        <v>2460</v>
      </c>
      <c r="C195" s="3" t="s">
        <v>89</v>
      </c>
      <c r="D195" s="3" t="s">
        <v>2461</v>
      </c>
      <c r="E195" s="3" t="s">
        <v>133</v>
      </c>
      <c r="F195" s="12" t="n">
        <v>860000</v>
      </c>
      <c r="G195" s="13" t="n">
        <v>0.38</v>
      </c>
      <c r="H195" s="13" t="n">
        <v>1.35</v>
      </c>
      <c r="I195" s="13" t="n">
        <v>0.8972</v>
      </c>
      <c r="J195" s="13" t="n">
        <v>0.53</v>
      </c>
      <c r="K195" s="12" t="n">
        <f aca="false">ROUND(F195/100*G195*H195*I195/J195,2)</f>
        <v>7468.43</v>
      </c>
      <c r="L195" s="12" t="n">
        <v>7468.43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2374</v>
      </c>
      <c r="B196" s="14" t="s">
        <v>2462</v>
      </c>
      <c r="C196" s="14" t="s">
        <v>417</v>
      </c>
      <c r="D196" s="14" t="s">
        <v>1152</v>
      </c>
      <c r="E196" s="14" t="s">
        <v>50</v>
      </c>
      <c r="F196" s="15" t="n">
        <v>435000</v>
      </c>
      <c r="G196" s="16" t="n">
        <v>1.15</v>
      </c>
      <c r="H196" s="16" t="n">
        <v>1.24</v>
      </c>
      <c r="I196" s="16" t="n">
        <v>0.8972</v>
      </c>
      <c r="J196" s="16" t="n">
        <v>0.53</v>
      </c>
      <c r="K196" s="15" t="n">
        <f aca="false">ROUND(F196/100*G196*H196*I196/J196,2)</f>
        <v>10500.79</v>
      </c>
      <c r="L196" s="15" t="n">
        <v>10500.79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2179</v>
      </c>
      <c r="B197" s="3" t="s">
        <v>2463</v>
      </c>
      <c r="C197" s="3" t="s">
        <v>217</v>
      </c>
      <c r="D197" s="3" t="s">
        <v>1722</v>
      </c>
      <c r="E197" s="3" t="s">
        <v>56</v>
      </c>
      <c r="F197" s="12" t="n">
        <v>645000</v>
      </c>
      <c r="G197" s="13" t="n">
        <v>0.65</v>
      </c>
      <c r="H197" s="13" t="n">
        <v>1.3</v>
      </c>
      <c r="I197" s="13" t="n">
        <v>0.8972</v>
      </c>
      <c r="J197" s="13" t="n">
        <v>0.53</v>
      </c>
      <c r="K197" s="12" t="n">
        <f aca="false">ROUND(F197/100*G197*H197*I197/J197,2)</f>
        <v>9226.35</v>
      </c>
      <c r="L197" s="12" t="n">
        <v>9226.35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2193</v>
      </c>
      <c r="B198" s="14" t="s">
        <v>2464</v>
      </c>
      <c r="C198" s="14" t="s">
        <v>159</v>
      </c>
      <c r="D198" s="14" t="s">
        <v>2465</v>
      </c>
      <c r="E198" s="14" t="s">
        <v>157</v>
      </c>
      <c r="F198" s="15" t="n">
        <v>530000</v>
      </c>
      <c r="G198" s="16" t="n">
        <v>0.78</v>
      </c>
      <c r="H198" s="16" t="n">
        <v>1.15</v>
      </c>
      <c r="I198" s="16" t="n">
        <v>0.8972</v>
      </c>
      <c r="J198" s="16" t="n">
        <v>0.53</v>
      </c>
      <c r="K198" s="15" t="n">
        <f aca="false">ROUND(F198/100*G198*H198*I198/J198,2)</f>
        <v>8047.88</v>
      </c>
      <c r="L198" s="15" t="n">
        <v>8047.88</v>
      </c>
      <c r="M198" s="15" t="n">
        <f aca="false">L198-K198</f>
        <v>0</v>
      </c>
      <c r="N198" s="14" t="s">
        <v>70</v>
      </c>
      <c r="O198" s="14" t="s">
        <v>52</v>
      </c>
    </row>
    <row r="199" customFormat="false" ht="15" hidden="false" customHeight="false" outlineLevel="0" collapsed="false">
      <c r="A199" s="3" t="s">
        <v>2341</v>
      </c>
      <c r="B199" s="3" t="s">
        <v>2466</v>
      </c>
      <c r="C199" s="3" t="s">
        <v>275</v>
      </c>
      <c r="D199" s="3" t="s">
        <v>636</v>
      </c>
      <c r="E199" s="3" t="s">
        <v>157</v>
      </c>
      <c r="F199" s="12" t="n">
        <v>780000</v>
      </c>
      <c r="G199" s="13" t="n">
        <v>0.78</v>
      </c>
      <c r="H199" s="13" t="n">
        <v>1.19</v>
      </c>
      <c r="I199" s="13" t="n">
        <v>0.8972</v>
      </c>
      <c r="J199" s="13" t="n">
        <v>0.53</v>
      </c>
      <c r="K199" s="12" t="n">
        <f aca="false">ROUND(F199/100*G199*H199*I199/J199,2)</f>
        <v>12256.02</v>
      </c>
      <c r="L199" s="12" t="n">
        <v>12256.02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2251</v>
      </c>
      <c r="B200" s="14" t="s">
        <v>2467</v>
      </c>
      <c r="C200" s="14" t="s">
        <v>237</v>
      </c>
      <c r="D200" s="14" t="s">
        <v>1076</v>
      </c>
      <c r="E200" s="14" t="s">
        <v>56</v>
      </c>
      <c r="F200" s="15" t="n">
        <v>945000</v>
      </c>
      <c r="G200" s="16" t="n">
        <v>0.65</v>
      </c>
      <c r="H200" s="16" t="n">
        <v>1.33</v>
      </c>
      <c r="I200" s="16" t="n">
        <v>0.8972</v>
      </c>
      <c r="J200" s="16" t="n">
        <v>0.53</v>
      </c>
      <c r="K200" s="15" t="n">
        <f aca="false">ROUND(F200/100*G200*H200*I200/J200,2)</f>
        <v>13829.62</v>
      </c>
      <c r="L200" s="15" t="n">
        <v>13829.62</v>
      </c>
      <c r="M200" s="15" t="n">
        <f aca="false">L200-K200</f>
        <v>0</v>
      </c>
      <c r="N200" s="14" t="s">
        <v>70</v>
      </c>
      <c r="O200" s="14" t="s">
        <v>52</v>
      </c>
    </row>
    <row r="201" customFormat="false" ht="15" hidden="false" customHeight="false" outlineLevel="0" collapsed="false">
      <c r="A201" s="3" t="s">
        <v>2177</v>
      </c>
      <c r="B201" s="3" t="s">
        <v>2468</v>
      </c>
      <c r="C201" s="3" t="s">
        <v>142</v>
      </c>
      <c r="D201" s="3" t="s">
        <v>677</v>
      </c>
      <c r="E201" s="3" t="s">
        <v>50</v>
      </c>
      <c r="F201" s="12" t="n">
        <v>735000</v>
      </c>
      <c r="G201" s="13" t="n">
        <v>0.95</v>
      </c>
      <c r="H201" s="13" t="n">
        <v>1.22</v>
      </c>
      <c r="I201" s="13" t="n">
        <v>0.8972</v>
      </c>
      <c r="J201" s="13" t="n">
        <v>0.53</v>
      </c>
      <c r="K201" s="12" t="n">
        <f aca="false">ROUND(F201/100*G201*H201*I201/J201,2)</f>
        <v>14420.63</v>
      </c>
      <c r="L201" s="12" t="n">
        <v>14420.62</v>
      </c>
      <c r="M201" s="12" t="n">
        <f aca="false">L201-K201</f>
        <v>-0.00999999999839929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2294</v>
      </c>
      <c r="B202" s="14" t="s">
        <v>2469</v>
      </c>
      <c r="C202" s="14" t="s">
        <v>196</v>
      </c>
      <c r="D202" s="14" t="s">
        <v>2470</v>
      </c>
      <c r="E202" s="14" t="s">
        <v>50</v>
      </c>
      <c r="F202" s="15" t="n">
        <v>745000</v>
      </c>
      <c r="G202" s="16" t="n">
        <v>0.95</v>
      </c>
      <c r="H202" s="16" t="n">
        <v>1.04</v>
      </c>
      <c r="I202" s="16" t="n">
        <v>0.8972</v>
      </c>
      <c r="J202" s="16" t="n">
        <v>0.53</v>
      </c>
      <c r="K202" s="15" t="n">
        <f aca="false">ROUND(F202/100*G202*H202*I202/J202,2)</f>
        <v>12460.25</v>
      </c>
      <c r="L202" s="15" t="n">
        <v>12460.24</v>
      </c>
      <c r="M202" s="15" t="n">
        <f aca="false">L202-K202</f>
        <v>-0.0100000000002183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2185</v>
      </c>
      <c r="B203" s="3" t="s">
        <v>2471</v>
      </c>
      <c r="C203" s="3" t="s">
        <v>300</v>
      </c>
      <c r="D203" s="3" t="s">
        <v>1589</v>
      </c>
      <c r="E203" s="3" t="s">
        <v>74</v>
      </c>
      <c r="F203" s="12" t="n">
        <v>1950000</v>
      </c>
      <c r="G203" s="13" t="n">
        <v>0.38</v>
      </c>
      <c r="H203" s="13" t="n">
        <v>1.11</v>
      </c>
      <c r="I203" s="13" t="n">
        <v>0.8972</v>
      </c>
      <c r="J203" s="13" t="n">
        <v>0.53</v>
      </c>
      <c r="K203" s="12" t="n">
        <f aca="false">ROUND(F203/100*G203*H203*I203/J203,2)</f>
        <v>13923.7</v>
      </c>
      <c r="L203" s="12" t="n">
        <v>13923.7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2172</v>
      </c>
      <c r="B204" s="14" t="s">
        <v>2472</v>
      </c>
      <c r="C204" s="14" t="s">
        <v>136</v>
      </c>
      <c r="D204" s="14" t="s">
        <v>199</v>
      </c>
      <c r="E204" s="14" t="s">
        <v>56</v>
      </c>
      <c r="F204" s="15" t="n">
        <v>365000</v>
      </c>
      <c r="G204" s="16" t="n">
        <v>0.75</v>
      </c>
      <c r="H204" s="16" t="n">
        <v>1.32</v>
      </c>
      <c r="I204" s="16" t="n">
        <v>0.8972</v>
      </c>
      <c r="J204" s="16" t="n">
        <v>0.53</v>
      </c>
      <c r="K204" s="15" t="n">
        <f aca="false">ROUND(F204/100*G204*H204*I204/J204,2)</f>
        <v>6117.04</v>
      </c>
      <c r="L204" s="15" t="n">
        <v>6117.04</v>
      </c>
      <c r="M204" s="15" t="n">
        <f aca="false">L204-K204</f>
        <v>0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2181</v>
      </c>
      <c r="B205" s="3" t="s">
        <v>2473</v>
      </c>
      <c r="C205" s="3" t="s">
        <v>48</v>
      </c>
      <c r="D205" s="3" t="s">
        <v>2474</v>
      </c>
      <c r="E205" s="3" t="s">
        <v>133</v>
      </c>
      <c r="F205" s="12" t="n">
        <v>375000</v>
      </c>
      <c r="G205" s="13" t="n">
        <v>0.42</v>
      </c>
      <c r="H205" s="13" t="n">
        <v>1.28</v>
      </c>
      <c r="I205" s="13" t="n">
        <v>0.8972</v>
      </c>
      <c r="J205" s="13" t="n">
        <v>0.53</v>
      </c>
      <c r="K205" s="12" t="n">
        <f aca="false">ROUND(F205/100*G205*H205*I205/J205,2)</f>
        <v>3412.75</v>
      </c>
      <c r="L205" s="12" t="n">
        <v>3412.74</v>
      </c>
      <c r="M205" s="12" t="n">
        <f aca="false">L205-K205</f>
        <v>-0.0100000000002183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2222</v>
      </c>
      <c r="B206" s="14" t="s">
        <v>2475</v>
      </c>
      <c r="C206" s="14" t="s">
        <v>300</v>
      </c>
      <c r="D206" s="14" t="s">
        <v>780</v>
      </c>
      <c r="E206" s="14" t="s">
        <v>56</v>
      </c>
      <c r="F206" s="15" t="n">
        <v>1320000</v>
      </c>
      <c r="G206" s="16" t="n">
        <v>0.55</v>
      </c>
      <c r="H206" s="16" t="n">
        <v>1.11</v>
      </c>
      <c r="I206" s="16" t="n">
        <v>0.8972</v>
      </c>
      <c r="J206" s="16" t="n">
        <v>0.53</v>
      </c>
      <c r="K206" s="15" t="n">
        <f aca="false">ROUND(F206/100*G206*H206*I206/J206,2)</f>
        <v>13641.84</v>
      </c>
      <c r="L206" s="15" t="n">
        <v>13641.85</v>
      </c>
      <c r="M206" s="15" t="n">
        <f aca="false">L206-K206</f>
        <v>0.0100000000002183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2230</v>
      </c>
      <c r="B207" s="3" t="s">
        <v>2476</v>
      </c>
      <c r="C207" s="3" t="s">
        <v>159</v>
      </c>
      <c r="D207" s="3" t="s">
        <v>741</v>
      </c>
      <c r="E207" s="3" t="s">
        <v>56</v>
      </c>
      <c r="F207" s="12" t="n">
        <v>550000</v>
      </c>
      <c r="G207" s="13" t="n">
        <v>0.65</v>
      </c>
      <c r="H207" s="13" t="n">
        <v>1.15</v>
      </c>
      <c r="I207" s="13" t="n">
        <v>0.8972</v>
      </c>
      <c r="J207" s="13" t="n">
        <v>0.53</v>
      </c>
      <c r="K207" s="12" t="n">
        <f aca="false">ROUND(F207/100*G207*H207*I207/J207,2)</f>
        <v>6959.65</v>
      </c>
      <c r="L207" s="12" t="n">
        <v>6959.65</v>
      </c>
      <c r="M207" s="12" t="n">
        <f aca="false">L207-K207</f>
        <v>0</v>
      </c>
      <c r="N207" s="3" t="s">
        <v>70</v>
      </c>
      <c r="O207" s="3" t="s">
        <v>52</v>
      </c>
    </row>
    <row r="208" customFormat="false" ht="15" hidden="false" customHeight="false" outlineLevel="0" collapsed="false">
      <c r="A208" s="14" t="s">
        <v>2210</v>
      </c>
      <c r="B208" s="14" t="s">
        <v>2477</v>
      </c>
      <c r="C208" s="14" t="s">
        <v>224</v>
      </c>
      <c r="D208" s="14" t="s">
        <v>1747</v>
      </c>
      <c r="E208" s="14" t="s">
        <v>74</v>
      </c>
      <c r="F208" s="15" t="n">
        <v>610000</v>
      </c>
      <c r="G208" s="16" t="n">
        <v>0.43</v>
      </c>
      <c r="H208" s="16" t="n">
        <v>1.1</v>
      </c>
      <c r="I208" s="16" t="n">
        <v>0.8972</v>
      </c>
      <c r="J208" s="16" t="n">
        <v>0.53</v>
      </c>
      <c r="K208" s="15" t="n">
        <f aca="false">ROUND(F208/100*G208*H208*I208/J208,2)</f>
        <v>4884.32</v>
      </c>
      <c r="L208" s="15" t="n">
        <v>4884.32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2436</v>
      </c>
      <c r="B209" s="3" t="s">
        <v>2478</v>
      </c>
      <c r="C209" s="3" t="s">
        <v>174</v>
      </c>
      <c r="D209" s="3" t="s">
        <v>1178</v>
      </c>
      <c r="E209" s="3" t="s">
        <v>56</v>
      </c>
      <c r="F209" s="12" t="n">
        <v>260000</v>
      </c>
      <c r="G209" s="13" t="n">
        <v>0.75</v>
      </c>
      <c r="H209" s="13" t="n">
        <v>1.55</v>
      </c>
      <c r="I209" s="13" t="n">
        <v>0.8972</v>
      </c>
      <c r="J209" s="13" t="n">
        <v>0.53</v>
      </c>
      <c r="K209" s="12" t="n">
        <f aca="false">ROUND(F209/100*G209*H209*I209/J209,2)</f>
        <v>5116.58</v>
      </c>
      <c r="L209" s="12" t="n">
        <v>5116.58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2183</v>
      </c>
      <c r="B210" s="14" t="s">
        <v>2479</v>
      </c>
      <c r="C210" s="14" t="s">
        <v>117</v>
      </c>
      <c r="D210" s="14" t="s">
        <v>521</v>
      </c>
      <c r="E210" s="14" t="s">
        <v>50</v>
      </c>
      <c r="F210" s="15" t="n">
        <v>905000</v>
      </c>
      <c r="G210" s="16" t="n">
        <v>0.95</v>
      </c>
      <c r="H210" s="16" t="n">
        <v>0.91</v>
      </c>
      <c r="I210" s="16" t="n">
        <v>0.8972</v>
      </c>
      <c r="J210" s="16" t="n">
        <v>0.53</v>
      </c>
      <c r="K210" s="15" t="n">
        <f aca="false">ROUND(F210/100*G210*H210*I210/J210,2)</f>
        <v>13244.24</v>
      </c>
      <c r="L210" s="15" t="n">
        <v>13244.24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2251</v>
      </c>
      <c r="B211" s="3" t="s">
        <v>2480</v>
      </c>
      <c r="C211" s="3" t="s">
        <v>89</v>
      </c>
      <c r="D211" s="3" t="s">
        <v>933</v>
      </c>
      <c r="E211" s="3" t="s">
        <v>56</v>
      </c>
      <c r="F211" s="12" t="n">
        <v>230000</v>
      </c>
      <c r="G211" s="13" t="n">
        <v>0.92</v>
      </c>
      <c r="H211" s="13" t="n">
        <v>1.35</v>
      </c>
      <c r="I211" s="13" t="n">
        <v>0.8972</v>
      </c>
      <c r="J211" s="13" t="n">
        <v>0.53</v>
      </c>
      <c r="K211" s="12" t="n">
        <f aca="false">ROUND(F211/100*G211*H211*I211/J211,2)</f>
        <v>4835.74</v>
      </c>
      <c r="L211" s="12" t="n">
        <v>4835.74</v>
      </c>
      <c r="M211" s="12" t="n">
        <f aca="false">L211-K211</f>
        <v>0</v>
      </c>
      <c r="N211" s="3" t="s">
        <v>51</v>
      </c>
      <c r="O211" s="3" t="s">
        <v>52</v>
      </c>
    </row>
    <row r="212" customFormat="false" ht="15" hidden="false" customHeight="false" outlineLevel="0" collapsed="false">
      <c r="A212" s="14" t="s">
        <v>2248</v>
      </c>
      <c r="B212" s="14" t="s">
        <v>2481</v>
      </c>
      <c r="C212" s="14" t="s">
        <v>93</v>
      </c>
      <c r="D212" s="14" t="s">
        <v>2443</v>
      </c>
      <c r="E212" s="14" t="s">
        <v>157</v>
      </c>
      <c r="F212" s="15" t="n">
        <v>470000</v>
      </c>
      <c r="G212" s="16" t="n">
        <v>0.88</v>
      </c>
      <c r="H212" s="16" t="n">
        <v>1.39</v>
      </c>
      <c r="I212" s="16" t="n">
        <v>0.8972</v>
      </c>
      <c r="J212" s="16" t="n">
        <v>0.53</v>
      </c>
      <c r="K212" s="15" t="n">
        <f aca="false">ROUND(F212/100*G212*H212*I212/J212,2)</f>
        <v>9732.15</v>
      </c>
      <c r="L212" s="15" t="n">
        <v>9732.15</v>
      </c>
      <c r="M212" s="15" t="n">
        <f aca="false">L212-K212</f>
        <v>0</v>
      </c>
      <c r="N212" s="14" t="s">
        <v>51</v>
      </c>
      <c r="O212" s="14" t="s">
        <v>52</v>
      </c>
    </row>
    <row r="213" customFormat="false" ht="15" hidden="false" customHeight="false" outlineLevel="0" collapsed="false">
      <c r="A213" s="3" t="s">
        <v>2230</v>
      </c>
      <c r="B213" s="3" t="s">
        <v>2482</v>
      </c>
      <c r="C213" s="3" t="s">
        <v>93</v>
      </c>
      <c r="D213" s="3" t="s">
        <v>2483</v>
      </c>
      <c r="E213" s="3" t="s">
        <v>56</v>
      </c>
      <c r="F213" s="12" t="n">
        <v>365000</v>
      </c>
      <c r="G213" s="13" t="n">
        <v>0.75</v>
      </c>
      <c r="H213" s="13" t="n">
        <v>1.39</v>
      </c>
      <c r="I213" s="13" t="n">
        <v>0.8972</v>
      </c>
      <c r="J213" s="13" t="n">
        <v>0.53</v>
      </c>
      <c r="K213" s="12" t="n">
        <f aca="false">ROUND(F213/100*G213*H213*I213/J213,2)</f>
        <v>6441.43</v>
      </c>
      <c r="L213" s="12" t="n">
        <v>6441.43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2226</v>
      </c>
      <c r="B214" s="14" t="s">
        <v>2484</v>
      </c>
      <c r="C214" s="14" t="s">
        <v>89</v>
      </c>
      <c r="D214" s="14" t="s">
        <v>937</v>
      </c>
      <c r="E214" s="14" t="s">
        <v>56</v>
      </c>
      <c r="F214" s="15" t="n">
        <v>825000</v>
      </c>
      <c r="G214" s="16" t="n">
        <v>0.65</v>
      </c>
      <c r="H214" s="16" t="n">
        <v>1.35</v>
      </c>
      <c r="I214" s="16" t="n">
        <v>0.8972</v>
      </c>
      <c r="J214" s="16" t="n">
        <v>0.53</v>
      </c>
      <c r="K214" s="15" t="n">
        <f aca="false">ROUND(F214/100*G214*H214*I214/J214,2)</f>
        <v>12255.03</v>
      </c>
      <c r="L214" s="15" t="n">
        <v>12255.03</v>
      </c>
      <c r="M214" s="15" t="n">
        <f aca="false">L214-K214</f>
        <v>0</v>
      </c>
      <c r="N214" s="14" t="s">
        <v>61</v>
      </c>
      <c r="O214" s="14" t="s">
        <v>62</v>
      </c>
    </row>
    <row r="215" customFormat="false" ht="15" hidden="false" customHeight="false" outlineLevel="0" collapsed="false">
      <c r="A215" s="3" t="s">
        <v>2226</v>
      </c>
      <c r="B215" s="3" t="s">
        <v>2485</v>
      </c>
      <c r="C215" s="3" t="s">
        <v>120</v>
      </c>
      <c r="D215" s="3" t="s">
        <v>2486</v>
      </c>
      <c r="E215" s="3" t="s">
        <v>56</v>
      </c>
      <c r="F215" s="12" t="n">
        <v>390000</v>
      </c>
      <c r="G215" s="13" t="n">
        <v>0.75</v>
      </c>
      <c r="H215" s="13" t="n">
        <v>1.15</v>
      </c>
      <c r="I215" s="13" t="n">
        <v>0.8972</v>
      </c>
      <c r="J215" s="13" t="n">
        <v>0.53</v>
      </c>
      <c r="K215" s="12" t="n">
        <f aca="false">ROUND(F215/100*G215*H215*I215/J215,2)</f>
        <v>5694.26</v>
      </c>
      <c r="L215" s="12" t="n">
        <v>5694.26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2374</v>
      </c>
      <c r="B216" s="14" t="s">
        <v>2487</v>
      </c>
      <c r="C216" s="14" t="s">
        <v>159</v>
      </c>
      <c r="D216" s="14" t="s">
        <v>2488</v>
      </c>
      <c r="E216" s="14" t="s">
        <v>133</v>
      </c>
      <c r="F216" s="15" t="n">
        <v>650000</v>
      </c>
      <c r="G216" s="16" t="n">
        <v>0.38</v>
      </c>
      <c r="H216" s="16" t="n">
        <v>1.15</v>
      </c>
      <c r="I216" s="16" t="n">
        <v>0.8972</v>
      </c>
      <c r="J216" s="16" t="n">
        <v>0.53</v>
      </c>
      <c r="K216" s="15" t="n">
        <f aca="false">ROUND(F216/100*G216*H216*I216/J216,2)</f>
        <v>4808.48</v>
      </c>
      <c r="L216" s="15" t="n">
        <v>4808.48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2172</v>
      </c>
      <c r="B217" s="3" t="s">
        <v>2489</v>
      </c>
      <c r="C217" s="3" t="s">
        <v>169</v>
      </c>
      <c r="D217" s="3" t="s">
        <v>1449</v>
      </c>
      <c r="E217" s="3" t="s">
        <v>74</v>
      </c>
      <c r="F217" s="12" t="n">
        <v>1535000</v>
      </c>
      <c r="G217" s="13" t="n">
        <v>0.38</v>
      </c>
      <c r="H217" s="13" t="n">
        <v>1.07</v>
      </c>
      <c r="I217" s="13" t="n">
        <v>0.8972</v>
      </c>
      <c r="J217" s="13" t="n">
        <v>0.53</v>
      </c>
      <c r="K217" s="12" t="n">
        <f aca="false">ROUND(F217/100*G217*H217*I217/J217,2)</f>
        <v>10565.48</v>
      </c>
      <c r="L217" s="12" t="n">
        <v>10565.48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2294</v>
      </c>
      <c r="B218" s="14" t="s">
        <v>2490</v>
      </c>
      <c r="C218" s="14" t="s">
        <v>89</v>
      </c>
      <c r="D218" s="14" t="s">
        <v>689</v>
      </c>
      <c r="E218" s="14" t="s">
        <v>74</v>
      </c>
      <c r="F218" s="15" t="n">
        <v>445000</v>
      </c>
      <c r="G218" s="16" t="n">
        <v>0.48</v>
      </c>
      <c r="H218" s="16" t="n">
        <v>1.35</v>
      </c>
      <c r="I218" s="16" t="n">
        <v>0.8972</v>
      </c>
      <c r="J218" s="16" t="n">
        <v>0.53</v>
      </c>
      <c r="K218" s="15" t="n">
        <f aca="false">ROUND(F218/100*G218*H218*I218/J218,2)</f>
        <v>4881.45</v>
      </c>
      <c r="L218" s="15" t="n">
        <v>4881.44</v>
      </c>
      <c r="M218" s="15" t="n">
        <f aca="false">L218-K218</f>
        <v>-0.0100000000002183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2374</v>
      </c>
      <c r="B219" s="3" t="s">
        <v>2491</v>
      </c>
      <c r="C219" s="3" t="s">
        <v>105</v>
      </c>
      <c r="D219" s="3" t="s">
        <v>2492</v>
      </c>
      <c r="E219" s="3" t="s">
        <v>56</v>
      </c>
      <c r="F219" s="12" t="n">
        <v>320000</v>
      </c>
      <c r="G219" s="13" t="n">
        <v>0.75</v>
      </c>
      <c r="H219" s="13" t="n">
        <v>0.99</v>
      </c>
      <c r="I219" s="13" t="n">
        <v>0.8972</v>
      </c>
      <c r="J219" s="13" t="n">
        <v>0.53</v>
      </c>
      <c r="K219" s="12" t="n">
        <f aca="false">ROUND(F219/100*G219*H219*I219/J219,2)</f>
        <v>4022.16</v>
      </c>
      <c r="L219" s="12" t="n">
        <v>4022.17</v>
      </c>
      <c r="M219" s="12" t="n">
        <f aca="false">L219-K219</f>
        <v>0.0100000000002183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2284</v>
      </c>
      <c r="B220" s="14" t="s">
        <v>2493</v>
      </c>
      <c r="C220" s="14" t="s">
        <v>193</v>
      </c>
      <c r="D220" s="14" t="s">
        <v>283</v>
      </c>
      <c r="E220" s="14" t="s">
        <v>56</v>
      </c>
      <c r="F220" s="15" t="n">
        <v>675000</v>
      </c>
      <c r="G220" s="16" t="n">
        <v>0.65</v>
      </c>
      <c r="H220" s="16" t="n">
        <v>1.25</v>
      </c>
      <c r="I220" s="16" t="n">
        <v>0.8972</v>
      </c>
      <c r="J220" s="16" t="n">
        <v>0.53</v>
      </c>
      <c r="K220" s="15" t="n">
        <f aca="false">ROUND(F220/100*G220*H220*I220/J220,2)</f>
        <v>9284.12</v>
      </c>
      <c r="L220" s="15" t="n">
        <v>9284.12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2172</v>
      </c>
      <c r="B221" s="3" t="s">
        <v>2494</v>
      </c>
      <c r="C221" s="3" t="s">
        <v>188</v>
      </c>
      <c r="D221" s="3" t="s">
        <v>2366</v>
      </c>
      <c r="E221" s="3" t="s">
        <v>50</v>
      </c>
      <c r="F221" s="12" t="n">
        <v>985000</v>
      </c>
      <c r="G221" s="13" t="n">
        <v>0.95</v>
      </c>
      <c r="H221" s="13" t="n">
        <v>1.35</v>
      </c>
      <c r="I221" s="13" t="n">
        <v>0.8972</v>
      </c>
      <c r="J221" s="13" t="n">
        <v>0.53</v>
      </c>
      <c r="K221" s="12" t="n">
        <f aca="false">ROUND(F221/100*G221*H221*I221/J221,2)</f>
        <v>21384.89</v>
      </c>
      <c r="L221" s="12" t="n">
        <v>21384.89</v>
      </c>
      <c r="M221" s="12" t="n">
        <f aca="false">L221-K221</f>
        <v>0</v>
      </c>
      <c r="N221" s="3" t="s">
        <v>70</v>
      </c>
      <c r="O221" s="3" t="s">
        <v>52</v>
      </c>
    </row>
    <row r="222" customFormat="false" ht="15" hidden="false" customHeight="false" outlineLevel="0" collapsed="false">
      <c r="A222" s="14" t="s">
        <v>2284</v>
      </c>
      <c r="B222" s="14" t="s">
        <v>2495</v>
      </c>
      <c r="C222" s="14" t="s">
        <v>89</v>
      </c>
      <c r="D222" s="14" t="s">
        <v>2346</v>
      </c>
      <c r="E222" s="14" t="s">
        <v>50</v>
      </c>
      <c r="F222" s="15" t="n">
        <v>705000</v>
      </c>
      <c r="G222" s="16" t="n">
        <v>0.95</v>
      </c>
      <c r="H222" s="16" t="n">
        <v>1.35</v>
      </c>
      <c r="I222" s="16" t="n">
        <v>0.8972</v>
      </c>
      <c r="J222" s="16" t="n">
        <v>0.53</v>
      </c>
      <c r="K222" s="15" t="n">
        <f aca="false">ROUND(F222/100*G222*H222*I222/J222,2)</f>
        <v>15305.94</v>
      </c>
      <c r="L222" s="15" t="n">
        <v>15305.94</v>
      </c>
      <c r="M222" s="15" t="n">
        <f aca="false">L222-K222</f>
        <v>0</v>
      </c>
      <c r="N222" s="14" t="s">
        <v>51</v>
      </c>
      <c r="O222" s="14" t="s">
        <v>52</v>
      </c>
    </row>
    <row r="223" customFormat="false" ht="15" hidden="false" customHeight="false" outlineLevel="0" collapsed="false">
      <c r="A223" s="3" t="s">
        <v>2374</v>
      </c>
      <c r="B223" s="3" t="s">
        <v>2496</v>
      </c>
      <c r="C223" s="3" t="s">
        <v>136</v>
      </c>
      <c r="D223" s="3" t="s">
        <v>2346</v>
      </c>
      <c r="E223" s="3" t="s">
        <v>50</v>
      </c>
      <c r="F223" s="12" t="n">
        <v>795000</v>
      </c>
      <c r="G223" s="13" t="n">
        <v>0.95</v>
      </c>
      <c r="H223" s="13" t="n">
        <v>1.32</v>
      </c>
      <c r="I223" s="13" t="n">
        <v>0.8972</v>
      </c>
      <c r="J223" s="13" t="n">
        <v>0.53</v>
      </c>
      <c r="K223" s="12" t="n">
        <f aca="false">ROUND(F223/100*G223*H223*I223/J223,2)</f>
        <v>16876.33</v>
      </c>
      <c r="L223" s="12" t="n">
        <v>16876.33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2278</v>
      </c>
      <c r="B224" s="14" t="s">
        <v>2497</v>
      </c>
      <c r="C224" s="14" t="s">
        <v>142</v>
      </c>
      <c r="D224" s="14" t="s">
        <v>473</v>
      </c>
      <c r="E224" s="14" t="s">
        <v>56</v>
      </c>
      <c r="F224" s="15" t="n">
        <v>1090000</v>
      </c>
      <c r="G224" s="16" t="n">
        <v>0.55</v>
      </c>
      <c r="H224" s="16" t="n">
        <v>1.22</v>
      </c>
      <c r="I224" s="16" t="n">
        <v>0.8972</v>
      </c>
      <c r="J224" s="16" t="n">
        <v>0.53</v>
      </c>
      <c r="K224" s="15" t="n">
        <f aca="false">ROUND(F224/100*G224*H224*I224/J224,2)</f>
        <v>12381.19</v>
      </c>
      <c r="L224" s="15" t="n">
        <v>12381.19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2172</v>
      </c>
      <c r="B225" s="3" t="s">
        <v>2498</v>
      </c>
      <c r="C225" s="3" t="s">
        <v>142</v>
      </c>
      <c r="D225" s="3" t="s">
        <v>2499</v>
      </c>
      <c r="E225" s="3" t="s">
        <v>74</v>
      </c>
      <c r="F225" s="12" t="n">
        <v>1180000</v>
      </c>
      <c r="G225" s="13" t="n">
        <v>0.38</v>
      </c>
      <c r="H225" s="13" t="n">
        <v>1.22</v>
      </c>
      <c r="I225" s="13" t="n">
        <v>0.8972</v>
      </c>
      <c r="J225" s="13" t="n">
        <v>0.53</v>
      </c>
      <c r="K225" s="12" t="n">
        <f aca="false">ROUND(F225/100*G225*H225*I225/J225,2)</f>
        <v>9260.59</v>
      </c>
      <c r="L225" s="12" t="n">
        <v>9260.59</v>
      </c>
      <c r="M225" s="12" t="n">
        <f aca="false">L225-K225</f>
        <v>0</v>
      </c>
      <c r="N225" s="3" t="s">
        <v>51</v>
      </c>
      <c r="O225" s="3" t="s">
        <v>52</v>
      </c>
    </row>
    <row r="226" customFormat="false" ht="15" hidden="false" customHeight="false" outlineLevel="0" collapsed="false">
      <c r="A226" s="14" t="s">
        <v>2210</v>
      </c>
      <c r="B226" s="14" t="s">
        <v>2500</v>
      </c>
      <c r="C226" s="14" t="s">
        <v>305</v>
      </c>
      <c r="D226" s="14" t="s">
        <v>2260</v>
      </c>
      <c r="E226" s="14" t="s">
        <v>56</v>
      </c>
      <c r="F226" s="15" t="n">
        <v>460000</v>
      </c>
      <c r="G226" s="16" t="n">
        <v>0.75</v>
      </c>
      <c r="H226" s="16" t="n">
        <v>1.12</v>
      </c>
      <c r="I226" s="16" t="n">
        <v>0.8972</v>
      </c>
      <c r="J226" s="16" t="n">
        <v>0.53</v>
      </c>
      <c r="K226" s="15" t="n">
        <f aca="false">ROUND(F226/100*G226*H226*I226/J226,2)</f>
        <v>6541.1</v>
      </c>
      <c r="L226" s="15" t="n">
        <v>6541.1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2278</v>
      </c>
      <c r="B227" s="3" t="s">
        <v>2501</v>
      </c>
      <c r="C227" s="3" t="s">
        <v>887</v>
      </c>
      <c r="D227" s="3" t="s">
        <v>1909</v>
      </c>
      <c r="E227" s="3" t="s">
        <v>56</v>
      </c>
      <c r="F227" s="12" t="n">
        <v>1645000</v>
      </c>
      <c r="G227" s="13" t="n">
        <v>0.55</v>
      </c>
      <c r="H227" s="13" t="n">
        <v>1.37</v>
      </c>
      <c r="I227" s="13" t="n">
        <v>0.8972</v>
      </c>
      <c r="J227" s="13" t="n">
        <v>0.53</v>
      </c>
      <c r="K227" s="12" t="n">
        <f aca="false">ROUND(F227/100*G227*H227*I227/J227,2)</f>
        <v>20982.76</v>
      </c>
      <c r="L227" s="12" t="n">
        <v>20982.75</v>
      </c>
      <c r="M227" s="12" t="n">
        <f aca="false">L227-K227</f>
        <v>-0.00999999999839929</v>
      </c>
      <c r="N227" s="3" t="s">
        <v>51</v>
      </c>
      <c r="O227" s="3" t="s">
        <v>52</v>
      </c>
    </row>
    <row r="228" customFormat="false" ht="15" hidden="false" customHeight="false" outlineLevel="0" collapsed="false">
      <c r="A228" s="14" t="s">
        <v>2177</v>
      </c>
      <c r="B228" s="14" t="s">
        <v>2502</v>
      </c>
      <c r="C228" s="14" t="s">
        <v>77</v>
      </c>
      <c r="D228" s="14" t="s">
        <v>880</v>
      </c>
      <c r="E228" s="14" t="s">
        <v>56</v>
      </c>
      <c r="F228" s="15" t="n">
        <v>1055000</v>
      </c>
      <c r="G228" s="16" t="n">
        <v>0.55</v>
      </c>
      <c r="H228" s="16" t="n">
        <v>1.42</v>
      </c>
      <c r="I228" s="16" t="n">
        <v>0.8972</v>
      </c>
      <c r="J228" s="16" t="n">
        <v>0.53</v>
      </c>
      <c r="K228" s="15" t="n">
        <f aca="false">ROUND(F228/100*G228*H228*I228/J228,2)</f>
        <v>13948.16</v>
      </c>
      <c r="L228" s="15" t="n">
        <v>13948.16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2278</v>
      </c>
      <c r="B229" s="3" t="s">
        <v>2503</v>
      </c>
      <c r="C229" s="3" t="s">
        <v>887</v>
      </c>
      <c r="D229" s="3" t="s">
        <v>871</v>
      </c>
      <c r="E229" s="3" t="s">
        <v>56</v>
      </c>
      <c r="F229" s="12" t="n">
        <v>760000</v>
      </c>
      <c r="G229" s="13" t="n">
        <v>0.65</v>
      </c>
      <c r="H229" s="13" t="n">
        <v>1.37</v>
      </c>
      <c r="I229" s="13" t="n">
        <v>0.8972</v>
      </c>
      <c r="J229" s="13" t="n">
        <v>0.53</v>
      </c>
      <c r="K229" s="12" t="n">
        <f aca="false">ROUND(F229/100*G229*H229*I229/J229,2)</f>
        <v>11456.74</v>
      </c>
      <c r="L229" s="12" t="n">
        <v>11456.73</v>
      </c>
      <c r="M229" s="12" t="n">
        <f aca="false">L229-K229</f>
        <v>-0.0100000000002183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2251</v>
      </c>
      <c r="B230" s="14" t="s">
        <v>2504</v>
      </c>
      <c r="C230" s="14" t="s">
        <v>59</v>
      </c>
      <c r="D230" s="14" t="s">
        <v>1021</v>
      </c>
      <c r="E230" s="14" t="s">
        <v>133</v>
      </c>
      <c r="F230" s="15" t="n">
        <v>1170000</v>
      </c>
      <c r="G230" s="16" t="n">
        <v>0.34</v>
      </c>
      <c r="H230" s="16" t="n">
        <v>0.97</v>
      </c>
      <c r="I230" s="16" t="n">
        <v>0.8972</v>
      </c>
      <c r="J230" s="16" t="n">
        <v>0.53</v>
      </c>
      <c r="K230" s="15" t="n">
        <f aca="false">ROUND(F230/100*G230*H230*I230/J230,2)</f>
        <v>6532.06</v>
      </c>
      <c r="L230" s="15" t="n">
        <v>6532.06</v>
      </c>
      <c r="M230" s="15" t="n">
        <f aca="false">L230-K230</f>
        <v>0</v>
      </c>
      <c r="N230" s="14" t="s">
        <v>61</v>
      </c>
      <c r="O230" s="14" t="s">
        <v>62</v>
      </c>
    </row>
    <row r="231" customFormat="false" ht="15" hidden="false" customHeight="false" outlineLevel="0" collapsed="false">
      <c r="A231" s="3" t="s">
        <v>2341</v>
      </c>
      <c r="B231" s="3" t="s">
        <v>2505</v>
      </c>
      <c r="C231" s="3" t="s">
        <v>131</v>
      </c>
      <c r="D231" s="3" t="s">
        <v>115</v>
      </c>
      <c r="E231" s="3" t="s">
        <v>56</v>
      </c>
      <c r="F231" s="12" t="n">
        <v>490000</v>
      </c>
      <c r="G231" s="13" t="n">
        <v>0.75</v>
      </c>
      <c r="H231" s="13" t="n">
        <v>0.95</v>
      </c>
      <c r="I231" s="13" t="n">
        <v>0.8972</v>
      </c>
      <c r="J231" s="13" t="n">
        <v>0.53</v>
      </c>
      <c r="K231" s="12" t="n">
        <f aca="false">ROUND(F231/100*G231*H231*I231/J231,2)</f>
        <v>5910.09</v>
      </c>
      <c r="L231" s="12" t="n">
        <v>5910.09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2294</v>
      </c>
      <c r="B232" s="14" t="s">
        <v>2506</v>
      </c>
      <c r="C232" s="14" t="s">
        <v>136</v>
      </c>
      <c r="D232" s="14" t="s">
        <v>2507</v>
      </c>
      <c r="E232" s="14" t="s">
        <v>74</v>
      </c>
      <c r="F232" s="15" t="n">
        <v>415000</v>
      </c>
      <c r="G232" s="16" t="n">
        <v>0.48</v>
      </c>
      <c r="H232" s="16" t="n">
        <v>1.32</v>
      </c>
      <c r="I232" s="16" t="n">
        <v>0.8972</v>
      </c>
      <c r="J232" s="16" t="n">
        <v>0.53</v>
      </c>
      <c r="K232" s="15" t="n">
        <f aca="false">ROUND(F232/100*G232*H232*I232/J232,2)</f>
        <v>4451.2</v>
      </c>
      <c r="L232" s="15" t="n">
        <v>4451.2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2235</v>
      </c>
      <c r="B233" s="3" t="s">
        <v>2508</v>
      </c>
      <c r="C233" s="3" t="s">
        <v>64</v>
      </c>
      <c r="D233" s="3" t="s">
        <v>2509</v>
      </c>
      <c r="E233" s="3" t="s">
        <v>50</v>
      </c>
      <c r="F233" s="12" t="n">
        <v>340000</v>
      </c>
      <c r="G233" s="13" t="n">
        <v>1.15</v>
      </c>
      <c r="H233" s="13" t="n">
        <v>1.17</v>
      </c>
      <c r="I233" s="13" t="n">
        <v>0.8972</v>
      </c>
      <c r="J233" s="13" t="n">
        <v>0.53</v>
      </c>
      <c r="K233" s="12" t="n">
        <f aca="false">ROUND(F233/100*G233*H233*I233/J233,2)</f>
        <v>7744.19</v>
      </c>
      <c r="L233" s="12" t="n">
        <v>7744.19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2200</v>
      </c>
      <c r="B234" s="14" t="s">
        <v>2510</v>
      </c>
      <c r="C234" s="14" t="s">
        <v>188</v>
      </c>
      <c r="D234" s="14" t="s">
        <v>2511</v>
      </c>
      <c r="E234" s="14" t="s">
        <v>56</v>
      </c>
      <c r="F234" s="15" t="n">
        <v>320000</v>
      </c>
      <c r="G234" s="16" t="n">
        <v>0.75</v>
      </c>
      <c r="H234" s="16" t="n">
        <v>1.35</v>
      </c>
      <c r="I234" s="16" t="n">
        <v>0.8972</v>
      </c>
      <c r="J234" s="16" t="n">
        <v>0.53</v>
      </c>
      <c r="K234" s="15" t="n">
        <f aca="false">ROUND(F234/100*G234*H234*I234/J234,2)</f>
        <v>5484.77</v>
      </c>
      <c r="L234" s="15" t="n">
        <v>5484.77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2187</v>
      </c>
      <c r="B235" s="3" t="s">
        <v>2512</v>
      </c>
      <c r="C235" s="3" t="s">
        <v>462</v>
      </c>
      <c r="D235" s="3" t="s">
        <v>153</v>
      </c>
      <c r="E235" s="3" t="s">
        <v>56</v>
      </c>
      <c r="F235" s="12" t="n">
        <v>600000</v>
      </c>
      <c r="G235" s="13" t="n">
        <v>0.65</v>
      </c>
      <c r="H235" s="13" t="n">
        <v>1.34</v>
      </c>
      <c r="I235" s="13" t="n">
        <v>0.8972</v>
      </c>
      <c r="J235" s="13" t="n">
        <v>0.53</v>
      </c>
      <c r="K235" s="12" t="n">
        <f aca="false">ROUND(F235/100*G235*H235*I235/J235,2)</f>
        <v>8846.73</v>
      </c>
      <c r="L235" s="12" t="n">
        <v>8846.73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2361</v>
      </c>
      <c r="B236" s="14" t="s">
        <v>2513</v>
      </c>
      <c r="C236" s="14" t="s">
        <v>409</v>
      </c>
      <c r="D236" s="14" t="s">
        <v>931</v>
      </c>
      <c r="E236" s="14" t="s">
        <v>56</v>
      </c>
      <c r="F236" s="15" t="n">
        <v>385000</v>
      </c>
      <c r="G236" s="16" t="n">
        <v>0.75</v>
      </c>
      <c r="H236" s="16" t="n">
        <v>1.3</v>
      </c>
      <c r="I236" s="16" t="n">
        <v>0.8972</v>
      </c>
      <c r="J236" s="16" t="n">
        <v>0.53</v>
      </c>
      <c r="K236" s="15" t="n">
        <f aca="false">ROUND(F236/100*G236*H236*I236/J236,2)</f>
        <v>6354.46</v>
      </c>
      <c r="L236" s="15" t="n">
        <v>6354.46</v>
      </c>
      <c r="M236" s="15" t="n">
        <f aca="false">L236-K236</f>
        <v>0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2341</v>
      </c>
      <c r="B237" s="3" t="s">
        <v>2514</v>
      </c>
      <c r="C237" s="3" t="s">
        <v>77</v>
      </c>
      <c r="D237" s="3" t="s">
        <v>2515</v>
      </c>
      <c r="E237" s="3" t="s">
        <v>74</v>
      </c>
      <c r="F237" s="12" t="n">
        <v>440000</v>
      </c>
      <c r="G237" s="13" t="n">
        <v>0.48</v>
      </c>
      <c r="H237" s="13" t="n">
        <v>1.42</v>
      </c>
      <c r="I237" s="13" t="n">
        <v>0.8972</v>
      </c>
      <c r="J237" s="13" t="n">
        <v>0.53</v>
      </c>
      <c r="K237" s="12" t="n">
        <f aca="false">ROUND(F237/100*G237*H237*I237/J237,2)</f>
        <v>5076.87</v>
      </c>
      <c r="L237" s="12" t="n">
        <v>5076.87</v>
      </c>
      <c r="M237" s="12" t="n">
        <f aca="false">L237-K237</f>
        <v>0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2341</v>
      </c>
      <c r="B238" s="14" t="s">
        <v>2516</v>
      </c>
      <c r="C238" s="14" t="s">
        <v>93</v>
      </c>
      <c r="D238" s="14" t="s">
        <v>1892</v>
      </c>
      <c r="E238" s="14" t="s">
        <v>74</v>
      </c>
      <c r="F238" s="15" t="n">
        <v>380000</v>
      </c>
      <c r="G238" s="16" t="n">
        <v>0.48</v>
      </c>
      <c r="H238" s="16" t="n">
        <v>1.39</v>
      </c>
      <c r="I238" s="16" t="n">
        <v>0.8972</v>
      </c>
      <c r="J238" s="16" t="n">
        <v>0.53</v>
      </c>
      <c r="K238" s="15" t="n">
        <f aca="false">ROUND(F238/100*G238*H238*I238/J238,2)</f>
        <v>4291.93</v>
      </c>
      <c r="L238" s="15" t="n">
        <v>4291.94</v>
      </c>
      <c r="M238" s="15" t="n">
        <f aca="false">L238-K238</f>
        <v>0.00999999999930878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2246</v>
      </c>
      <c r="B239" s="3" t="s">
        <v>2517</v>
      </c>
      <c r="C239" s="3" t="s">
        <v>462</v>
      </c>
      <c r="D239" s="3" t="s">
        <v>129</v>
      </c>
      <c r="E239" s="3" t="s">
        <v>56</v>
      </c>
      <c r="F239" s="12" t="n">
        <v>370000</v>
      </c>
      <c r="G239" s="13" t="n">
        <v>0.75</v>
      </c>
      <c r="H239" s="13" t="n">
        <v>1.34</v>
      </c>
      <c r="I239" s="13" t="n">
        <v>0.8972</v>
      </c>
      <c r="J239" s="13" t="n">
        <v>0.53</v>
      </c>
      <c r="K239" s="12" t="n">
        <f aca="false">ROUND(F239/100*G239*H239*I239/J239,2)</f>
        <v>6294.79</v>
      </c>
      <c r="L239" s="12" t="n">
        <v>6294.79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2251</v>
      </c>
      <c r="B240" s="14" t="s">
        <v>2518</v>
      </c>
      <c r="C240" s="14" t="s">
        <v>145</v>
      </c>
      <c r="D240" s="14" t="s">
        <v>1919</v>
      </c>
      <c r="E240" s="14" t="s">
        <v>56</v>
      </c>
      <c r="F240" s="15" t="n">
        <v>180000</v>
      </c>
      <c r="G240" s="16" t="n">
        <v>0.92</v>
      </c>
      <c r="H240" s="16" t="n">
        <v>0.96</v>
      </c>
      <c r="I240" s="16" t="n">
        <v>0.8972</v>
      </c>
      <c r="J240" s="16" t="n">
        <v>0.53</v>
      </c>
      <c r="K240" s="15" t="n">
        <f aca="false">ROUND(F240/100*G240*H240*I240/J240,2)</f>
        <v>2691.19</v>
      </c>
      <c r="L240" s="15" t="n">
        <v>2691.2</v>
      </c>
      <c r="M240" s="15" t="n">
        <f aca="false">L240-K240</f>
        <v>0.00999999999976353</v>
      </c>
      <c r="N240" s="14" t="s">
        <v>51</v>
      </c>
      <c r="O240" s="14" t="s">
        <v>52</v>
      </c>
    </row>
    <row r="241" customFormat="false" ht="15" hidden="false" customHeight="false" outlineLevel="0" collapsed="false">
      <c r="A241" s="3" t="s">
        <v>2374</v>
      </c>
      <c r="B241" s="3" t="s">
        <v>2519</v>
      </c>
      <c r="C241" s="3" t="s">
        <v>89</v>
      </c>
      <c r="D241" s="3" t="s">
        <v>340</v>
      </c>
      <c r="E241" s="3" t="s">
        <v>50</v>
      </c>
      <c r="F241" s="12" t="n">
        <v>1125000</v>
      </c>
      <c r="G241" s="13" t="n">
        <v>0.8</v>
      </c>
      <c r="H241" s="13" t="n">
        <v>1.35</v>
      </c>
      <c r="I241" s="13" t="n">
        <v>0.8972</v>
      </c>
      <c r="J241" s="13" t="n">
        <v>0.53</v>
      </c>
      <c r="K241" s="12" t="n">
        <f aca="false">ROUND(F241/100*G241*H241*I241/J241,2)</f>
        <v>20567.89</v>
      </c>
      <c r="L241" s="12" t="n">
        <v>20567.89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2254</v>
      </c>
      <c r="B242" s="14" t="s">
        <v>2520</v>
      </c>
      <c r="C242" s="14" t="s">
        <v>210</v>
      </c>
      <c r="D242" s="14" t="s">
        <v>1490</v>
      </c>
      <c r="E242" s="14" t="s">
        <v>74</v>
      </c>
      <c r="F242" s="15" t="n">
        <v>775000</v>
      </c>
      <c r="G242" s="16" t="n">
        <v>0.43</v>
      </c>
      <c r="H242" s="16" t="n">
        <v>1.21</v>
      </c>
      <c r="I242" s="16" t="n">
        <v>0.8972</v>
      </c>
      <c r="J242" s="16" t="n">
        <v>0.53</v>
      </c>
      <c r="K242" s="15" t="n">
        <f aca="false">ROUND(F242/100*G242*H242*I242/J242,2)</f>
        <v>6826.04</v>
      </c>
      <c r="L242" s="15" t="n">
        <v>6826.04</v>
      </c>
      <c r="M242" s="15" t="n">
        <f aca="false">L242-K242</f>
        <v>0</v>
      </c>
      <c r="N242" s="14" t="s">
        <v>70</v>
      </c>
      <c r="O242" s="14" t="s">
        <v>52</v>
      </c>
    </row>
    <row r="243" customFormat="false" ht="15" hidden="false" customHeight="false" outlineLevel="0" collapsed="false">
      <c r="A243" s="3" t="s">
        <v>2210</v>
      </c>
      <c r="B243" s="3" t="s">
        <v>2521</v>
      </c>
      <c r="C243" s="3" t="s">
        <v>89</v>
      </c>
      <c r="D243" s="3" t="s">
        <v>2126</v>
      </c>
      <c r="E243" s="3" t="s">
        <v>56</v>
      </c>
      <c r="F243" s="12" t="n">
        <v>425000</v>
      </c>
      <c r="G243" s="13" t="n">
        <v>0.75</v>
      </c>
      <c r="H243" s="13" t="n">
        <v>1.35</v>
      </c>
      <c r="I243" s="13" t="n">
        <v>0.8972</v>
      </c>
      <c r="J243" s="13" t="n">
        <v>0.53</v>
      </c>
      <c r="K243" s="12" t="n">
        <f aca="false">ROUND(F243/100*G243*H243*I243/J243,2)</f>
        <v>7284.46</v>
      </c>
      <c r="L243" s="12" t="n">
        <v>7284.46</v>
      </c>
      <c r="M243" s="12" t="n">
        <f aca="false">L243-K243</f>
        <v>0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2278</v>
      </c>
      <c r="B244" s="14" t="s">
        <v>2522</v>
      </c>
      <c r="C244" s="14" t="s">
        <v>220</v>
      </c>
      <c r="D244" s="14" t="s">
        <v>724</v>
      </c>
      <c r="E244" s="14" t="s">
        <v>50</v>
      </c>
      <c r="F244" s="15" t="n">
        <v>995000</v>
      </c>
      <c r="G244" s="16" t="n">
        <v>0.95</v>
      </c>
      <c r="H244" s="16" t="n">
        <v>1.01</v>
      </c>
      <c r="I244" s="16" t="n">
        <v>0.8972</v>
      </c>
      <c r="J244" s="16" t="n">
        <v>0.53</v>
      </c>
      <c r="K244" s="15" t="n">
        <f aca="false">ROUND(F244/100*G244*H244*I244/J244,2)</f>
        <v>16161.49</v>
      </c>
      <c r="L244" s="15" t="n">
        <v>16161.49</v>
      </c>
      <c r="M244" s="15" t="n">
        <f aca="false">L244-K244</f>
        <v>0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2251</v>
      </c>
      <c r="B245" s="3" t="s">
        <v>2523</v>
      </c>
      <c r="C245" s="3" t="s">
        <v>48</v>
      </c>
      <c r="D245" s="3" t="s">
        <v>165</v>
      </c>
      <c r="E245" s="3" t="s">
        <v>56</v>
      </c>
      <c r="F245" s="12" t="n">
        <v>435000</v>
      </c>
      <c r="G245" s="13" t="n">
        <v>0.75</v>
      </c>
      <c r="H245" s="13" t="n">
        <v>1.28</v>
      </c>
      <c r="I245" s="13" t="n">
        <v>0.8972</v>
      </c>
      <c r="J245" s="13" t="n">
        <v>0.53</v>
      </c>
      <c r="K245" s="12" t="n">
        <f aca="false">ROUND(F245/100*G245*H245*I245/J245,2)</f>
        <v>7069.26</v>
      </c>
      <c r="L245" s="12" t="n">
        <v>7069.26</v>
      </c>
      <c r="M245" s="12" t="n">
        <f aca="false">L245-K245</f>
        <v>0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2172</v>
      </c>
      <c r="B246" s="14" t="s">
        <v>2524</v>
      </c>
      <c r="C246" s="14" t="s">
        <v>108</v>
      </c>
      <c r="D246" s="14" t="s">
        <v>791</v>
      </c>
      <c r="E246" s="14" t="s">
        <v>56</v>
      </c>
      <c r="F246" s="15" t="n">
        <v>320000</v>
      </c>
      <c r="G246" s="16" t="n">
        <v>0.75</v>
      </c>
      <c r="H246" s="16" t="n">
        <v>0.93</v>
      </c>
      <c r="I246" s="16" t="n">
        <v>0.8972</v>
      </c>
      <c r="J246" s="16" t="n">
        <v>0.53</v>
      </c>
      <c r="K246" s="15" t="n">
        <f aca="false">ROUND(F246/100*G246*H246*I246/J246,2)</f>
        <v>3778.4</v>
      </c>
      <c r="L246" s="15" t="n">
        <v>3778.4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2222</v>
      </c>
      <c r="B247" s="3" t="s">
        <v>2525</v>
      </c>
      <c r="C247" s="3" t="s">
        <v>85</v>
      </c>
      <c r="D247" s="3" t="s">
        <v>2526</v>
      </c>
      <c r="E247" s="3" t="s">
        <v>74</v>
      </c>
      <c r="F247" s="12" t="n">
        <v>850000</v>
      </c>
      <c r="G247" s="13" t="n">
        <v>0.43</v>
      </c>
      <c r="H247" s="13" t="n">
        <v>1.28</v>
      </c>
      <c r="I247" s="13" t="n">
        <v>0.8972</v>
      </c>
      <c r="J247" s="13" t="n">
        <v>0.53</v>
      </c>
      <c r="K247" s="12" t="n">
        <f aca="false">ROUND(F247/100*G247*H247*I247/J247,2)</f>
        <v>7919.74</v>
      </c>
      <c r="L247" s="12" t="n">
        <v>7919.74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2274</v>
      </c>
      <c r="B248" s="14" t="s">
        <v>2527</v>
      </c>
      <c r="C248" s="14" t="s">
        <v>435</v>
      </c>
      <c r="D248" s="14" t="s">
        <v>1063</v>
      </c>
      <c r="E248" s="14" t="s">
        <v>56</v>
      </c>
      <c r="F248" s="15" t="n">
        <v>570000</v>
      </c>
      <c r="G248" s="16" t="n">
        <v>0.65</v>
      </c>
      <c r="H248" s="16" t="n">
        <v>1.13</v>
      </c>
      <c r="I248" s="16" t="n">
        <v>0.8972</v>
      </c>
      <c r="J248" s="16" t="n">
        <v>0.53</v>
      </c>
      <c r="K248" s="15" t="n">
        <f aca="false">ROUND(F248/100*G248*H248*I248/J248,2)</f>
        <v>7087.29</v>
      </c>
      <c r="L248" s="15" t="n">
        <v>7087.29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2226</v>
      </c>
      <c r="B249" s="3" t="s">
        <v>2528</v>
      </c>
      <c r="C249" s="3" t="s">
        <v>117</v>
      </c>
      <c r="D249" s="3" t="s">
        <v>968</v>
      </c>
      <c r="E249" s="3" t="s">
        <v>50</v>
      </c>
      <c r="F249" s="12" t="n">
        <v>740000</v>
      </c>
      <c r="G249" s="13" t="n">
        <v>0.95</v>
      </c>
      <c r="H249" s="13" t="n">
        <v>0.91</v>
      </c>
      <c r="I249" s="13" t="n">
        <v>0.8972</v>
      </c>
      <c r="J249" s="13" t="n">
        <v>0.53</v>
      </c>
      <c r="K249" s="12" t="n">
        <f aca="false">ROUND(F249/100*G249*H249*I249/J249,2)</f>
        <v>10829.54</v>
      </c>
      <c r="L249" s="12" t="n">
        <v>10829.54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2235</v>
      </c>
      <c r="B250" s="14" t="s">
        <v>2529</v>
      </c>
      <c r="C250" s="14" t="s">
        <v>145</v>
      </c>
      <c r="D250" s="14" t="s">
        <v>2530</v>
      </c>
      <c r="E250" s="14" t="s">
        <v>74</v>
      </c>
      <c r="F250" s="15" t="n">
        <v>280000</v>
      </c>
      <c r="G250" s="16" t="n">
        <v>0.48</v>
      </c>
      <c r="H250" s="16" t="n">
        <v>0.96</v>
      </c>
      <c r="I250" s="16" t="n">
        <v>0.8972</v>
      </c>
      <c r="J250" s="16" t="n">
        <v>0.53</v>
      </c>
      <c r="K250" s="15" t="n">
        <f aca="false">ROUND(F250/100*G250*H250*I250/J250,2)</f>
        <v>2184.16</v>
      </c>
      <c r="L250" s="15" t="n">
        <v>2184.16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2183</v>
      </c>
      <c r="B251" s="3" t="s">
        <v>2531</v>
      </c>
      <c r="C251" s="3" t="s">
        <v>89</v>
      </c>
      <c r="D251" s="3" t="s">
        <v>1101</v>
      </c>
      <c r="E251" s="3" t="s">
        <v>56</v>
      </c>
      <c r="F251" s="12" t="n">
        <v>195000</v>
      </c>
      <c r="G251" s="13" t="n">
        <v>0.92</v>
      </c>
      <c r="H251" s="13" t="n">
        <v>1.35</v>
      </c>
      <c r="I251" s="13" t="n">
        <v>0.8972</v>
      </c>
      <c r="J251" s="13" t="n">
        <v>0.53</v>
      </c>
      <c r="K251" s="12" t="n">
        <f aca="false">ROUND(F251/100*G251*H251*I251/J251,2)</f>
        <v>4099.87</v>
      </c>
      <c r="L251" s="12" t="n">
        <v>4099.86</v>
      </c>
      <c r="M251" s="12" t="n">
        <f aca="false">L251-K251</f>
        <v>-0.0100000000002183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2210</v>
      </c>
      <c r="B252" s="14" t="s">
        <v>2532</v>
      </c>
      <c r="C252" s="14" t="s">
        <v>114</v>
      </c>
      <c r="D252" s="14" t="s">
        <v>1573</v>
      </c>
      <c r="E252" s="14" t="s">
        <v>56</v>
      </c>
      <c r="F252" s="15" t="n">
        <v>390000</v>
      </c>
      <c r="G252" s="16" t="n">
        <v>0.75</v>
      </c>
      <c r="H252" s="16" t="n">
        <v>1.36</v>
      </c>
      <c r="I252" s="16" t="n">
        <v>0.8972</v>
      </c>
      <c r="J252" s="16" t="n">
        <v>0.53</v>
      </c>
      <c r="K252" s="15" t="n">
        <f aca="false">ROUND(F252/100*G252*H252*I252/J252,2)</f>
        <v>6734.08</v>
      </c>
      <c r="L252" s="15" t="n">
        <v>6734.08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2436</v>
      </c>
      <c r="B253" s="3" t="s">
        <v>2533</v>
      </c>
      <c r="C253" s="3" t="s">
        <v>220</v>
      </c>
      <c r="D253" s="3" t="s">
        <v>2045</v>
      </c>
      <c r="E253" s="3" t="s">
        <v>56</v>
      </c>
      <c r="F253" s="12" t="n">
        <v>895000</v>
      </c>
      <c r="G253" s="13" t="n">
        <v>0.65</v>
      </c>
      <c r="H253" s="13" t="n">
        <v>1.01</v>
      </c>
      <c r="I253" s="13" t="n">
        <v>0.8972</v>
      </c>
      <c r="J253" s="13" t="n">
        <v>0.53</v>
      </c>
      <c r="K253" s="12" t="n">
        <f aca="false">ROUND(F253/100*G253*H253*I253/J253,2)</f>
        <v>9946.52</v>
      </c>
      <c r="L253" s="12" t="n">
        <v>9946.52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2172</v>
      </c>
      <c r="B254" s="14" t="s">
        <v>2534</v>
      </c>
      <c r="C254" s="14" t="s">
        <v>159</v>
      </c>
      <c r="D254" s="14" t="s">
        <v>2122</v>
      </c>
      <c r="E254" s="14" t="s">
        <v>56</v>
      </c>
      <c r="F254" s="15" t="n">
        <v>370000</v>
      </c>
      <c r="G254" s="16" t="n">
        <v>0.75</v>
      </c>
      <c r="H254" s="16" t="n">
        <v>1.15</v>
      </c>
      <c r="I254" s="16" t="n">
        <v>0.8972</v>
      </c>
      <c r="J254" s="16" t="n">
        <v>0.53</v>
      </c>
      <c r="K254" s="15" t="n">
        <f aca="false">ROUND(F254/100*G254*H254*I254/J254,2)</f>
        <v>5402.24</v>
      </c>
      <c r="L254" s="15" t="n">
        <v>5402.25</v>
      </c>
      <c r="M254" s="15" t="n">
        <f aca="false">L254-K254</f>
        <v>0.0100000000002183</v>
      </c>
      <c r="N254" s="14" t="s">
        <v>51</v>
      </c>
      <c r="O254" s="14" t="s">
        <v>52</v>
      </c>
    </row>
    <row r="255" customFormat="false" ht="15" hidden="false" customHeight="false" outlineLevel="0" collapsed="false">
      <c r="A255" s="3" t="s">
        <v>2251</v>
      </c>
      <c r="B255" s="3" t="s">
        <v>2535</v>
      </c>
      <c r="C255" s="3" t="s">
        <v>93</v>
      </c>
      <c r="D255" s="3" t="s">
        <v>1417</v>
      </c>
      <c r="E255" s="3" t="s">
        <v>56</v>
      </c>
      <c r="F255" s="12" t="n">
        <v>240000</v>
      </c>
      <c r="G255" s="13" t="n">
        <v>0.92</v>
      </c>
      <c r="H255" s="13" t="n">
        <v>1.39</v>
      </c>
      <c r="I255" s="13" t="n">
        <v>0.8972</v>
      </c>
      <c r="J255" s="13" t="n">
        <v>0.53</v>
      </c>
      <c r="K255" s="12" t="n">
        <f aca="false">ROUND(F255/100*G255*H255*I255/J255,2)</f>
        <v>5195.5</v>
      </c>
      <c r="L255" s="12" t="n">
        <v>5195.5</v>
      </c>
      <c r="M255" s="12" t="n">
        <f aca="false">L255-K255</f>
        <v>0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2185</v>
      </c>
      <c r="B256" s="14" t="s">
        <v>2536</v>
      </c>
      <c r="C256" s="14" t="s">
        <v>145</v>
      </c>
      <c r="D256" s="14" t="s">
        <v>1385</v>
      </c>
      <c r="E256" s="14" t="s">
        <v>74</v>
      </c>
      <c r="F256" s="15" t="n">
        <v>1015000</v>
      </c>
      <c r="G256" s="16" t="n">
        <v>0.38</v>
      </c>
      <c r="H256" s="16" t="n">
        <v>0.96</v>
      </c>
      <c r="I256" s="16" t="n">
        <v>0.8972</v>
      </c>
      <c r="J256" s="16" t="n">
        <v>0.53</v>
      </c>
      <c r="K256" s="15" t="n">
        <f aca="false">ROUND(F256/100*G256*H256*I256/J256,2)</f>
        <v>6268.08</v>
      </c>
      <c r="L256" s="15" t="n">
        <v>6268.07</v>
      </c>
      <c r="M256" s="15" t="n">
        <f aca="false">L256-K256</f>
        <v>-0.0100000000002183</v>
      </c>
      <c r="N256" s="14" t="s">
        <v>51</v>
      </c>
      <c r="O256" s="14" t="s">
        <v>52</v>
      </c>
    </row>
    <row r="257" customFormat="false" ht="15" hidden="false" customHeight="false" outlineLevel="0" collapsed="false">
      <c r="A257" s="3" t="s">
        <v>2179</v>
      </c>
      <c r="B257" s="3" t="s">
        <v>2537</v>
      </c>
      <c r="C257" s="3" t="s">
        <v>243</v>
      </c>
      <c r="D257" s="3" t="s">
        <v>2017</v>
      </c>
      <c r="E257" s="3" t="s">
        <v>50</v>
      </c>
      <c r="F257" s="12" t="n">
        <v>565000</v>
      </c>
      <c r="G257" s="13" t="n">
        <v>0.95</v>
      </c>
      <c r="H257" s="13" t="n">
        <v>1.14</v>
      </c>
      <c r="I257" s="13" t="n">
        <v>0.8972</v>
      </c>
      <c r="J257" s="13" t="n">
        <v>0.53</v>
      </c>
      <c r="K257" s="12" t="n">
        <f aca="false">ROUND(F257/100*G257*H257*I257/J257,2)</f>
        <v>10358.34</v>
      </c>
      <c r="L257" s="12" t="n">
        <v>10358.34</v>
      </c>
      <c r="M257" s="12" t="n">
        <f aca="false">L257-K257</f>
        <v>0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2278</v>
      </c>
      <c r="B258" s="14" t="s">
        <v>2538</v>
      </c>
      <c r="C258" s="14" t="s">
        <v>117</v>
      </c>
      <c r="D258" s="14" t="s">
        <v>2539</v>
      </c>
      <c r="E258" s="14" t="s">
        <v>50</v>
      </c>
      <c r="F258" s="15" t="n">
        <v>530000</v>
      </c>
      <c r="G258" s="16" t="n">
        <v>0.95</v>
      </c>
      <c r="H258" s="16" t="n">
        <v>0.91</v>
      </c>
      <c r="I258" s="16" t="n">
        <v>0.8972</v>
      </c>
      <c r="J258" s="16" t="n">
        <v>0.53</v>
      </c>
      <c r="K258" s="15" t="n">
        <f aca="false">ROUND(F258/100*G258*H258*I258/J258,2)</f>
        <v>7756.29</v>
      </c>
      <c r="L258" s="15" t="n">
        <v>7756.29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2284</v>
      </c>
      <c r="B259" s="3" t="s">
        <v>2540</v>
      </c>
      <c r="C259" s="3" t="s">
        <v>114</v>
      </c>
      <c r="D259" s="3" t="s">
        <v>400</v>
      </c>
      <c r="E259" s="3" t="s">
        <v>56</v>
      </c>
      <c r="F259" s="12" t="n">
        <v>1440000</v>
      </c>
      <c r="G259" s="13" t="n">
        <v>0.55</v>
      </c>
      <c r="H259" s="13" t="n">
        <v>1.36</v>
      </c>
      <c r="I259" s="13" t="n">
        <v>0.8972</v>
      </c>
      <c r="J259" s="13" t="n">
        <v>0.53</v>
      </c>
      <c r="K259" s="12" t="n">
        <f aca="false">ROUND(F259/100*G259*H259*I259/J259,2)</f>
        <v>18233.81</v>
      </c>
      <c r="L259" s="12" t="n">
        <v>18233.81</v>
      </c>
      <c r="M259" s="12" t="n">
        <f aca="false">L259-K259</f>
        <v>0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2174</v>
      </c>
      <c r="B260" s="14" t="s">
        <v>2541</v>
      </c>
      <c r="C260" s="14" t="s">
        <v>59</v>
      </c>
      <c r="D260" s="14" t="s">
        <v>1076</v>
      </c>
      <c r="E260" s="14" t="s">
        <v>56</v>
      </c>
      <c r="F260" s="15" t="n">
        <v>550000</v>
      </c>
      <c r="G260" s="16" t="n">
        <v>0.65</v>
      </c>
      <c r="H260" s="16" t="n">
        <v>0.97</v>
      </c>
      <c r="I260" s="16" t="n">
        <v>0.8972</v>
      </c>
      <c r="J260" s="16" t="n">
        <v>0.53</v>
      </c>
      <c r="K260" s="15" t="n">
        <f aca="false">ROUND(F260/100*G260*H260*I260/J260,2)</f>
        <v>5870.31</v>
      </c>
      <c r="L260" s="15" t="n">
        <v>5870.31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2187</v>
      </c>
      <c r="B261" s="3" t="s">
        <v>2542</v>
      </c>
      <c r="C261" s="3" t="s">
        <v>193</v>
      </c>
      <c r="D261" s="3" t="s">
        <v>258</v>
      </c>
      <c r="E261" s="3" t="s">
        <v>56</v>
      </c>
      <c r="F261" s="12" t="n">
        <v>295000</v>
      </c>
      <c r="G261" s="13" t="n">
        <v>0.75</v>
      </c>
      <c r="H261" s="13" t="n">
        <v>1.25</v>
      </c>
      <c r="I261" s="13" t="n">
        <v>0.8972</v>
      </c>
      <c r="J261" s="13" t="n">
        <v>0.53</v>
      </c>
      <c r="K261" s="12" t="n">
        <f aca="false">ROUND(F261/100*G261*H261*I261/J261,2)</f>
        <v>4681.73</v>
      </c>
      <c r="L261" s="12" t="n">
        <v>4681.73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2226</v>
      </c>
      <c r="B262" s="14" t="s">
        <v>2543</v>
      </c>
      <c r="C262" s="14" t="s">
        <v>210</v>
      </c>
      <c r="D262" s="14" t="s">
        <v>2228</v>
      </c>
      <c r="E262" s="14" t="s">
        <v>50</v>
      </c>
      <c r="F262" s="15" t="n">
        <v>1165000</v>
      </c>
      <c r="G262" s="16" t="n">
        <v>0.8</v>
      </c>
      <c r="H262" s="16" t="n">
        <v>1.21</v>
      </c>
      <c r="I262" s="16" t="n">
        <v>0.8972</v>
      </c>
      <c r="J262" s="16" t="n">
        <v>0.53</v>
      </c>
      <c r="K262" s="15" t="n">
        <f aca="false">ROUND(F262/100*G262*H262*I262/J262,2)</f>
        <v>19090.38</v>
      </c>
      <c r="L262" s="15" t="n">
        <v>19090.39</v>
      </c>
      <c r="M262" s="15" t="n">
        <f aca="false">L262-K262</f>
        <v>0.00999999999839929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2174</v>
      </c>
      <c r="B263" s="3" t="s">
        <v>2544</v>
      </c>
      <c r="C263" s="3" t="s">
        <v>217</v>
      </c>
      <c r="D263" s="3" t="s">
        <v>668</v>
      </c>
      <c r="E263" s="3" t="s">
        <v>74</v>
      </c>
      <c r="F263" s="12" t="n">
        <v>370000</v>
      </c>
      <c r="G263" s="13" t="n">
        <v>0.48</v>
      </c>
      <c r="H263" s="13" t="n">
        <v>1.3</v>
      </c>
      <c r="I263" s="13" t="n">
        <v>0.8972</v>
      </c>
      <c r="J263" s="13" t="n">
        <v>0.53</v>
      </c>
      <c r="K263" s="12" t="n">
        <f aca="false">ROUND(F263/100*G263*H263*I263/J263,2)</f>
        <v>3908.41</v>
      </c>
      <c r="L263" s="12" t="n">
        <v>3908.41</v>
      </c>
      <c r="M263" s="12" t="n">
        <f aca="false">L263-K263</f>
        <v>0</v>
      </c>
      <c r="N263" s="3" t="s">
        <v>70</v>
      </c>
      <c r="O263" s="3" t="s">
        <v>52</v>
      </c>
    </row>
    <row r="264" customFormat="false" ht="15" hidden="false" customHeight="false" outlineLevel="0" collapsed="false">
      <c r="A264" s="14" t="s">
        <v>2278</v>
      </c>
      <c r="B264" s="14" t="s">
        <v>2545</v>
      </c>
      <c r="C264" s="14" t="s">
        <v>159</v>
      </c>
      <c r="D264" s="14" t="s">
        <v>121</v>
      </c>
      <c r="E264" s="14" t="s">
        <v>50</v>
      </c>
      <c r="F264" s="15" t="n">
        <v>615000</v>
      </c>
      <c r="G264" s="16" t="n">
        <v>0.95</v>
      </c>
      <c r="H264" s="16" t="n">
        <v>1.15</v>
      </c>
      <c r="I264" s="16" t="n">
        <v>0.8972</v>
      </c>
      <c r="J264" s="16" t="n">
        <v>0.53</v>
      </c>
      <c r="K264" s="15" t="n">
        <f aca="false">ROUND(F264/100*G264*H264*I264/J264,2)</f>
        <v>11373.91</v>
      </c>
      <c r="L264" s="15" t="n">
        <v>11373.91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2174</v>
      </c>
      <c r="B265" s="3" t="s">
        <v>2546</v>
      </c>
      <c r="C265" s="3" t="s">
        <v>77</v>
      </c>
      <c r="D265" s="3" t="s">
        <v>389</v>
      </c>
      <c r="E265" s="3" t="s">
        <v>50</v>
      </c>
      <c r="F265" s="12" t="n">
        <v>1285000</v>
      </c>
      <c r="G265" s="13" t="n">
        <v>0.8</v>
      </c>
      <c r="H265" s="13" t="n">
        <v>1.42</v>
      </c>
      <c r="I265" s="13" t="n">
        <v>0.8972</v>
      </c>
      <c r="J265" s="13" t="n">
        <v>0.53</v>
      </c>
      <c r="K265" s="12" t="n">
        <f aca="false">ROUND(F265/100*G265*H265*I265/J265,2)</f>
        <v>24711.26</v>
      </c>
      <c r="L265" s="12" t="n">
        <v>24711.26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2187</v>
      </c>
      <c r="B266" s="14" t="s">
        <v>2547</v>
      </c>
      <c r="C266" s="14" t="s">
        <v>217</v>
      </c>
      <c r="D266" s="14" t="s">
        <v>521</v>
      </c>
      <c r="E266" s="14" t="s">
        <v>50</v>
      </c>
      <c r="F266" s="15" t="n">
        <v>460000</v>
      </c>
      <c r="G266" s="16" t="n">
        <v>1.15</v>
      </c>
      <c r="H266" s="16" t="n">
        <v>1.3</v>
      </c>
      <c r="I266" s="16" t="n">
        <v>0.8972</v>
      </c>
      <c r="J266" s="16" t="n">
        <v>0.53</v>
      </c>
      <c r="K266" s="15" t="n">
        <f aca="false">ROUND(F266/100*G266*H266*I266/J266,2)</f>
        <v>11641.59</v>
      </c>
      <c r="L266" s="15" t="n">
        <v>11641.59</v>
      </c>
      <c r="M266" s="15" t="n">
        <f aca="false">L266-K266</f>
        <v>0</v>
      </c>
      <c r="N266" s="14" t="s">
        <v>51</v>
      </c>
      <c r="O266" s="14" t="s">
        <v>52</v>
      </c>
    </row>
    <row r="267" customFormat="false" ht="15" hidden="false" customHeight="false" outlineLevel="0" collapsed="false">
      <c r="A267" s="3" t="s">
        <v>2187</v>
      </c>
      <c r="B267" s="3" t="s">
        <v>2548</v>
      </c>
      <c r="C267" s="3" t="s">
        <v>131</v>
      </c>
      <c r="D267" s="3" t="s">
        <v>2465</v>
      </c>
      <c r="E267" s="3" t="s">
        <v>157</v>
      </c>
      <c r="F267" s="12" t="n">
        <v>550000</v>
      </c>
      <c r="G267" s="13" t="n">
        <v>0.78</v>
      </c>
      <c r="H267" s="13" t="n">
        <v>0.95</v>
      </c>
      <c r="I267" s="13" t="n">
        <v>0.8972</v>
      </c>
      <c r="J267" s="13" t="n">
        <v>0.53</v>
      </c>
      <c r="K267" s="12" t="n">
        <f aca="false">ROUND(F267/100*G267*H267*I267/J267,2)</f>
        <v>6899.13</v>
      </c>
      <c r="L267" s="12" t="n">
        <v>6899.13</v>
      </c>
      <c r="M267" s="12" t="n">
        <f aca="false">L267-K267</f>
        <v>0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2230</v>
      </c>
      <c r="B268" s="14" t="s">
        <v>2549</v>
      </c>
      <c r="C268" s="14" t="s">
        <v>295</v>
      </c>
      <c r="D268" s="14" t="s">
        <v>1449</v>
      </c>
      <c r="E268" s="14" t="s">
        <v>74</v>
      </c>
      <c r="F268" s="15" t="n">
        <v>1020000</v>
      </c>
      <c r="G268" s="16" t="n">
        <v>0.38</v>
      </c>
      <c r="H268" s="16" t="n">
        <v>1.2</v>
      </c>
      <c r="I268" s="16" t="n">
        <v>0.8972</v>
      </c>
      <c r="J268" s="16" t="n">
        <v>0.53</v>
      </c>
      <c r="K268" s="15" t="n">
        <f aca="false">ROUND(F268/100*G268*H268*I268/J268,2)</f>
        <v>7873.69</v>
      </c>
      <c r="L268" s="15" t="n">
        <v>7873.69</v>
      </c>
      <c r="M268" s="15" t="n">
        <f aca="false">L268-K268</f>
        <v>0</v>
      </c>
      <c r="N268" s="14" t="s">
        <v>61</v>
      </c>
      <c r="O268" s="14" t="s">
        <v>62</v>
      </c>
    </row>
    <row r="269" customFormat="false" ht="15" hidden="false" customHeight="false" outlineLevel="0" collapsed="false">
      <c r="A269" s="3" t="s">
        <v>2210</v>
      </c>
      <c r="B269" s="3" t="s">
        <v>2550</v>
      </c>
      <c r="C269" s="3" t="s">
        <v>887</v>
      </c>
      <c r="D269" s="3" t="s">
        <v>1182</v>
      </c>
      <c r="E269" s="3" t="s">
        <v>50</v>
      </c>
      <c r="F269" s="12" t="n">
        <v>275000</v>
      </c>
      <c r="G269" s="13" t="n">
        <v>1.15</v>
      </c>
      <c r="H269" s="13" t="n">
        <v>1.37</v>
      </c>
      <c r="I269" s="13" t="n">
        <v>0.8972</v>
      </c>
      <c r="J269" s="13" t="n">
        <v>0.53</v>
      </c>
      <c r="K269" s="12" t="n">
        <f aca="false">ROUND(F269/100*G269*H269*I269/J269,2)</f>
        <v>7334.4</v>
      </c>
      <c r="L269" s="12" t="n">
        <v>7334.39</v>
      </c>
      <c r="M269" s="12" t="n">
        <f aca="false">L269-K269</f>
        <v>-0.00999999999930878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2177</v>
      </c>
      <c r="B270" s="14" t="s">
        <v>2551</v>
      </c>
      <c r="C270" s="14" t="s">
        <v>278</v>
      </c>
      <c r="D270" s="14" t="s">
        <v>1998</v>
      </c>
      <c r="E270" s="14" t="s">
        <v>56</v>
      </c>
      <c r="F270" s="15" t="n">
        <v>275000</v>
      </c>
      <c r="G270" s="16" t="n">
        <v>0.75</v>
      </c>
      <c r="H270" s="16" t="n">
        <v>0.98</v>
      </c>
      <c r="I270" s="16" t="n">
        <v>0.8972</v>
      </c>
      <c r="J270" s="16" t="n">
        <v>0.53</v>
      </c>
      <c r="K270" s="15" t="n">
        <f aca="false">ROUND(F270/100*G270*H270*I270/J270,2)</f>
        <v>3421.63</v>
      </c>
      <c r="L270" s="15" t="n">
        <v>3421.63</v>
      </c>
      <c r="M270" s="15" t="n">
        <f aca="false">L270-K270</f>
        <v>0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2361</v>
      </c>
      <c r="B271" s="3" t="s">
        <v>2552</v>
      </c>
      <c r="C271" s="3" t="s">
        <v>278</v>
      </c>
      <c r="D271" s="3" t="s">
        <v>890</v>
      </c>
      <c r="E271" s="3" t="s">
        <v>50</v>
      </c>
      <c r="F271" s="12" t="n">
        <v>695000</v>
      </c>
      <c r="G271" s="13" t="n">
        <v>0.95</v>
      </c>
      <c r="H271" s="13" t="n">
        <v>0.98</v>
      </c>
      <c r="I271" s="13" t="n">
        <v>0.8972</v>
      </c>
      <c r="J271" s="13" t="n">
        <v>0.53</v>
      </c>
      <c r="K271" s="12" t="n">
        <f aca="false">ROUND(F271/100*G271*H271*I271/J271,2)</f>
        <v>10953.37</v>
      </c>
      <c r="L271" s="12" t="n">
        <v>10953.38</v>
      </c>
      <c r="M271" s="12" t="n">
        <f aca="false">L271-K271</f>
        <v>0.00999999999839929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2278</v>
      </c>
      <c r="B272" s="14" t="s">
        <v>2553</v>
      </c>
      <c r="C272" s="14" t="s">
        <v>159</v>
      </c>
      <c r="D272" s="14" t="s">
        <v>1290</v>
      </c>
      <c r="E272" s="14" t="s">
        <v>56</v>
      </c>
      <c r="F272" s="15" t="n">
        <v>325000</v>
      </c>
      <c r="G272" s="16" t="n">
        <v>0.75</v>
      </c>
      <c r="H272" s="16" t="n">
        <v>1.15</v>
      </c>
      <c r="I272" s="16" t="n">
        <v>0.8972</v>
      </c>
      <c r="J272" s="16" t="n">
        <v>0.53</v>
      </c>
      <c r="K272" s="15" t="n">
        <f aca="false">ROUND(F272/100*G272*H272*I272/J272,2)</f>
        <v>4745.21</v>
      </c>
      <c r="L272" s="15" t="n">
        <v>4745.22</v>
      </c>
      <c r="M272" s="15" t="n">
        <f aca="false">L272-K272</f>
        <v>0.0100000000002183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2248</v>
      </c>
      <c r="B273" s="3" t="s">
        <v>2554</v>
      </c>
      <c r="C273" s="3" t="s">
        <v>159</v>
      </c>
      <c r="D273" s="3" t="s">
        <v>170</v>
      </c>
      <c r="E273" s="3" t="s">
        <v>56</v>
      </c>
      <c r="F273" s="12" t="n">
        <v>595000</v>
      </c>
      <c r="G273" s="13" t="n">
        <v>0.65</v>
      </c>
      <c r="H273" s="13" t="n">
        <v>1.15</v>
      </c>
      <c r="I273" s="13" t="n">
        <v>0.8972</v>
      </c>
      <c r="J273" s="13" t="n">
        <v>0.53</v>
      </c>
      <c r="K273" s="12" t="n">
        <f aca="false">ROUND(F273/100*G273*H273*I273/J273,2)</f>
        <v>7529.07</v>
      </c>
      <c r="L273" s="12" t="n">
        <v>7529.08</v>
      </c>
      <c r="M273" s="12" t="n">
        <f aca="false">L273-K273</f>
        <v>0.0100000000002183</v>
      </c>
      <c r="N273" s="3" t="s">
        <v>51</v>
      </c>
      <c r="O273" s="3" t="s">
        <v>52</v>
      </c>
    </row>
    <row r="275" customFormat="false" ht="15" hidden="false" customHeight="false" outlineLevel="0" collapsed="false">
      <c r="A275" s="10" t="s">
        <v>551</v>
      </c>
      <c r="C275" s="17" t="n">
        <f aca="false">COUNTA(B5:B273)</f>
        <v>269</v>
      </c>
    </row>
    <row r="276" customFormat="false" ht="15" hidden="false" customHeight="false" outlineLevel="0" collapsed="false">
      <c r="A276" s="10" t="s">
        <v>552</v>
      </c>
      <c r="C276" s="17" t="n">
        <f aca="false">COUNTIF(O5:O273,"bound")</f>
        <v>189</v>
      </c>
    </row>
    <row r="277" customFormat="false" ht="15" hidden="false" customHeight="false" outlineLevel="0" collapsed="false">
      <c r="A277" s="10" t="s">
        <v>553</v>
      </c>
      <c r="C277" s="18" t="n">
        <f aca="false">AVERAGE(L5:L273)</f>
        <v>9471.63520446097</v>
      </c>
    </row>
    <row r="278" customFormat="false" ht="15" hidden="false" customHeight="false" outlineLevel="0" collapsed="false">
      <c r="A278" s="10" t="s">
        <v>554</v>
      </c>
      <c r="C278" s="18" t="n">
        <f aca="false">AVERAGEIF(O5:O273,"bound",L5:L273)</f>
        <v>9600.78084656085</v>
      </c>
    </row>
    <row r="279" customFormat="false" ht="15" hidden="false" customHeight="false" outlineLevel="0" collapsed="false">
      <c r="A279" s="10" t="s">
        <v>555</v>
      </c>
      <c r="C279" s="18" t="n">
        <f aca="false">SUMIF(O5:O273,"bound",L5:L273)</f>
        <v>1814547.58</v>
      </c>
    </row>
    <row r="280" customFormat="false" ht="15" hidden="false" customHeight="false" outlineLevel="0" collapsed="false">
      <c r="A280" s="10" t="s">
        <v>556</v>
      </c>
      <c r="C280" s="19" t="n">
        <v>0.8972</v>
      </c>
    </row>
  </sheetData>
  <autoFilter ref="A4:O2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2555</v>
      </c>
    </row>
    <row r="2" customFormat="false" ht="15" hidden="false" customHeight="false" outlineLevel="0" collapsed="false">
      <c r="A2" s="4" t="s">
        <v>2556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2557</v>
      </c>
      <c r="B5" s="3" t="s">
        <v>2558</v>
      </c>
      <c r="C5" s="3" t="s">
        <v>93</v>
      </c>
      <c r="D5" s="3" t="s">
        <v>1412</v>
      </c>
      <c r="E5" s="3" t="s">
        <v>50</v>
      </c>
      <c r="F5" s="12" t="n">
        <v>315000</v>
      </c>
      <c r="G5" s="13" t="n">
        <v>1.15</v>
      </c>
      <c r="H5" s="13" t="n">
        <v>1.39</v>
      </c>
      <c r="I5" s="13" t="n">
        <v>0.8792</v>
      </c>
      <c r="J5" s="13" t="n">
        <v>0.53</v>
      </c>
      <c r="K5" s="12" t="n">
        <f aca="false">ROUND(F5/100*G5*H5*I5/J5,2)</f>
        <v>8352.86</v>
      </c>
      <c r="L5" s="12" t="n">
        <v>8352.86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2559</v>
      </c>
      <c r="B6" s="14" t="s">
        <v>2560</v>
      </c>
      <c r="C6" s="14" t="s">
        <v>81</v>
      </c>
      <c r="D6" s="14" t="s">
        <v>542</v>
      </c>
      <c r="E6" s="14" t="s">
        <v>50</v>
      </c>
      <c r="F6" s="15" t="n">
        <v>1080000</v>
      </c>
      <c r="G6" s="16" t="n">
        <v>0.8</v>
      </c>
      <c r="H6" s="16" t="n">
        <v>1.27</v>
      </c>
      <c r="I6" s="16" t="n">
        <v>0.8792</v>
      </c>
      <c r="J6" s="16" t="n">
        <v>0.53</v>
      </c>
      <c r="K6" s="15" t="n">
        <f aca="false">ROUND(F6/100*G6*H6*I6/J6,2)</f>
        <v>18202.43</v>
      </c>
      <c r="L6" s="15" t="n">
        <v>18202.43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2561</v>
      </c>
      <c r="B7" s="3" t="s">
        <v>2562</v>
      </c>
      <c r="C7" s="3" t="s">
        <v>131</v>
      </c>
      <c r="D7" s="3" t="s">
        <v>916</v>
      </c>
      <c r="E7" s="3" t="s">
        <v>56</v>
      </c>
      <c r="F7" s="12" t="n">
        <v>745000</v>
      </c>
      <c r="G7" s="13" t="n">
        <v>0.65</v>
      </c>
      <c r="H7" s="13" t="n">
        <v>0.95</v>
      </c>
      <c r="I7" s="13" t="n">
        <v>0.8792</v>
      </c>
      <c r="J7" s="13" t="n">
        <v>0.53</v>
      </c>
      <c r="K7" s="12" t="n">
        <f aca="false">ROUND(F7/100*G7*H7*I7/J7,2)</f>
        <v>7631.41</v>
      </c>
      <c r="L7" s="12" t="n">
        <v>7631.41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2563</v>
      </c>
      <c r="B8" s="14" t="s">
        <v>2564</v>
      </c>
      <c r="C8" s="14" t="s">
        <v>117</v>
      </c>
      <c r="D8" s="14" t="s">
        <v>1325</v>
      </c>
      <c r="E8" s="14" t="s">
        <v>56</v>
      </c>
      <c r="F8" s="15" t="n">
        <v>200000</v>
      </c>
      <c r="G8" s="16" t="n">
        <v>0.92</v>
      </c>
      <c r="H8" s="16" t="n">
        <v>0.91</v>
      </c>
      <c r="I8" s="16" t="n">
        <v>0.8792</v>
      </c>
      <c r="J8" s="16" t="n">
        <v>0.53</v>
      </c>
      <c r="K8" s="15" t="n">
        <f aca="false">ROUND(F8/100*G8*H8*I8/J8,2)</f>
        <v>2777.61</v>
      </c>
      <c r="L8" s="15" t="n">
        <v>2777.61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2565</v>
      </c>
      <c r="B9" s="3" t="s">
        <v>2566</v>
      </c>
      <c r="C9" s="3" t="s">
        <v>89</v>
      </c>
      <c r="D9" s="3" t="s">
        <v>146</v>
      </c>
      <c r="E9" s="3" t="s">
        <v>56</v>
      </c>
      <c r="F9" s="12" t="n">
        <v>405000</v>
      </c>
      <c r="G9" s="13" t="n">
        <v>0.75</v>
      </c>
      <c r="H9" s="13" t="n">
        <v>1.35</v>
      </c>
      <c r="I9" s="13" t="n">
        <v>0.8792</v>
      </c>
      <c r="J9" s="13" t="n">
        <v>0.53</v>
      </c>
      <c r="K9" s="12" t="n">
        <f aca="false">ROUND(F9/100*G9*H9*I9/J9,2)</f>
        <v>6802.4</v>
      </c>
      <c r="L9" s="12" t="n">
        <v>6802.4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2567</v>
      </c>
      <c r="B10" s="14" t="s">
        <v>2568</v>
      </c>
      <c r="C10" s="14" t="s">
        <v>366</v>
      </c>
      <c r="D10" s="14" t="s">
        <v>1743</v>
      </c>
      <c r="E10" s="14" t="s">
        <v>56</v>
      </c>
      <c r="F10" s="15" t="n">
        <v>610000</v>
      </c>
      <c r="G10" s="16" t="n">
        <v>0.65</v>
      </c>
      <c r="H10" s="16" t="n">
        <v>1.26</v>
      </c>
      <c r="I10" s="16" t="n">
        <v>0.8792</v>
      </c>
      <c r="J10" s="16" t="n">
        <v>0.53</v>
      </c>
      <c r="K10" s="15" t="n">
        <f aca="false">ROUND(F10/100*G10*H10*I10/J10,2)</f>
        <v>8287.54</v>
      </c>
      <c r="L10" s="15" t="n">
        <v>8287.54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2563</v>
      </c>
      <c r="B11" s="3" t="s">
        <v>2569</v>
      </c>
      <c r="C11" s="3" t="s">
        <v>114</v>
      </c>
      <c r="D11" s="3" t="s">
        <v>935</v>
      </c>
      <c r="E11" s="3" t="s">
        <v>50</v>
      </c>
      <c r="F11" s="12" t="n">
        <v>1125000</v>
      </c>
      <c r="G11" s="13" t="n">
        <v>0.8</v>
      </c>
      <c r="H11" s="13" t="n">
        <v>1.36</v>
      </c>
      <c r="I11" s="13" t="n">
        <v>0.8792</v>
      </c>
      <c r="J11" s="13" t="n">
        <v>0.53</v>
      </c>
      <c r="K11" s="12" t="n">
        <f aca="false">ROUND(F11/100*G11*H11*I11/J11,2)</f>
        <v>20304.54</v>
      </c>
      <c r="L11" s="12" t="n">
        <v>20304.54</v>
      </c>
      <c r="M11" s="12" t="n">
        <f aca="false">L11-K11</f>
        <v>0</v>
      </c>
      <c r="N11" s="3" t="s">
        <v>70</v>
      </c>
      <c r="O11" s="3" t="s">
        <v>52</v>
      </c>
    </row>
    <row r="12" customFormat="false" ht="15" hidden="false" customHeight="false" outlineLevel="0" collapsed="false">
      <c r="A12" s="14" t="s">
        <v>2561</v>
      </c>
      <c r="B12" s="14" t="s">
        <v>2570</v>
      </c>
      <c r="C12" s="14" t="s">
        <v>230</v>
      </c>
      <c r="D12" s="14" t="s">
        <v>1002</v>
      </c>
      <c r="E12" s="14" t="s">
        <v>50</v>
      </c>
      <c r="F12" s="15" t="n">
        <v>650000</v>
      </c>
      <c r="G12" s="16" t="n">
        <v>0.95</v>
      </c>
      <c r="H12" s="16" t="n">
        <v>1.09</v>
      </c>
      <c r="I12" s="16" t="n">
        <v>0.8792</v>
      </c>
      <c r="J12" s="16" t="n">
        <v>0.53</v>
      </c>
      <c r="K12" s="15" t="n">
        <f aca="false">ROUND(F12/100*G12*H12*I12/J12,2)</f>
        <v>11165.43</v>
      </c>
      <c r="L12" s="15" t="n">
        <v>11165.43</v>
      </c>
      <c r="M12" s="15" t="n">
        <f aca="false">L12-K12</f>
        <v>0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2571</v>
      </c>
      <c r="B13" s="3" t="s">
        <v>2572</v>
      </c>
      <c r="C13" s="3" t="s">
        <v>295</v>
      </c>
      <c r="D13" s="3" t="s">
        <v>476</v>
      </c>
      <c r="E13" s="3" t="s">
        <v>56</v>
      </c>
      <c r="F13" s="12" t="n">
        <v>465000</v>
      </c>
      <c r="G13" s="13" t="n">
        <v>0.75</v>
      </c>
      <c r="H13" s="13" t="n">
        <v>1.2</v>
      </c>
      <c r="I13" s="13" t="n">
        <v>0.8792</v>
      </c>
      <c r="J13" s="13" t="n">
        <v>0.53</v>
      </c>
      <c r="K13" s="12" t="n">
        <f aca="false">ROUND(F13/100*G13*H13*I13/J13,2)</f>
        <v>6942.36</v>
      </c>
      <c r="L13" s="12" t="n">
        <v>6942.37</v>
      </c>
      <c r="M13" s="12" t="n">
        <f aca="false">L13-K13</f>
        <v>0.0100000000002183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2559</v>
      </c>
      <c r="B14" s="14" t="s">
        <v>2573</v>
      </c>
      <c r="C14" s="14" t="s">
        <v>85</v>
      </c>
      <c r="D14" s="14" t="s">
        <v>1905</v>
      </c>
      <c r="E14" s="14" t="s">
        <v>56</v>
      </c>
      <c r="F14" s="15" t="n">
        <v>490000</v>
      </c>
      <c r="G14" s="16" t="n">
        <v>0.75</v>
      </c>
      <c r="H14" s="16" t="n">
        <v>1.28</v>
      </c>
      <c r="I14" s="16" t="n">
        <v>0.8792</v>
      </c>
      <c r="J14" s="16" t="n">
        <v>0.53</v>
      </c>
      <c r="K14" s="15" t="n">
        <f aca="false">ROUND(F14/100*G14*H14*I14/J14,2)</f>
        <v>7803.31</v>
      </c>
      <c r="L14" s="15" t="n">
        <v>7803.31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2563</v>
      </c>
      <c r="B15" s="3" t="s">
        <v>2574</v>
      </c>
      <c r="C15" s="3" t="s">
        <v>48</v>
      </c>
      <c r="D15" s="3" t="s">
        <v>2575</v>
      </c>
      <c r="E15" s="3" t="s">
        <v>50</v>
      </c>
      <c r="F15" s="12" t="n">
        <v>1255000</v>
      </c>
      <c r="G15" s="13" t="n">
        <v>0.8</v>
      </c>
      <c r="H15" s="13" t="n">
        <v>1.28</v>
      </c>
      <c r="I15" s="13" t="n">
        <v>0.8792</v>
      </c>
      <c r="J15" s="13" t="n">
        <v>0.53</v>
      </c>
      <c r="K15" s="12" t="n">
        <f aca="false">ROUND(F15/100*G15*H15*I15/J15,2)</f>
        <v>21318.44</v>
      </c>
      <c r="L15" s="12" t="n">
        <v>21318.45</v>
      </c>
      <c r="M15" s="12" t="n">
        <f aca="false">L15-K15</f>
        <v>0.0100000000020373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2571</v>
      </c>
      <c r="B16" s="14" t="s">
        <v>2576</v>
      </c>
      <c r="C16" s="14" t="s">
        <v>93</v>
      </c>
      <c r="D16" s="14" t="s">
        <v>2577</v>
      </c>
      <c r="E16" s="14" t="s">
        <v>74</v>
      </c>
      <c r="F16" s="15" t="n">
        <v>530000</v>
      </c>
      <c r="G16" s="16" t="n">
        <v>0.43</v>
      </c>
      <c r="H16" s="16" t="n">
        <v>1.39</v>
      </c>
      <c r="I16" s="16" t="n">
        <v>0.8792</v>
      </c>
      <c r="J16" s="16" t="n">
        <v>0.53</v>
      </c>
      <c r="K16" s="15" t="n">
        <f aca="false">ROUND(F16/100*G16*H16*I16/J16,2)</f>
        <v>5254.98</v>
      </c>
      <c r="L16" s="15" t="n">
        <v>5254.98</v>
      </c>
      <c r="M16" s="15" t="n">
        <f aca="false">L16-K16</f>
        <v>0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2578</v>
      </c>
      <c r="B17" s="3" t="s">
        <v>2579</v>
      </c>
      <c r="C17" s="3" t="s">
        <v>887</v>
      </c>
      <c r="D17" s="3" t="s">
        <v>2580</v>
      </c>
      <c r="E17" s="3" t="s">
        <v>50</v>
      </c>
      <c r="F17" s="12" t="n">
        <v>250000</v>
      </c>
      <c r="G17" s="13" t="n">
        <v>1.15</v>
      </c>
      <c r="H17" s="13" t="n">
        <v>1.37</v>
      </c>
      <c r="I17" s="13" t="n">
        <v>0.8792</v>
      </c>
      <c r="J17" s="13" t="n">
        <v>0.53</v>
      </c>
      <c r="K17" s="12" t="n">
        <f aca="false">ROUND(F17/100*G17*H17*I17/J17,2)</f>
        <v>6533.87</v>
      </c>
      <c r="L17" s="12" t="n">
        <v>6533.86</v>
      </c>
      <c r="M17" s="12" t="n">
        <f aca="false">L17-K17</f>
        <v>-0.0100000000002183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2559</v>
      </c>
      <c r="B18" s="14" t="s">
        <v>2581</v>
      </c>
      <c r="C18" s="14" t="s">
        <v>417</v>
      </c>
      <c r="D18" s="14" t="s">
        <v>2354</v>
      </c>
      <c r="E18" s="14" t="s">
        <v>56</v>
      </c>
      <c r="F18" s="15" t="n">
        <v>505000</v>
      </c>
      <c r="G18" s="16" t="n">
        <v>0.65</v>
      </c>
      <c r="H18" s="16" t="n">
        <v>1.24</v>
      </c>
      <c r="I18" s="16" t="n">
        <v>0.8792</v>
      </c>
      <c r="J18" s="16" t="n">
        <v>0.53</v>
      </c>
      <c r="K18" s="15" t="n">
        <f aca="false">ROUND(F18/100*G18*H18*I18/J18,2)</f>
        <v>6752.09</v>
      </c>
      <c r="L18" s="15" t="n">
        <v>6752.09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2582</v>
      </c>
      <c r="B19" s="3" t="s">
        <v>2583</v>
      </c>
      <c r="C19" s="3" t="s">
        <v>114</v>
      </c>
      <c r="D19" s="3" t="s">
        <v>433</v>
      </c>
      <c r="E19" s="3" t="s">
        <v>56</v>
      </c>
      <c r="F19" s="12" t="n">
        <v>480000</v>
      </c>
      <c r="G19" s="13" t="n">
        <v>0.75</v>
      </c>
      <c r="H19" s="13" t="n">
        <v>1.36</v>
      </c>
      <c r="I19" s="13" t="n">
        <v>0.8792</v>
      </c>
      <c r="J19" s="13" t="n">
        <v>0.53</v>
      </c>
      <c r="K19" s="12" t="n">
        <f aca="false">ROUND(F19/100*G19*H19*I19/J19,2)</f>
        <v>8121.82</v>
      </c>
      <c r="L19" s="12" t="n">
        <v>8121.82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2563</v>
      </c>
      <c r="B20" s="14" t="s">
        <v>2584</v>
      </c>
      <c r="C20" s="14" t="s">
        <v>77</v>
      </c>
      <c r="D20" s="14" t="s">
        <v>2585</v>
      </c>
      <c r="E20" s="14" t="s">
        <v>74</v>
      </c>
      <c r="F20" s="15" t="n">
        <v>450000</v>
      </c>
      <c r="G20" s="16" t="n">
        <v>0.48</v>
      </c>
      <c r="H20" s="16" t="n">
        <v>1.42</v>
      </c>
      <c r="I20" s="16" t="n">
        <v>0.8792</v>
      </c>
      <c r="J20" s="16" t="n">
        <v>0.53</v>
      </c>
      <c r="K20" s="15" t="n">
        <f aca="false">ROUND(F20/100*G20*H20*I20/J20,2)</f>
        <v>5088.08</v>
      </c>
      <c r="L20" s="15" t="n">
        <v>5088.08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2586</v>
      </c>
      <c r="B21" s="3" t="s">
        <v>2587</v>
      </c>
      <c r="C21" s="3" t="s">
        <v>887</v>
      </c>
      <c r="D21" s="3" t="s">
        <v>1510</v>
      </c>
      <c r="E21" s="3" t="s">
        <v>74</v>
      </c>
      <c r="F21" s="12" t="n">
        <v>1340000</v>
      </c>
      <c r="G21" s="13" t="n">
        <v>0.38</v>
      </c>
      <c r="H21" s="13" t="n">
        <v>1.37</v>
      </c>
      <c r="I21" s="13" t="n">
        <v>0.8792</v>
      </c>
      <c r="J21" s="13" t="n">
        <v>0.53</v>
      </c>
      <c r="K21" s="12" t="n">
        <f aca="false">ROUND(F21/100*G21*H21*I21/J21,2)</f>
        <v>11572.33</v>
      </c>
      <c r="L21" s="12" t="n">
        <v>11572.33</v>
      </c>
      <c r="M21" s="12" t="n">
        <f aca="false">L21-K21</f>
        <v>0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2588</v>
      </c>
      <c r="B22" s="14" t="s">
        <v>2589</v>
      </c>
      <c r="C22" s="14" t="s">
        <v>220</v>
      </c>
      <c r="D22" s="14" t="s">
        <v>998</v>
      </c>
      <c r="E22" s="14" t="s">
        <v>56</v>
      </c>
      <c r="F22" s="15" t="n">
        <v>415000</v>
      </c>
      <c r="G22" s="16" t="n">
        <v>0.75</v>
      </c>
      <c r="H22" s="16" t="n">
        <v>1.01</v>
      </c>
      <c r="I22" s="16" t="n">
        <v>0.8792</v>
      </c>
      <c r="J22" s="16" t="n">
        <v>0.53</v>
      </c>
      <c r="K22" s="15" t="n">
        <f aca="false">ROUND(F22/100*G22*H22*I22/J22,2)</f>
        <v>5214.86</v>
      </c>
      <c r="L22" s="15" t="n">
        <v>5214.86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2561</v>
      </c>
      <c r="B23" s="3" t="s">
        <v>2590</v>
      </c>
      <c r="C23" s="3" t="s">
        <v>131</v>
      </c>
      <c r="D23" s="3" t="s">
        <v>624</v>
      </c>
      <c r="E23" s="3" t="s">
        <v>56</v>
      </c>
      <c r="F23" s="12" t="n">
        <v>385000</v>
      </c>
      <c r="G23" s="13" t="n">
        <v>0.75</v>
      </c>
      <c r="H23" s="13" t="n">
        <v>0.95</v>
      </c>
      <c r="I23" s="13" t="n">
        <v>0.8792</v>
      </c>
      <c r="J23" s="13" t="n">
        <v>0.53</v>
      </c>
      <c r="K23" s="12" t="n">
        <f aca="false">ROUND(F23/100*G23*H23*I23/J23,2)</f>
        <v>4550.48</v>
      </c>
      <c r="L23" s="12" t="n">
        <v>4550.48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2557</v>
      </c>
      <c r="B24" s="14" t="s">
        <v>2591</v>
      </c>
      <c r="C24" s="14" t="s">
        <v>224</v>
      </c>
      <c r="D24" s="14" t="s">
        <v>1432</v>
      </c>
      <c r="E24" s="14" t="s">
        <v>56</v>
      </c>
      <c r="F24" s="15" t="n">
        <v>860000</v>
      </c>
      <c r="G24" s="16" t="n">
        <v>0.65</v>
      </c>
      <c r="H24" s="16" t="n">
        <v>1.1</v>
      </c>
      <c r="I24" s="16" t="n">
        <v>0.8792</v>
      </c>
      <c r="J24" s="16" t="n">
        <v>0.53</v>
      </c>
      <c r="K24" s="15" t="n">
        <f aca="false">ROUND(F24/100*G24*H24*I24/J24,2)</f>
        <v>10200.38</v>
      </c>
      <c r="L24" s="15" t="n">
        <v>10200.38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2592</v>
      </c>
      <c r="B25" s="3" t="s">
        <v>2593</v>
      </c>
      <c r="C25" s="3" t="s">
        <v>169</v>
      </c>
      <c r="D25" s="3" t="s">
        <v>2594</v>
      </c>
      <c r="E25" s="3" t="s">
        <v>56</v>
      </c>
      <c r="F25" s="12" t="n">
        <v>270000</v>
      </c>
      <c r="G25" s="13" t="n">
        <v>0.75</v>
      </c>
      <c r="H25" s="13" t="n">
        <v>1.07</v>
      </c>
      <c r="I25" s="13" t="n">
        <v>0.8792</v>
      </c>
      <c r="J25" s="13" t="n">
        <v>0.53</v>
      </c>
      <c r="K25" s="12" t="n">
        <f aca="false">ROUND(F25/100*G25*H25*I25/J25,2)</f>
        <v>3594.35</v>
      </c>
      <c r="L25" s="12" t="n">
        <v>3594.35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2588</v>
      </c>
      <c r="B26" s="14" t="s">
        <v>2595</v>
      </c>
      <c r="C26" s="14" t="s">
        <v>48</v>
      </c>
      <c r="D26" s="14" t="s">
        <v>2596</v>
      </c>
      <c r="E26" s="14" t="s">
        <v>74</v>
      </c>
      <c r="F26" s="15" t="n">
        <v>1480000</v>
      </c>
      <c r="G26" s="16" t="n">
        <v>0.38</v>
      </c>
      <c r="H26" s="16" t="n">
        <v>1.28</v>
      </c>
      <c r="I26" s="16" t="n">
        <v>0.8792</v>
      </c>
      <c r="J26" s="16" t="n">
        <v>0.53</v>
      </c>
      <c r="K26" s="15" t="n">
        <f aca="false">ROUND(F26/100*G26*H26*I26/J26,2)</f>
        <v>11941.73</v>
      </c>
      <c r="L26" s="15" t="n">
        <v>11941.73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2567</v>
      </c>
      <c r="B27" s="3" t="s">
        <v>2597</v>
      </c>
      <c r="C27" s="3" t="s">
        <v>114</v>
      </c>
      <c r="D27" s="3" t="s">
        <v>838</v>
      </c>
      <c r="E27" s="3" t="s">
        <v>56</v>
      </c>
      <c r="F27" s="12" t="n">
        <v>625000</v>
      </c>
      <c r="G27" s="13" t="n">
        <v>0.65</v>
      </c>
      <c r="H27" s="13" t="n">
        <v>1.36</v>
      </c>
      <c r="I27" s="13" t="n">
        <v>0.8792</v>
      </c>
      <c r="J27" s="13" t="n">
        <v>0.53</v>
      </c>
      <c r="K27" s="12" t="n">
        <f aca="false">ROUND(F27/100*G27*H27*I27/J27,2)</f>
        <v>9165.25</v>
      </c>
      <c r="L27" s="12" t="n">
        <v>9165.25</v>
      </c>
      <c r="M27" s="12" t="n">
        <f aca="false">L27-K27</f>
        <v>0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2567</v>
      </c>
      <c r="B28" s="14" t="s">
        <v>2598</v>
      </c>
      <c r="C28" s="14" t="s">
        <v>89</v>
      </c>
      <c r="D28" s="14" t="s">
        <v>527</v>
      </c>
      <c r="E28" s="14" t="s">
        <v>56</v>
      </c>
      <c r="F28" s="15" t="n">
        <v>135000</v>
      </c>
      <c r="G28" s="16" t="n">
        <v>0.92</v>
      </c>
      <c r="H28" s="16" t="n">
        <v>1.35</v>
      </c>
      <c r="I28" s="16" t="n">
        <v>0.8792</v>
      </c>
      <c r="J28" s="16" t="n">
        <v>0.53</v>
      </c>
      <c r="K28" s="15" t="n">
        <f aca="false">ROUND(F28/100*G28*H28*I28/J28,2)</f>
        <v>2781.42</v>
      </c>
      <c r="L28" s="15" t="n">
        <v>2781.42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2599</v>
      </c>
      <c r="B29" s="3" t="s">
        <v>2600</v>
      </c>
      <c r="C29" s="3" t="s">
        <v>409</v>
      </c>
      <c r="D29" s="3" t="s">
        <v>2260</v>
      </c>
      <c r="E29" s="3" t="s">
        <v>56</v>
      </c>
      <c r="F29" s="12" t="n">
        <v>380000</v>
      </c>
      <c r="G29" s="13" t="n">
        <v>0.75</v>
      </c>
      <c r="H29" s="13" t="n">
        <v>1.3</v>
      </c>
      <c r="I29" s="13" t="n">
        <v>0.8792</v>
      </c>
      <c r="J29" s="13" t="n">
        <v>0.53</v>
      </c>
      <c r="K29" s="12" t="n">
        <f aca="false">ROUND(F29/100*G29*H29*I29/J29,2)</f>
        <v>6146.11</v>
      </c>
      <c r="L29" s="12" t="n">
        <v>6146.11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2563</v>
      </c>
      <c r="B30" s="14" t="s">
        <v>2601</v>
      </c>
      <c r="C30" s="14" t="s">
        <v>159</v>
      </c>
      <c r="D30" s="14" t="s">
        <v>1688</v>
      </c>
      <c r="E30" s="14" t="s">
        <v>50</v>
      </c>
      <c r="F30" s="15" t="n">
        <v>740000</v>
      </c>
      <c r="G30" s="16" t="n">
        <v>0.95</v>
      </c>
      <c r="H30" s="16" t="n">
        <v>1.15</v>
      </c>
      <c r="I30" s="16" t="n">
        <v>0.8792</v>
      </c>
      <c r="J30" s="16" t="n">
        <v>0.53</v>
      </c>
      <c r="K30" s="15" t="n">
        <f aca="false">ROUND(F30/100*G30*H30*I30/J30,2)</f>
        <v>13411.12</v>
      </c>
      <c r="L30" s="15" t="n">
        <v>13411.11</v>
      </c>
      <c r="M30" s="15" t="n">
        <f aca="false">L30-K30</f>
        <v>-0.0100000000002183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2602</v>
      </c>
      <c r="B31" s="3" t="s">
        <v>2603</v>
      </c>
      <c r="C31" s="3" t="s">
        <v>48</v>
      </c>
      <c r="D31" s="3" t="s">
        <v>2507</v>
      </c>
      <c r="E31" s="3" t="s">
        <v>74</v>
      </c>
      <c r="F31" s="12" t="n">
        <v>335000</v>
      </c>
      <c r="G31" s="13" t="n">
        <v>0.48</v>
      </c>
      <c r="H31" s="13" t="n">
        <v>1.28</v>
      </c>
      <c r="I31" s="13" t="n">
        <v>0.8792</v>
      </c>
      <c r="J31" s="13" t="n">
        <v>0.53</v>
      </c>
      <c r="K31" s="12" t="n">
        <f aca="false">ROUND(F31/100*G31*H31*I31/J31,2)</f>
        <v>3414.35</v>
      </c>
      <c r="L31" s="12" t="n">
        <v>3414.35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2604</v>
      </c>
      <c r="B32" s="14" t="s">
        <v>2605</v>
      </c>
      <c r="C32" s="14" t="s">
        <v>136</v>
      </c>
      <c r="D32" s="14" t="s">
        <v>859</v>
      </c>
      <c r="E32" s="14" t="s">
        <v>56</v>
      </c>
      <c r="F32" s="15" t="n">
        <v>250000</v>
      </c>
      <c r="G32" s="16" t="n">
        <v>0.75</v>
      </c>
      <c r="H32" s="16" t="n">
        <v>1.32</v>
      </c>
      <c r="I32" s="16" t="n">
        <v>0.8792</v>
      </c>
      <c r="J32" s="16" t="n">
        <v>0.53</v>
      </c>
      <c r="K32" s="15" t="n">
        <f aca="false">ROUND(F32/100*G32*H32*I32/J32,2)</f>
        <v>4105.7</v>
      </c>
      <c r="L32" s="15" t="n">
        <v>4105.7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2559</v>
      </c>
      <c r="B33" s="3" t="s">
        <v>2606</v>
      </c>
      <c r="C33" s="3" t="s">
        <v>142</v>
      </c>
      <c r="D33" s="3" t="s">
        <v>421</v>
      </c>
      <c r="E33" s="3" t="s">
        <v>56</v>
      </c>
      <c r="F33" s="12" t="n">
        <v>650000</v>
      </c>
      <c r="G33" s="13" t="n">
        <v>0.65</v>
      </c>
      <c r="H33" s="13" t="n">
        <v>1.22</v>
      </c>
      <c r="I33" s="13" t="n">
        <v>0.8792</v>
      </c>
      <c r="J33" s="13" t="n">
        <v>0.53</v>
      </c>
      <c r="K33" s="12" t="n">
        <f aca="false">ROUND(F33/100*G33*H33*I33/J33,2)</f>
        <v>8550.63</v>
      </c>
      <c r="L33" s="12" t="n">
        <v>8550.63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2586</v>
      </c>
      <c r="B34" s="14" t="s">
        <v>2607</v>
      </c>
      <c r="C34" s="14" t="s">
        <v>300</v>
      </c>
      <c r="D34" s="14" t="s">
        <v>2286</v>
      </c>
      <c r="E34" s="14" t="s">
        <v>56</v>
      </c>
      <c r="F34" s="15" t="n">
        <v>555000</v>
      </c>
      <c r="G34" s="16" t="n">
        <v>0.65</v>
      </c>
      <c r="H34" s="16" t="n">
        <v>1.11</v>
      </c>
      <c r="I34" s="16" t="n">
        <v>0.8792</v>
      </c>
      <c r="J34" s="16" t="n">
        <v>0.53</v>
      </c>
      <c r="K34" s="15" t="n">
        <f aca="false">ROUND(F34/100*G34*H34*I34/J34,2)</f>
        <v>6642.65</v>
      </c>
      <c r="L34" s="15" t="n">
        <v>6642.65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2608</v>
      </c>
      <c r="B35" s="3" t="s">
        <v>2609</v>
      </c>
      <c r="C35" s="3" t="s">
        <v>136</v>
      </c>
      <c r="D35" s="3" t="s">
        <v>664</v>
      </c>
      <c r="E35" s="3" t="s">
        <v>56</v>
      </c>
      <c r="F35" s="12" t="n">
        <v>790000</v>
      </c>
      <c r="G35" s="13" t="n">
        <v>0.65</v>
      </c>
      <c r="H35" s="13" t="n">
        <v>1.32</v>
      </c>
      <c r="I35" s="13" t="n">
        <v>0.8792</v>
      </c>
      <c r="J35" s="13" t="n">
        <v>0.53</v>
      </c>
      <c r="K35" s="12" t="n">
        <f aca="false">ROUND(F35/100*G35*H35*I35/J35,2)</f>
        <v>11244.14</v>
      </c>
      <c r="L35" s="12" t="n">
        <v>11244.14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2610</v>
      </c>
      <c r="B36" s="14" t="s">
        <v>2611</v>
      </c>
      <c r="C36" s="14" t="s">
        <v>243</v>
      </c>
      <c r="D36" s="14" t="s">
        <v>771</v>
      </c>
      <c r="E36" s="14" t="s">
        <v>56</v>
      </c>
      <c r="F36" s="15" t="n">
        <v>635000</v>
      </c>
      <c r="G36" s="16" t="n">
        <v>0.65</v>
      </c>
      <c r="H36" s="16" t="n">
        <v>1.14</v>
      </c>
      <c r="I36" s="16" t="n">
        <v>0.8792</v>
      </c>
      <c r="J36" s="16" t="n">
        <v>0.53</v>
      </c>
      <c r="K36" s="15" t="n">
        <f aca="false">ROUND(F36/100*G36*H36*I36/J36,2)</f>
        <v>7805.55</v>
      </c>
      <c r="L36" s="15" t="n">
        <v>7805.56</v>
      </c>
      <c r="M36" s="15" t="n">
        <f aca="false">L36-K36</f>
        <v>0.0100000000002183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2588</v>
      </c>
      <c r="B37" s="3" t="s">
        <v>2612</v>
      </c>
      <c r="C37" s="3" t="s">
        <v>169</v>
      </c>
      <c r="D37" s="3" t="s">
        <v>453</v>
      </c>
      <c r="E37" s="3" t="s">
        <v>56</v>
      </c>
      <c r="F37" s="12" t="n">
        <v>790000</v>
      </c>
      <c r="G37" s="13" t="n">
        <v>0.65</v>
      </c>
      <c r="H37" s="13" t="n">
        <v>1.07</v>
      </c>
      <c r="I37" s="13" t="n">
        <v>0.8792</v>
      </c>
      <c r="J37" s="13" t="n">
        <v>0.53</v>
      </c>
      <c r="K37" s="12" t="n">
        <f aca="false">ROUND(F37/100*G37*H37*I37/J37,2)</f>
        <v>9114.57</v>
      </c>
      <c r="L37" s="12" t="n">
        <v>9114.57</v>
      </c>
      <c r="M37" s="12" t="n">
        <f aca="false">L37-K37</f>
        <v>0</v>
      </c>
      <c r="N37" s="3" t="s">
        <v>51</v>
      </c>
      <c r="O37" s="3" t="s">
        <v>52</v>
      </c>
    </row>
    <row r="38" customFormat="false" ht="15" hidden="false" customHeight="false" outlineLevel="0" collapsed="false">
      <c r="A38" s="14" t="s">
        <v>2613</v>
      </c>
      <c r="B38" s="14" t="s">
        <v>2614</v>
      </c>
      <c r="C38" s="14" t="s">
        <v>188</v>
      </c>
      <c r="D38" s="14" t="s">
        <v>1658</v>
      </c>
      <c r="E38" s="14" t="s">
        <v>56</v>
      </c>
      <c r="F38" s="15" t="n">
        <v>365000</v>
      </c>
      <c r="G38" s="16" t="n">
        <v>0.75</v>
      </c>
      <c r="H38" s="16" t="n">
        <v>1.35</v>
      </c>
      <c r="I38" s="16" t="n">
        <v>0.8792</v>
      </c>
      <c r="J38" s="16" t="n">
        <v>0.53</v>
      </c>
      <c r="K38" s="15" t="n">
        <f aca="false">ROUND(F38/100*G38*H38*I38/J38,2)</f>
        <v>6130.55</v>
      </c>
      <c r="L38" s="15" t="n">
        <v>6130.56</v>
      </c>
      <c r="M38" s="15" t="n">
        <f aca="false">L38-K38</f>
        <v>0.0100000000002183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2604</v>
      </c>
      <c r="B39" s="3" t="s">
        <v>2615</v>
      </c>
      <c r="C39" s="3" t="s">
        <v>152</v>
      </c>
      <c r="D39" s="3" t="s">
        <v>664</v>
      </c>
      <c r="E39" s="3" t="s">
        <v>56</v>
      </c>
      <c r="F39" s="12" t="n">
        <v>1950000</v>
      </c>
      <c r="G39" s="13" t="n">
        <v>0.55</v>
      </c>
      <c r="H39" s="13" t="n">
        <v>1</v>
      </c>
      <c r="I39" s="13" t="n">
        <v>0.8792</v>
      </c>
      <c r="J39" s="13" t="n">
        <v>0.53</v>
      </c>
      <c r="K39" s="12" t="n">
        <f aca="false">ROUND(F39/100*G39*H39*I39/J39,2)</f>
        <v>17791.36</v>
      </c>
      <c r="L39" s="12" t="n">
        <v>17791.36</v>
      </c>
      <c r="M39" s="12" t="n">
        <f aca="false">L39-K39</f>
        <v>0</v>
      </c>
      <c r="N39" s="3" t="s">
        <v>51</v>
      </c>
      <c r="O39" s="3" t="s">
        <v>52</v>
      </c>
    </row>
    <row r="40" customFormat="false" ht="15" hidden="false" customHeight="false" outlineLevel="0" collapsed="false">
      <c r="A40" s="14" t="s">
        <v>2616</v>
      </c>
      <c r="B40" s="14" t="s">
        <v>2617</v>
      </c>
      <c r="C40" s="14" t="s">
        <v>300</v>
      </c>
      <c r="D40" s="14" t="s">
        <v>2618</v>
      </c>
      <c r="E40" s="14" t="s">
        <v>50</v>
      </c>
      <c r="F40" s="15" t="n">
        <v>700000</v>
      </c>
      <c r="G40" s="16" t="n">
        <v>0.95</v>
      </c>
      <c r="H40" s="16" t="n">
        <v>1.11</v>
      </c>
      <c r="I40" s="16" t="n">
        <v>0.8792</v>
      </c>
      <c r="J40" s="16" t="n">
        <v>0.53</v>
      </c>
      <c r="K40" s="15" t="n">
        <f aca="false">ROUND(F40/100*G40*H40*I40/J40,2)</f>
        <v>12244.93</v>
      </c>
      <c r="L40" s="15" t="n">
        <v>12244.93</v>
      </c>
      <c r="M40" s="15" t="n">
        <f aca="false">L40-K40</f>
        <v>0</v>
      </c>
      <c r="N40" s="14" t="s">
        <v>51</v>
      </c>
      <c r="O40" s="14" t="s">
        <v>52</v>
      </c>
    </row>
    <row r="41" customFormat="false" ht="15" hidden="false" customHeight="false" outlineLevel="0" collapsed="false">
      <c r="A41" s="3" t="s">
        <v>2610</v>
      </c>
      <c r="B41" s="3" t="s">
        <v>2619</v>
      </c>
      <c r="C41" s="3" t="s">
        <v>210</v>
      </c>
      <c r="D41" s="3" t="s">
        <v>2620</v>
      </c>
      <c r="E41" s="3" t="s">
        <v>50</v>
      </c>
      <c r="F41" s="12" t="n">
        <v>1950000</v>
      </c>
      <c r="G41" s="13" t="n">
        <v>0.8</v>
      </c>
      <c r="H41" s="13" t="n">
        <v>1.21</v>
      </c>
      <c r="I41" s="13" t="n">
        <v>0.8792</v>
      </c>
      <c r="J41" s="13" t="n">
        <v>0.53</v>
      </c>
      <c r="K41" s="12" t="n">
        <f aca="false">ROUND(F41/100*G41*H41*I41/J41,2)</f>
        <v>31312.79</v>
      </c>
      <c r="L41" s="12" t="n">
        <v>31312.79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2582</v>
      </c>
      <c r="B42" s="14" t="s">
        <v>2621</v>
      </c>
      <c r="C42" s="14" t="s">
        <v>169</v>
      </c>
      <c r="D42" s="14" t="s">
        <v>1101</v>
      </c>
      <c r="E42" s="14" t="s">
        <v>56</v>
      </c>
      <c r="F42" s="15" t="n">
        <v>620000</v>
      </c>
      <c r="G42" s="16" t="n">
        <v>0.65</v>
      </c>
      <c r="H42" s="16" t="n">
        <v>1.07</v>
      </c>
      <c r="I42" s="16" t="n">
        <v>0.8792</v>
      </c>
      <c r="J42" s="16" t="n">
        <v>0.53</v>
      </c>
      <c r="K42" s="15" t="n">
        <f aca="false">ROUND(F42/100*G42*H42*I42/J42,2)</f>
        <v>7153.2</v>
      </c>
      <c r="L42" s="15" t="n">
        <v>7153.21</v>
      </c>
      <c r="M42" s="15" t="n">
        <f aca="false">L42-K42</f>
        <v>0.0100000000002183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2592</v>
      </c>
      <c r="B43" s="3" t="s">
        <v>2622</v>
      </c>
      <c r="C43" s="3" t="s">
        <v>409</v>
      </c>
      <c r="D43" s="3" t="s">
        <v>771</v>
      </c>
      <c r="E43" s="3" t="s">
        <v>56</v>
      </c>
      <c r="F43" s="12" t="n">
        <v>820000</v>
      </c>
      <c r="G43" s="13" t="n">
        <v>0.65</v>
      </c>
      <c r="H43" s="13" t="n">
        <v>1.3</v>
      </c>
      <c r="I43" s="13" t="n">
        <v>0.8792</v>
      </c>
      <c r="J43" s="13" t="n">
        <v>0.53</v>
      </c>
      <c r="K43" s="12" t="n">
        <f aca="false">ROUND(F43/100*G43*H43*I43/J43,2)</f>
        <v>11494.3</v>
      </c>
      <c r="L43" s="12" t="n">
        <v>11494.29</v>
      </c>
      <c r="M43" s="12" t="n">
        <f aca="false">L43-K43</f>
        <v>-0.00999999999839929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2563</v>
      </c>
      <c r="B44" s="14" t="s">
        <v>2623</v>
      </c>
      <c r="C44" s="14" t="s">
        <v>220</v>
      </c>
      <c r="D44" s="14" t="s">
        <v>2624</v>
      </c>
      <c r="E44" s="14" t="s">
        <v>50</v>
      </c>
      <c r="F44" s="15" t="n">
        <v>1950000</v>
      </c>
      <c r="G44" s="16" t="n">
        <v>0.8</v>
      </c>
      <c r="H44" s="16" t="n">
        <v>1.01</v>
      </c>
      <c r="I44" s="16" t="n">
        <v>0.8792</v>
      </c>
      <c r="J44" s="16" t="n">
        <v>0.53</v>
      </c>
      <c r="K44" s="15" t="n">
        <f aca="false">ROUND(F44/100*G44*H44*I44/J44,2)</f>
        <v>26137.12</v>
      </c>
      <c r="L44" s="15" t="n">
        <v>26137.12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2586</v>
      </c>
      <c r="B45" s="3" t="s">
        <v>2625</v>
      </c>
      <c r="C45" s="3" t="s">
        <v>117</v>
      </c>
      <c r="D45" s="3" t="s">
        <v>2470</v>
      </c>
      <c r="E45" s="3" t="s">
        <v>50</v>
      </c>
      <c r="F45" s="12" t="n">
        <v>1425000</v>
      </c>
      <c r="G45" s="13" t="n">
        <v>0.8</v>
      </c>
      <c r="H45" s="13" t="n">
        <v>0.91</v>
      </c>
      <c r="I45" s="13" t="n">
        <v>0.8792</v>
      </c>
      <c r="J45" s="13" t="n">
        <v>0.53</v>
      </c>
      <c r="K45" s="12" t="n">
        <f aca="false">ROUND(F45/100*G45*H45*I45/J45,2)</f>
        <v>17209.1</v>
      </c>
      <c r="L45" s="12" t="n">
        <v>17209.09</v>
      </c>
      <c r="M45" s="12" t="n">
        <f aca="false">L45-K45</f>
        <v>-0.00999999999839929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2626</v>
      </c>
      <c r="B46" s="14" t="s">
        <v>2627</v>
      </c>
      <c r="C46" s="14" t="s">
        <v>462</v>
      </c>
      <c r="D46" s="14" t="s">
        <v>2628</v>
      </c>
      <c r="E46" s="14" t="s">
        <v>56</v>
      </c>
      <c r="F46" s="15" t="n">
        <v>625000</v>
      </c>
      <c r="G46" s="16" t="n">
        <v>0.65</v>
      </c>
      <c r="H46" s="16" t="n">
        <v>1.34</v>
      </c>
      <c r="I46" s="16" t="n">
        <v>0.8792</v>
      </c>
      <c r="J46" s="16" t="n">
        <v>0.53</v>
      </c>
      <c r="K46" s="15" t="n">
        <f aca="false">ROUND(F46/100*G46*H46*I46/J46,2)</f>
        <v>9030.46</v>
      </c>
      <c r="L46" s="15" t="n">
        <v>9030.47</v>
      </c>
      <c r="M46" s="15" t="n">
        <f aca="false">L46-K46</f>
        <v>0.0100000000002183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2604</v>
      </c>
      <c r="B47" s="3" t="s">
        <v>2629</v>
      </c>
      <c r="C47" s="3" t="s">
        <v>243</v>
      </c>
      <c r="D47" s="3" t="s">
        <v>2630</v>
      </c>
      <c r="E47" s="3" t="s">
        <v>50</v>
      </c>
      <c r="F47" s="12" t="n">
        <v>970000</v>
      </c>
      <c r="G47" s="13" t="n">
        <v>0.95</v>
      </c>
      <c r="H47" s="13" t="n">
        <v>1.14</v>
      </c>
      <c r="I47" s="13" t="n">
        <v>0.8792</v>
      </c>
      <c r="J47" s="13" t="n">
        <v>0.53</v>
      </c>
      <c r="K47" s="12" t="n">
        <f aca="false">ROUND(F47/100*G47*H47*I47/J47,2)</f>
        <v>17426.57</v>
      </c>
      <c r="L47" s="12" t="n">
        <v>17426.57</v>
      </c>
      <c r="M47" s="12" t="n">
        <f aca="false">L47-K47</f>
        <v>0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2631</v>
      </c>
      <c r="B48" s="14" t="s">
        <v>2632</v>
      </c>
      <c r="C48" s="14" t="s">
        <v>462</v>
      </c>
      <c r="D48" s="14" t="s">
        <v>2311</v>
      </c>
      <c r="E48" s="14" t="s">
        <v>56</v>
      </c>
      <c r="F48" s="15" t="n">
        <v>465000</v>
      </c>
      <c r="G48" s="16" t="n">
        <v>0.75</v>
      </c>
      <c r="H48" s="16" t="n">
        <v>1.34</v>
      </c>
      <c r="I48" s="16" t="n">
        <v>0.8792</v>
      </c>
      <c r="J48" s="16" t="n">
        <v>0.53</v>
      </c>
      <c r="K48" s="15" t="n">
        <f aca="false">ROUND(F48/100*G48*H48*I48/J48,2)</f>
        <v>7752.3</v>
      </c>
      <c r="L48" s="15" t="n">
        <v>7752.3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2633</v>
      </c>
      <c r="B49" s="3" t="s">
        <v>2634</v>
      </c>
      <c r="C49" s="3" t="s">
        <v>77</v>
      </c>
      <c r="D49" s="3" t="s">
        <v>2509</v>
      </c>
      <c r="E49" s="3" t="s">
        <v>50</v>
      </c>
      <c r="F49" s="12" t="n">
        <v>1215000</v>
      </c>
      <c r="G49" s="13" t="n">
        <v>0.8</v>
      </c>
      <c r="H49" s="13" t="n">
        <v>1.42</v>
      </c>
      <c r="I49" s="13" t="n">
        <v>0.8792</v>
      </c>
      <c r="J49" s="13" t="n">
        <v>0.53</v>
      </c>
      <c r="K49" s="12" t="n">
        <f aca="false">ROUND(F49/100*G49*H49*I49/J49,2)</f>
        <v>22896.36</v>
      </c>
      <c r="L49" s="12" t="n">
        <v>22896.35</v>
      </c>
      <c r="M49" s="12" t="n">
        <f aca="false">L49-K49</f>
        <v>-0.0100000000020373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2608</v>
      </c>
      <c r="B50" s="14" t="s">
        <v>2635</v>
      </c>
      <c r="C50" s="14" t="s">
        <v>48</v>
      </c>
      <c r="D50" s="14" t="s">
        <v>823</v>
      </c>
      <c r="E50" s="14" t="s">
        <v>50</v>
      </c>
      <c r="F50" s="15" t="n">
        <v>415000</v>
      </c>
      <c r="G50" s="16" t="n">
        <v>1.15</v>
      </c>
      <c r="H50" s="16" t="n">
        <v>1.28</v>
      </c>
      <c r="I50" s="16" t="n">
        <v>0.8792</v>
      </c>
      <c r="J50" s="16" t="n">
        <v>0.53</v>
      </c>
      <c r="K50" s="15" t="n">
        <f aca="false">ROUND(F50/100*G50*H50*I50/J50,2)</f>
        <v>10133.69</v>
      </c>
      <c r="L50" s="15" t="n">
        <v>10133.69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2599</v>
      </c>
      <c r="B51" s="3" t="s">
        <v>2636</v>
      </c>
      <c r="C51" s="3" t="s">
        <v>114</v>
      </c>
      <c r="D51" s="3" t="s">
        <v>2637</v>
      </c>
      <c r="E51" s="3" t="s">
        <v>133</v>
      </c>
      <c r="F51" s="12" t="n">
        <v>1810000</v>
      </c>
      <c r="G51" s="13" t="n">
        <v>0.34</v>
      </c>
      <c r="H51" s="13" t="n">
        <v>1.36</v>
      </c>
      <c r="I51" s="13" t="n">
        <v>0.8792</v>
      </c>
      <c r="J51" s="13" t="n">
        <v>0.53</v>
      </c>
      <c r="K51" s="12" t="n">
        <f aca="false">ROUND(F51/100*G51*H51*I51/J51,2)</f>
        <v>13883.8</v>
      </c>
      <c r="L51" s="12" t="n">
        <v>13883.8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2604</v>
      </c>
      <c r="B52" s="14" t="s">
        <v>2638</v>
      </c>
      <c r="C52" s="14" t="s">
        <v>48</v>
      </c>
      <c r="D52" s="14" t="s">
        <v>871</v>
      </c>
      <c r="E52" s="14" t="s">
        <v>56</v>
      </c>
      <c r="F52" s="15" t="n">
        <v>610000</v>
      </c>
      <c r="G52" s="16" t="n">
        <v>0.65</v>
      </c>
      <c r="H52" s="16" t="n">
        <v>1.28</v>
      </c>
      <c r="I52" s="16" t="n">
        <v>0.8792</v>
      </c>
      <c r="J52" s="16" t="n">
        <v>0.53</v>
      </c>
      <c r="K52" s="15" t="n">
        <f aca="false">ROUND(F52/100*G52*H52*I52/J52,2)</f>
        <v>8419.09</v>
      </c>
      <c r="L52" s="15" t="n">
        <v>8419.09</v>
      </c>
      <c r="M52" s="15" t="n">
        <f aca="false">L52-K52</f>
        <v>0</v>
      </c>
      <c r="N52" s="14" t="s">
        <v>51</v>
      </c>
      <c r="O52" s="14" t="s">
        <v>52</v>
      </c>
    </row>
    <row r="53" customFormat="false" ht="15" hidden="false" customHeight="false" outlineLevel="0" collapsed="false">
      <c r="A53" s="3" t="s">
        <v>2588</v>
      </c>
      <c r="B53" s="3" t="s">
        <v>2639</v>
      </c>
      <c r="C53" s="3" t="s">
        <v>108</v>
      </c>
      <c r="D53" s="3" t="s">
        <v>700</v>
      </c>
      <c r="E53" s="3" t="s">
        <v>74</v>
      </c>
      <c r="F53" s="12" t="n">
        <v>365000</v>
      </c>
      <c r="G53" s="13" t="n">
        <v>0.48</v>
      </c>
      <c r="H53" s="13" t="n">
        <v>0.93</v>
      </c>
      <c r="I53" s="13" t="n">
        <v>0.8792</v>
      </c>
      <c r="J53" s="13" t="n">
        <v>0.53</v>
      </c>
      <c r="K53" s="12" t="n">
        <f aca="false">ROUND(F53/100*G53*H53*I53/J53,2)</f>
        <v>2702.89</v>
      </c>
      <c r="L53" s="12" t="n">
        <v>2702.89</v>
      </c>
      <c r="M53" s="12" t="n">
        <f aca="false">L53-K53</f>
        <v>0</v>
      </c>
      <c r="N53" s="3" t="s">
        <v>70</v>
      </c>
      <c r="O53" s="3" t="s">
        <v>52</v>
      </c>
    </row>
    <row r="54" customFormat="false" ht="15" hidden="false" customHeight="false" outlineLevel="0" collapsed="false">
      <c r="A54" s="14" t="s">
        <v>2633</v>
      </c>
      <c r="B54" s="14" t="s">
        <v>2640</v>
      </c>
      <c r="C54" s="14" t="s">
        <v>243</v>
      </c>
      <c r="D54" s="14" t="s">
        <v>1650</v>
      </c>
      <c r="E54" s="14" t="s">
        <v>74</v>
      </c>
      <c r="F54" s="15" t="n">
        <v>890000</v>
      </c>
      <c r="G54" s="16" t="n">
        <v>0.43</v>
      </c>
      <c r="H54" s="16" t="n">
        <v>1.14</v>
      </c>
      <c r="I54" s="16" t="n">
        <v>0.8792</v>
      </c>
      <c r="J54" s="16" t="n">
        <v>0.53</v>
      </c>
      <c r="K54" s="15" t="n">
        <f aca="false">ROUND(F54/100*G54*H54*I54/J54,2)</f>
        <v>7237.28</v>
      </c>
      <c r="L54" s="15" t="n">
        <v>7237.28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2613</v>
      </c>
      <c r="B55" s="3" t="s">
        <v>2641</v>
      </c>
      <c r="C55" s="3" t="s">
        <v>145</v>
      </c>
      <c r="D55" s="3" t="s">
        <v>751</v>
      </c>
      <c r="E55" s="3" t="s">
        <v>56</v>
      </c>
      <c r="F55" s="12" t="n">
        <v>305000</v>
      </c>
      <c r="G55" s="13" t="n">
        <v>0.75</v>
      </c>
      <c r="H55" s="13" t="n">
        <v>0.96</v>
      </c>
      <c r="I55" s="13" t="n">
        <v>0.8792</v>
      </c>
      <c r="J55" s="13" t="n">
        <v>0.53</v>
      </c>
      <c r="K55" s="12" t="n">
        <f aca="false">ROUND(F55/100*G55*H55*I55/J55,2)</f>
        <v>3642.87</v>
      </c>
      <c r="L55" s="12" t="n">
        <v>3642.88</v>
      </c>
      <c r="M55" s="12" t="n">
        <f aca="false">L55-K55</f>
        <v>0.0100000000002183</v>
      </c>
      <c r="N55" s="3" t="s">
        <v>70</v>
      </c>
      <c r="O55" s="3" t="s">
        <v>52</v>
      </c>
    </row>
    <row r="56" customFormat="false" ht="15" hidden="false" customHeight="false" outlineLevel="0" collapsed="false">
      <c r="A56" s="14" t="s">
        <v>2642</v>
      </c>
      <c r="B56" s="14" t="s">
        <v>2643</v>
      </c>
      <c r="C56" s="14" t="s">
        <v>81</v>
      </c>
      <c r="D56" s="14" t="s">
        <v>1806</v>
      </c>
      <c r="E56" s="14" t="s">
        <v>56</v>
      </c>
      <c r="F56" s="15" t="n">
        <v>615000</v>
      </c>
      <c r="G56" s="16" t="n">
        <v>0.65</v>
      </c>
      <c r="H56" s="16" t="n">
        <v>1.27</v>
      </c>
      <c r="I56" s="16" t="n">
        <v>0.8792</v>
      </c>
      <c r="J56" s="16" t="n">
        <v>0.53</v>
      </c>
      <c r="K56" s="15" t="n">
        <f aca="false">ROUND(F56/100*G56*H56*I56/J56,2)</f>
        <v>8421.78</v>
      </c>
      <c r="L56" s="15" t="n">
        <v>8421.79</v>
      </c>
      <c r="M56" s="15" t="n">
        <f aca="false">L56-K56</f>
        <v>0.0100000000002183</v>
      </c>
      <c r="N56" s="14" t="s">
        <v>51</v>
      </c>
      <c r="O56" s="14" t="s">
        <v>52</v>
      </c>
    </row>
    <row r="57" customFormat="false" ht="15" hidden="false" customHeight="false" outlineLevel="0" collapsed="false">
      <c r="A57" s="3" t="s">
        <v>2616</v>
      </c>
      <c r="B57" s="3" t="s">
        <v>2644</v>
      </c>
      <c r="C57" s="3" t="s">
        <v>174</v>
      </c>
      <c r="D57" s="3" t="s">
        <v>270</v>
      </c>
      <c r="E57" s="3" t="s">
        <v>56</v>
      </c>
      <c r="F57" s="12" t="n">
        <v>875000</v>
      </c>
      <c r="G57" s="13" t="n">
        <v>0.65</v>
      </c>
      <c r="H57" s="13" t="n">
        <v>1.55</v>
      </c>
      <c r="I57" s="13" t="n">
        <v>0.8792</v>
      </c>
      <c r="J57" s="13" t="n">
        <v>0.53</v>
      </c>
      <c r="K57" s="12" t="n">
        <f aca="false">ROUND(F57/100*G57*H57*I57/J57,2)</f>
        <v>14623.96</v>
      </c>
      <c r="L57" s="12" t="n">
        <v>14623.95</v>
      </c>
      <c r="M57" s="12" t="n">
        <f aca="false">L57-K57</f>
        <v>-0.00999999999839929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2565</v>
      </c>
      <c r="B58" s="14" t="s">
        <v>2645</v>
      </c>
      <c r="C58" s="14" t="s">
        <v>48</v>
      </c>
      <c r="D58" s="14" t="s">
        <v>385</v>
      </c>
      <c r="E58" s="14" t="s">
        <v>56</v>
      </c>
      <c r="F58" s="15" t="n">
        <v>510000</v>
      </c>
      <c r="G58" s="16" t="n">
        <v>0.65</v>
      </c>
      <c r="H58" s="16" t="n">
        <v>1.28</v>
      </c>
      <c r="I58" s="16" t="n">
        <v>0.8792</v>
      </c>
      <c r="J58" s="16" t="n">
        <v>0.53</v>
      </c>
      <c r="K58" s="15" t="n">
        <f aca="false">ROUND(F58/100*G58*H58*I58/J58,2)</f>
        <v>7038.91</v>
      </c>
      <c r="L58" s="15" t="n">
        <v>7038.91</v>
      </c>
      <c r="M58" s="15" t="n">
        <f aca="false">L58-K58</f>
        <v>0</v>
      </c>
      <c r="N58" s="14" t="s">
        <v>51</v>
      </c>
      <c r="O58" s="14" t="s">
        <v>52</v>
      </c>
    </row>
    <row r="59" customFormat="false" ht="15" hidden="false" customHeight="false" outlineLevel="0" collapsed="false">
      <c r="A59" s="3" t="s">
        <v>2561</v>
      </c>
      <c r="B59" s="3" t="s">
        <v>2646</v>
      </c>
      <c r="C59" s="3" t="s">
        <v>152</v>
      </c>
      <c r="D59" s="3" t="s">
        <v>2004</v>
      </c>
      <c r="E59" s="3" t="s">
        <v>56</v>
      </c>
      <c r="F59" s="12" t="n">
        <v>955000</v>
      </c>
      <c r="G59" s="13" t="n">
        <v>0.65</v>
      </c>
      <c r="H59" s="13" t="n">
        <v>1</v>
      </c>
      <c r="I59" s="13" t="n">
        <v>0.8792</v>
      </c>
      <c r="J59" s="13" t="n">
        <v>0.53</v>
      </c>
      <c r="K59" s="12" t="n">
        <f aca="false">ROUND(F59/100*G59*H59*I59/J59,2)</f>
        <v>10297.42</v>
      </c>
      <c r="L59" s="12" t="n">
        <v>10297.42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2563</v>
      </c>
      <c r="B60" s="14" t="s">
        <v>2647</v>
      </c>
      <c r="C60" s="14" t="s">
        <v>159</v>
      </c>
      <c r="D60" s="14" t="s">
        <v>2648</v>
      </c>
      <c r="E60" s="14" t="s">
        <v>157</v>
      </c>
      <c r="F60" s="15" t="n">
        <v>600000</v>
      </c>
      <c r="G60" s="16" t="n">
        <v>0.78</v>
      </c>
      <c r="H60" s="16" t="n">
        <v>1.15</v>
      </c>
      <c r="I60" s="16" t="n">
        <v>0.8792</v>
      </c>
      <c r="J60" s="16" t="n">
        <v>0.53</v>
      </c>
      <c r="K60" s="15" t="n">
        <f aca="false">ROUND(F60/100*G60*H60*I60/J60,2)</f>
        <v>8928.03</v>
      </c>
      <c r="L60" s="15" t="n">
        <v>8928.03</v>
      </c>
      <c r="M60" s="15" t="n">
        <f aca="false">L60-K60</f>
        <v>0</v>
      </c>
      <c r="N60" s="14" t="s">
        <v>51</v>
      </c>
      <c r="O60" s="14" t="s">
        <v>52</v>
      </c>
    </row>
    <row r="61" customFormat="false" ht="15" hidden="false" customHeight="false" outlineLevel="0" collapsed="false">
      <c r="A61" s="3" t="s">
        <v>2582</v>
      </c>
      <c r="B61" s="3" t="s">
        <v>2649</v>
      </c>
      <c r="C61" s="3" t="s">
        <v>142</v>
      </c>
      <c r="D61" s="3" t="s">
        <v>2650</v>
      </c>
      <c r="E61" s="3" t="s">
        <v>50</v>
      </c>
      <c r="F61" s="12" t="n">
        <v>645000</v>
      </c>
      <c r="G61" s="13" t="n">
        <v>0.95</v>
      </c>
      <c r="H61" s="13" t="n">
        <v>1.22</v>
      </c>
      <c r="I61" s="13" t="n">
        <v>0.8792</v>
      </c>
      <c r="J61" s="13" t="n">
        <v>0.53</v>
      </c>
      <c r="K61" s="12" t="n">
        <f aca="false">ROUND(F61/100*G61*H61*I61/J61,2)</f>
        <v>12400.95</v>
      </c>
      <c r="L61" s="12" t="n">
        <v>12400.95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2565</v>
      </c>
      <c r="B62" s="14" t="s">
        <v>2651</v>
      </c>
      <c r="C62" s="14" t="s">
        <v>93</v>
      </c>
      <c r="D62" s="14" t="s">
        <v>146</v>
      </c>
      <c r="E62" s="14" t="s">
        <v>56</v>
      </c>
      <c r="F62" s="15" t="n">
        <v>805000</v>
      </c>
      <c r="G62" s="16" t="n">
        <v>0.65</v>
      </c>
      <c r="H62" s="16" t="n">
        <v>1.39</v>
      </c>
      <c r="I62" s="16" t="n">
        <v>0.8792</v>
      </c>
      <c r="J62" s="16" t="n">
        <v>0.53</v>
      </c>
      <c r="K62" s="15" t="n">
        <f aca="false">ROUND(F62/100*G62*H62*I62/J62,2)</f>
        <v>12065.24</v>
      </c>
      <c r="L62" s="15" t="n">
        <v>12065.24</v>
      </c>
      <c r="M62" s="15" t="n">
        <f aca="false">L62-K62</f>
        <v>0</v>
      </c>
      <c r="N62" s="14" t="s">
        <v>51</v>
      </c>
      <c r="O62" s="14" t="s">
        <v>52</v>
      </c>
    </row>
    <row r="63" customFormat="false" ht="15" hidden="false" customHeight="false" outlineLevel="0" collapsed="false">
      <c r="A63" s="3" t="s">
        <v>2604</v>
      </c>
      <c r="B63" s="3" t="s">
        <v>2652</v>
      </c>
      <c r="C63" s="3" t="s">
        <v>435</v>
      </c>
      <c r="D63" s="3" t="s">
        <v>2653</v>
      </c>
      <c r="E63" s="3" t="s">
        <v>56</v>
      </c>
      <c r="F63" s="12" t="n">
        <v>550000</v>
      </c>
      <c r="G63" s="13" t="n">
        <v>0.65</v>
      </c>
      <c r="H63" s="13" t="n">
        <v>1.13</v>
      </c>
      <c r="I63" s="13" t="n">
        <v>0.8792</v>
      </c>
      <c r="J63" s="13" t="n">
        <v>0.53</v>
      </c>
      <c r="K63" s="12" t="n">
        <f aca="false">ROUND(F63/100*G63*H63*I63/J63,2)</f>
        <v>6701.41</v>
      </c>
      <c r="L63" s="12" t="n">
        <v>6701.41</v>
      </c>
      <c r="M63" s="12" t="n">
        <f aca="false">L63-K63</f>
        <v>0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2599</v>
      </c>
      <c r="B64" s="14" t="s">
        <v>2654</v>
      </c>
      <c r="C64" s="14" t="s">
        <v>217</v>
      </c>
      <c r="D64" s="14" t="s">
        <v>944</v>
      </c>
      <c r="E64" s="14" t="s">
        <v>56</v>
      </c>
      <c r="F64" s="15" t="n">
        <v>545000</v>
      </c>
      <c r="G64" s="16" t="n">
        <v>0.65</v>
      </c>
      <c r="H64" s="16" t="n">
        <v>1.3</v>
      </c>
      <c r="I64" s="16" t="n">
        <v>0.8792</v>
      </c>
      <c r="J64" s="16" t="n">
        <v>0.53</v>
      </c>
      <c r="K64" s="15" t="n">
        <f aca="false">ROUND(F64/100*G64*H64*I64/J64,2)</f>
        <v>7639.5</v>
      </c>
      <c r="L64" s="15" t="n">
        <v>7639.5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2633</v>
      </c>
      <c r="B65" s="3" t="s">
        <v>2655</v>
      </c>
      <c r="C65" s="3" t="s">
        <v>105</v>
      </c>
      <c r="D65" s="3" t="s">
        <v>566</v>
      </c>
      <c r="E65" s="3" t="s">
        <v>56</v>
      </c>
      <c r="F65" s="12" t="n">
        <v>520000</v>
      </c>
      <c r="G65" s="13" t="n">
        <v>0.65</v>
      </c>
      <c r="H65" s="13" t="n">
        <v>0.99</v>
      </c>
      <c r="I65" s="13" t="n">
        <v>0.8792</v>
      </c>
      <c r="J65" s="13" t="n">
        <v>0.53</v>
      </c>
      <c r="K65" s="12" t="n">
        <f aca="false">ROUND(F65/100*G65*H65*I65/J65,2)</f>
        <v>5550.9</v>
      </c>
      <c r="L65" s="12" t="n">
        <v>5550.9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2567</v>
      </c>
      <c r="B66" s="14" t="s">
        <v>2656</v>
      </c>
      <c r="C66" s="14" t="s">
        <v>174</v>
      </c>
      <c r="D66" s="14" t="s">
        <v>1831</v>
      </c>
      <c r="E66" s="14" t="s">
        <v>56</v>
      </c>
      <c r="F66" s="15" t="n">
        <v>445000</v>
      </c>
      <c r="G66" s="16" t="n">
        <v>0.75</v>
      </c>
      <c r="H66" s="16" t="n">
        <v>1.55</v>
      </c>
      <c r="I66" s="16" t="n">
        <v>0.8792</v>
      </c>
      <c r="J66" s="16" t="n">
        <v>0.53</v>
      </c>
      <c r="K66" s="15" t="n">
        <f aca="false">ROUND(F66/100*G66*H66*I66/J66,2)</f>
        <v>8581.53</v>
      </c>
      <c r="L66" s="15" t="n">
        <v>8581.53</v>
      </c>
      <c r="M66" s="15" t="n">
        <f aca="false">L66-K66</f>
        <v>0</v>
      </c>
      <c r="N66" s="14" t="s">
        <v>51</v>
      </c>
      <c r="O66" s="14" t="s">
        <v>52</v>
      </c>
    </row>
    <row r="67" customFormat="false" ht="15" hidden="false" customHeight="false" outlineLevel="0" collapsed="false">
      <c r="A67" s="3" t="s">
        <v>2613</v>
      </c>
      <c r="B67" s="3" t="s">
        <v>2657</v>
      </c>
      <c r="C67" s="3" t="s">
        <v>237</v>
      </c>
      <c r="D67" s="3" t="s">
        <v>757</v>
      </c>
      <c r="E67" s="3" t="s">
        <v>56</v>
      </c>
      <c r="F67" s="12" t="n">
        <v>1300000</v>
      </c>
      <c r="G67" s="13" t="n">
        <v>0.55</v>
      </c>
      <c r="H67" s="13" t="n">
        <v>1.33</v>
      </c>
      <c r="I67" s="13" t="n">
        <v>0.8792</v>
      </c>
      <c r="J67" s="13" t="n">
        <v>0.53</v>
      </c>
      <c r="K67" s="12" t="n">
        <f aca="false">ROUND(F67/100*G67*H67*I67/J67,2)</f>
        <v>15775</v>
      </c>
      <c r="L67" s="12" t="n">
        <v>15775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2567</v>
      </c>
      <c r="B68" s="14" t="s">
        <v>2658</v>
      </c>
      <c r="C68" s="14" t="s">
        <v>305</v>
      </c>
      <c r="D68" s="14" t="s">
        <v>2043</v>
      </c>
      <c r="E68" s="14" t="s">
        <v>50</v>
      </c>
      <c r="F68" s="15" t="n">
        <v>370000</v>
      </c>
      <c r="G68" s="16" t="n">
        <v>1.15</v>
      </c>
      <c r="H68" s="16" t="n">
        <v>1.12</v>
      </c>
      <c r="I68" s="16" t="n">
        <v>0.8792</v>
      </c>
      <c r="J68" s="16" t="n">
        <v>0.53</v>
      </c>
      <c r="K68" s="15" t="n">
        <f aca="false">ROUND(F68/100*G68*H68*I68/J68,2)</f>
        <v>7905.5</v>
      </c>
      <c r="L68" s="15" t="n">
        <v>7905.5</v>
      </c>
      <c r="M68" s="15" t="n">
        <f aca="false">L68-K68</f>
        <v>0</v>
      </c>
      <c r="N68" s="14" t="s">
        <v>51</v>
      </c>
      <c r="O68" s="14" t="s">
        <v>52</v>
      </c>
    </row>
    <row r="69" customFormat="false" ht="15" hidden="false" customHeight="false" outlineLevel="0" collapsed="false">
      <c r="A69" s="3" t="s">
        <v>2633</v>
      </c>
      <c r="B69" s="3" t="s">
        <v>2659</v>
      </c>
      <c r="C69" s="3" t="s">
        <v>145</v>
      </c>
      <c r="D69" s="3" t="s">
        <v>1759</v>
      </c>
      <c r="E69" s="3" t="s">
        <v>157</v>
      </c>
      <c r="F69" s="12" t="n">
        <v>700000</v>
      </c>
      <c r="G69" s="13" t="n">
        <v>0.78</v>
      </c>
      <c r="H69" s="13" t="n">
        <v>0.96</v>
      </c>
      <c r="I69" s="13" t="n">
        <v>0.8792</v>
      </c>
      <c r="J69" s="13" t="n">
        <v>0.53</v>
      </c>
      <c r="K69" s="12" t="n">
        <f aca="false">ROUND(F69/100*G69*H69*I69/J69,2)</f>
        <v>8695.12</v>
      </c>
      <c r="L69" s="12" t="n">
        <v>8695.12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2571</v>
      </c>
      <c r="B70" s="14" t="s">
        <v>2660</v>
      </c>
      <c r="C70" s="14" t="s">
        <v>105</v>
      </c>
      <c r="D70" s="14" t="s">
        <v>90</v>
      </c>
      <c r="E70" s="14" t="s">
        <v>50</v>
      </c>
      <c r="F70" s="15" t="n">
        <v>940000</v>
      </c>
      <c r="G70" s="16" t="n">
        <v>0.95</v>
      </c>
      <c r="H70" s="16" t="n">
        <v>0.99</v>
      </c>
      <c r="I70" s="16" t="n">
        <v>0.8792</v>
      </c>
      <c r="J70" s="16" t="n">
        <v>0.53</v>
      </c>
      <c r="K70" s="15" t="n">
        <f aca="false">ROUND(F70/100*G70*H70*I70/J70,2)</f>
        <v>14665.55</v>
      </c>
      <c r="L70" s="15" t="n">
        <v>14665.56</v>
      </c>
      <c r="M70" s="15" t="n">
        <f aca="false">L70-K70</f>
        <v>0.0100000000002183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2626</v>
      </c>
      <c r="B71" s="3" t="s">
        <v>2661</v>
      </c>
      <c r="C71" s="3" t="s">
        <v>93</v>
      </c>
      <c r="D71" s="3" t="s">
        <v>1028</v>
      </c>
      <c r="E71" s="3" t="s">
        <v>50</v>
      </c>
      <c r="F71" s="12" t="n">
        <v>385000</v>
      </c>
      <c r="G71" s="13" t="n">
        <v>1.15</v>
      </c>
      <c r="H71" s="13" t="n">
        <v>1.39</v>
      </c>
      <c r="I71" s="13" t="n">
        <v>0.8792</v>
      </c>
      <c r="J71" s="13" t="n">
        <v>0.53</v>
      </c>
      <c r="K71" s="12" t="n">
        <f aca="false">ROUND(F71/100*G71*H71*I71/J71,2)</f>
        <v>10209.05</v>
      </c>
      <c r="L71" s="12" t="n">
        <v>10209.05</v>
      </c>
      <c r="M71" s="12" t="n">
        <f aca="false">L71-K71</f>
        <v>0</v>
      </c>
      <c r="N71" s="3" t="s">
        <v>61</v>
      </c>
      <c r="O71" s="3" t="s">
        <v>62</v>
      </c>
    </row>
    <row r="72" customFormat="false" ht="15" hidden="false" customHeight="false" outlineLevel="0" collapsed="false">
      <c r="A72" s="14" t="s">
        <v>2565</v>
      </c>
      <c r="B72" s="14" t="s">
        <v>2662</v>
      </c>
      <c r="C72" s="14" t="s">
        <v>152</v>
      </c>
      <c r="D72" s="14" t="s">
        <v>2470</v>
      </c>
      <c r="E72" s="14" t="s">
        <v>50</v>
      </c>
      <c r="F72" s="15" t="n">
        <v>1160000</v>
      </c>
      <c r="G72" s="16" t="n">
        <v>0.8</v>
      </c>
      <c r="H72" s="16" t="n">
        <v>1</v>
      </c>
      <c r="I72" s="16" t="n">
        <v>0.8792</v>
      </c>
      <c r="J72" s="16" t="n">
        <v>0.53</v>
      </c>
      <c r="K72" s="15" t="n">
        <f aca="false">ROUND(F72/100*G72*H72*I72/J72,2)</f>
        <v>15394.29</v>
      </c>
      <c r="L72" s="15" t="n">
        <v>15394.29</v>
      </c>
      <c r="M72" s="15" t="n">
        <f aca="false">L72-K72</f>
        <v>0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2559</v>
      </c>
      <c r="B73" s="3" t="s">
        <v>2663</v>
      </c>
      <c r="C73" s="3" t="s">
        <v>136</v>
      </c>
      <c r="D73" s="3" t="s">
        <v>1352</v>
      </c>
      <c r="E73" s="3" t="s">
        <v>50</v>
      </c>
      <c r="F73" s="12" t="n">
        <v>710000</v>
      </c>
      <c r="G73" s="13" t="n">
        <v>0.95</v>
      </c>
      <c r="H73" s="13" t="n">
        <v>1.32</v>
      </c>
      <c r="I73" s="13" t="n">
        <v>0.8792</v>
      </c>
      <c r="J73" s="13" t="n">
        <v>0.53</v>
      </c>
      <c r="K73" s="12" t="n">
        <f aca="false">ROUND(F73/100*G73*H73*I73/J73,2)</f>
        <v>14769.56</v>
      </c>
      <c r="L73" s="12" t="n">
        <v>14769.57</v>
      </c>
      <c r="M73" s="12" t="n">
        <f aca="false">L73-K73</f>
        <v>0.0100000000002183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2642</v>
      </c>
      <c r="B74" s="14" t="s">
        <v>2664</v>
      </c>
      <c r="C74" s="14" t="s">
        <v>237</v>
      </c>
      <c r="D74" s="14" t="s">
        <v>2032</v>
      </c>
      <c r="E74" s="14" t="s">
        <v>74</v>
      </c>
      <c r="F74" s="15" t="n">
        <v>350000</v>
      </c>
      <c r="G74" s="16" t="n">
        <v>0.48</v>
      </c>
      <c r="H74" s="16" t="n">
        <v>1.33</v>
      </c>
      <c r="I74" s="16" t="n">
        <v>0.8792</v>
      </c>
      <c r="J74" s="16" t="n">
        <v>0.53</v>
      </c>
      <c r="K74" s="15" t="n">
        <f aca="false">ROUND(F74/100*G74*H74*I74/J74,2)</f>
        <v>3706.57</v>
      </c>
      <c r="L74" s="15" t="n">
        <v>3706.58</v>
      </c>
      <c r="M74" s="15" t="n">
        <f aca="false">L74-K74</f>
        <v>0.00999999999976353</v>
      </c>
      <c r="N74" s="14" t="s">
        <v>51</v>
      </c>
      <c r="O74" s="14" t="s">
        <v>52</v>
      </c>
    </row>
    <row r="75" customFormat="false" ht="15" hidden="false" customHeight="false" outlineLevel="0" collapsed="false">
      <c r="A75" s="3" t="s">
        <v>2599</v>
      </c>
      <c r="B75" s="3" t="s">
        <v>2665</v>
      </c>
      <c r="C75" s="3" t="s">
        <v>326</v>
      </c>
      <c r="D75" s="3" t="s">
        <v>2648</v>
      </c>
      <c r="E75" s="3" t="s">
        <v>157</v>
      </c>
      <c r="F75" s="12" t="n">
        <v>380000</v>
      </c>
      <c r="G75" s="13" t="n">
        <v>0.88</v>
      </c>
      <c r="H75" s="13" t="n">
        <v>1.12</v>
      </c>
      <c r="I75" s="13" t="n">
        <v>0.8792</v>
      </c>
      <c r="J75" s="13" t="n">
        <v>0.53</v>
      </c>
      <c r="K75" s="12" t="n">
        <f aca="false">ROUND(F75/100*G75*H75*I75/J75,2)</f>
        <v>6212.92</v>
      </c>
      <c r="L75" s="12" t="n">
        <v>6212.93</v>
      </c>
      <c r="M75" s="12" t="n">
        <f aca="false">L75-K75</f>
        <v>0.0100000000002183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2561</v>
      </c>
      <c r="B76" s="14" t="s">
        <v>2666</v>
      </c>
      <c r="C76" s="14" t="s">
        <v>193</v>
      </c>
      <c r="D76" s="14" t="s">
        <v>885</v>
      </c>
      <c r="E76" s="14" t="s">
        <v>56</v>
      </c>
      <c r="F76" s="15" t="n">
        <v>395000</v>
      </c>
      <c r="G76" s="16" t="n">
        <v>0.75</v>
      </c>
      <c r="H76" s="16" t="n">
        <v>1.25</v>
      </c>
      <c r="I76" s="16" t="n">
        <v>0.8792</v>
      </c>
      <c r="J76" s="16" t="n">
        <v>0.53</v>
      </c>
      <c r="K76" s="15" t="n">
        <f aca="false">ROUND(F76/100*G76*H76*I76/J76,2)</f>
        <v>6143</v>
      </c>
      <c r="L76" s="15" t="n">
        <v>6143</v>
      </c>
      <c r="M76" s="15" t="n">
        <f aca="false">L76-K76</f>
        <v>0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2571</v>
      </c>
      <c r="B77" s="3" t="s">
        <v>2667</v>
      </c>
      <c r="C77" s="3" t="s">
        <v>136</v>
      </c>
      <c r="D77" s="3" t="s">
        <v>1292</v>
      </c>
      <c r="E77" s="3" t="s">
        <v>56</v>
      </c>
      <c r="F77" s="12" t="n">
        <v>1705000</v>
      </c>
      <c r="G77" s="13" t="n">
        <v>0.55</v>
      </c>
      <c r="H77" s="13" t="n">
        <v>1.32</v>
      </c>
      <c r="I77" s="13" t="n">
        <v>0.8792</v>
      </c>
      <c r="J77" s="13" t="n">
        <v>0.53</v>
      </c>
      <c r="K77" s="12" t="n">
        <f aca="false">ROUND(F77/100*G77*H77*I77/J77,2)</f>
        <v>20533.96</v>
      </c>
      <c r="L77" s="12" t="n">
        <v>20533.96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2616</v>
      </c>
      <c r="B78" s="14" t="s">
        <v>2668</v>
      </c>
      <c r="C78" s="14" t="s">
        <v>145</v>
      </c>
      <c r="D78" s="14" t="s">
        <v>1454</v>
      </c>
      <c r="E78" s="14" t="s">
        <v>56</v>
      </c>
      <c r="F78" s="15" t="n">
        <v>640000</v>
      </c>
      <c r="G78" s="16" t="n">
        <v>0.65</v>
      </c>
      <c r="H78" s="16" t="n">
        <v>0.96</v>
      </c>
      <c r="I78" s="16" t="n">
        <v>0.8792</v>
      </c>
      <c r="J78" s="16" t="n">
        <v>0.53</v>
      </c>
      <c r="K78" s="15" t="n">
        <f aca="false">ROUND(F78/100*G78*H78*I78/J78,2)</f>
        <v>6624.85</v>
      </c>
      <c r="L78" s="15" t="n">
        <v>6624.85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2608</v>
      </c>
      <c r="B79" s="3" t="s">
        <v>2669</v>
      </c>
      <c r="C79" s="3" t="s">
        <v>193</v>
      </c>
      <c r="D79" s="3" t="s">
        <v>2670</v>
      </c>
      <c r="E79" s="3" t="s">
        <v>50</v>
      </c>
      <c r="F79" s="12" t="n">
        <v>285000</v>
      </c>
      <c r="G79" s="13" t="n">
        <v>1.15</v>
      </c>
      <c r="H79" s="13" t="n">
        <v>1.25</v>
      </c>
      <c r="I79" s="13" t="n">
        <v>0.8792</v>
      </c>
      <c r="J79" s="13" t="n">
        <v>0.53</v>
      </c>
      <c r="K79" s="12" t="n">
        <f aca="false">ROUND(F79/100*G79*H79*I79/J79,2)</f>
        <v>6796.17</v>
      </c>
      <c r="L79" s="12" t="n">
        <v>6796.17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2604</v>
      </c>
      <c r="B80" s="14" t="s">
        <v>2671</v>
      </c>
      <c r="C80" s="14" t="s">
        <v>366</v>
      </c>
      <c r="D80" s="14" t="s">
        <v>137</v>
      </c>
      <c r="E80" s="14" t="s">
        <v>56</v>
      </c>
      <c r="F80" s="15" t="n">
        <v>515000</v>
      </c>
      <c r="G80" s="16" t="n">
        <v>0.65</v>
      </c>
      <c r="H80" s="16" t="n">
        <v>1.26</v>
      </c>
      <c r="I80" s="16" t="n">
        <v>0.8792</v>
      </c>
      <c r="J80" s="16" t="n">
        <v>0.53</v>
      </c>
      <c r="K80" s="15" t="n">
        <f aca="false">ROUND(F80/100*G80*H80*I80/J80,2)</f>
        <v>6996.86</v>
      </c>
      <c r="L80" s="15" t="n">
        <v>6996.86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2672</v>
      </c>
      <c r="B81" s="3" t="s">
        <v>2673</v>
      </c>
      <c r="C81" s="3" t="s">
        <v>366</v>
      </c>
      <c r="D81" s="3" t="s">
        <v>1070</v>
      </c>
      <c r="E81" s="3" t="s">
        <v>74</v>
      </c>
      <c r="F81" s="12" t="n">
        <v>1530000</v>
      </c>
      <c r="G81" s="13" t="n">
        <v>0.38</v>
      </c>
      <c r="H81" s="13" t="n">
        <v>1.26</v>
      </c>
      <c r="I81" s="13" t="n">
        <v>0.8792</v>
      </c>
      <c r="J81" s="13" t="n">
        <v>0.53</v>
      </c>
      <c r="K81" s="12" t="n">
        <f aca="false">ROUND(F81/100*G81*H81*I81/J81,2)</f>
        <v>12152.27</v>
      </c>
      <c r="L81" s="12" t="n">
        <v>12152.27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2559</v>
      </c>
      <c r="B82" s="14" t="s">
        <v>2674</v>
      </c>
      <c r="C82" s="14" t="s">
        <v>435</v>
      </c>
      <c r="D82" s="14" t="s">
        <v>527</v>
      </c>
      <c r="E82" s="14" t="s">
        <v>56</v>
      </c>
      <c r="F82" s="15" t="n">
        <v>440000</v>
      </c>
      <c r="G82" s="16" t="n">
        <v>0.75</v>
      </c>
      <c r="H82" s="16" t="n">
        <v>1.13</v>
      </c>
      <c r="I82" s="16" t="n">
        <v>0.8792</v>
      </c>
      <c r="J82" s="16" t="n">
        <v>0.53</v>
      </c>
      <c r="K82" s="15" t="n">
        <f aca="false">ROUND(F82/100*G82*H82*I82/J82,2)</f>
        <v>6185.92</v>
      </c>
      <c r="L82" s="15" t="n">
        <v>6185.92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2561</v>
      </c>
      <c r="B83" s="3" t="s">
        <v>2675</v>
      </c>
      <c r="C83" s="3" t="s">
        <v>152</v>
      </c>
      <c r="D83" s="3" t="s">
        <v>2245</v>
      </c>
      <c r="E83" s="3" t="s">
        <v>50</v>
      </c>
      <c r="F83" s="12" t="n">
        <v>975000</v>
      </c>
      <c r="G83" s="13" t="n">
        <v>0.95</v>
      </c>
      <c r="H83" s="13" t="n">
        <v>1</v>
      </c>
      <c r="I83" s="13" t="n">
        <v>0.8792</v>
      </c>
      <c r="J83" s="13" t="n">
        <v>0.53</v>
      </c>
      <c r="K83" s="12" t="n">
        <f aca="false">ROUND(F83/100*G83*H83*I83/J83,2)</f>
        <v>15365.26</v>
      </c>
      <c r="L83" s="12" t="n">
        <v>15365.27</v>
      </c>
      <c r="M83" s="12" t="n">
        <f aca="false">L83-K83</f>
        <v>0.0100000000002183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2642</v>
      </c>
      <c r="B84" s="14" t="s">
        <v>2676</v>
      </c>
      <c r="C84" s="14" t="s">
        <v>59</v>
      </c>
      <c r="D84" s="14" t="s">
        <v>717</v>
      </c>
      <c r="E84" s="14" t="s">
        <v>56</v>
      </c>
      <c r="F84" s="15" t="n">
        <v>475000</v>
      </c>
      <c r="G84" s="16" t="n">
        <v>0.75</v>
      </c>
      <c r="H84" s="16" t="n">
        <v>0.97</v>
      </c>
      <c r="I84" s="16" t="n">
        <v>0.8792</v>
      </c>
      <c r="J84" s="16" t="n">
        <v>0.53</v>
      </c>
      <c r="K84" s="15" t="n">
        <f aca="false">ROUND(F84/100*G84*H84*I84/J84,2)</f>
        <v>5732.43</v>
      </c>
      <c r="L84" s="15" t="n">
        <v>5732.43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2626</v>
      </c>
      <c r="B85" s="3" t="s">
        <v>2677</v>
      </c>
      <c r="C85" s="3" t="s">
        <v>366</v>
      </c>
      <c r="D85" s="3" t="s">
        <v>1642</v>
      </c>
      <c r="E85" s="3" t="s">
        <v>157</v>
      </c>
      <c r="F85" s="12" t="n">
        <v>805000</v>
      </c>
      <c r="G85" s="13" t="n">
        <v>0.78</v>
      </c>
      <c r="H85" s="13" t="n">
        <v>1.26</v>
      </c>
      <c r="I85" s="13" t="n">
        <v>0.8792</v>
      </c>
      <c r="J85" s="13" t="n">
        <v>0.53</v>
      </c>
      <c r="K85" s="12" t="n">
        <f aca="false">ROUND(F85/100*G85*H85*I85/J85,2)</f>
        <v>13124.2</v>
      </c>
      <c r="L85" s="12" t="n">
        <v>13124.2</v>
      </c>
      <c r="M85" s="12" t="n">
        <f aca="false">L85-K85</f>
        <v>0</v>
      </c>
      <c r="N85" s="3" t="s">
        <v>51</v>
      </c>
      <c r="O85" s="3" t="s">
        <v>52</v>
      </c>
    </row>
    <row r="86" customFormat="false" ht="15" hidden="false" customHeight="false" outlineLevel="0" collapsed="false">
      <c r="A86" s="14" t="s">
        <v>2571</v>
      </c>
      <c r="B86" s="14" t="s">
        <v>2678</v>
      </c>
      <c r="C86" s="14" t="s">
        <v>152</v>
      </c>
      <c r="D86" s="14" t="s">
        <v>2679</v>
      </c>
      <c r="E86" s="14" t="s">
        <v>56</v>
      </c>
      <c r="F86" s="15" t="n">
        <v>415000</v>
      </c>
      <c r="G86" s="16" t="n">
        <v>0.75</v>
      </c>
      <c r="H86" s="16" t="n">
        <v>1</v>
      </c>
      <c r="I86" s="16" t="n">
        <v>0.8792</v>
      </c>
      <c r="J86" s="16" t="n">
        <v>0.53</v>
      </c>
      <c r="K86" s="15" t="n">
        <f aca="false">ROUND(F86/100*G86*H86*I86/J86,2)</f>
        <v>5163.23</v>
      </c>
      <c r="L86" s="15" t="n">
        <v>5163.23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2571</v>
      </c>
      <c r="B87" s="3" t="s">
        <v>2680</v>
      </c>
      <c r="C87" s="3" t="s">
        <v>89</v>
      </c>
      <c r="D87" s="3" t="s">
        <v>1563</v>
      </c>
      <c r="E87" s="3" t="s">
        <v>56</v>
      </c>
      <c r="F87" s="12" t="n">
        <v>485000</v>
      </c>
      <c r="G87" s="13" t="n">
        <v>0.75</v>
      </c>
      <c r="H87" s="13" t="n">
        <v>1.35</v>
      </c>
      <c r="I87" s="13" t="n">
        <v>0.8792</v>
      </c>
      <c r="J87" s="13" t="n">
        <v>0.53</v>
      </c>
      <c r="K87" s="12" t="n">
        <f aca="false">ROUND(F87/100*G87*H87*I87/J87,2)</f>
        <v>8146.08</v>
      </c>
      <c r="L87" s="12" t="n">
        <v>8146.08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2631</v>
      </c>
      <c r="B88" s="14" t="s">
        <v>2681</v>
      </c>
      <c r="C88" s="14" t="s">
        <v>417</v>
      </c>
      <c r="D88" s="14" t="s">
        <v>572</v>
      </c>
      <c r="E88" s="14" t="s">
        <v>56</v>
      </c>
      <c r="F88" s="15" t="n">
        <v>770000</v>
      </c>
      <c r="G88" s="16" t="n">
        <v>0.65</v>
      </c>
      <c r="H88" s="16" t="n">
        <v>1.24</v>
      </c>
      <c r="I88" s="16" t="n">
        <v>0.8792</v>
      </c>
      <c r="J88" s="16" t="n">
        <v>0.53</v>
      </c>
      <c r="K88" s="15" t="n">
        <f aca="false">ROUND(F88/100*G88*H88*I88/J88,2)</f>
        <v>10295.27</v>
      </c>
      <c r="L88" s="15" t="n">
        <v>10295.26</v>
      </c>
      <c r="M88" s="15" t="n">
        <f aca="false">L88-K88</f>
        <v>-0.0100000000002183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2559</v>
      </c>
      <c r="B89" s="3" t="s">
        <v>2682</v>
      </c>
      <c r="C89" s="3" t="s">
        <v>131</v>
      </c>
      <c r="D89" s="3" t="s">
        <v>2150</v>
      </c>
      <c r="E89" s="3" t="s">
        <v>56</v>
      </c>
      <c r="F89" s="12" t="n">
        <v>645000</v>
      </c>
      <c r="G89" s="13" t="n">
        <v>0.65</v>
      </c>
      <c r="H89" s="13" t="n">
        <v>0.95</v>
      </c>
      <c r="I89" s="13" t="n">
        <v>0.8792</v>
      </c>
      <c r="J89" s="13" t="n">
        <v>0.53</v>
      </c>
      <c r="K89" s="12" t="n">
        <f aca="false">ROUND(F89/100*G89*H89*I89/J89,2)</f>
        <v>6607.06</v>
      </c>
      <c r="L89" s="12" t="n">
        <v>6607.06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2563</v>
      </c>
      <c r="B90" s="14" t="s">
        <v>2683</v>
      </c>
      <c r="C90" s="14" t="s">
        <v>435</v>
      </c>
      <c r="D90" s="14" t="s">
        <v>617</v>
      </c>
      <c r="E90" s="14" t="s">
        <v>56</v>
      </c>
      <c r="F90" s="15" t="n">
        <v>710000</v>
      </c>
      <c r="G90" s="16" t="n">
        <v>0.65</v>
      </c>
      <c r="H90" s="16" t="n">
        <v>1.13</v>
      </c>
      <c r="I90" s="16" t="n">
        <v>0.8792</v>
      </c>
      <c r="J90" s="16" t="n">
        <v>0.53</v>
      </c>
      <c r="K90" s="15" t="n">
        <f aca="false">ROUND(F90/100*G90*H90*I90/J90,2)</f>
        <v>8650.91</v>
      </c>
      <c r="L90" s="15" t="n">
        <v>8650.91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2684</v>
      </c>
      <c r="B91" s="3" t="s">
        <v>2685</v>
      </c>
      <c r="C91" s="3" t="s">
        <v>105</v>
      </c>
      <c r="D91" s="3" t="s">
        <v>2686</v>
      </c>
      <c r="E91" s="3" t="s">
        <v>74</v>
      </c>
      <c r="F91" s="12" t="n">
        <v>1000000</v>
      </c>
      <c r="G91" s="13" t="n">
        <v>0.38</v>
      </c>
      <c r="H91" s="13" t="n">
        <v>0.99</v>
      </c>
      <c r="I91" s="13" t="n">
        <v>0.8792</v>
      </c>
      <c r="J91" s="13" t="n">
        <v>0.53</v>
      </c>
      <c r="K91" s="12" t="n">
        <f aca="false">ROUND(F91/100*G91*H91*I91/J91,2)</f>
        <v>6240.66</v>
      </c>
      <c r="L91" s="12" t="n">
        <v>6240.66</v>
      </c>
      <c r="M91" s="12" t="n">
        <f aca="false">L91-K91</f>
        <v>0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2687</v>
      </c>
      <c r="B92" s="14" t="s">
        <v>2688</v>
      </c>
      <c r="C92" s="14" t="s">
        <v>159</v>
      </c>
      <c r="D92" s="14" t="s">
        <v>1919</v>
      </c>
      <c r="E92" s="14" t="s">
        <v>56</v>
      </c>
      <c r="F92" s="15" t="n">
        <v>640000</v>
      </c>
      <c r="G92" s="16" t="n">
        <v>0.65</v>
      </c>
      <c r="H92" s="16" t="n">
        <v>1.15</v>
      </c>
      <c r="I92" s="16" t="n">
        <v>0.8792</v>
      </c>
      <c r="J92" s="16" t="n">
        <v>0.53</v>
      </c>
      <c r="K92" s="15" t="n">
        <f aca="false">ROUND(F92/100*G92*H92*I92/J92,2)</f>
        <v>7936.02</v>
      </c>
      <c r="L92" s="15" t="n">
        <v>7936.03</v>
      </c>
      <c r="M92" s="15" t="n">
        <f aca="false">L92-K92</f>
        <v>0.00999999999930878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2626</v>
      </c>
      <c r="B93" s="3" t="s">
        <v>2689</v>
      </c>
      <c r="C93" s="3" t="s">
        <v>48</v>
      </c>
      <c r="D93" s="3" t="s">
        <v>1599</v>
      </c>
      <c r="E93" s="3" t="s">
        <v>56</v>
      </c>
      <c r="F93" s="12" t="n">
        <v>545000</v>
      </c>
      <c r="G93" s="13" t="n">
        <v>0.65</v>
      </c>
      <c r="H93" s="13" t="n">
        <v>1.28</v>
      </c>
      <c r="I93" s="13" t="n">
        <v>0.8792</v>
      </c>
      <c r="J93" s="13" t="n">
        <v>0.53</v>
      </c>
      <c r="K93" s="12" t="n">
        <f aca="false">ROUND(F93/100*G93*H93*I93/J93,2)</f>
        <v>7521.97</v>
      </c>
      <c r="L93" s="12" t="n">
        <v>7521.97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2613</v>
      </c>
      <c r="B94" s="14" t="s">
        <v>2690</v>
      </c>
      <c r="C94" s="14" t="s">
        <v>89</v>
      </c>
      <c r="D94" s="14" t="s">
        <v>182</v>
      </c>
      <c r="E94" s="14" t="s">
        <v>56</v>
      </c>
      <c r="F94" s="15" t="n">
        <v>810000</v>
      </c>
      <c r="G94" s="16" t="n">
        <v>0.65</v>
      </c>
      <c r="H94" s="16" t="n">
        <v>1.35</v>
      </c>
      <c r="I94" s="16" t="n">
        <v>0.8792</v>
      </c>
      <c r="J94" s="16" t="n">
        <v>0.53</v>
      </c>
      <c r="K94" s="15" t="n">
        <f aca="false">ROUND(F94/100*G94*H94*I94/J94,2)</f>
        <v>11790.82</v>
      </c>
      <c r="L94" s="15" t="n">
        <v>11790.82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2571</v>
      </c>
      <c r="B95" s="3" t="s">
        <v>2691</v>
      </c>
      <c r="C95" s="3" t="s">
        <v>217</v>
      </c>
      <c r="D95" s="3" t="s">
        <v>2228</v>
      </c>
      <c r="E95" s="3" t="s">
        <v>50</v>
      </c>
      <c r="F95" s="12" t="n">
        <v>695000</v>
      </c>
      <c r="G95" s="13" t="n">
        <v>0.95</v>
      </c>
      <c r="H95" s="13" t="n">
        <v>1.3</v>
      </c>
      <c r="I95" s="13" t="n">
        <v>0.8792</v>
      </c>
      <c r="J95" s="13" t="n">
        <v>0.53</v>
      </c>
      <c r="K95" s="12" t="n">
        <f aca="false">ROUND(F95/100*G95*H95*I95/J95,2)</f>
        <v>14238.48</v>
      </c>
      <c r="L95" s="12" t="n">
        <v>14238.48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2599</v>
      </c>
      <c r="B96" s="14" t="s">
        <v>2692</v>
      </c>
      <c r="C96" s="14" t="s">
        <v>243</v>
      </c>
      <c r="D96" s="14" t="s">
        <v>1945</v>
      </c>
      <c r="E96" s="14" t="s">
        <v>133</v>
      </c>
      <c r="F96" s="15" t="n">
        <v>1950000</v>
      </c>
      <c r="G96" s="16" t="n">
        <v>0.34</v>
      </c>
      <c r="H96" s="16" t="n">
        <v>1.14</v>
      </c>
      <c r="I96" s="16" t="n">
        <v>0.8792</v>
      </c>
      <c r="J96" s="16" t="n">
        <v>0.53</v>
      </c>
      <c r="K96" s="15" t="n">
        <f aca="false">ROUND(F96/100*G96*H96*I96/J96,2)</f>
        <v>12538.06</v>
      </c>
      <c r="L96" s="15" t="n">
        <v>12538.05</v>
      </c>
      <c r="M96" s="15" t="n">
        <f aca="false">L96-K96</f>
        <v>-0.0100000000002183</v>
      </c>
      <c r="N96" s="14" t="s">
        <v>70</v>
      </c>
      <c r="O96" s="14" t="s">
        <v>52</v>
      </c>
    </row>
    <row r="97" customFormat="false" ht="15" hidden="false" customHeight="false" outlineLevel="0" collapsed="false">
      <c r="A97" s="3" t="s">
        <v>2586</v>
      </c>
      <c r="B97" s="3" t="s">
        <v>2693</v>
      </c>
      <c r="C97" s="3" t="s">
        <v>93</v>
      </c>
      <c r="D97" s="3" t="s">
        <v>2122</v>
      </c>
      <c r="E97" s="3" t="s">
        <v>56</v>
      </c>
      <c r="F97" s="12" t="n">
        <v>540000</v>
      </c>
      <c r="G97" s="13" t="n">
        <v>0.65</v>
      </c>
      <c r="H97" s="13" t="n">
        <v>1.39</v>
      </c>
      <c r="I97" s="13" t="n">
        <v>0.8792</v>
      </c>
      <c r="J97" s="13" t="n">
        <v>0.53</v>
      </c>
      <c r="K97" s="12" t="n">
        <f aca="false">ROUND(F97/100*G97*H97*I97/J97,2)</f>
        <v>8093.45</v>
      </c>
      <c r="L97" s="12" t="n">
        <v>8093.45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2599</v>
      </c>
      <c r="B98" s="14" t="s">
        <v>2694</v>
      </c>
      <c r="C98" s="14" t="s">
        <v>48</v>
      </c>
      <c r="D98" s="14" t="s">
        <v>1922</v>
      </c>
      <c r="E98" s="14" t="s">
        <v>56</v>
      </c>
      <c r="F98" s="15" t="n">
        <v>350000</v>
      </c>
      <c r="G98" s="16" t="n">
        <v>0.75</v>
      </c>
      <c r="H98" s="16" t="n">
        <v>1.28</v>
      </c>
      <c r="I98" s="16" t="n">
        <v>0.8792</v>
      </c>
      <c r="J98" s="16" t="n">
        <v>0.53</v>
      </c>
      <c r="K98" s="15" t="n">
        <f aca="false">ROUND(F98/100*G98*H98*I98/J98,2)</f>
        <v>5573.8</v>
      </c>
      <c r="L98" s="15" t="n">
        <v>5573.79</v>
      </c>
      <c r="M98" s="15" t="n">
        <f aca="false">L98-K98</f>
        <v>-0.0100000000002183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2565</v>
      </c>
      <c r="B99" s="3" t="s">
        <v>2695</v>
      </c>
      <c r="C99" s="3" t="s">
        <v>114</v>
      </c>
      <c r="D99" s="3" t="s">
        <v>531</v>
      </c>
      <c r="E99" s="3" t="s">
        <v>56</v>
      </c>
      <c r="F99" s="12" t="n">
        <v>375000</v>
      </c>
      <c r="G99" s="13" t="n">
        <v>0.75</v>
      </c>
      <c r="H99" s="13" t="n">
        <v>1.36</v>
      </c>
      <c r="I99" s="13" t="n">
        <v>0.8792</v>
      </c>
      <c r="J99" s="13" t="n">
        <v>0.53</v>
      </c>
      <c r="K99" s="12" t="n">
        <f aca="false">ROUND(F99/100*G99*H99*I99/J99,2)</f>
        <v>6345.17</v>
      </c>
      <c r="L99" s="12" t="n">
        <v>6345.17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2642</v>
      </c>
      <c r="B100" s="14" t="s">
        <v>2696</v>
      </c>
      <c r="C100" s="14" t="s">
        <v>196</v>
      </c>
      <c r="D100" s="14" t="s">
        <v>153</v>
      </c>
      <c r="E100" s="14" t="s">
        <v>56</v>
      </c>
      <c r="F100" s="15" t="n">
        <v>620000</v>
      </c>
      <c r="G100" s="16" t="n">
        <v>0.65</v>
      </c>
      <c r="H100" s="16" t="n">
        <v>1.04</v>
      </c>
      <c r="I100" s="16" t="n">
        <v>0.8792</v>
      </c>
      <c r="J100" s="16" t="n">
        <v>0.53</v>
      </c>
      <c r="K100" s="15" t="n">
        <f aca="false">ROUND(F100/100*G100*H100*I100/J100,2)</f>
        <v>6952.65</v>
      </c>
      <c r="L100" s="15" t="n">
        <v>6952.64</v>
      </c>
      <c r="M100" s="15" t="n">
        <f aca="false">L100-K100</f>
        <v>-0.00999999999930878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2557</v>
      </c>
      <c r="B101" s="3" t="s">
        <v>2697</v>
      </c>
      <c r="C101" s="3" t="s">
        <v>193</v>
      </c>
      <c r="D101" s="3" t="s">
        <v>2698</v>
      </c>
      <c r="E101" s="3" t="s">
        <v>50</v>
      </c>
      <c r="F101" s="12" t="n">
        <v>620000</v>
      </c>
      <c r="G101" s="13" t="n">
        <v>0.95</v>
      </c>
      <c r="H101" s="13" t="n">
        <v>1.25</v>
      </c>
      <c r="I101" s="13" t="n">
        <v>0.8792</v>
      </c>
      <c r="J101" s="13" t="n">
        <v>0.53</v>
      </c>
      <c r="K101" s="12" t="n">
        <f aca="false">ROUND(F101/100*G101*H101*I101/J101,2)</f>
        <v>12213.42</v>
      </c>
      <c r="L101" s="12" t="n">
        <v>12213.42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2561</v>
      </c>
      <c r="B102" s="14" t="s">
        <v>2699</v>
      </c>
      <c r="C102" s="14" t="s">
        <v>117</v>
      </c>
      <c r="D102" s="14" t="s">
        <v>2700</v>
      </c>
      <c r="E102" s="14" t="s">
        <v>56</v>
      </c>
      <c r="F102" s="15" t="n">
        <v>375000</v>
      </c>
      <c r="G102" s="16" t="n">
        <v>0.75</v>
      </c>
      <c r="H102" s="16" t="n">
        <v>0.91</v>
      </c>
      <c r="I102" s="16" t="n">
        <v>0.8792</v>
      </c>
      <c r="J102" s="16" t="n">
        <v>0.53</v>
      </c>
      <c r="K102" s="15" t="n">
        <f aca="false">ROUND(F102/100*G102*H102*I102/J102,2)</f>
        <v>4245.67</v>
      </c>
      <c r="L102" s="15" t="n">
        <v>4245.67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2687</v>
      </c>
      <c r="B103" s="3" t="s">
        <v>2701</v>
      </c>
      <c r="C103" s="3" t="s">
        <v>193</v>
      </c>
      <c r="D103" s="3" t="s">
        <v>1195</v>
      </c>
      <c r="E103" s="3" t="s">
        <v>74</v>
      </c>
      <c r="F103" s="12" t="n">
        <v>885000</v>
      </c>
      <c r="G103" s="13" t="n">
        <v>0.43</v>
      </c>
      <c r="H103" s="13" t="n">
        <v>1.25</v>
      </c>
      <c r="I103" s="13" t="n">
        <v>0.8792</v>
      </c>
      <c r="J103" s="13" t="n">
        <v>0.53</v>
      </c>
      <c r="K103" s="12" t="n">
        <f aca="false">ROUND(F103/100*G103*H103*I103/J103,2)</f>
        <v>7891.03</v>
      </c>
      <c r="L103" s="12" t="n">
        <v>7891.03</v>
      </c>
      <c r="M103" s="12" t="n">
        <f aca="false">L103-K103</f>
        <v>0</v>
      </c>
      <c r="N103" s="3" t="s">
        <v>51</v>
      </c>
      <c r="O103" s="3" t="s">
        <v>52</v>
      </c>
    </row>
    <row r="104" customFormat="false" ht="15" hidden="false" customHeight="false" outlineLevel="0" collapsed="false">
      <c r="A104" s="14" t="s">
        <v>2631</v>
      </c>
      <c r="B104" s="14" t="s">
        <v>2702</v>
      </c>
      <c r="C104" s="14" t="s">
        <v>77</v>
      </c>
      <c r="D104" s="14" t="s">
        <v>1000</v>
      </c>
      <c r="E104" s="14" t="s">
        <v>56</v>
      </c>
      <c r="F104" s="15" t="n">
        <v>380000</v>
      </c>
      <c r="G104" s="16" t="n">
        <v>0.75</v>
      </c>
      <c r="H104" s="16" t="n">
        <v>1.42</v>
      </c>
      <c r="I104" s="16" t="n">
        <v>0.8792</v>
      </c>
      <c r="J104" s="16" t="n">
        <v>0.53</v>
      </c>
      <c r="K104" s="15" t="n">
        <f aca="false">ROUND(F104/100*G104*H104*I104/J104,2)</f>
        <v>6713.44</v>
      </c>
      <c r="L104" s="15" t="n">
        <v>6713.44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2610</v>
      </c>
      <c r="B105" s="3" t="s">
        <v>2703</v>
      </c>
      <c r="C105" s="3" t="s">
        <v>243</v>
      </c>
      <c r="D105" s="3" t="s">
        <v>1012</v>
      </c>
      <c r="E105" s="3" t="s">
        <v>56</v>
      </c>
      <c r="F105" s="12" t="n">
        <v>225000</v>
      </c>
      <c r="G105" s="13" t="n">
        <v>0.92</v>
      </c>
      <c r="H105" s="13" t="n">
        <v>1.14</v>
      </c>
      <c r="I105" s="13" t="n">
        <v>0.8792</v>
      </c>
      <c r="J105" s="13" t="n">
        <v>0.53</v>
      </c>
      <c r="K105" s="12" t="n">
        <f aca="false">ROUND(F105/100*G105*H105*I105/J105,2)</f>
        <v>3914.6</v>
      </c>
      <c r="L105" s="12" t="n">
        <v>3914.59</v>
      </c>
      <c r="M105" s="12" t="n">
        <f aca="false">L105-K105</f>
        <v>-0.00999999999976353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2588</v>
      </c>
      <c r="B106" s="14" t="s">
        <v>2704</v>
      </c>
      <c r="C106" s="14" t="s">
        <v>59</v>
      </c>
      <c r="D106" s="14" t="s">
        <v>106</v>
      </c>
      <c r="E106" s="14" t="s">
        <v>50</v>
      </c>
      <c r="F106" s="15" t="n">
        <v>1775000</v>
      </c>
      <c r="G106" s="16" t="n">
        <v>0.8</v>
      </c>
      <c r="H106" s="16" t="n">
        <v>0.97</v>
      </c>
      <c r="I106" s="16" t="n">
        <v>0.8792</v>
      </c>
      <c r="J106" s="16" t="n">
        <v>0.53</v>
      </c>
      <c r="K106" s="15" t="n">
        <f aca="false">ROUND(F106/100*G106*H106*I106/J106,2)</f>
        <v>22849.25</v>
      </c>
      <c r="L106" s="15" t="n">
        <v>22849.25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2604</v>
      </c>
      <c r="B107" s="3" t="s">
        <v>2705</v>
      </c>
      <c r="C107" s="3" t="s">
        <v>305</v>
      </c>
      <c r="D107" s="3" t="s">
        <v>2260</v>
      </c>
      <c r="E107" s="3" t="s">
        <v>56</v>
      </c>
      <c r="F107" s="12" t="n">
        <v>330000</v>
      </c>
      <c r="G107" s="13" t="n">
        <v>0.75</v>
      </c>
      <c r="H107" s="13" t="n">
        <v>1.12</v>
      </c>
      <c r="I107" s="13" t="n">
        <v>0.8792</v>
      </c>
      <c r="J107" s="13" t="n">
        <v>0.53</v>
      </c>
      <c r="K107" s="12" t="n">
        <f aca="false">ROUND(F107/100*G107*H107*I107/J107,2)</f>
        <v>4598.38</v>
      </c>
      <c r="L107" s="12" t="n">
        <v>4598.38</v>
      </c>
      <c r="M107" s="12" t="n">
        <f aca="false">L107-K107</f>
        <v>0</v>
      </c>
      <c r="N107" s="3" t="s">
        <v>51</v>
      </c>
      <c r="O107" s="3" t="s">
        <v>52</v>
      </c>
    </row>
    <row r="108" customFormat="false" ht="15" hidden="false" customHeight="false" outlineLevel="0" collapsed="false">
      <c r="A108" s="14" t="s">
        <v>2616</v>
      </c>
      <c r="B108" s="14" t="s">
        <v>2706</v>
      </c>
      <c r="C108" s="14" t="s">
        <v>117</v>
      </c>
      <c r="D108" s="14" t="s">
        <v>1640</v>
      </c>
      <c r="E108" s="14" t="s">
        <v>74</v>
      </c>
      <c r="F108" s="15" t="n">
        <v>780000</v>
      </c>
      <c r="G108" s="16" t="n">
        <v>0.43</v>
      </c>
      <c r="H108" s="16" t="n">
        <v>0.91</v>
      </c>
      <c r="I108" s="16" t="n">
        <v>0.8792</v>
      </c>
      <c r="J108" s="16" t="n">
        <v>0.53</v>
      </c>
      <c r="K108" s="15" t="n">
        <f aca="false">ROUND(F108/100*G108*H108*I108/J108,2)</f>
        <v>5063.1</v>
      </c>
      <c r="L108" s="15" t="n">
        <v>5063.09</v>
      </c>
      <c r="M108" s="15" t="n">
        <f aca="false">L108-K108</f>
        <v>-0.0100000000002183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2567</v>
      </c>
      <c r="B109" s="3" t="s">
        <v>2707</v>
      </c>
      <c r="C109" s="3" t="s">
        <v>220</v>
      </c>
      <c r="D109" s="3" t="s">
        <v>2708</v>
      </c>
      <c r="E109" s="3" t="s">
        <v>56</v>
      </c>
      <c r="F109" s="12" t="n">
        <v>150000</v>
      </c>
      <c r="G109" s="13" t="n">
        <v>0.92</v>
      </c>
      <c r="H109" s="13" t="n">
        <v>1.01</v>
      </c>
      <c r="I109" s="13" t="n">
        <v>0.8792</v>
      </c>
      <c r="J109" s="13" t="n">
        <v>0.53</v>
      </c>
      <c r="K109" s="12" t="n">
        <f aca="false">ROUND(F109/100*G109*H109*I109/J109,2)</f>
        <v>2312.13</v>
      </c>
      <c r="L109" s="12" t="n">
        <v>2312.13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2592</v>
      </c>
      <c r="B110" s="14" t="s">
        <v>2709</v>
      </c>
      <c r="C110" s="14" t="s">
        <v>278</v>
      </c>
      <c r="D110" s="14" t="s">
        <v>2710</v>
      </c>
      <c r="E110" s="14" t="s">
        <v>133</v>
      </c>
      <c r="F110" s="15" t="n">
        <v>770000</v>
      </c>
      <c r="G110" s="16" t="n">
        <v>0.38</v>
      </c>
      <c r="H110" s="16" t="n">
        <v>0.98</v>
      </c>
      <c r="I110" s="16" t="n">
        <v>0.8792</v>
      </c>
      <c r="J110" s="16" t="n">
        <v>0.53</v>
      </c>
      <c r="K110" s="15" t="n">
        <f aca="false">ROUND(F110/100*G110*H110*I110/J110,2)</f>
        <v>4756.77</v>
      </c>
      <c r="L110" s="15" t="n">
        <v>4756.77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2599</v>
      </c>
      <c r="B111" s="3" t="s">
        <v>2711</v>
      </c>
      <c r="C111" s="3" t="s">
        <v>435</v>
      </c>
      <c r="D111" s="3" t="s">
        <v>2027</v>
      </c>
      <c r="E111" s="3" t="s">
        <v>56</v>
      </c>
      <c r="F111" s="12" t="n">
        <v>585000</v>
      </c>
      <c r="G111" s="13" t="n">
        <v>0.65</v>
      </c>
      <c r="H111" s="13" t="n">
        <v>1.13</v>
      </c>
      <c r="I111" s="13" t="n">
        <v>0.8792</v>
      </c>
      <c r="J111" s="13" t="n">
        <v>0.53</v>
      </c>
      <c r="K111" s="12" t="n">
        <f aca="false">ROUND(F111/100*G111*H111*I111/J111,2)</f>
        <v>7127.87</v>
      </c>
      <c r="L111" s="12" t="n">
        <v>7127.87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2633</v>
      </c>
      <c r="B112" s="14" t="s">
        <v>2712</v>
      </c>
      <c r="C112" s="14" t="s">
        <v>93</v>
      </c>
      <c r="D112" s="14" t="s">
        <v>2713</v>
      </c>
      <c r="E112" s="14" t="s">
        <v>56</v>
      </c>
      <c r="F112" s="15" t="n">
        <v>635000</v>
      </c>
      <c r="G112" s="16" t="n">
        <v>0.65</v>
      </c>
      <c r="H112" s="16" t="n">
        <v>1.39</v>
      </c>
      <c r="I112" s="16" t="n">
        <v>0.8792</v>
      </c>
      <c r="J112" s="16" t="n">
        <v>0.53</v>
      </c>
      <c r="K112" s="15" t="n">
        <f aca="false">ROUND(F112/100*G112*H112*I112/J112,2)</f>
        <v>9517.3</v>
      </c>
      <c r="L112" s="15" t="n">
        <v>9517.3</v>
      </c>
      <c r="M112" s="15" t="n">
        <f aca="false">L112-K112</f>
        <v>0</v>
      </c>
      <c r="N112" s="14" t="s">
        <v>51</v>
      </c>
      <c r="O112" s="14" t="s">
        <v>52</v>
      </c>
    </row>
    <row r="113" customFormat="false" ht="15" hidden="false" customHeight="false" outlineLevel="0" collapsed="false">
      <c r="A113" s="3" t="s">
        <v>2616</v>
      </c>
      <c r="B113" s="3" t="s">
        <v>2714</v>
      </c>
      <c r="C113" s="3" t="s">
        <v>409</v>
      </c>
      <c r="D113" s="3" t="s">
        <v>2045</v>
      </c>
      <c r="E113" s="3" t="s">
        <v>56</v>
      </c>
      <c r="F113" s="12" t="n">
        <v>795000</v>
      </c>
      <c r="G113" s="13" t="n">
        <v>0.65</v>
      </c>
      <c r="H113" s="13" t="n">
        <v>1.3</v>
      </c>
      <c r="I113" s="13" t="n">
        <v>0.8792</v>
      </c>
      <c r="J113" s="13" t="n">
        <v>0.53</v>
      </c>
      <c r="K113" s="12" t="n">
        <f aca="false">ROUND(F113/100*G113*H113*I113/J113,2)</f>
        <v>11143.86</v>
      </c>
      <c r="L113" s="12" t="n">
        <v>11143.86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2715</v>
      </c>
      <c r="B114" s="14" t="s">
        <v>2716</v>
      </c>
      <c r="C114" s="14" t="s">
        <v>48</v>
      </c>
      <c r="D114" s="14" t="s">
        <v>348</v>
      </c>
      <c r="E114" s="14" t="s">
        <v>50</v>
      </c>
      <c r="F114" s="15" t="n">
        <v>625000</v>
      </c>
      <c r="G114" s="16" t="n">
        <v>0.95</v>
      </c>
      <c r="H114" s="16" t="n">
        <v>1.28</v>
      </c>
      <c r="I114" s="16" t="n">
        <v>0.8792</v>
      </c>
      <c r="J114" s="16" t="n">
        <v>0.53</v>
      </c>
      <c r="K114" s="15" t="n">
        <f aca="false">ROUND(F114/100*G114*H114*I114/J114,2)</f>
        <v>12607.4</v>
      </c>
      <c r="L114" s="15" t="n">
        <v>12607.39</v>
      </c>
      <c r="M114" s="15" t="n">
        <f aca="false">L114-K114</f>
        <v>-0.0100000000002183</v>
      </c>
      <c r="N114" s="14" t="s">
        <v>70</v>
      </c>
      <c r="O114" s="14" t="s">
        <v>52</v>
      </c>
    </row>
    <row r="115" customFormat="false" ht="15" hidden="false" customHeight="false" outlineLevel="0" collapsed="false">
      <c r="A115" s="3" t="s">
        <v>2586</v>
      </c>
      <c r="B115" s="3" t="s">
        <v>2717</v>
      </c>
      <c r="C115" s="3" t="s">
        <v>193</v>
      </c>
      <c r="D115" s="3" t="s">
        <v>1085</v>
      </c>
      <c r="E115" s="3" t="s">
        <v>56</v>
      </c>
      <c r="F115" s="12" t="n">
        <v>810000</v>
      </c>
      <c r="G115" s="13" t="n">
        <v>0.65</v>
      </c>
      <c r="H115" s="13" t="n">
        <v>1.25</v>
      </c>
      <c r="I115" s="13" t="n">
        <v>0.8792</v>
      </c>
      <c r="J115" s="13" t="n">
        <v>0.53</v>
      </c>
      <c r="K115" s="12" t="n">
        <f aca="false">ROUND(F115/100*G115*H115*I115/J115,2)</f>
        <v>10917.42</v>
      </c>
      <c r="L115" s="12" t="n">
        <v>10917.42</v>
      </c>
      <c r="M115" s="12" t="n">
        <f aca="false">L115-K115</f>
        <v>0</v>
      </c>
      <c r="N115" s="3" t="s">
        <v>51</v>
      </c>
      <c r="O115" s="3" t="s">
        <v>52</v>
      </c>
    </row>
    <row r="116" customFormat="false" ht="15" hidden="false" customHeight="false" outlineLevel="0" collapsed="false">
      <c r="A116" s="14" t="s">
        <v>2687</v>
      </c>
      <c r="B116" s="14" t="s">
        <v>2718</v>
      </c>
      <c r="C116" s="14" t="s">
        <v>48</v>
      </c>
      <c r="D116" s="14" t="s">
        <v>2719</v>
      </c>
      <c r="E116" s="14" t="s">
        <v>50</v>
      </c>
      <c r="F116" s="15" t="n">
        <v>815000</v>
      </c>
      <c r="G116" s="16" t="n">
        <v>0.95</v>
      </c>
      <c r="H116" s="16" t="n">
        <v>1.28</v>
      </c>
      <c r="I116" s="16" t="n">
        <v>0.8792</v>
      </c>
      <c r="J116" s="16" t="n">
        <v>0.53</v>
      </c>
      <c r="K116" s="15" t="n">
        <f aca="false">ROUND(F116/100*G116*H116*I116/J116,2)</f>
        <v>16440.04</v>
      </c>
      <c r="L116" s="15" t="n">
        <v>16440.05</v>
      </c>
      <c r="M116" s="15" t="n">
        <f aca="false">L116-K116</f>
        <v>0.00999999999839929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2565</v>
      </c>
      <c r="B117" s="3" t="s">
        <v>2720</v>
      </c>
      <c r="C117" s="3" t="s">
        <v>224</v>
      </c>
      <c r="D117" s="3" t="s">
        <v>2721</v>
      </c>
      <c r="E117" s="3" t="s">
        <v>50</v>
      </c>
      <c r="F117" s="12" t="n">
        <v>520000</v>
      </c>
      <c r="G117" s="13" t="n">
        <v>0.95</v>
      </c>
      <c r="H117" s="13" t="n">
        <v>1.1</v>
      </c>
      <c r="I117" s="13" t="n">
        <v>0.8792</v>
      </c>
      <c r="J117" s="13" t="n">
        <v>0.53</v>
      </c>
      <c r="K117" s="12" t="n">
        <f aca="false">ROUND(F117/100*G117*H117*I117/J117,2)</f>
        <v>9014.29</v>
      </c>
      <c r="L117" s="12" t="n">
        <v>9014.29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2672</v>
      </c>
      <c r="B118" s="14" t="s">
        <v>2722</v>
      </c>
      <c r="C118" s="14" t="s">
        <v>243</v>
      </c>
      <c r="D118" s="14" t="s">
        <v>935</v>
      </c>
      <c r="E118" s="14" t="s">
        <v>50</v>
      </c>
      <c r="F118" s="15" t="n">
        <v>440000</v>
      </c>
      <c r="G118" s="16" t="n">
        <v>1.15</v>
      </c>
      <c r="H118" s="16" t="n">
        <v>1.14</v>
      </c>
      <c r="I118" s="16" t="n">
        <v>0.8792</v>
      </c>
      <c r="J118" s="16" t="n">
        <v>0.53</v>
      </c>
      <c r="K118" s="15" t="n">
        <f aca="false">ROUND(F118/100*G118*H118*I118/J118,2)</f>
        <v>9569.01</v>
      </c>
      <c r="L118" s="15" t="n">
        <v>9569.01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2613</v>
      </c>
      <c r="B119" s="3" t="s">
        <v>2723</v>
      </c>
      <c r="C119" s="3" t="s">
        <v>48</v>
      </c>
      <c r="D119" s="3" t="s">
        <v>2385</v>
      </c>
      <c r="E119" s="3" t="s">
        <v>50</v>
      </c>
      <c r="F119" s="12" t="n">
        <v>1185000</v>
      </c>
      <c r="G119" s="13" t="n">
        <v>0.8</v>
      </c>
      <c r="H119" s="13" t="n">
        <v>1.28</v>
      </c>
      <c r="I119" s="13" t="n">
        <v>0.8792</v>
      </c>
      <c r="J119" s="13" t="n">
        <v>0.53</v>
      </c>
      <c r="K119" s="12" t="n">
        <f aca="false">ROUND(F119/100*G119*H119*I119/J119,2)</f>
        <v>20129.37</v>
      </c>
      <c r="L119" s="12" t="n">
        <v>20129.36</v>
      </c>
      <c r="M119" s="12" t="n">
        <f aca="false">L119-K119</f>
        <v>-0.00999999999839929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2571</v>
      </c>
      <c r="B120" s="14" t="s">
        <v>2724</v>
      </c>
      <c r="C120" s="14" t="s">
        <v>131</v>
      </c>
      <c r="D120" s="14" t="s">
        <v>2725</v>
      </c>
      <c r="E120" s="14" t="s">
        <v>50</v>
      </c>
      <c r="F120" s="15" t="n">
        <v>960000</v>
      </c>
      <c r="G120" s="16" t="n">
        <v>0.95</v>
      </c>
      <c r="H120" s="16" t="n">
        <v>0.95</v>
      </c>
      <c r="I120" s="16" t="n">
        <v>0.8792</v>
      </c>
      <c r="J120" s="16" t="n">
        <v>0.53</v>
      </c>
      <c r="K120" s="15" t="n">
        <f aca="false">ROUND(F120/100*G120*H120*I120/J120,2)</f>
        <v>14372.43</v>
      </c>
      <c r="L120" s="15" t="n">
        <v>14372.43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2684</v>
      </c>
      <c r="B121" s="3" t="s">
        <v>2726</v>
      </c>
      <c r="C121" s="3" t="s">
        <v>117</v>
      </c>
      <c r="D121" s="3" t="s">
        <v>2727</v>
      </c>
      <c r="E121" s="3" t="s">
        <v>56</v>
      </c>
      <c r="F121" s="12" t="n">
        <v>670000</v>
      </c>
      <c r="G121" s="13" t="n">
        <v>0.65</v>
      </c>
      <c r="H121" s="13" t="n">
        <v>0.91</v>
      </c>
      <c r="I121" s="13" t="n">
        <v>0.8792</v>
      </c>
      <c r="J121" s="13" t="n">
        <v>0.53</v>
      </c>
      <c r="K121" s="12" t="n">
        <f aca="false">ROUND(F121/100*G121*H121*I121/J121,2)</f>
        <v>6574.18</v>
      </c>
      <c r="L121" s="12" t="n">
        <v>6574.17</v>
      </c>
      <c r="M121" s="12" t="n">
        <f aca="false">L121-K121</f>
        <v>-0.0100000000002183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2557</v>
      </c>
      <c r="B122" s="14" t="s">
        <v>2728</v>
      </c>
      <c r="C122" s="14" t="s">
        <v>128</v>
      </c>
      <c r="D122" s="14" t="s">
        <v>2267</v>
      </c>
      <c r="E122" s="14" t="s">
        <v>74</v>
      </c>
      <c r="F122" s="15" t="n">
        <v>1950000</v>
      </c>
      <c r="G122" s="16" t="n">
        <v>0.38</v>
      </c>
      <c r="H122" s="16" t="n">
        <v>1.25</v>
      </c>
      <c r="I122" s="16" t="n">
        <v>0.8792</v>
      </c>
      <c r="J122" s="16" t="n">
        <v>0.53</v>
      </c>
      <c r="K122" s="15" t="n">
        <f aca="false">ROUND(F122/100*G122*H122*I122/J122,2)</f>
        <v>15365.26</v>
      </c>
      <c r="L122" s="15" t="n">
        <v>15365.27</v>
      </c>
      <c r="M122" s="15" t="n">
        <f aca="false">L122-K122</f>
        <v>0.0100000000002183</v>
      </c>
      <c r="N122" s="14" t="s">
        <v>51</v>
      </c>
      <c r="O122" s="14" t="s">
        <v>52</v>
      </c>
    </row>
    <row r="123" customFormat="false" ht="15" hidden="false" customHeight="false" outlineLevel="0" collapsed="false">
      <c r="A123" s="3" t="s">
        <v>2561</v>
      </c>
      <c r="B123" s="3" t="s">
        <v>2729</v>
      </c>
      <c r="C123" s="3" t="s">
        <v>48</v>
      </c>
      <c r="D123" s="3" t="s">
        <v>415</v>
      </c>
      <c r="E123" s="3" t="s">
        <v>56</v>
      </c>
      <c r="F123" s="12" t="n">
        <v>310000</v>
      </c>
      <c r="G123" s="13" t="n">
        <v>0.75</v>
      </c>
      <c r="H123" s="13" t="n">
        <v>1.28</v>
      </c>
      <c r="I123" s="13" t="n">
        <v>0.8792</v>
      </c>
      <c r="J123" s="13" t="n">
        <v>0.53</v>
      </c>
      <c r="K123" s="12" t="n">
        <f aca="false">ROUND(F123/100*G123*H123*I123/J123,2)</f>
        <v>4936.79</v>
      </c>
      <c r="L123" s="12" t="n">
        <v>4936.79</v>
      </c>
      <c r="M123" s="12" t="n">
        <f aca="false">L123-K123</f>
        <v>0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2563</v>
      </c>
      <c r="B124" s="14" t="s">
        <v>2730</v>
      </c>
      <c r="C124" s="14" t="s">
        <v>93</v>
      </c>
      <c r="D124" s="14" t="s">
        <v>1238</v>
      </c>
      <c r="E124" s="14" t="s">
        <v>56</v>
      </c>
      <c r="F124" s="15" t="n">
        <v>475000</v>
      </c>
      <c r="G124" s="16" t="n">
        <v>0.75</v>
      </c>
      <c r="H124" s="16" t="n">
        <v>1.39</v>
      </c>
      <c r="I124" s="16" t="n">
        <v>0.8792</v>
      </c>
      <c r="J124" s="16" t="n">
        <v>0.53</v>
      </c>
      <c r="K124" s="15" t="n">
        <f aca="false">ROUND(F124/100*G124*H124*I124/J124,2)</f>
        <v>8214.51</v>
      </c>
      <c r="L124" s="15" t="n">
        <v>8214.51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2582</v>
      </c>
      <c r="B125" s="3" t="s">
        <v>2731</v>
      </c>
      <c r="C125" s="3" t="s">
        <v>114</v>
      </c>
      <c r="D125" s="3" t="s">
        <v>1440</v>
      </c>
      <c r="E125" s="3" t="s">
        <v>56</v>
      </c>
      <c r="F125" s="12" t="n">
        <v>355000</v>
      </c>
      <c r="G125" s="13" t="n">
        <v>0.75</v>
      </c>
      <c r="H125" s="13" t="n">
        <v>1.36</v>
      </c>
      <c r="I125" s="13" t="n">
        <v>0.8792</v>
      </c>
      <c r="J125" s="13" t="n">
        <v>0.53</v>
      </c>
      <c r="K125" s="12" t="n">
        <f aca="false">ROUND(F125/100*G125*H125*I125/J125,2)</f>
        <v>6006.76</v>
      </c>
      <c r="L125" s="12" t="n">
        <v>6006.76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2616</v>
      </c>
      <c r="B126" s="14" t="s">
        <v>2732</v>
      </c>
      <c r="C126" s="14" t="s">
        <v>887</v>
      </c>
      <c r="D126" s="14" t="s">
        <v>1573</v>
      </c>
      <c r="E126" s="14" t="s">
        <v>56</v>
      </c>
      <c r="F126" s="15" t="n">
        <v>440000</v>
      </c>
      <c r="G126" s="16" t="n">
        <v>0.75</v>
      </c>
      <c r="H126" s="16" t="n">
        <v>1.37</v>
      </c>
      <c r="I126" s="16" t="n">
        <v>0.8792</v>
      </c>
      <c r="J126" s="16" t="n">
        <v>0.53</v>
      </c>
      <c r="K126" s="15" t="n">
        <f aca="false">ROUND(F126/100*G126*H126*I126/J126,2)</f>
        <v>7499.74</v>
      </c>
      <c r="L126" s="15" t="n">
        <v>7499.74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2626</v>
      </c>
      <c r="B127" s="3" t="s">
        <v>2733</v>
      </c>
      <c r="C127" s="3" t="s">
        <v>77</v>
      </c>
      <c r="D127" s="3" t="s">
        <v>793</v>
      </c>
      <c r="E127" s="3" t="s">
        <v>50</v>
      </c>
      <c r="F127" s="12" t="n">
        <v>875000</v>
      </c>
      <c r="G127" s="13" t="n">
        <v>0.95</v>
      </c>
      <c r="H127" s="13" t="n">
        <v>1.42</v>
      </c>
      <c r="I127" s="13" t="n">
        <v>0.8792</v>
      </c>
      <c r="J127" s="13" t="n">
        <v>0.53</v>
      </c>
      <c r="K127" s="12" t="n">
        <f aca="false">ROUND(F127/100*G127*H127*I127/J127,2)</f>
        <v>19580.86</v>
      </c>
      <c r="L127" s="12" t="n">
        <v>19580.87</v>
      </c>
      <c r="M127" s="12" t="n">
        <f aca="false">L127-K127</f>
        <v>0.00999999999839929</v>
      </c>
      <c r="N127" s="3" t="s">
        <v>51</v>
      </c>
      <c r="O127" s="3" t="s">
        <v>52</v>
      </c>
    </row>
    <row r="128" customFormat="false" ht="15" hidden="false" customHeight="false" outlineLevel="0" collapsed="false">
      <c r="A128" s="14" t="s">
        <v>2582</v>
      </c>
      <c r="B128" s="14" t="s">
        <v>2734</v>
      </c>
      <c r="C128" s="14" t="s">
        <v>892</v>
      </c>
      <c r="D128" s="14" t="s">
        <v>648</v>
      </c>
      <c r="E128" s="14" t="s">
        <v>56</v>
      </c>
      <c r="F128" s="15" t="n">
        <v>650000</v>
      </c>
      <c r="G128" s="16" t="n">
        <v>0.65</v>
      </c>
      <c r="H128" s="16" t="n">
        <v>1.08</v>
      </c>
      <c r="I128" s="16" t="n">
        <v>0.8792</v>
      </c>
      <c r="J128" s="16" t="n">
        <v>0.53</v>
      </c>
      <c r="K128" s="15" t="n">
        <f aca="false">ROUND(F128/100*G128*H128*I128/J128,2)</f>
        <v>7569.41</v>
      </c>
      <c r="L128" s="15" t="n">
        <v>7569.41</v>
      </c>
      <c r="M128" s="15" t="n">
        <f aca="false">L128-K128</f>
        <v>0</v>
      </c>
      <c r="N128" s="14" t="s">
        <v>70</v>
      </c>
      <c r="O128" s="14" t="s">
        <v>52</v>
      </c>
    </row>
    <row r="129" customFormat="false" ht="15" hidden="false" customHeight="false" outlineLevel="0" collapsed="false">
      <c r="A129" s="3" t="s">
        <v>2604</v>
      </c>
      <c r="B129" s="3" t="s">
        <v>2735</v>
      </c>
      <c r="C129" s="3" t="s">
        <v>93</v>
      </c>
      <c r="D129" s="3" t="s">
        <v>1409</v>
      </c>
      <c r="E129" s="3" t="s">
        <v>157</v>
      </c>
      <c r="F129" s="12" t="n">
        <v>1415000</v>
      </c>
      <c r="G129" s="13" t="n">
        <v>0.68</v>
      </c>
      <c r="H129" s="13" t="n">
        <v>1.39</v>
      </c>
      <c r="I129" s="13" t="n">
        <v>0.8792</v>
      </c>
      <c r="J129" s="13" t="n">
        <v>0.53</v>
      </c>
      <c r="K129" s="12" t="n">
        <f aca="false">ROUND(F129/100*G129*H129*I129/J129,2)</f>
        <v>22186.66</v>
      </c>
      <c r="L129" s="12" t="n">
        <v>22186.66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2610</v>
      </c>
      <c r="B130" s="14" t="s">
        <v>2736</v>
      </c>
      <c r="C130" s="14" t="s">
        <v>224</v>
      </c>
      <c r="D130" s="14" t="s">
        <v>854</v>
      </c>
      <c r="E130" s="14" t="s">
        <v>56</v>
      </c>
      <c r="F130" s="15" t="n">
        <v>365000</v>
      </c>
      <c r="G130" s="16" t="n">
        <v>0.75</v>
      </c>
      <c r="H130" s="16" t="n">
        <v>1.1</v>
      </c>
      <c r="I130" s="16" t="n">
        <v>0.8792</v>
      </c>
      <c r="J130" s="16" t="n">
        <v>0.53</v>
      </c>
      <c r="K130" s="15" t="n">
        <f aca="false">ROUND(F130/100*G130*H130*I130/J130,2)</f>
        <v>4995.27</v>
      </c>
      <c r="L130" s="15" t="n">
        <v>4995.26</v>
      </c>
      <c r="M130" s="15" t="n">
        <f aca="false">L130-K130</f>
        <v>-0.0100000000002183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2610</v>
      </c>
      <c r="B131" s="3" t="s">
        <v>2737</v>
      </c>
      <c r="C131" s="3" t="s">
        <v>120</v>
      </c>
      <c r="D131" s="3" t="s">
        <v>2738</v>
      </c>
      <c r="E131" s="3" t="s">
        <v>56</v>
      </c>
      <c r="F131" s="12" t="n">
        <v>115000</v>
      </c>
      <c r="G131" s="13" t="n">
        <v>0.92</v>
      </c>
      <c r="H131" s="13" t="n">
        <v>1.15</v>
      </c>
      <c r="I131" s="13" t="n">
        <v>0.8792</v>
      </c>
      <c r="J131" s="13" t="n">
        <v>0.53</v>
      </c>
      <c r="K131" s="12" t="n">
        <f aca="false">ROUND(F131/100*G131*H131*I131/J131,2)</f>
        <v>2018.34</v>
      </c>
      <c r="L131" s="12" t="n">
        <v>2018.34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2561</v>
      </c>
      <c r="B132" s="14" t="s">
        <v>2739</v>
      </c>
      <c r="C132" s="14" t="s">
        <v>174</v>
      </c>
      <c r="D132" s="14" t="s">
        <v>1175</v>
      </c>
      <c r="E132" s="14" t="s">
        <v>56</v>
      </c>
      <c r="F132" s="15" t="n">
        <v>865000</v>
      </c>
      <c r="G132" s="16" t="n">
        <v>0.65</v>
      </c>
      <c r="H132" s="16" t="n">
        <v>1.55</v>
      </c>
      <c r="I132" s="16" t="n">
        <v>0.8792</v>
      </c>
      <c r="J132" s="16" t="n">
        <v>0.53</v>
      </c>
      <c r="K132" s="15" t="n">
        <f aca="false">ROUND(F132/100*G132*H132*I132/J132,2)</f>
        <v>14456.83</v>
      </c>
      <c r="L132" s="15" t="n">
        <v>14456.83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2592</v>
      </c>
      <c r="B133" s="3" t="s">
        <v>2740</v>
      </c>
      <c r="C133" s="3" t="s">
        <v>89</v>
      </c>
      <c r="D133" s="3" t="s">
        <v>1197</v>
      </c>
      <c r="E133" s="3" t="s">
        <v>56</v>
      </c>
      <c r="F133" s="12" t="n">
        <v>255000</v>
      </c>
      <c r="G133" s="13" t="n">
        <v>0.75</v>
      </c>
      <c r="H133" s="13" t="n">
        <v>1.35</v>
      </c>
      <c r="I133" s="13" t="n">
        <v>0.8792</v>
      </c>
      <c r="J133" s="13" t="n">
        <v>0.53</v>
      </c>
      <c r="K133" s="12" t="n">
        <f aca="false">ROUND(F133/100*G133*H133*I133/J133,2)</f>
        <v>4282.99</v>
      </c>
      <c r="L133" s="12" t="n">
        <v>4282.99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2588</v>
      </c>
      <c r="B134" s="14" t="s">
        <v>2741</v>
      </c>
      <c r="C134" s="14" t="s">
        <v>68</v>
      </c>
      <c r="D134" s="14" t="s">
        <v>696</v>
      </c>
      <c r="E134" s="14" t="s">
        <v>56</v>
      </c>
      <c r="F134" s="15" t="n">
        <v>395000</v>
      </c>
      <c r="G134" s="16" t="n">
        <v>0.75</v>
      </c>
      <c r="H134" s="16" t="n">
        <v>1.38</v>
      </c>
      <c r="I134" s="16" t="n">
        <v>0.8792</v>
      </c>
      <c r="J134" s="16" t="n">
        <v>0.53</v>
      </c>
      <c r="K134" s="15" t="n">
        <f aca="false">ROUND(F134/100*G134*H134*I134/J134,2)</f>
        <v>6781.87</v>
      </c>
      <c r="L134" s="15" t="n">
        <v>6781.87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2582</v>
      </c>
      <c r="B135" s="3" t="s">
        <v>2742</v>
      </c>
      <c r="C135" s="3" t="s">
        <v>295</v>
      </c>
      <c r="D135" s="3" t="s">
        <v>1442</v>
      </c>
      <c r="E135" s="3" t="s">
        <v>50</v>
      </c>
      <c r="F135" s="12" t="n">
        <v>340000</v>
      </c>
      <c r="G135" s="13" t="n">
        <v>1.15</v>
      </c>
      <c r="H135" s="13" t="n">
        <v>1.2</v>
      </c>
      <c r="I135" s="13" t="n">
        <v>0.8792</v>
      </c>
      <c r="J135" s="13" t="n">
        <v>0.53</v>
      </c>
      <c r="K135" s="12" t="n">
        <f aca="false">ROUND(F135/100*G135*H135*I135/J135,2)</f>
        <v>7783.41</v>
      </c>
      <c r="L135" s="12" t="n">
        <v>7783.41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2592</v>
      </c>
      <c r="B136" s="14" t="s">
        <v>2743</v>
      </c>
      <c r="C136" s="14" t="s">
        <v>145</v>
      </c>
      <c r="D136" s="14" t="s">
        <v>2594</v>
      </c>
      <c r="E136" s="14" t="s">
        <v>56</v>
      </c>
      <c r="F136" s="15" t="n">
        <v>895000</v>
      </c>
      <c r="G136" s="16" t="n">
        <v>0.65</v>
      </c>
      <c r="H136" s="16" t="n">
        <v>0.96</v>
      </c>
      <c r="I136" s="16" t="n">
        <v>0.8792</v>
      </c>
      <c r="J136" s="16" t="n">
        <v>0.53</v>
      </c>
      <c r="K136" s="15" t="n">
        <f aca="false">ROUND(F136/100*G136*H136*I136/J136,2)</f>
        <v>9264.45</v>
      </c>
      <c r="L136" s="15" t="n">
        <v>9264.45</v>
      </c>
      <c r="M136" s="15" t="n">
        <f aca="false">L136-K136</f>
        <v>0</v>
      </c>
      <c r="N136" s="14" t="s">
        <v>70</v>
      </c>
      <c r="O136" s="14" t="s">
        <v>52</v>
      </c>
    </row>
    <row r="137" customFormat="false" ht="15" hidden="false" customHeight="false" outlineLevel="0" collapsed="false">
      <c r="A137" s="3" t="s">
        <v>2588</v>
      </c>
      <c r="B137" s="3" t="s">
        <v>2744</v>
      </c>
      <c r="C137" s="3" t="s">
        <v>305</v>
      </c>
      <c r="D137" s="3" t="s">
        <v>1110</v>
      </c>
      <c r="E137" s="3" t="s">
        <v>56</v>
      </c>
      <c r="F137" s="12" t="n">
        <v>610000</v>
      </c>
      <c r="G137" s="13" t="n">
        <v>0.65</v>
      </c>
      <c r="H137" s="13" t="n">
        <v>1.12</v>
      </c>
      <c r="I137" s="13" t="n">
        <v>0.8792</v>
      </c>
      <c r="J137" s="13" t="n">
        <v>0.53</v>
      </c>
      <c r="K137" s="12" t="n">
        <f aca="false">ROUND(F137/100*G137*H137*I137/J137,2)</f>
        <v>7366.7</v>
      </c>
      <c r="L137" s="12" t="n">
        <v>7366.7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2563</v>
      </c>
      <c r="B138" s="14" t="s">
        <v>2745</v>
      </c>
      <c r="C138" s="14" t="s">
        <v>193</v>
      </c>
      <c r="D138" s="14" t="s">
        <v>314</v>
      </c>
      <c r="E138" s="14" t="s">
        <v>56</v>
      </c>
      <c r="F138" s="15" t="n">
        <v>1650000</v>
      </c>
      <c r="G138" s="16" t="n">
        <v>0.55</v>
      </c>
      <c r="H138" s="16" t="n">
        <v>1.25</v>
      </c>
      <c r="I138" s="16" t="n">
        <v>0.8792</v>
      </c>
      <c r="J138" s="16" t="n">
        <v>0.53</v>
      </c>
      <c r="K138" s="15" t="n">
        <f aca="false">ROUND(F138/100*G138*H138*I138/J138,2)</f>
        <v>18817.78</v>
      </c>
      <c r="L138" s="15" t="n">
        <v>18817.78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2561</v>
      </c>
      <c r="B139" s="3" t="s">
        <v>2746</v>
      </c>
      <c r="C139" s="3" t="s">
        <v>85</v>
      </c>
      <c r="D139" s="3" t="s">
        <v>281</v>
      </c>
      <c r="E139" s="3" t="s">
        <v>56</v>
      </c>
      <c r="F139" s="12" t="n">
        <v>410000</v>
      </c>
      <c r="G139" s="13" t="n">
        <v>0.75</v>
      </c>
      <c r="H139" s="13" t="n">
        <v>1.28</v>
      </c>
      <c r="I139" s="13" t="n">
        <v>0.8792</v>
      </c>
      <c r="J139" s="13" t="n">
        <v>0.53</v>
      </c>
      <c r="K139" s="12" t="n">
        <f aca="false">ROUND(F139/100*G139*H139*I139/J139,2)</f>
        <v>6529.3</v>
      </c>
      <c r="L139" s="12" t="n">
        <v>6529.31</v>
      </c>
      <c r="M139" s="12" t="n">
        <f aca="false">L139-K139</f>
        <v>0.0100000000002183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2687</v>
      </c>
      <c r="B140" s="14" t="s">
        <v>2747</v>
      </c>
      <c r="C140" s="14" t="s">
        <v>266</v>
      </c>
      <c r="D140" s="14" t="s">
        <v>2004</v>
      </c>
      <c r="E140" s="14" t="s">
        <v>56</v>
      </c>
      <c r="F140" s="15" t="n">
        <v>360000</v>
      </c>
      <c r="G140" s="16" t="n">
        <v>0.75</v>
      </c>
      <c r="H140" s="16" t="n">
        <v>1.1</v>
      </c>
      <c r="I140" s="16" t="n">
        <v>0.8792</v>
      </c>
      <c r="J140" s="16" t="n">
        <v>0.53</v>
      </c>
      <c r="K140" s="15" t="n">
        <f aca="false">ROUND(F140/100*G140*H140*I140/J140,2)</f>
        <v>4926.84</v>
      </c>
      <c r="L140" s="15" t="n">
        <v>4926.83</v>
      </c>
      <c r="M140" s="15" t="n">
        <f aca="false">L140-K140</f>
        <v>-0.0100000000002183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2559</v>
      </c>
      <c r="B141" s="3" t="s">
        <v>2748</v>
      </c>
      <c r="C141" s="3" t="s">
        <v>462</v>
      </c>
      <c r="D141" s="3" t="s">
        <v>802</v>
      </c>
      <c r="E141" s="3" t="s">
        <v>56</v>
      </c>
      <c r="F141" s="12" t="n">
        <v>405000</v>
      </c>
      <c r="G141" s="13" t="n">
        <v>0.75</v>
      </c>
      <c r="H141" s="13" t="n">
        <v>1.34</v>
      </c>
      <c r="I141" s="13" t="n">
        <v>0.8792</v>
      </c>
      <c r="J141" s="13" t="n">
        <v>0.53</v>
      </c>
      <c r="K141" s="12" t="n">
        <f aca="false">ROUND(F141/100*G141*H141*I141/J141,2)</f>
        <v>6752.01</v>
      </c>
      <c r="L141" s="12" t="n">
        <v>6752.01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2715</v>
      </c>
      <c r="B142" s="14" t="s">
        <v>2749</v>
      </c>
      <c r="C142" s="14" t="s">
        <v>68</v>
      </c>
      <c r="D142" s="14" t="s">
        <v>1889</v>
      </c>
      <c r="E142" s="14" t="s">
        <v>56</v>
      </c>
      <c r="F142" s="15" t="n">
        <v>225000</v>
      </c>
      <c r="G142" s="16" t="n">
        <v>0.92</v>
      </c>
      <c r="H142" s="16" t="n">
        <v>1.38</v>
      </c>
      <c r="I142" s="16" t="n">
        <v>0.8792</v>
      </c>
      <c r="J142" s="16" t="n">
        <v>0.53</v>
      </c>
      <c r="K142" s="15" t="n">
        <f aca="false">ROUND(F142/100*G142*H142*I142/J142,2)</f>
        <v>4738.72</v>
      </c>
      <c r="L142" s="15" t="n">
        <v>4738.72</v>
      </c>
      <c r="M142" s="15" t="n">
        <f aca="false">L142-K142</f>
        <v>0</v>
      </c>
      <c r="N142" s="14" t="s">
        <v>51</v>
      </c>
      <c r="O142" s="14" t="s">
        <v>52</v>
      </c>
    </row>
    <row r="143" customFormat="false" ht="15" hidden="false" customHeight="false" outlineLevel="0" collapsed="false">
      <c r="A143" s="3" t="s">
        <v>2642</v>
      </c>
      <c r="B143" s="3" t="s">
        <v>2750</v>
      </c>
      <c r="C143" s="3" t="s">
        <v>89</v>
      </c>
      <c r="D143" s="3" t="s">
        <v>143</v>
      </c>
      <c r="E143" s="3" t="s">
        <v>56</v>
      </c>
      <c r="F143" s="12" t="n">
        <v>665000</v>
      </c>
      <c r="G143" s="13" t="n">
        <v>0.65</v>
      </c>
      <c r="H143" s="13" t="n">
        <v>1.35</v>
      </c>
      <c r="I143" s="13" t="n">
        <v>0.8792</v>
      </c>
      <c r="J143" s="13" t="n">
        <v>0.53</v>
      </c>
      <c r="K143" s="12" t="n">
        <f aca="false">ROUND(F143/100*G143*H143*I143/J143,2)</f>
        <v>9680.12</v>
      </c>
      <c r="L143" s="12" t="n">
        <v>9680.12</v>
      </c>
      <c r="M143" s="12" t="n">
        <f aca="false">L143-K143</f>
        <v>0</v>
      </c>
      <c r="N143" s="3" t="s">
        <v>70</v>
      </c>
      <c r="O143" s="3" t="s">
        <v>52</v>
      </c>
    </row>
    <row r="144" customFormat="false" ht="15" hidden="false" customHeight="false" outlineLevel="0" collapsed="false">
      <c r="A144" s="14" t="s">
        <v>2588</v>
      </c>
      <c r="B144" s="14" t="s">
        <v>2751</v>
      </c>
      <c r="C144" s="14" t="s">
        <v>278</v>
      </c>
      <c r="D144" s="14" t="s">
        <v>433</v>
      </c>
      <c r="E144" s="14" t="s">
        <v>56</v>
      </c>
      <c r="F144" s="15" t="n">
        <v>525000</v>
      </c>
      <c r="G144" s="16" t="n">
        <v>0.65</v>
      </c>
      <c r="H144" s="16" t="n">
        <v>0.98</v>
      </c>
      <c r="I144" s="16" t="n">
        <v>0.8792</v>
      </c>
      <c r="J144" s="16" t="n">
        <v>0.53</v>
      </c>
      <c r="K144" s="15" t="n">
        <f aca="false">ROUND(F144/100*G144*H144*I144/J144,2)</f>
        <v>5547.67</v>
      </c>
      <c r="L144" s="15" t="n">
        <v>5547.67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2565</v>
      </c>
      <c r="B145" s="3" t="s">
        <v>2752</v>
      </c>
      <c r="C145" s="3" t="s">
        <v>145</v>
      </c>
      <c r="D145" s="3" t="s">
        <v>197</v>
      </c>
      <c r="E145" s="3" t="s">
        <v>74</v>
      </c>
      <c r="F145" s="12" t="n">
        <v>1100000</v>
      </c>
      <c r="G145" s="13" t="n">
        <v>0.38</v>
      </c>
      <c r="H145" s="13" t="n">
        <v>0.96</v>
      </c>
      <c r="I145" s="13" t="n">
        <v>0.8792</v>
      </c>
      <c r="J145" s="13" t="n">
        <v>0.53</v>
      </c>
      <c r="K145" s="12" t="n">
        <f aca="false">ROUND(F145/100*G145*H145*I145/J145,2)</f>
        <v>6656.71</v>
      </c>
      <c r="L145" s="12" t="n">
        <v>6656.7</v>
      </c>
      <c r="M145" s="12" t="n">
        <f aca="false">L145-K145</f>
        <v>-0.0100000000002183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2588</v>
      </c>
      <c r="B146" s="14" t="s">
        <v>2753</v>
      </c>
      <c r="C146" s="14" t="s">
        <v>305</v>
      </c>
      <c r="D146" s="14" t="s">
        <v>1857</v>
      </c>
      <c r="E146" s="14" t="s">
        <v>56</v>
      </c>
      <c r="F146" s="15" t="n">
        <v>940000</v>
      </c>
      <c r="G146" s="16" t="n">
        <v>0.65</v>
      </c>
      <c r="H146" s="16" t="n">
        <v>1.12</v>
      </c>
      <c r="I146" s="16" t="n">
        <v>0.8792</v>
      </c>
      <c r="J146" s="16" t="n">
        <v>0.53</v>
      </c>
      <c r="K146" s="15" t="n">
        <f aca="false">ROUND(F146/100*G146*H146*I146/J146,2)</f>
        <v>11351.96</v>
      </c>
      <c r="L146" s="15" t="n">
        <v>11351.97</v>
      </c>
      <c r="M146" s="15" t="n">
        <f aca="false">L146-K146</f>
        <v>0.0100000000002183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2687</v>
      </c>
      <c r="B147" s="3" t="s">
        <v>2754</v>
      </c>
      <c r="C147" s="3" t="s">
        <v>145</v>
      </c>
      <c r="D147" s="3" t="s">
        <v>1168</v>
      </c>
      <c r="E147" s="3" t="s">
        <v>56</v>
      </c>
      <c r="F147" s="12" t="n">
        <v>1360000</v>
      </c>
      <c r="G147" s="13" t="n">
        <v>0.55</v>
      </c>
      <c r="H147" s="13" t="n">
        <v>0.96</v>
      </c>
      <c r="I147" s="13" t="n">
        <v>0.8792</v>
      </c>
      <c r="J147" s="13" t="n">
        <v>0.53</v>
      </c>
      <c r="K147" s="12" t="n">
        <f aca="false">ROUND(F147/100*G147*H147*I147/J147,2)</f>
        <v>11912</v>
      </c>
      <c r="L147" s="12" t="n">
        <v>11912</v>
      </c>
      <c r="M147" s="12" t="n">
        <f aca="false">L147-K147</f>
        <v>0</v>
      </c>
      <c r="N147" s="3" t="s">
        <v>70</v>
      </c>
      <c r="O147" s="3" t="s">
        <v>52</v>
      </c>
    </row>
    <row r="148" customFormat="false" ht="15" hidden="false" customHeight="false" outlineLevel="0" collapsed="false">
      <c r="A148" s="14" t="s">
        <v>2626</v>
      </c>
      <c r="B148" s="14" t="s">
        <v>2755</v>
      </c>
      <c r="C148" s="14" t="s">
        <v>108</v>
      </c>
      <c r="D148" s="14" t="s">
        <v>2105</v>
      </c>
      <c r="E148" s="14" t="s">
        <v>74</v>
      </c>
      <c r="F148" s="15" t="n">
        <v>285000</v>
      </c>
      <c r="G148" s="16" t="n">
        <v>0.48</v>
      </c>
      <c r="H148" s="16" t="n">
        <v>0.93</v>
      </c>
      <c r="I148" s="16" t="n">
        <v>0.8792</v>
      </c>
      <c r="J148" s="16" t="n">
        <v>0.53</v>
      </c>
      <c r="K148" s="15" t="n">
        <f aca="false">ROUND(F148/100*G148*H148*I148/J148,2)</f>
        <v>2110.48</v>
      </c>
      <c r="L148" s="15" t="n">
        <v>2110.48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2582</v>
      </c>
      <c r="B149" s="3" t="s">
        <v>2756</v>
      </c>
      <c r="C149" s="3" t="s">
        <v>174</v>
      </c>
      <c r="D149" s="3" t="s">
        <v>2757</v>
      </c>
      <c r="E149" s="3" t="s">
        <v>56</v>
      </c>
      <c r="F149" s="12" t="n">
        <v>350000</v>
      </c>
      <c r="G149" s="13" t="n">
        <v>0.75</v>
      </c>
      <c r="H149" s="13" t="n">
        <v>1.55</v>
      </c>
      <c r="I149" s="13" t="n">
        <v>0.8792</v>
      </c>
      <c r="J149" s="13" t="n">
        <v>0.53</v>
      </c>
      <c r="K149" s="12" t="n">
        <f aca="false">ROUND(F149/100*G149*H149*I149/J149,2)</f>
        <v>6749.52</v>
      </c>
      <c r="L149" s="12" t="n">
        <v>6749.52</v>
      </c>
      <c r="M149" s="12" t="n">
        <f aca="false">L149-K149</f>
        <v>0</v>
      </c>
      <c r="N149" s="3" t="s">
        <v>51</v>
      </c>
      <c r="O149" s="3" t="s">
        <v>52</v>
      </c>
    </row>
    <row r="150" customFormat="false" ht="15" hidden="false" customHeight="false" outlineLevel="0" collapsed="false">
      <c r="A150" s="14" t="s">
        <v>2602</v>
      </c>
      <c r="B150" s="14" t="s">
        <v>2758</v>
      </c>
      <c r="C150" s="14" t="s">
        <v>275</v>
      </c>
      <c r="D150" s="14" t="s">
        <v>2759</v>
      </c>
      <c r="E150" s="14" t="s">
        <v>133</v>
      </c>
      <c r="F150" s="15" t="n">
        <v>660000</v>
      </c>
      <c r="G150" s="16" t="n">
        <v>0.38</v>
      </c>
      <c r="H150" s="16" t="n">
        <v>1.19</v>
      </c>
      <c r="I150" s="16" t="n">
        <v>0.8792</v>
      </c>
      <c r="J150" s="16" t="n">
        <v>0.53</v>
      </c>
      <c r="K150" s="15" t="n">
        <f aca="false">ROUND(F150/100*G150*H150*I150/J150,2)</f>
        <v>4950.92</v>
      </c>
      <c r="L150" s="15" t="n">
        <v>4950.92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2561</v>
      </c>
      <c r="B151" s="3" t="s">
        <v>2760</v>
      </c>
      <c r="C151" s="3" t="s">
        <v>145</v>
      </c>
      <c r="D151" s="3" t="s">
        <v>882</v>
      </c>
      <c r="E151" s="3" t="s">
        <v>74</v>
      </c>
      <c r="F151" s="12" t="n">
        <v>605000</v>
      </c>
      <c r="G151" s="13" t="n">
        <v>0.43</v>
      </c>
      <c r="H151" s="13" t="n">
        <v>0.96</v>
      </c>
      <c r="I151" s="13" t="n">
        <v>0.8792</v>
      </c>
      <c r="J151" s="13" t="n">
        <v>0.53</v>
      </c>
      <c r="K151" s="12" t="n">
        <f aca="false">ROUND(F151/100*G151*H151*I151/J151,2)</f>
        <v>4142.92</v>
      </c>
      <c r="L151" s="12" t="n">
        <v>4142.92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2561</v>
      </c>
      <c r="B152" s="14" t="s">
        <v>2761</v>
      </c>
      <c r="C152" s="14" t="s">
        <v>105</v>
      </c>
      <c r="D152" s="14" t="s">
        <v>2762</v>
      </c>
      <c r="E152" s="14" t="s">
        <v>74</v>
      </c>
      <c r="F152" s="15" t="n">
        <v>1075000</v>
      </c>
      <c r="G152" s="16" t="n">
        <v>0.38</v>
      </c>
      <c r="H152" s="16" t="n">
        <v>0.99</v>
      </c>
      <c r="I152" s="16" t="n">
        <v>0.8792</v>
      </c>
      <c r="J152" s="16" t="n">
        <v>0.53</v>
      </c>
      <c r="K152" s="15" t="n">
        <f aca="false">ROUND(F152/100*G152*H152*I152/J152,2)</f>
        <v>6708.71</v>
      </c>
      <c r="L152" s="15" t="n">
        <v>6708.71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2599</v>
      </c>
      <c r="B153" s="3" t="s">
        <v>2763</v>
      </c>
      <c r="C153" s="3" t="s">
        <v>89</v>
      </c>
      <c r="D153" s="3" t="s">
        <v>2764</v>
      </c>
      <c r="E153" s="3" t="s">
        <v>56</v>
      </c>
      <c r="F153" s="12" t="n">
        <v>635000</v>
      </c>
      <c r="G153" s="13" t="n">
        <v>0.65</v>
      </c>
      <c r="H153" s="13" t="n">
        <v>1.35</v>
      </c>
      <c r="I153" s="13" t="n">
        <v>0.8792</v>
      </c>
      <c r="J153" s="13" t="n">
        <v>0.53</v>
      </c>
      <c r="K153" s="12" t="n">
        <f aca="false">ROUND(F153/100*G153*H153*I153/J153,2)</f>
        <v>9243.42</v>
      </c>
      <c r="L153" s="12" t="n">
        <v>9243.42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2567</v>
      </c>
      <c r="B154" s="14" t="s">
        <v>2765</v>
      </c>
      <c r="C154" s="14" t="s">
        <v>89</v>
      </c>
      <c r="D154" s="14" t="s">
        <v>391</v>
      </c>
      <c r="E154" s="14" t="s">
        <v>74</v>
      </c>
      <c r="F154" s="15" t="n">
        <v>645000</v>
      </c>
      <c r="G154" s="16" t="n">
        <v>0.43</v>
      </c>
      <c r="H154" s="16" t="n">
        <v>1.35</v>
      </c>
      <c r="I154" s="16" t="n">
        <v>0.8792</v>
      </c>
      <c r="J154" s="16" t="n">
        <v>0.53</v>
      </c>
      <c r="K154" s="15" t="n">
        <f aca="false">ROUND(F154/100*G154*H154*I154/J154,2)</f>
        <v>6211.17</v>
      </c>
      <c r="L154" s="15" t="n">
        <v>6211.18</v>
      </c>
      <c r="M154" s="15" t="n">
        <f aca="false">L154-K154</f>
        <v>0.0100000000002183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2582</v>
      </c>
      <c r="B155" s="3" t="s">
        <v>2766</v>
      </c>
      <c r="C155" s="3" t="s">
        <v>409</v>
      </c>
      <c r="D155" s="3" t="s">
        <v>1154</v>
      </c>
      <c r="E155" s="3" t="s">
        <v>50</v>
      </c>
      <c r="F155" s="12" t="n">
        <v>1950000</v>
      </c>
      <c r="G155" s="13" t="n">
        <v>0.8</v>
      </c>
      <c r="H155" s="13" t="n">
        <v>1.3</v>
      </c>
      <c r="I155" s="13" t="n">
        <v>0.8792</v>
      </c>
      <c r="J155" s="13" t="n">
        <v>0.53</v>
      </c>
      <c r="K155" s="12" t="n">
        <f aca="false">ROUND(F155/100*G155*H155*I155/J155,2)</f>
        <v>33641.84</v>
      </c>
      <c r="L155" s="12" t="n">
        <v>33641.84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2616</v>
      </c>
      <c r="B156" s="14" t="s">
        <v>2767</v>
      </c>
      <c r="C156" s="14" t="s">
        <v>89</v>
      </c>
      <c r="D156" s="14" t="s">
        <v>1321</v>
      </c>
      <c r="E156" s="14" t="s">
        <v>56</v>
      </c>
      <c r="F156" s="15" t="n">
        <v>615000</v>
      </c>
      <c r="G156" s="16" t="n">
        <v>0.65</v>
      </c>
      <c r="H156" s="16" t="n">
        <v>1.35</v>
      </c>
      <c r="I156" s="16" t="n">
        <v>0.8792</v>
      </c>
      <c r="J156" s="16" t="n">
        <v>0.53</v>
      </c>
      <c r="K156" s="15" t="n">
        <f aca="false">ROUND(F156/100*G156*H156*I156/J156,2)</f>
        <v>8952.29</v>
      </c>
      <c r="L156" s="15" t="n">
        <v>8952.29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2592</v>
      </c>
      <c r="B157" s="3" t="s">
        <v>2768</v>
      </c>
      <c r="C157" s="3" t="s">
        <v>462</v>
      </c>
      <c r="D157" s="3" t="s">
        <v>2769</v>
      </c>
      <c r="E157" s="3" t="s">
        <v>74</v>
      </c>
      <c r="F157" s="12" t="n">
        <v>620000</v>
      </c>
      <c r="G157" s="13" t="n">
        <v>0.43</v>
      </c>
      <c r="H157" s="13" t="n">
        <v>1.34</v>
      </c>
      <c r="I157" s="13" t="n">
        <v>0.8792</v>
      </c>
      <c r="J157" s="13" t="n">
        <v>0.53</v>
      </c>
      <c r="K157" s="12" t="n">
        <f aca="false">ROUND(F157/100*G157*H157*I157/J157,2)</f>
        <v>5926.21</v>
      </c>
      <c r="L157" s="12" t="n">
        <v>5926.2</v>
      </c>
      <c r="M157" s="12" t="n">
        <f aca="false">L157-K157</f>
        <v>-0.0100000000002183</v>
      </c>
      <c r="N157" s="3" t="s">
        <v>70</v>
      </c>
      <c r="O157" s="3" t="s">
        <v>52</v>
      </c>
    </row>
    <row r="158" customFormat="false" ht="15" hidden="false" customHeight="false" outlineLevel="0" collapsed="false">
      <c r="A158" s="14" t="s">
        <v>2602</v>
      </c>
      <c r="B158" s="14" t="s">
        <v>2770</v>
      </c>
      <c r="C158" s="14" t="s">
        <v>114</v>
      </c>
      <c r="D158" s="14" t="s">
        <v>2594</v>
      </c>
      <c r="E158" s="14" t="s">
        <v>56</v>
      </c>
      <c r="F158" s="15" t="n">
        <v>345000</v>
      </c>
      <c r="G158" s="16" t="n">
        <v>0.75</v>
      </c>
      <c r="H158" s="16" t="n">
        <v>1.36</v>
      </c>
      <c r="I158" s="16" t="n">
        <v>0.8792</v>
      </c>
      <c r="J158" s="16" t="n">
        <v>0.53</v>
      </c>
      <c r="K158" s="15" t="n">
        <f aca="false">ROUND(F158/100*G158*H158*I158/J158,2)</f>
        <v>5837.56</v>
      </c>
      <c r="L158" s="15" t="n">
        <v>5837.55</v>
      </c>
      <c r="M158" s="15" t="n">
        <f aca="false">L158-K158</f>
        <v>-0.0100000000002183</v>
      </c>
      <c r="N158" s="14" t="s">
        <v>51</v>
      </c>
      <c r="O158" s="14" t="s">
        <v>52</v>
      </c>
    </row>
    <row r="159" customFormat="false" ht="15" hidden="false" customHeight="false" outlineLevel="0" collapsed="false">
      <c r="A159" s="3" t="s">
        <v>2626</v>
      </c>
      <c r="B159" s="3" t="s">
        <v>2771</v>
      </c>
      <c r="C159" s="3" t="s">
        <v>174</v>
      </c>
      <c r="D159" s="3" t="s">
        <v>2772</v>
      </c>
      <c r="E159" s="3" t="s">
        <v>74</v>
      </c>
      <c r="F159" s="12" t="n">
        <v>760000</v>
      </c>
      <c r="G159" s="13" t="n">
        <v>0.43</v>
      </c>
      <c r="H159" s="13" t="n">
        <v>1.55</v>
      </c>
      <c r="I159" s="13" t="n">
        <v>0.8792</v>
      </c>
      <c r="J159" s="13" t="n">
        <v>0.53</v>
      </c>
      <c r="K159" s="12" t="n">
        <f aca="false">ROUND(F159/100*G159*H159*I159/J159,2)</f>
        <v>8402.83</v>
      </c>
      <c r="L159" s="12" t="n">
        <v>8402.83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2633</v>
      </c>
      <c r="B160" s="14" t="s">
        <v>2773</v>
      </c>
      <c r="C160" s="14" t="s">
        <v>887</v>
      </c>
      <c r="D160" s="14" t="s">
        <v>405</v>
      </c>
      <c r="E160" s="14" t="s">
        <v>56</v>
      </c>
      <c r="F160" s="15" t="n">
        <v>925000</v>
      </c>
      <c r="G160" s="16" t="n">
        <v>0.65</v>
      </c>
      <c r="H160" s="16" t="n">
        <v>1.37</v>
      </c>
      <c r="I160" s="16" t="n">
        <v>0.8792</v>
      </c>
      <c r="J160" s="16" t="n">
        <v>0.53</v>
      </c>
      <c r="K160" s="15" t="n">
        <f aca="false">ROUND(F160/100*G160*H160*I160/J160,2)</f>
        <v>13664.3</v>
      </c>
      <c r="L160" s="15" t="n">
        <v>13664.31</v>
      </c>
      <c r="M160" s="15" t="n">
        <f aca="false">L160-K160</f>
        <v>0.0100000000002183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2561</v>
      </c>
      <c r="B161" s="3" t="s">
        <v>2774</v>
      </c>
      <c r="C161" s="3" t="s">
        <v>114</v>
      </c>
      <c r="D161" s="3" t="s">
        <v>1889</v>
      </c>
      <c r="E161" s="3" t="s">
        <v>56</v>
      </c>
      <c r="F161" s="12" t="n">
        <v>380000</v>
      </c>
      <c r="G161" s="13" t="n">
        <v>0.75</v>
      </c>
      <c r="H161" s="13" t="n">
        <v>1.36</v>
      </c>
      <c r="I161" s="13" t="n">
        <v>0.8792</v>
      </c>
      <c r="J161" s="13" t="n">
        <v>0.53</v>
      </c>
      <c r="K161" s="12" t="n">
        <f aca="false">ROUND(F161/100*G161*H161*I161/J161,2)</f>
        <v>6429.77</v>
      </c>
      <c r="L161" s="12" t="n">
        <v>6429.77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2561</v>
      </c>
      <c r="B162" s="14" t="s">
        <v>2775</v>
      </c>
      <c r="C162" s="14" t="s">
        <v>89</v>
      </c>
      <c r="D162" s="14" t="s">
        <v>2225</v>
      </c>
      <c r="E162" s="14" t="s">
        <v>56</v>
      </c>
      <c r="F162" s="15" t="n">
        <v>795000</v>
      </c>
      <c r="G162" s="16" t="n">
        <v>0.65</v>
      </c>
      <c r="H162" s="16" t="n">
        <v>1.35</v>
      </c>
      <c r="I162" s="16" t="n">
        <v>0.8792</v>
      </c>
      <c r="J162" s="16" t="n">
        <v>0.53</v>
      </c>
      <c r="K162" s="15" t="n">
        <f aca="false">ROUND(F162/100*G162*H162*I162/J162,2)</f>
        <v>11572.47</v>
      </c>
      <c r="L162" s="15" t="n">
        <v>11572.47</v>
      </c>
      <c r="M162" s="15" t="n">
        <f aca="false">L162-K162</f>
        <v>0</v>
      </c>
      <c r="N162" s="14" t="s">
        <v>70</v>
      </c>
      <c r="O162" s="14" t="s">
        <v>52</v>
      </c>
    </row>
    <row r="163" customFormat="false" ht="15" hidden="false" customHeight="false" outlineLevel="0" collapsed="false">
      <c r="A163" s="3" t="s">
        <v>2616</v>
      </c>
      <c r="B163" s="3" t="s">
        <v>2776</v>
      </c>
      <c r="C163" s="3" t="s">
        <v>326</v>
      </c>
      <c r="D163" s="3" t="s">
        <v>1935</v>
      </c>
      <c r="E163" s="3" t="s">
        <v>56</v>
      </c>
      <c r="F163" s="12" t="n">
        <v>825000</v>
      </c>
      <c r="G163" s="13" t="n">
        <v>0.65</v>
      </c>
      <c r="H163" s="13" t="n">
        <v>1.12</v>
      </c>
      <c r="I163" s="13" t="n">
        <v>0.8792</v>
      </c>
      <c r="J163" s="13" t="n">
        <v>0.53</v>
      </c>
      <c r="K163" s="12" t="n">
        <f aca="false">ROUND(F163/100*G163*H163*I163/J163,2)</f>
        <v>9963.16</v>
      </c>
      <c r="L163" s="12" t="n">
        <v>9963.16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2684</v>
      </c>
      <c r="B164" s="14" t="s">
        <v>2777</v>
      </c>
      <c r="C164" s="14" t="s">
        <v>159</v>
      </c>
      <c r="D164" s="14" t="s">
        <v>2099</v>
      </c>
      <c r="E164" s="14" t="s">
        <v>50</v>
      </c>
      <c r="F164" s="15" t="n">
        <v>660000</v>
      </c>
      <c r="G164" s="16" t="n">
        <v>0.95</v>
      </c>
      <c r="H164" s="16" t="n">
        <v>1.15</v>
      </c>
      <c r="I164" s="16" t="n">
        <v>0.8792</v>
      </c>
      <c r="J164" s="16" t="n">
        <v>0.53</v>
      </c>
      <c r="K164" s="15" t="n">
        <f aca="false">ROUND(F164/100*G164*H164*I164/J164,2)</f>
        <v>11961.27</v>
      </c>
      <c r="L164" s="15" t="n">
        <v>11961.27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2571</v>
      </c>
      <c r="B165" s="3" t="s">
        <v>2778</v>
      </c>
      <c r="C165" s="3" t="s">
        <v>136</v>
      </c>
      <c r="D165" s="3" t="s">
        <v>1517</v>
      </c>
      <c r="E165" s="3" t="s">
        <v>56</v>
      </c>
      <c r="F165" s="12" t="n">
        <v>290000</v>
      </c>
      <c r="G165" s="13" t="n">
        <v>0.75</v>
      </c>
      <c r="H165" s="13" t="n">
        <v>1.32</v>
      </c>
      <c r="I165" s="13" t="n">
        <v>0.8792</v>
      </c>
      <c r="J165" s="13" t="n">
        <v>0.53</v>
      </c>
      <c r="K165" s="12" t="n">
        <f aca="false">ROUND(F165/100*G165*H165*I165/J165,2)</f>
        <v>4762.61</v>
      </c>
      <c r="L165" s="12" t="n">
        <v>4762.61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2626</v>
      </c>
      <c r="B166" s="14" t="s">
        <v>2779</v>
      </c>
      <c r="C166" s="14" t="s">
        <v>145</v>
      </c>
      <c r="D166" s="14" t="s">
        <v>298</v>
      </c>
      <c r="E166" s="14" t="s">
        <v>56</v>
      </c>
      <c r="F166" s="15" t="n">
        <v>345000</v>
      </c>
      <c r="G166" s="16" t="n">
        <v>0.75</v>
      </c>
      <c r="H166" s="16" t="n">
        <v>0.96</v>
      </c>
      <c r="I166" s="16" t="n">
        <v>0.8792</v>
      </c>
      <c r="J166" s="16" t="n">
        <v>0.53</v>
      </c>
      <c r="K166" s="15" t="n">
        <f aca="false">ROUND(F166/100*G166*H166*I166/J166,2)</f>
        <v>4120.63</v>
      </c>
      <c r="L166" s="15" t="n">
        <v>4120.63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2588</v>
      </c>
      <c r="B167" s="3" t="s">
        <v>2780</v>
      </c>
      <c r="C167" s="3" t="s">
        <v>196</v>
      </c>
      <c r="D167" s="3" t="s">
        <v>250</v>
      </c>
      <c r="E167" s="3" t="s">
        <v>56</v>
      </c>
      <c r="F167" s="12" t="n">
        <v>545000</v>
      </c>
      <c r="G167" s="13" t="n">
        <v>0.65</v>
      </c>
      <c r="H167" s="13" t="n">
        <v>1.04</v>
      </c>
      <c r="I167" s="13" t="n">
        <v>0.8792</v>
      </c>
      <c r="J167" s="13" t="n">
        <v>0.53</v>
      </c>
      <c r="K167" s="12" t="n">
        <f aca="false">ROUND(F167/100*G167*H167*I167/J167,2)</f>
        <v>6111.6</v>
      </c>
      <c r="L167" s="12" t="n">
        <v>6111.6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2592</v>
      </c>
      <c r="B168" s="14" t="s">
        <v>2781</v>
      </c>
      <c r="C168" s="14" t="s">
        <v>220</v>
      </c>
      <c r="D168" s="14" t="s">
        <v>2402</v>
      </c>
      <c r="E168" s="14" t="s">
        <v>50</v>
      </c>
      <c r="F168" s="15" t="n">
        <v>310000</v>
      </c>
      <c r="G168" s="16" t="n">
        <v>1.15</v>
      </c>
      <c r="H168" s="16" t="n">
        <v>1.01</v>
      </c>
      <c r="I168" s="16" t="n">
        <v>0.8792</v>
      </c>
      <c r="J168" s="16" t="n">
        <v>0.53</v>
      </c>
      <c r="K168" s="15" t="n">
        <f aca="false">ROUND(F168/100*G168*H168*I168/J168,2)</f>
        <v>5973</v>
      </c>
      <c r="L168" s="15" t="n">
        <v>5973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2582</v>
      </c>
      <c r="B169" s="3" t="s">
        <v>2782</v>
      </c>
      <c r="C169" s="3" t="s">
        <v>81</v>
      </c>
      <c r="D169" s="3" t="s">
        <v>1002</v>
      </c>
      <c r="E169" s="3" t="s">
        <v>50</v>
      </c>
      <c r="F169" s="12" t="n">
        <v>1950000</v>
      </c>
      <c r="G169" s="13" t="n">
        <v>0.8</v>
      </c>
      <c r="H169" s="13" t="n">
        <v>1.27</v>
      </c>
      <c r="I169" s="13" t="n">
        <v>0.8792</v>
      </c>
      <c r="J169" s="13" t="n">
        <v>0.53</v>
      </c>
      <c r="K169" s="12" t="n">
        <f aca="false">ROUND(F169/100*G169*H169*I169/J169,2)</f>
        <v>32865.49</v>
      </c>
      <c r="L169" s="12" t="n">
        <v>32865.49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2602</v>
      </c>
      <c r="B170" s="14" t="s">
        <v>2783</v>
      </c>
      <c r="C170" s="14" t="s">
        <v>64</v>
      </c>
      <c r="D170" s="14" t="s">
        <v>1339</v>
      </c>
      <c r="E170" s="14" t="s">
        <v>50</v>
      </c>
      <c r="F170" s="15" t="n">
        <v>1040000</v>
      </c>
      <c r="G170" s="16" t="n">
        <v>0.8</v>
      </c>
      <c r="H170" s="16" t="n">
        <v>1.17</v>
      </c>
      <c r="I170" s="16" t="n">
        <v>0.8792</v>
      </c>
      <c r="J170" s="16" t="n">
        <v>0.53</v>
      </c>
      <c r="K170" s="15" t="n">
        <f aca="false">ROUND(F170/100*G170*H170*I170/J170,2)</f>
        <v>16148.08</v>
      </c>
      <c r="L170" s="15" t="n">
        <v>16148.08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2602</v>
      </c>
      <c r="B171" s="3" t="s">
        <v>2784</v>
      </c>
      <c r="C171" s="3" t="s">
        <v>48</v>
      </c>
      <c r="D171" s="3" t="s">
        <v>2785</v>
      </c>
      <c r="E171" s="3" t="s">
        <v>56</v>
      </c>
      <c r="F171" s="12" t="n">
        <v>385000</v>
      </c>
      <c r="G171" s="13" t="n">
        <v>0.75</v>
      </c>
      <c r="H171" s="13" t="n">
        <v>1.28</v>
      </c>
      <c r="I171" s="13" t="n">
        <v>0.8792</v>
      </c>
      <c r="J171" s="13" t="n">
        <v>0.53</v>
      </c>
      <c r="K171" s="12" t="n">
        <f aca="false">ROUND(F171/100*G171*H171*I171/J171,2)</f>
        <v>6131.18</v>
      </c>
      <c r="L171" s="12" t="n">
        <v>6131.17</v>
      </c>
      <c r="M171" s="12" t="n">
        <f aca="false">L171-K171</f>
        <v>-0.0100000000002183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2786</v>
      </c>
      <c r="B172" s="14" t="s">
        <v>2787</v>
      </c>
      <c r="C172" s="14" t="s">
        <v>108</v>
      </c>
      <c r="D172" s="14" t="s">
        <v>1669</v>
      </c>
      <c r="E172" s="14" t="s">
        <v>56</v>
      </c>
      <c r="F172" s="15" t="n">
        <v>1950000</v>
      </c>
      <c r="G172" s="16" t="n">
        <v>0.55</v>
      </c>
      <c r="H172" s="16" t="n">
        <v>0.93</v>
      </c>
      <c r="I172" s="16" t="n">
        <v>0.8792</v>
      </c>
      <c r="J172" s="16" t="n">
        <v>0.53</v>
      </c>
      <c r="K172" s="15" t="n">
        <f aca="false">ROUND(F172/100*G172*H172*I172/J172,2)</f>
        <v>16545.96</v>
      </c>
      <c r="L172" s="15" t="n">
        <v>16545.96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2786</v>
      </c>
      <c r="B173" s="3" t="s">
        <v>2788</v>
      </c>
      <c r="C173" s="3" t="s">
        <v>145</v>
      </c>
      <c r="D173" s="3" t="s">
        <v>642</v>
      </c>
      <c r="E173" s="3" t="s">
        <v>56</v>
      </c>
      <c r="F173" s="12" t="n">
        <v>285000</v>
      </c>
      <c r="G173" s="13" t="n">
        <v>0.75</v>
      </c>
      <c r="H173" s="13" t="n">
        <v>0.96</v>
      </c>
      <c r="I173" s="13" t="n">
        <v>0.8792</v>
      </c>
      <c r="J173" s="13" t="n">
        <v>0.53</v>
      </c>
      <c r="K173" s="12" t="n">
        <f aca="false">ROUND(F173/100*G173*H173*I173/J173,2)</f>
        <v>3404</v>
      </c>
      <c r="L173" s="12" t="n">
        <v>3404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2608</v>
      </c>
      <c r="B174" s="14" t="s">
        <v>2789</v>
      </c>
      <c r="C174" s="14" t="s">
        <v>237</v>
      </c>
      <c r="D174" s="14" t="s">
        <v>2738</v>
      </c>
      <c r="E174" s="14" t="s">
        <v>56</v>
      </c>
      <c r="F174" s="15" t="n">
        <v>1360000</v>
      </c>
      <c r="G174" s="16" t="n">
        <v>0.55</v>
      </c>
      <c r="H174" s="16" t="n">
        <v>1.33</v>
      </c>
      <c r="I174" s="16" t="n">
        <v>0.8792</v>
      </c>
      <c r="J174" s="16" t="n">
        <v>0.53</v>
      </c>
      <c r="K174" s="15" t="n">
        <f aca="false">ROUND(F174/100*G174*H174*I174/J174,2)</f>
        <v>16503.08</v>
      </c>
      <c r="L174" s="15" t="n">
        <v>16503.09</v>
      </c>
      <c r="M174" s="15" t="n">
        <f aca="false">L174-K174</f>
        <v>0.00999999999839929</v>
      </c>
      <c r="N174" s="14" t="s">
        <v>70</v>
      </c>
      <c r="O174" s="14" t="s">
        <v>52</v>
      </c>
    </row>
    <row r="175" customFormat="false" ht="15" hidden="false" customHeight="false" outlineLevel="0" collapsed="false">
      <c r="A175" s="3" t="s">
        <v>2633</v>
      </c>
      <c r="B175" s="3" t="s">
        <v>2790</v>
      </c>
      <c r="C175" s="3" t="s">
        <v>193</v>
      </c>
      <c r="D175" s="3" t="s">
        <v>531</v>
      </c>
      <c r="E175" s="3" t="s">
        <v>56</v>
      </c>
      <c r="F175" s="12" t="n">
        <v>820000</v>
      </c>
      <c r="G175" s="13" t="n">
        <v>0.65</v>
      </c>
      <c r="H175" s="13" t="n">
        <v>1.25</v>
      </c>
      <c r="I175" s="13" t="n">
        <v>0.8792</v>
      </c>
      <c r="J175" s="13" t="n">
        <v>0.53</v>
      </c>
      <c r="K175" s="12" t="n">
        <f aca="false">ROUND(F175/100*G175*H175*I175/J175,2)</f>
        <v>11052.21</v>
      </c>
      <c r="L175" s="12" t="n">
        <v>11052.2</v>
      </c>
      <c r="M175" s="12" t="n">
        <f aca="false">L175-K175</f>
        <v>-0.00999999999839929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2602</v>
      </c>
      <c r="B176" s="14" t="s">
        <v>2791</v>
      </c>
      <c r="C176" s="14" t="s">
        <v>139</v>
      </c>
      <c r="D176" s="14" t="s">
        <v>431</v>
      </c>
      <c r="E176" s="14" t="s">
        <v>56</v>
      </c>
      <c r="F176" s="15" t="n">
        <v>705000</v>
      </c>
      <c r="G176" s="16" t="n">
        <v>0.65</v>
      </c>
      <c r="H176" s="16" t="n">
        <v>1.23</v>
      </c>
      <c r="I176" s="16" t="n">
        <v>0.8792</v>
      </c>
      <c r="J176" s="16" t="n">
        <v>0.53</v>
      </c>
      <c r="K176" s="15" t="n">
        <f aca="false">ROUND(F176/100*G176*H176*I176/J176,2)</f>
        <v>9350.17</v>
      </c>
      <c r="L176" s="15" t="n">
        <v>9350.17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2672</v>
      </c>
      <c r="B177" s="3" t="s">
        <v>2792</v>
      </c>
      <c r="C177" s="3" t="s">
        <v>139</v>
      </c>
      <c r="D177" s="3" t="s">
        <v>2416</v>
      </c>
      <c r="E177" s="3" t="s">
        <v>74</v>
      </c>
      <c r="F177" s="12" t="n">
        <v>1205000</v>
      </c>
      <c r="G177" s="13" t="n">
        <v>0.38</v>
      </c>
      <c r="H177" s="13" t="n">
        <v>1.23</v>
      </c>
      <c r="I177" s="13" t="n">
        <v>0.8792</v>
      </c>
      <c r="J177" s="13" t="n">
        <v>0.53</v>
      </c>
      <c r="K177" s="12" t="n">
        <f aca="false">ROUND(F177/100*G177*H177*I177/J177,2)</f>
        <v>9343.03</v>
      </c>
      <c r="L177" s="12" t="n">
        <v>9343.03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2567</v>
      </c>
      <c r="B178" s="14" t="s">
        <v>2793</v>
      </c>
      <c r="C178" s="14" t="s">
        <v>89</v>
      </c>
      <c r="D178" s="14" t="s">
        <v>1905</v>
      </c>
      <c r="E178" s="14" t="s">
        <v>56</v>
      </c>
      <c r="F178" s="15" t="n">
        <v>515000</v>
      </c>
      <c r="G178" s="16" t="n">
        <v>0.65</v>
      </c>
      <c r="H178" s="16" t="n">
        <v>1.35</v>
      </c>
      <c r="I178" s="16" t="n">
        <v>0.8792</v>
      </c>
      <c r="J178" s="16" t="n">
        <v>0.53</v>
      </c>
      <c r="K178" s="15" t="n">
        <f aca="false">ROUND(F178/100*G178*H178*I178/J178,2)</f>
        <v>7496.63</v>
      </c>
      <c r="L178" s="15" t="n">
        <v>7496.63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2642</v>
      </c>
      <c r="B179" s="3" t="s">
        <v>2794</v>
      </c>
      <c r="C179" s="3" t="s">
        <v>230</v>
      </c>
      <c r="D179" s="3" t="s">
        <v>780</v>
      </c>
      <c r="E179" s="3" t="s">
        <v>56</v>
      </c>
      <c r="F179" s="12" t="n">
        <v>305000</v>
      </c>
      <c r="G179" s="13" t="n">
        <v>0.75</v>
      </c>
      <c r="H179" s="13" t="n">
        <v>1.09</v>
      </c>
      <c r="I179" s="13" t="n">
        <v>0.8792</v>
      </c>
      <c r="J179" s="13" t="n">
        <v>0.53</v>
      </c>
      <c r="K179" s="12" t="n">
        <f aca="false">ROUND(F179/100*G179*H179*I179/J179,2)</f>
        <v>4136.18</v>
      </c>
      <c r="L179" s="12" t="n">
        <v>4136.18</v>
      </c>
      <c r="M179" s="12" t="n">
        <f aca="false">L179-K179</f>
        <v>0</v>
      </c>
      <c r="N179" s="3" t="s">
        <v>70</v>
      </c>
      <c r="O179" s="3" t="s">
        <v>52</v>
      </c>
    </row>
    <row r="180" customFormat="false" ht="15" hidden="false" customHeight="false" outlineLevel="0" collapsed="false">
      <c r="A180" s="14" t="s">
        <v>2633</v>
      </c>
      <c r="B180" s="14" t="s">
        <v>2795</v>
      </c>
      <c r="C180" s="14" t="s">
        <v>409</v>
      </c>
      <c r="D180" s="14" t="s">
        <v>2796</v>
      </c>
      <c r="E180" s="14" t="s">
        <v>133</v>
      </c>
      <c r="F180" s="15" t="n">
        <v>680000</v>
      </c>
      <c r="G180" s="16" t="n">
        <v>0.38</v>
      </c>
      <c r="H180" s="16" t="n">
        <v>1.3</v>
      </c>
      <c r="I180" s="16" t="n">
        <v>0.8792</v>
      </c>
      <c r="J180" s="16" t="n">
        <v>0.53</v>
      </c>
      <c r="K180" s="15" t="n">
        <f aca="false">ROUND(F180/100*G180*H180*I180/J180,2)</f>
        <v>5572.47</v>
      </c>
      <c r="L180" s="15" t="n">
        <v>5572.47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2588</v>
      </c>
      <c r="B181" s="3" t="s">
        <v>2797</v>
      </c>
      <c r="C181" s="3" t="s">
        <v>114</v>
      </c>
      <c r="D181" s="3" t="s">
        <v>1673</v>
      </c>
      <c r="E181" s="3" t="s">
        <v>74</v>
      </c>
      <c r="F181" s="12" t="n">
        <v>730000</v>
      </c>
      <c r="G181" s="13" t="n">
        <v>0.43</v>
      </c>
      <c r="H181" s="13" t="n">
        <v>1.36</v>
      </c>
      <c r="I181" s="13" t="n">
        <v>0.8792</v>
      </c>
      <c r="J181" s="13" t="n">
        <v>0.53</v>
      </c>
      <c r="K181" s="12" t="n">
        <f aca="false">ROUND(F181/100*G181*H181*I181/J181,2)</f>
        <v>7081.77</v>
      </c>
      <c r="L181" s="12" t="n">
        <v>7081.77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2567</v>
      </c>
      <c r="B182" s="14" t="s">
        <v>2798</v>
      </c>
      <c r="C182" s="14" t="s">
        <v>159</v>
      </c>
      <c r="D182" s="14" t="s">
        <v>675</v>
      </c>
      <c r="E182" s="14" t="s">
        <v>56</v>
      </c>
      <c r="F182" s="15" t="n">
        <v>560000</v>
      </c>
      <c r="G182" s="16" t="n">
        <v>0.65</v>
      </c>
      <c r="H182" s="16" t="n">
        <v>1.15</v>
      </c>
      <c r="I182" s="16" t="n">
        <v>0.8792</v>
      </c>
      <c r="J182" s="16" t="n">
        <v>0.53</v>
      </c>
      <c r="K182" s="15" t="n">
        <f aca="false">ROUND(F182/100*G182*H182*I182/J182,2)</f>
        <v>6944.02</v>
      </c>
      <c r="L182" s="15" t="n">
        <v>6944.02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2565</v>
      </c>
      <c r="B183" s="3" t="s">
        <v>2799</v>
      </c>
      <c r="C183" s="3" t="s">
        <v>89</v>
      </c>
      <c r="D183" s="3" t="s">
        <v>1285</v>
      </c>
      <c r="E183" s="3" t="s">
        <v>50</v>
      </c>
      <c r="F183" s="12" t="n">
        <v>1160000</v>
      </c>
      <c r="G183" s="13" t="n">
        <v>0.8</v>
      </c>
      <c r="H183" s="13" t="n">
        <v>1.35</v>
      </c>
      <c r="I183" s="13" t="n">
        <v>0.8792</v>
      </c>
      <c r="J183" s="13" t="n">
        <v>0.53</v>
      </c>
      <c r="K183" s="12" t="n">
        <f aca="false">ROUND(F183/100*G183*H183*I183/J183,2)</f>
        <v>20782.3</v>
      </c>
      <c r="L183" s="12" t="n">
        <v>20782.3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2599</v>
      </c>
      <c r="B184" s="14" t="s">
        <v>2800</v>
      </c>
      <c r="C184" s="14" t="s">
        <v>217</v>
      </c>
      <c r="D184" s="14" t="s">
        <v>250</v>
      </c>
      <c r="E184" s="14" t="s">
        <v>56</v>
      </c>
      <c r="F184" s="15" t="n">
        <v>515000</v>
      </c>
      <c r="G184" s="16" t="n">
        <v>0.65</v>
      </c>
      <c r="H184" s="16" t="n">
        <v>1.3</v>
      </c>
      <c r="I184" s="16" t="n">
        <v>0.8792</v>
      </c>
      <c r="J184" s="16" t="n">
        <v>0.53</v>
      </c>
      <c r="K184" s="15" t="n">
        <f aca="false">ROUND(F184/100*G184*H184*I184/J184,2)</f>
        <v>7218.98</v>
      </c>
      <c r="L184" s="15" t="n">
        <v>7218.98</v>
      </c>
      <c r="M184" s="15" t="n">
        <f aca="false">L184-K184</f>
        <v>0</v>
      </c>
      <c r="N184" s="14" t="s">
        <v>51</v>
      </c>
      <c r="O184" s="14" t="s">
        <v>52</v>
      </c>
    </row>
    <row r="185" customFormat="false" ht="15" hidden="false" customHeight="false" outlineLevel="0" collapsed="false">
      <c r="A185" s="3" t="s">
        <v>2687</v>
      </c>
      <c r="B185" s="3" t="s">
        <v>2801</v>
      </c>
      <c r="C185" s="3" t="s">
        <v>326</v>
      </c>
      <c r="D185" s="3" t="s">
        <v>2802</v>
      </c>
      <c r="E185" s="3" t="s">
        <v>50</v>
      </c>
      <c r="F185" s="12" t="n">
        <v>915000</v>
      </c>
      <c r="G185" s="13" t="n">
        <v>0.95</v>
      </c>
      <c r="H185" s="13" t="n">
        <v>1.12</v>
      </c>
      <c r="I185" s="13" t="n">
        <v>0.8792</v>
      </c>
      <c r="J185" s="13" t="n">
        <v>0.53</v>
      </c>
      <c r="K185" s="12" t="n">
        <f aca="false">ROUND(F185/100*G185*H185*I185/J185,2)</f>
        <v>16150.07</v>
      </c>
      <c r="L185" s="12" t="n">
        <v>16150.08</v>
      </c>
      <c r="M185" s="12" t="n">
        <f aca="false">L185-K185</f>
        <v>0.0100000000002183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2565</v>
      </c>
      <c r="B186" s="14" t="s">
        <v>2803</v>
      </c>
      <c r="C186" s="14" t="s">
        <v>184</v>
      </c>
      <c r="D186" s="14" t="s">
        <v>2804</v>
      </c>
      <c r="E186" s="14" t="s">
        <v>50</v>
      </c>
      <c r="F186" s="15" t="n">
        <v>295000</v>
      </c>
      <c r="G186" s="16" t="n">
        <v>1.15</v>
      </c>
      <c r="H186" s="16" t="n">
        <v>1.02</v>
      </c>
      <c r="I186" s="16" t="n">
        <v>0.8792</v>
      </c>
      <c r="J186" s="16" t="n">
        <v>0.53</v>
      </c>
      <c r="K186" s="15" t="n">
        <f aca="false">ROUND(F186/100*G186*H186*I186/J186,2)</f>
        <v>5740.26</v>
      </c>
      <c r="L186" s="15" t="n">
        <v>5740.26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2610</v>
      </c>
      <c r="B187" s="3" t="s">
        <v>2805</v>
      </c>
      <c r="C187" s="3" t="s">
        <v>174</v>
      </c>
      <c r="D187" s="3" t="s">
        <v>2077</v>
      </c>
      <c r="E187" s="3" t="s">
        <v>56</v>
      </c>
      <c r="F187" s="12" t="n">
        <v>515000</v>
      </c>
      <c r="G187" s="13" t="n">
        <v>0.65</v>
      </c>
      <c r="H187" s="13" t="n">
        <v>1.55</v>
      </c>
      <c r="I187" s="13" t="n">
        <v>0.8792</v>
      </c>
      <c r="J187" s="13" t="n">
        <v>0.53</v>
      </c>
      <c r="K187" s="12" t="n">
        <f aca="false">ROUND(F187/100*G187*H187*I187/J187,2)</f>
        <v>8607.24</v>
      </c>
      <c r="L187" s="12" t="n">
        <v>8607.24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2599</v>
      </c>
      <c r="B188" s="14" t="s">
        <v>2806</v>
      </c>
      <c r="C188" s="14" t="s">
        <v>188</v>
      </c>
      <c r="D188" s="14" t="s">
        <v>1417</v>
      </c>
      <c r="E188" s="14" t="s">
        <v>56</v>
      </c>
      <c r="F188" s="15" t="n">
        <v>540000</v>
      </c>
      <c r="G188" s="16" t="n">
        <v>0.65</v>
      </c>
      <c r="H188" s="16" t="n">
        <v>1.35</v>
      </c>
      <c r="I188" s="16" t="n">
        <v>0.8792</v>
      </c>
      <c r="J188" s="16" t="n">
        <v>0.53</v>
      </c>
      <c r="K188" s="15" t="n">
        <f aca="false">ROUND(F188/100*G188*H188*I188/J188,2)</f>
        <v>7860.55</v>
      </c>
      <c r="L188" s="15" t="n">
        <v>7860.55</v>
      </c>
      <c r="M188" s="15" t="n">
        <f aca="false">L188-K188</f>
        <v>0</v>
      </c>
      <c r="N188" s="14" t="s">
        <v>51</v>
      </c>
      <c r="O188" s="14" t="s">
        <v>52</v>
      </c>
    </row>
    <row r="189" customFormat="false" ht="15" hidden="false" customHeight="false" outlineLevel="0" collapsed="false">
      <c r="A189" s="3" t="s">
        <v>2786</v>
      </c>
      <c r="B189" s="3" t="s">
        <v>2807</v>
      </c>
      <c r="C189" s="3" t="s">
        <v>89</v>
      </c>
      <c r="D189" s="3" t="s">
        <v>1170</v>
      </c>
      <c r="E189" s="3" t="s">
        <v>74</v>
      </c>
      <c r="F189" s="12" t="n">
        <v>775000</v>
      </c>
      <c r="G189" s="13" t="n">
        <v>0.43</v>
      </c>
      <c r="H189" s="13" t="n">
        <v>1.35</v>
      </c>
      <c r="I189" s="13" t="n">
        <v>0.8792</v>
      </c>
      <c r="J189" s="13" t="n">
        <v>0.53</v>
      </c>
      <c r="K189" s="12" t="n">
        <f aca="false">ROUND(F189/100*G189*H189*I189/J189,2)</f>
        <v>7463.04</v>
      </c>
      <c r="L189" s="12" t="n">
        <v>7463.04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2578</v>
      </c>
      <c r="B190" s="14" t="s">
        <v>2808</v>
      </c>
      <c r="C190" s="14" t="s">
        <v>193</v>
      </c>
      <c r="D190" s="14" t="s">
        <v>402</v>
      </c>
      <c r="E190" s="14" t="s">
        <v>56</v>
      </c>
      <c r="F190" s="15" t="n">
        <v>490000</v>
      </c>
      <c r="G190" s="16" t="n">
        <v>0.75</v>
      </c>
      <c r="H190" s="16" t="n">
        <v>1.25</v>
      </c>
      <c r="I190" s="16" t="n">
        <v>0.8792</v>
      </c>
      <c r="J190" s="16" t="n">
        <v>0.53</v>
      </c>
      <c r="K190" s="15" t="n">
        <f aca="false">ROUND(F190/100*G190*H190*I190/J190,2)</f>
        <v>7620.42</v>
      </c>
      <c r="L190" s="15" t="n">
        <v>7620.42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2626</v>
      </c>
      <c r="B191" s="3" t="s">
        <v>2809</v>
      </c>
      <c r="C191" s="3" t="s">
        <v>120</v>
      </c>
      <c r="D191" s="3" t="s">
        <v>956</v>
      </c>
      <c r="E191" s="3" t="s">
        <v>74</v>
      </c>
      <c r="F191" s="12" t="n">
        <v>1950000</v>
      </c>
      <c r="G191" s="13" t="n">
        <v>0.38</v>
      </c>
      <c r="H191" s="13" t="n">
        <v>1.15</v>
      </c>
      <c r="I191" s="13" t="n">
        <v>0.8792</v>
      </c>
      <c r="J191" s="13" t="n">
        <v>0.53</v>
      </c>
      <c r="K191" s="12" t="n">
        <f aca="false">ROUND(F191/100*G191*H191*I191/J191,2)</f>
        <v>14136.04</v>
      </c>
      <c r="L191" s="12" t="n">
        <v>14136.04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2672</v>
      </c>
      <c r="B192" s="14" t="s">
        <v>2810</v>
      </c>
      <c r="C192" s="14" t="s">
        <v>230</v>
      </c>
      <c r="D192" s="14" t="s">
        <v>769</v>
      </c>
      <c r="E192" s="14" t="s">
        <v>56</v>
      </c>
      <c r="F192" s="15" t="n">
        <v>315000</v>
      </c>
      <c r="G192" s="16" t="n">
        <v>0.75</v>
      </c>
      <c r="H192" s="16" t="n">
        <v>1.09</v>
      </c>
      <c r="I192" s="16" t="n">
        <v>0.8792</v>
      </c>
      <c r="J192" s="16" t="n">
        <v>0.53</v>
      </c>
      <c r="K192" s="15" t="n">
        <f aca="false">ROUND(F192/100*G192*H192*I192/J192,2)</f>
        <v>4271.79</v>
      </c>
      <c r="L192" s="15" t="n">
        <v>4271.8</v>
      </c>
      <c r="M192" s="15" t="n">
        <f aca="false">L192-K192</f>
        <v>0.0100000000002183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2608</v>
      </c>
      <c r="B193" s="3" t="s">
        <v>2811</v>
      </c>
      <c r="C193" s="3" t="s">
        <v>188</v>
      </c>
      <c r="D193" s="3" t="s">
        <v>1894</v>
      </c>
      <c r="E193" s="3" t="s">
        <v>133</v>
      </c>
      <c r="F193" s="12" t="n">
        <v>560000</v>
      </c>
      <c r="G193" s="13" t="n">
        <v>0.38</v>
      </c>
      <c r="H193" s="13" t="n">
        <v>1.35</v>
      </c>
      <c r="I193" s="13" t="n">
        <v>0.8792</v>
      </c>
      <c r="J193" s="13" t="n">
        <v>0.53</v>
      </c>
      <c r="K193" s="12" t="n">
        <f aca="false">ROUND(F193/100*G193*H193*I193/J193,2)</f>
        <v>4765.6</v>
      </c>
      <c r="L193" s="12" t="n">
        <v>4765.6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2592</v>
      </c>
      <c r="B194" s="14" t="s">
        <v>2812</v>
      </c>
      <c r="C194" s="14" t="s">
        <v>145</v>
      </c>
      <c r="D194" s="14" t="s">
        <v>2396</v>
      </c>
      <c r="E194" s="14" t="s">
        <v>56</v>
      </c>
      <c r="F194" s="15" t="n">
        <v>1140000</v>
      </c>
      <c r="G194" s="16" t="n">
        <v>0.55</v>
      </c>
      <c r="H194" s="16" t="n">
        <v>0.96</v>
      </c>
      <c r="I194" s="16" t="n">
        <v>0.8792</v>
      </c>
      <c r="J194" s="16" t="n">
        <v>0.53</v>
      </c>
      <c r="K194" s="15" t="n">
        <f aca="false">ROUND(F194/100*G194*H194*I194/J194,2)</f>
        <v>9985.06</v>
      </c>
      <c r="L194" s="15" t="n">
        <v>9985.06</v>
      </c>
      <c r="M194" s="15" t="n">
        <f aca="false">L194-K194</f>
        <v>0</v>
      </c>
      <c r="N194" s="14" t="s">
        <v>51</v>
      </c>
      <c r="O194" s="14" t="s">
        <v>52</v>
      </c>
    </row>
    <row r="195" customFormat="false" ht="15" hidden="false" customHeight="false" outlineLevel="0" collapsed="false">
      <c r="A195" s="3" t="s">
        <v>2578</v>
      </c>
      <c r="B195" s="3" t="s">
        <v>2813</v>
      </c>
      <c r="C195" s="3" t="s">
        <v>887</v>
      </c>
      <c r="D195" s="3" t="s">
        <v>2814</v>
      </c>
      <c r="E195" s="3" t="s">
        <v>157</v>
      </c>
      <c r="F195" s="12" t="n">
        <v>310000</v>
      </c>
      <c r="G195" s="13" t="n">
        <v>0.88</v>
      </c>
      <c r="H195" s="13" t="n">
        <v>1.37</v>
      </c>
      <c r="I195" s="13" t="n">
        <v>0.8792</v>
      </c>
      <c r="J195" s="13" t="n">
        <v>0.53</v>
      </c>
      <c r="K195" s="12" t="n">
        <f aca="false">ROUND(F195/100*G195*H195*I195/J195,2)</f>
        <v>6199.79</v>
      </c>
      <c r="L195" s="12" t="n">
        <v>6199.78</v>
      </c>
      <c r="M195" s="12" t="n">
        <f aca="false">L195-K195</f>
        <v>-0.0100000000002183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2642</v>
      </c>
      <c r="B196" s="14" t="s">
        <v>2815</v>
      </c>
      <c r="C196" s="14" t="s">
        <v>48</v>
      </c>
      <c r="D196" s="14" t="s">
        <v>761</v>
      </c>
      <c r="E196" s="14" t="s">
        <v>56</v>
      </c>
      <c r="F196" s="15" t="n">
        <v>1075000</v>
      </c>
      <c r="G196" s="16" t="n">
        <v>0.55</v>
      </c>
      <c r="H196" s="16" t="n">
        <v>1.28</v>
      </c>
      <c r="I196" s="16" t="n">
        <v>0.8792</v>
      </c>
      <c r="J196" s="16" t="n">
        <v>0.53</v>
      </c>
      <c r="K196" s="15" t="n">
        <f aca="false">ROUND(F196/100*G196*H196*I196/J196,2)</f>
        <v>12554.31</v>
      </c>
      <c r="L196" s="15" t="n">
        <v>12554.32</v>
      </c>
      <c r="M196" s="15" t="n">
        <f aca="false">L196-K196</f>
        <v>0.0100000000002183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2588</v>
      </c>
      <c r="B197" s="3" t="s">
        <v>2816</v>
      </c>
      <c r="C197" s="3" t="s">
        <v>85</v>
      </c>
      <c r="D197" s="3" t="s">
        <v>78</v>
      </c>
      <c r="E197" s="3" t="s">
        <v>56</v>
      </c>
      <c r="F197" s="12" t="n">
        <v>490000</v>
      </c>
      <c r="G197" s="13" t="n">
        <v>0.75</v>
      </c>
      <c r="H197" s="13" t="n">
        <v>1.28</v>
      </c>
      <c r="I197" s="13" t="n">
        <v>0.8792</v>
      </c>
      <c r="J197" s="13" t="n">
        <v>0.53</v>
      </c>
      <c r="K197" s="12" t="n">
        <f aca="false">ROUND(F197/100*G197*H197*I197/J197,2)</f>
        <v>7803.31</v>
      </c>
      <c r="L197" s="12" t="n">
        <v>7803.31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2633</v>
      </c>
      <c r="B198" s="14" t="s">
        <v>2817</v>
      </c>
      <c r="C198" s="14" t="s">
        <v>196</v>
      </c>
      <c r="D198" s="14" t="s">
        <v>1496</v>
      </c>
      <c r="E198" s="14" t="s">
        <v>56</v>
      </c>
      <c r="F198" s="15" t="n">
        <v>310000</v>
      </c>
      <c r="G198" s="16" t="n">
        <v>0.75</v>
      </c>
      <c r="H198" s="16" t="n">
        <v>1.04</v>
      </c>
      <c r="I198" s="16" t="n">
        <v>0.8792</v>
      </c>
      <c r="J198" s="16" t="n">
        <v>0.53</v>
      </c>
      <c r="K198" s="15" t="n">
        <f aca="false">ROUND(F198/100*G198*H198*I198/J198,2)</f>
        <v>4011.14</v>
      </c>
      <c r="L198" s="15" t="n">
        <v>4011.14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2571</v>
      </c>
      <c r="B199" s="3" t="s">
        <v>2818</v>
      </c>
      <c r="C199" s="3" t="s">
        <v>278</v>
      </c>
      <c r="D199" s="3" t="s">
        <v>2819</v>
      </c>
      <c r="E199" s="3" t="s">
        <v>74</v>
      </c>
      <c r="F199" s="12" t="n">
        <v>505000</v>
      </c>
      <c r="G199" s="13" t="n">
        <v>0.43</v>
      </c>
      <c r="H199" s="13" t="n">
        <v>0.98</v>
      </c>
      <c r="I199" s="13" t="n">
        <v>0.8792</v>
      </c>
      <c r="J199" s="13" t="n">
        <v>0.53</v>
      </c>
      <c r="K199" s="12" t="n">
        <f aca="false">ROUND(F199/100*G199*H199*I199/J199,2)</f>
        <v>3530.19</v>
      </c>
      <c r="L199" s="12" t="n">
        <v>3530.19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2559</v>
      </c>
      <c r="B200" s="14" t="s">
        <v>2820</v>
      </c>
      <c r="C200" s="14" t="s">
        <v>435</v>
      </c>
      <c r="D200" s="14" t="s">
        <v>2486</v>
      </c>
      <c r="E200" s="14" t="s">
        <v>56</v>
      </c>
      <c r="F200" s="15" t="n">
        <v>485000</v>
      </c>
      <c r="G200" s="16" t="n">
        <v>0.75</v>
      </c>
      <c r="H200" s="16" t="n">
        <v>1.13</v>
      </c>
      <c r="I200" s="16" t="n">
        <v>0.8792</v>
      </c>
      <c r="J200" s="16" t="n">
        <v>0.53</v>
      </c>
      <c r="K200" s="15" t="n">
        <f aca="false">ROUND(F200/100*G200*H200*I200/J200,2)</f>
        <v>6818.57</v>
      </c>
      <c r="L200" s="15" t="n">
        <v>6818.57</v>
      </c>
      <c r="M200" s="15" t="n">
        <f aca="false">L200-K200</f>
        <v>0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2642</v>
      </c>
      <c r="B201" s="3" t="s">
        <v>2821</v>
      </c>
      <c r="C201" s="3" t="s">
        <v>77</v>
      </c>
      <c r="D201" s="3" t="s">
        <v>2822</v>
      </c>
      <c r="E201" s="3" t="s">
        <v>56</v>
      </c>
      <c r="F201" s="12" t="n">
        <v>480000</v>
      </c>
      <c r="G201" s="13" t="n">
        <v>0.75</v>
      </c>
      <c r="H201" s="13" t="n">
        <v>1.42</v>
      </c>
      <c r="I201" s="13" t="n">
        <v>0.8792</v>
      </c>
      <c r="J201" s="13" t="n">
        <v>0.53</v>
      </c>
      <c r="K201" s="12" t="n">
        <f aca="false">ROUND(F201/100*G201*H201*I201/J201,2)</f>
        <v>8480.13</v>
      </c>
      <c r="L201" s="12" t="n">
        <v>8480.13</v>
      </c>
      <c r="M201" s="12" t="n">
        <f aca="false">L201-K201</f>
        <v>0</v>
      </c>
      <c r="N201" s="3" t="s">
        <v>70</v>
      </c>
      <c r="O201" s="3" t="s">
        <v>52</v>
      </c>
    </row>
    <row r="202" customFormat="false" ht="15" hidden="false" customHeight="false" outlineLevel="0" collapsed="false">
      <c r="A202" s="14" t="s">
        <v>2642</v>
      </c>
      <c r="B202" s="14" t="s">
        <v>2823</v>
      </c>
      <c r="C202" s="14" t="s">
        <v>224</v>
      </c>
      <c r="D202" s="14" t="s">
        <v>2824</v>
      </c>
      <c r="E202" s="14" t="s">
        <v>50</v>
      </c>
      <c r="F202" s="15" t="n">
        <v>1950000</v>
      </c>
      <c r="G202" s="16" t="n">
        <v>0.8</v>
      </c>
      <c r="H202" s="16" t="n">
        <v>1.1</v>
      </c>
      <c r="I202" s="16" t="n">
        <v>0.8792</v>
      </c>
      <c r="J202" s="16" t="n">
        <v>0.53</v>
      </c>
      <c r="K202" s="15" t="n">
        <f aca="false">ROUND(F202/100*G202*H202*I202/J202,2)</f>
        <v>28466.17</v>
      </c>
      <c r="L202" s="15" t="n">
        <v>28466.17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2687</v>
      </c>
      <c r="B203" s="3" t="s">
        <v>2825</v>
      </c>
      <c r="C203" s="3" t="s">
        <v>64</v>
      </c>
      <c r="D203" s="3" t="s">
        <v>937</v>
      </c>
      <c r="E203" s="3" t="s">
        <v>56</v>
      </c>
      <c r="F203" s="12" t="n">
        <v>1595000</v>
      </c>
      <c r="G203" s="13" t="n">
        <v>0.55</v>
      </c>
      <c r="H203" s="13" t="n">
        <v>1.17</v>
      </c>
      <c r="I203" s="13" t="n">
        <v>0.8792</v>
      </c>
      <c r="J203" s="13" t="n">
        <v>0.53</v>
      </c>
      <c r="K203" s="12" t="n">
        <f aca="false">ROUND(F203/100*G203*H203*I203/J203,2)</f>
        <v>17026.33</v>
      </c>
      <c r="L203" s="12" t="n">
        <v>17026.33</v>
      </c>
      <c r="M203" s="12" t="n">
        <f aca="false">L203-K203</f>
        <v>0</v>
      </c>
      <c r="N203" s="3" t="s">
        <v>51</v>
      </c>
      <c r="O203" s="3" t="s">
        <v>52</v>
      </c>
    </row>
    <row r="204" customFormat="false" ht="15" hidden="false" customHeight="false" outlineLevel="0" collapsed="false">
      <c r="A204" s="14" t="s">
        <v>2613</v>
      </c>
      <c r="B204" s="14" t="s">
        <v>2826</v>
      </c>
      <c r="C204" s="14" t="s">
        <v>145</v>
      </c>
      <c r="D204" s="14" t="s">
        <v>2827</v>
      </c>
      <c r="E204" s="14" t="s">
        <v>133</v>
      </c>
      <c r="F204" s="15" t="n">
        <v>795000</v>
      </c>
      <c r="G204" s="16" t="n">
        <v>0.38</v>
      </c>
      <c r="H204" s="16" t="n">
        <v>0.96</v>
      </c>
      <c r="I204" s="16" t="n">
        <v>0.8792</v>
      </c>
      <c r="J204" s="16" t="n">
        <v>0.53</v>
      </c>
      <c r="K204" s="15" t="n">
        <f aca="false">ROUND(F204/100*G204*H204*I204/J204,2)</f>
        <v>4810.98</v>
      </c>
      <c r="L204" s="15" t="n">
        <v>4810.98</v>
      </c>
      <c r="M204" s="15" t="n">
        <f aca="false">L204-K204</f>
        <v>0</v>
      </c>
      <c r="N204" s="14" t="s">
        <v>51</v>
      </c>
      <c r="O204" s="14" t="s">
        <v>52</v>
      </c>
    </row>
    <row r="205" customFormat="false" ht="15" hidden="false" customHeight="false" outlineLevel="0" collapsed="false">
      <c r="A205" s="3" t="s">
        <v>2672</v>
      </c>
      <c r="B205" s="3" t="s">
        <v>2828</v>
      </c>
      <c r="C205" s="3" t="s">
        <v>89</v>
      </c>
      <c r="D205" s="3" t="s">
        <v>2112</v>
      </c>
      <c r="E205" s="3" t="s">
        <v>56</v>
      </c>
      <c r="F205" s="12" t="n">
        <v>385000</v>
      </c>
      <c r="G205" s="13" t="n">
        <v>0.75</v>
      </c>
      <c r="H205" s="13" t="n">
        <v>1.35</v>
      </c>
      <c r="I205" s="13" t="n">
        <v>0.8792</v>
      </c>
      <c r="J205" s="13" t="n">
        <v>0.53</v>
      </c>
      <c r="K205" s="12" t="n">
        <f aca="false">ROUND(F205/100*G205*H205*I205/J205,2)</f>
        <v>6466.47</v>
      </c>
      <c r="L205" s="12" t="n">
        <v>6466.47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2687</v>
      </c>
      <c r="B206" s="14" t="s">
        <v>2829</v>
      </c>
      <c r="C206" s="14" t="s">
        <v>326</v>
      </c>
      <c r="D206" s="14" t="s">
        <v>800</v>
      </c>
      <c r="E206" s="14" t="s">
        <v>56</v>
      </c>
      <c r="F206" s="15" t="n">
        <v>150000</v>
      </c>
      <c r="G206" s="16" t="n">
        <v>0.92</v>
      </c>
      <c r="H206" s="16" t="n">
        <v>1.12</v>
      </c>
      <c r="I206" s="16" t="n">
        <v>0.8792</v>
      </c>
      <c r="J206" s="16" t="n">
        <v>0.53</v>
      </c>
      <c r="K206" s="15" t="n">
        <f aca="false">ROUND(F206/100*G206*H206*I206/J206,2)</f>
        <v>2563.95</v>
      </c>
      <c r="L206" s="15" t="n">
        <v>2563.95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2687</v>
      </c>
      <c r="B207" s="3" t="s">
        <v>2830</v>
      </c>
      <c r="C207" s="3" t="s">
        <v>366</v>
      </c>
      <c r="D207" s="3" t="s">
        <v>1242</v>
      </c>
      <c r="E207" s="3" t="s">
        <v>56</v>
      </c>
      <c r="F207" s="12" t="n">
        <v>485000</v>
      </c>
      <c r="G207" s="13" t="n">
        <v>0.75</v>
      </c>
      <c r="H207" s="13" t="n">
        <v>1.26</v>
      </c>
      <c r="I207" s="13" t="n">
        <v>0.8792</v>
      </c>
      <c r="J207" s="13" t="n">
        <v>0.53</v>
      </c>
      <c r="K207" s="12" t="n">
        <f aca="false">ROUND(F207/100*G207*H207*I207/J207,2)</f>
        <v>7603.01</v>
      </c>
      <c r="L207" s="12" t="n">
        <v>7603.01</v>
      </c>
      <c r="M207" s="12" t="n">
        <f aca="false">L207-K207</f>
        <v>0</v>
      </c>
      <c r="N207" s="3" t="s">
        <v>51</v>
      </c>
      <c r="O207" s="3" t="s">
        <v>52</v>
      </c>
    </row>
    <row r="208" customFormat="false" ht="15" hidden="false" customHeight="false" outlineLevel="0" collapsed="false">
      <c r="A208" s="14" t="s">
        <v>2687</v>
      </c>
      <c r="B208" s="14" t="s">
        <v>2831</v>
      </c>
      <c r="C208" s="14" t="s">
        <v>237</v>
      </c>
      <c r="D208" s="14" t="s">
        <v>2832</v>
      </c>
      <c r="E208" s="14" t="s">
        <v>50</v>
      </c>
      <c r="F208" s="15" t="n">
        <v>1450000</v>
      </c>
      <c r="G208" s="16" t="n">
        <v>0.8</v>
      </c>
      <c r="H208" s="16" t="n">
        <v>1.33</v>
      </c>
      <c r="I208" s="16" t="n">
        <v>0.8792</v>
      </c>
      <c r="J208" s="16" t="n">
        <v>0.53</v>
      </c>
      <c r="K208" s="15" t="n">
        <f aca="false">ROUND(F208/100*G208*H208*I208/J208,2)</f>
        <v>25593.01</v>
      </c>
      <c r="L208" s="15" t="n">
        <v>25593.01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2599</v>
      </c>
      <c r="B209" s="3" t="s">
        <v>2833</v>
      </c>
      <c r="C209" s="3" t="s">
        <v>174</v>
      </c>
      <c r="D209" s="3" t="s">
        <v>354</v>
      </c>
      <c r="E209" s="3" t="s">
        <v>56</v>
      </c>
      <c r="F209" s="12" t="n">
        <v>675000</v>
      </c>
      <c r="G209" s="13" t="n">
        <v>0.65</v>
      </c>
      <c r="H209" s="13" t="n">
        <v>1.55</v>
      </c>
      <c r="I209" s="13" t="n">
        <v>0.8792</v>
      </c>
      <c r="J209" s="13" t="n">
        <v>0.53</v>
      </c>
      <c r="K209" s="12" t="n">
        <f aca="false">ROUND(F209/100*G209*H209*I209/J209,2)</f>
        <v>11281.34</v>
      </c>
      <c r="L209" s="12" t="n">
        <v>11281.34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2586</v>
      </c>
      <c r="B210" s="14" t="s">
        <v>2834</v>
      </c>
      <c r="C210" s="14" t="s">
        <v>435</v>
      </c>
      <c r="D210" s="14" t="s">
        <v>1033</v>
      </c>
      <c r="E210" s="14" t="s">
        <v>56</v>
      </c>
      <c r="F210" s="15" t="n">
        <v>645000</v>
      </c>
      <c r="G210" s="16" t="n">
        <v>0.65</v>
      </c>
      <c r="H210" s="16" t="n">
        <v>1.13</v>
      </c>
      <c r="I210" s="16" t="n">
        <v>0.8792</v>
      </c>
      <c r="J210" s="16" t="n">
        <v>0.53</v>
      </c>
      <c r="K210" s="15" t="n">
        <f aca="false">ROUND(F210/100*G210*H210*I210/J210,2)</f>
        <v>7858.93</v>
      </c>
      <c r="L210" s="15" t="n">
        <v>7858.93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2586</v>
      </c>
      <c r="B211" s="3" t="s">
        <v>2835</v>
      </c>
      <c r="C211" s="3" t="s">
        <v>77</v>
      </c>
      <c r="D211" s="3" t="s">
        <v>2059</v>
      </c>
      <c r="E211" s="3" t="s">
        <v>56</v>
      </c>
      <c r="F211" s="12" t="n">
        <v>450000</v>
      </c>
      <c r="G211" s="13" t="n">
        <v>0.75</v>
      </c>
      <c r="H211" s="13" t="n">
        <v>1.42</v>
      </c>
      <c r="I211" s="13" t="n">
        <v>0.8792</v>
      </c>
      <c r="J211" s="13" t="n">
        <v>0.53</v>
      </c>
      <c r="K211" s="12" t="n">
        <f aca="false">ROUND(F211/100*G211*H211*I211/J211,2)</f>
        <v>7950.12</v>
      </c>
      <c r="L211" s="12" t="n">
        <v>7950.12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2571</v>
      </c>
      <c r="B212" s="14" t="s">
        <v>2836</v>
      </c>
      <c r="C212" s="14" t="s">
        <v>152</v>
      </c>
      <c r="D212" s="14" t="s">
        <v>2727</v>
      </c>
      <c r="E212" s="14" t="s">
        <v>56</v>
      </c>
      <c r="F212" s="15" t="n">
        <v>395000</v>
      </c>
      <c r="G212" s="16" t="n">
        <v>0.75</v>
      </c>
      <c r="H212" s="16" t="n">
        <v>1</v>
      </c>
      <c r="I212" s="16" t="n">
        <v>0.8792</v>
      </c>
      <c r="J212" s="16" t="n">
        <v>0.53</v>
      </c>
      <c r="K212" s="15" t="n">
        <f aca="false">ROUND(F212/100*G212*H212*I212/J212,2)</f>
        <v>4914.4</v>
      </c>
      <c r="L212" s="15" t="n">
        <v>4914.39</v>
      </c>
      <c r="M212" s="15" t="n">
        <f aca="false">L212-K212</f>
        <v>-0.00999999999930878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2626</v>
      </c>
      <c r="B213" s="3" t="s">
        <v>2837</v>
      </c>
      <c r="C213" s="3" t="s">
        <v>217</v>
      </c>
      <c r="D213" s="3" t="s">
        <v>1268</v>
      </c>
      <c r="E213" s="3" t="s">
        <v>50</v>
      </c>
      <c r="F213" s="12" t="n">
        <v>775000</v>
      </c>
      <c r="G213" s="13" t="n">
        <v>0.95</v>
      </c>
      <c r="H213" s="13" t="n">
        <v>1.3</v>
      </c>
      <c r="I213" s="13" t="n">
        <v>0.8792</v>
      </c>
      <c r="J213" s="13" t="n">
        <v>0.53</v>
      </c>
      <c r="K213" s="12" t="n">
        <f aca="false">ROUND(F213/100*G213*H213*I213/J213,2)</f>
        <v>15877.44</v>
      </c>
      <c r="L213" s="12" t="n">
        <v>15877.44</v>
      </c>
      <c r="M213" s="12" t="n">
        <f aca="false">L213-K213</f>
        <v>0</v>
      </c>
      <c r="N213" s="3" t="s">
        <v>70</v>
      </c>
      <c r="O213" s="3" t="s">
        <v>52</v>
      </c>
    </row>
    <row r="214" customFormat="false" ht="15" hidden="false" customHeight="false" outlineLevel="0" collapsed="false">
      <c r="A214" s="14" t="s">
        <v>2592</v>
      </c>
      <c r="B214" s="14" t="s">
        <v>2838</v>
      </c>
      <c r="C214" s="14" t="s">
        <v>278</v>
      </c>
      <c r="D214" s="14" t="s">
        <v>1217</v>
      </c>
      <c r="E214" s="14" t="s">
        <v>56</v>
      </c>
      <c r="F214" s="15" t="n">
        <v>270000</v>
      </c>
      <c r="G214" s="16" t="n">
        <v>0.75</v>
      </c>
      <c r="H214" s="16" t="n">
        <v>0.98</v>
      </c>
      <c r="I214" s="16" t="n">
        <v>0.8792</v>
      </c>
      <c r="J214" s="16" t="n">
        <v>0.53</v>
      </c>
      <c r="K214" s="15" t="n">
        <f aca="false">ROUND(F214/100*G214*H214*I214/J214,2)</f>
        <v>3292.02</v>
      </c>
      <c r="L214" s="15" t="n">
        <v>3292.02</v>
      </c>
      <c r="M214" s="15" t="n">
        <f aca="false">L214-K214</f>
        <v>0</v>
      </c>
      <c r="N214" s="14" t="s">
        <v>51</v>
      </c>
      <c r="O214" s="14" t="s">
        <v>52</v>
      </c>
    </row>
    <row r="215" customFormat="false" ht="15" hidden="false" customHeight="false" outlineLevel="0" collapsed="false">
      <c r="A215" s="3" t="s">
        <v>2642</v>
      </c>
      <c r="B215" s="3" t="s">
        <v>2839</v>
      </c>
      <c r="C215" s="3" t="s">
        <v>77</v>
      </c>
      <c r="D215" s="3" t="s">
        <v>2840</v>
      </c>
      <c r="E215" s="3" t="s">
        <v>56</v>
      </c>
      <c r="F215" s="12" t="n">
        <v>320000</v>
      </c>
      <c r="G215" s="13" t="n">
        <v>0.75</v>
      </c>
      <c r="H215" s="13" t="n">
        <v>1.42</v>
      </c>
      <c r="I215" s="13" t="n">
        <v>0.8792</v>
      </c>
      <c r="J215" s="13" t="n">
        <v>0.53</v>
      </c>
      <c r="K215" s="12" t="n">
        <f aca="false">ROUND(F215/100*G215*H215*I215/J215,2)</f>
        <v>5653.42</v>
      </c>
      <c r="L215" s="12" t="n">
        <v>5653.42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2563</v>
      </c>
      <c r="B216" s="14" t="s">
        <v>2841</v>
      </c>
      <c r="C216" s="14" t="s">
        <v>237</v>
      </c>
      <c r="D216" s="14" t="s">
        <v>2245</v>
      </c>
      <c r="E216" s="14" t="s">
        <v>50</v>
      </c>
      <c r="F216" s="15" t="n">
        <v>1950000</v>
      </c>
      <c r="G216" s="16" t="n">
        <v>0.8</v>
      </c>
      <c r="H216" s="16" t="n">
        <v>1.33</v>
      </c>
      <c r="I216" s="16" t="n">
        <v>0.8792</v>
      </c>
      <c r="J216" s="16" t="n">
        <v>0.53</v>
      </c>
      <c r="K216" s="15" t="n">
        <f aca="false">ROUND(F216/100*G216*H216*I216/J216,2)</f>
        <v>34418.19</v>
      </c>
      <c r="L216" s="15" t="n">
        <v>34418.19</v>
      </c>
      <c r="M216" s="15" t="n">
        <f aca="false">L216-K216</f>
        <v>0</v>
      </c>
      <c r="N216" s="14" t="s">
        <v>70</v>
      </c>
      <c r="O216" s="14" t="s">
        <v>52</v>
      </c>
    </row>
    <row r="217" customFormat="false" ht="15" hidden="false" customHeight="false" outlineLevel="0" collapsed="false">
      <c r="A217" s="3" t="s">
        <v>2567</v>
      </c>
      <c r="B217" s="3" t="s">
        <v>2842</v>
      </c>
      <c r="C217" s="3" t="s">
        <v>114</v>
      </c>
      <c r="D217" s="3" t="s">
        <v>2843</v>
      </c>
      <c r="E217" s="3" t="s">
        <v>50</v>
      </c>
      <c r="F217" s="12" t="n">
        <v>1525000</v>
      </c>
      <c r="G217" s="13" t="n">
        <v>0.8</v>
      </c>
      <c r="H217" s="13" t="n">
        <v>1.36</v>
      </c>
      <c r="I217" s="13" t="n">
        <v>0.8792</v>
      </c>
      <c r="J217" s="13" t="n">
        <v>0.53</v>
      </c>
      <c r="K217" s="12" t="n">
        <f aca="false">ROUND(F217/100*G217*H217*I217/J217,2)</f>
        <v>27523.94</v>
      </c>
      <c r="L217" s="12" t="n">
        <v>27523.94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2715</v>
      </c>
      <c r="B218" s="14" t="s">
        <v>2844</v>
      </c>
      <c r="C218" s="14" t="s">
        <v>210</v>
      </c>
      <c r="D218" s="14" t="s">
        <v>2845</v>
      </c>
      <c r="E218" s="14" t="s">
        <v>74</v>
      </c>
      <c r="F218" s="15" t="n">
        <v>710000</v>
      </c>
      <c r="G218" s="16" t="n">
        <v>0.43</v>
      </c>
      <c r="H218" s="16" t="n">
        <v>1.21</v>
      </c>
      <c r="I218" s="16" t="n">
        <v>0.8792</v>
      </c>
      <c r="J218" s="16" t="n">
        <v>0.53</v>
      </c>
      <c r="K218" s="15" t="n">
        <f aca="false">ROUND(F218/100*G218*H218*I218/J218,2)</f>
        <v>6128.07</v>
      </c>
      <c r="L218" s="15" t="n">
        <v>6128.08</v>
      </c>
      <c r="M218" s="15" t="n">
        <f aca="false">L218-K218</f>
        <v>0.0100000000002183</v>
      </c>
      <c r="N218" s="14" t="s">
        <v>51</v>
      </c>
      <c r="O218" s="14" t="s">
        <v>52</v>
      </c>
    </row>
    <row r="219" customFormat="false" ht="15" hidden="false" customHeight="false" outlineLevel="0" collapsed="false">
      <c r="A219" s="3" t="s">
        <v>2582</v>
      </c>
      <c r="B219" s="3" t="s">
        <v>2846</v>
      </c>
      <c r="C219" s="3" t="s">
        <v>59</v>
      </c>
      <c r="D219" s="3" t="s">
        <v>2077</v>
      </c>
      <c r="E219" s="3" t="s">
        <v>56</v>
      </c>
      <c r="F219" s="12" t="n">
        <v>295000</v>
      </c>
      <c r="G219" s="13" t="n">
        <v>0.75</v>
      </c>
      <c r="H219" s="13" t="n">
        <v>0.97</v>
      </c>
      <c r="I219" s="13" t="n">
        <v>0.8792</v>
      </c>
      <c r="J219" s="13" t="n">
        <v>0.53</v>
      </c>
      <c r="K219" s="12" t="n">
        <f aca="false">ROUND(F219/100*G219*H219*I219/J219,2)</f>
        <v>3560.14</v>
      </c>
      <c r="L219" s="12" t="n">
        <v>3560.14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2626</v>
      </c>
      <c r="B220" s="14" t="s">
        <v>2847</v>
      </c>
      <c r="C220" s="14" t="s">
        <v>159</v>
      </c>
      <c r="D220" s="14" t="s">
        <v>1272</v>
      </c>
      <c r="E220" s="14" t="s">
        <v>74</v>
      </c>
      <c r="F220" s="15" t="n">
        <v>1745000</v>
      </c>
      <c r="G220" s="16" t="n">
        <v>0.38</v>
      </c>
      <c r="H220" s="16" t="n">
        <v>1.15</v>
      </c>
      <c r="I220" s="16" t="n">
        <v>0.8792</v>
      </c>
      <c r="J220" s="16" t="n">
        <v>0.53</v>
      </c>
      <c r="K220" s="15" t="n">
        <f aca="false">ROUND(F220/100*G220*H220*I220/J220,2)</f>
        <v>12649.95</v>
      </c>
      <c r="L220" s="15" t="n">
        <v>12649.95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2561</v>
      </c>
      <c r="B221" s="3" t="s">
        <v>2848</v>
      </c>
      <c r="C221" s="3" t="s">
        <v>193</v>
      </c>
      <c r="D221" s="3" t="s">
        <v>793</v>
      </c>
      <c r="E221" s="3" t="s">
        <v>50</v>
      </c>
      <c r="F221" s="12" t="n">
        <v>695000</v>
      </c>
      <c r="G221" s="13" t="n">
        <v>0.95</v>
      </c>
      <c r="H221" s="13" t="n">
        <v>1.25</v>
      </c>
      <c r="I221" s="13" t="n">
        <v>0.8792</v>
      </c>
      <c r="J221" s="13" t="n">
        <v>0.53</v>
      </c>
      <c r="K221" s="12" t="n">
        <f aca="false">ROUND(F221/100*G221*H221*I221/J221,2)</f>
        <v>13690.84</v>
      </c>
      <c r="L221" s="12" t="n">
        <v>13690.84</v>
      </c>
      <c r="M221" s="12" t="n">
        <f aca="false">L221-K221</f>
        <v>0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2586</v>
      </c>
      <c r="B222" s="14" t="s">
        <v>2849</v>
      </c>
      <c r="C222" s="14" t="s">
        <v>145</v>
      </c>
      <c r="D222" s="14" t="s">
        <v>2850</v>
      </c>
      <c r="E222" s="14" t="s">
        <v>50</v>
      </c>
      <c r="F222" s="15" t="n">
        <v>355000</v>
      </c>
      <c r="G222" s="16" t="n">
        <v>1.15</v>
      </c>
      <c r="H222" s="16" t="n">
        <v>0.96</v>
      </c>
      <c r="I222" s="16" t="n">
        <v>0.8792</v>
      </c>
      <c r="J222" s="16" t="n">
        <v>0.53</v>
      </c>
      <c r="K222" s="15" t="n">
        <f aca="false">ROUND(F222/100*G222*H222*I222/J222,2)</f>
        <v>6501.44</v>
      </c>
      <c r="L222" s="15" t="n">
        <v>6501.44</v>
      </c>
      <c r="M222" s="15" t="n">
        <f aca="false">L222-K222</f>
        <v>0</v>
      </c>
      <c r="N222" s="14" t="s">
        <v>61</v>
      </c>
      <c r="O222" s="14" t="s">
        <v>62</v>
      </c>
    </row>
    <row r="223" customFormat="false" ht="15" hidden="false" customHeight="false" outlineLevel="0" collapsed="false">
      <c r="A223" s="3" t="s">
        <v>2599</v>
      </c>
      <c r="B223" s="3" t="s">
        <v>2851</v>
      </c>
      <c r="C223" s="3" t="s">
        <v>64</v>
      </c>
      <c r="D223" s="3" t="s">
        <v>2852</v>
      </c>
      <c r="E223" s="3" t="s">
        <v>56</v>
      </c>
      <c r="F223" s="12" t="n">
        <v>610000</v>
      </c>
      <c r="G223" s="13" t="n">
        <v>0.65</v>
      </c>
      <c r="H223" s="13" t="n">
        <v>1.17</v>
      </c>
      <c r="I223" s="13" t="n">
        <v>0.8792</v>
      </c>
      <c r="J223" s="13" t="n">
        <v>0.53</v>
      </c>
      <c r="K223" s="12" t="n">
        <f aca="false">ROUND(F223/100*G223*H223*I223/J223,2)</f>
        <v>7695.57</v>
      </c>
      <c r="L223" s="12" t="n">
        <v>7695.57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2599</v>
      </c>
      <c r="B224" s="14" t="s">
        <v>2853</v>
      </c>
      <c r="C224" s="14" t="s">
        <v>89</v>
      </c>
      <c r="D224" s="14" t="s">
        <v>429</v>
      </c>
      <c r="E224" s="14" t="s">
        <v>56</v>
      </c>
      <c r="F224" s="15" t="n">
        <v>480000</v>
      </c>
      <c r="G224" s="16" t="n">
        <v>0.75</v>
      </c>
      <c r="H224" s="16" t="n">
        <v>1.35</v>
      </c>
      <c r="I224" s="16" t="n">
        <v>0.8792</v>
      </c>
      <c r="J224" s="16" t="n">
        <v>0.53</v>
      </c>
      <c r="K224" s="15" t="n">
        <f aca="false">ROUND(F224/100*G224*H224*I224/J224,2)</f>
        <v>8062.1</v>
      </c>
      <c r="L224" s="15" t="n">
        <v>8062.1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2586</v>
      </c>
      <c r="B225" s="3" t="s">
        <v>2854</v>
      </c>
      <c r="C225" s="3" t="s">
        <v>266</v>
      </c>
      <c r="D225" s="3" t="s">
        <v>2855</v>
      </c>
      <c r="E225" s="3" t="s">
        <v>74</v>
      </c>
      <c r="F225" s="12" t="n">
        <v>960000</v>
      </c>
      <c r="G225" s="13" t="n">
        <v>0.43</v>
      </c>
      <c r="H225" s="13" t="n">
        <v>1.1</v>
      </c>
      <c r="I225" s="13" t="n">
        <v>0.8792</v>
      </c>
      <c r="J225" s="13" t="n">
        <v>0.53</v>
      </c>
      <c r="K225" s="12" t="n">
        <f aca="false">ROUND(F225/100*G225*H225*I225/J225,2)</f>
        <v>7532.59</v>
      </c>
      <c r="L225" s="12" t="n">
        <v>7532.59</v>
      </c>
      <c r="M225" s="12" t="n">
        <f aca="false">L225-K225</f>
        <v>0</v>
      </c>
      <c r="N225" s="3" t="s">
        <v>70</v>
      </c>
      <c r="O225" s="3" t="s">
        <v>52</v>
      </c>
    </row>
    <row r="226" customFormat="false" ht="15" hidden="false" customHeight="false" outlineLevel="0" collapsed="false">
      <c r="A226" s="14" t="s">
        <v>2604</v>
      </c>
      <c r="B226" s="14" t="s">
        <v>2856</v>
      </c>
      <c r="C226" s="14" t="s">
        <v>409</v>
      </c>
      <c r="D226" s="14" t="s">
        <v>1909</v>
      </c>
      <c r="E226" s="14" t="s">
        <v>56</v>
      </c>
      <c r="F226" s="15" t="n">
        <v>310000</v>
      </c>
      <c r="G226" s="16" t="n">
        <v>0.75</v>
      </c>
      <c r="H226" s="16" t="n">
        <v>1.3</v>
      </c>
      <c r="I226" s="16" t="n">
        <v>0.8792</v>
      </c>
      <c r="J226" s="16" t="n">
        <v>0.53</v>
      </c>
      <c r="K226" s="15" t="n">
        <f aca="false">ROUND(F226/100*G226*H226*I226/J226,2)</f>
        <v>5013.93</v>
      </c>
      <c r="L226" s="15" t="n">
        <v>5013.93</v>
      </c>
      <c r="M226" s="15" t="n">
        <f aca="false">L226-K226</f>
        <v>0</v>
      </c>
      <c r="N226" s="14" t="s">
        <v>51</v>
      </c>
      <c r="O226" s="14" t="s">
        <v>52</v>
      </c>
    </row>
    <row r="227" customFormat="false" ht="15" hidden="false" customHeight="false" outlineLevel="0" collapsed="false">
      <c r="A227" s="3" t="s">
        <v>2586</v>
      </c>
      <c r="B227" s="3" t="s">
        <v>2857</v>
      </c>
      <c r="C227" s="3" t="s">
        <v>48</v>
      </c>
      <c r="D227" s="3" t="s">
        <v>1599</v>
      </c>
      <c r="E227" s="3" t="s">
        <v>56</v>
      </c>
      <c r="F227" s="12" t="n">
        <v>545000</v>
      </c>
      <c r="G227" s="13" t="n">
        <v>0.65</v>
      </c>
      <c r="H227" s="13" t="n">
        <v>1.28</v>
      </c>
      <c r="I227" s="13" t="n">
        <v>0.8792</v>
      </c>
      <c r="J227" s="13" t="n">
        <v>0.53</v>
      </c>
      <c r="K227" s="12" t="n">
        <f aca="false">ROUND(F227/100*G227*H227*I227/J227,2)</f>
        <v>7521.97</v>
      </c>
      <c r="L227" s="12" t="n">
        <v>7521.97</v>
      </c>
      <c r="M227" s="12" t="n">
        <f aca="false">L227-K227</f>
        <v>0</v>
      </c>
      <c r="N227" s="3" t="s">
        <v>70</v>
      </c>
      <c r="O227" s="3" t="s">
        <v>52</v>
      </c>
    </row>
    <row r="228" customFormat="false" ht="15" hidden="false" customHeight="false" outlineLevel="0" collapsed="false">
      <c r="A228" s="14" t="s">
        <v>2586</v>
      </c>
      <c r="B228" s="14" t="s">
        <v>2858</v>
      </c>
      <c r="C228" s="14" t="s">
        <v>210</v>
      </c>
      <c r="D228" s="14" t="s">
        <v>2859</v>
      </c>
      <c r="E228" s="14" t="s">
        <v>133</v>
      </c>
      <c r="F228" s="15" t="n">
        <v>1315000</v>
      </c>
      <c r="G228" s="16" t="n">
        <v>0.34</v>
      </c>
      <c r="H228" s="16" t="n">
        <v>1.21</v>
      </c>
      <c r="I228" s="16" t="n">
        <v>0.8792</v>
      </c>
      <c r="J228" s="16" t="n">
        <v>0.53</v>
      </c>
      <c r="K228" s="15" t="n">
        <f aca="false">ROUND(F228/100*G228*H228*I228/J228,2)</f>
        <v>8974.33</v>
      </c>
      <c r="L228" s="15" t="n">
        <v>8974.33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2687</v>
      </c>
      <c r="B229" s="3" t="s">
        <v>2860</v>
      </c>
      <c r="C229" s="3" t="s">
        <v>152</v>
      </c>
      <c r="D229" s="3" t="s">
        <v>225</v>
      </c>
      <c r="E229" s="3" t="s">
        <v>56</v>
      </c>
      <c r="F229" s="12" t="n">
        <v>350000</v>
      </c>
      <c r="G229" s="13" t="n">
        <v>0.75</v>
      </c>
      <c r="H229" s="13" t="n">
        <v>1</v>
      </c>
      <c r="I229" s="13" t="n">
        <v>0.8792</v>
      </c>
      <c r="J229" s="13" t="n">
        <v>0.53</v>
      </c>
      <c r="K229" s="12" t="n">
        <f aca="false">ROUND(F229/100*G229*H229*I229/J229,2)</f>
        <v>4354.53</v>
      </c>
      <c r="L229" s="12" t="n">
        <v>4354.53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2567</v>
      </c>
      <c r="B230" s="14" t="s">
        <v>2861</v>
      </c>
      <c r="C230" s="14" t="s">
        <v>117</v>
      </c>
      <c r="D230" s="14" t="s">
        <v>2411</v>
      </c>
      <c r="E230" s="14" t="s">
        <v>56</v>
      </c>
      <c r="F230" s="15" t="n">
        <v>1260000</v>
      </c>
      <c r="G230" s="16" t="n">
        <v>0.55</v>
      </c>
      <c r="H230" s="16" t="n">
        <v>0.91</v>
      </c>
      <c r="I230" s="16" t="n">
        <v>0.8792</v>
      </c>
      <c r="J230" s="16" t="n">
        <v>0.53</v>
      </c>
      <c r="K230" s="15" t="n">
        <f aca="false">ROUND(F230/100*G230*H230*I230/J230,2)</f>
        <v>10461.32</v>
      </c>
      <c r="L230" s="15" t="n">
        <v>10461.32</v>
      </c>
      <c r="M230" s="15" t="n">
        <f aca="false">L230-K230</f>
        <v>0</v>
      </c>
      <c r="N230" s="14" t="s">
        <v>61</v>
      </c>
      <c r="O230" s="14" t="s">
        <v>62</v>
      </c>
    </row>
    <row r="231" customFormat="false" ht="15" hidden="false" customHeight="false" outlineLevel="0" collapsed="false">
      <c r="A231" s="3" t="s">
        <v>2588</v>
      </c>
      <c r="B231" s="3" t="s">
        <v>2862</v>
      </c>
      <c r="C231" s="3" t="s">
        <v>77</v>
      </c>
      <c r="D231" s="3" t="s">
        <v>1321</v>
      </c>
      <c r="E231" s="3" t="s">
        <v>56</v>
      </c>
      <c r="F231" s="12" t="n">
        <v>780000</v>
      </c>
      <c r="G231" s="13" t="n">
        <v>0.65</v>
      </c>
      <c r="H231" s="13" t="n">
        <v>1.42</v>
      </c>
      <c r="I231" s="13" t="n">
        <v>0.8792</v>
      </c>
      <c r="J231" s="13" t="n">
        <v>0.53</v>
      </c>
      <c r="K231" s="12" t="n">
        <f aca="false">ROUND(F231/100*G231*H231*I231/J231,2)</f>
        <v>11942.85</v>
      </c>
      <c r="L231" s="12" t="n">
        <v>11942.85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2599</v>
      </c>
      <c r="B232" s="14" t="s">
        <v>2863</v>
      </c>
      <c r="C232" s="14" t="s">
        <v>266</v>
      </c>
      <c r="D232" s="14" t="s">
        <v>1565</v>
      </c>
      <c r="E232" s="14" t="s">
        <v>50</v>
      </c>
      <c r="F232" s="15" t="n">
        <v>740000</v>
      </c>
      <c r="G232" s="16" t="n">
        <v>0.95</v>
      </c>
      <c r="H232" s="16" t="n">
        <v>1.1</v>
      </c>
      <c r="I232" s="16" t="n">
        <v>0.8792</v>
      </c>
      <c r="J232" s="16" t="n">
        <v>0.53</v>
      </c>
      <c r="K232" s="15" t="n">
        <f aca="false">ROUND(F232/100*G232*H232*I232/J232,2)</f>
        <v>12828.03</v>
      </c>
      <c r="L232" s="15" t="n">
        <v>12828.03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2586</v>
      </c>
      <c r="B233" s="3" t="s">
        <v>2864</v>
      </c>
      <c r="C233" s="3" t="s">
        <v>230</v>
      </c>
      <c r="D233" s="3" t="s">
        <v>707</v>
      </c>
      <c r="E233" s="3" t="s">
        <v>50</v>
      </c>
      <c r="F233" s="12" t="n">
        <v>885000</v>
      </c>
      <c r="G233" s="13" t="n">
        <v>0.95</v>
      </c>
      <c r="H233" s="13" t="n">
        <v>1.09</v>
      </c>
      <c r="I233" s="13" t="n">
        <v>0.8792</v>
      </c>
      <c r="J233" s="13" t="n">
        <v>0.53</v>
      </c>
      <c r="K233" s="12" t="n">
        <f aca="false">ROUND(F233/100*G233*H233*I233/J233,2)</f>
        <v>15202.16</v>
      </c>
      <c r="L233" s="12" t="n">
        <v>15202.16</v>
      </c>
      <c r="M233" s="12" t="n">
        <f aca="false">L233-K233</f>
        <v>0</v>
      </c>
      <c r="N233" s="3" t="s">
        <v>51</v>
      </c>
      <c r="O233" s="3" t="s">
        <v>52</v>
      </c>
    </row>
    <row r="234" customFormat="false" ht="15" hidden="false" customHeight="false" outlineLevel="0" collapsed="false">
      <c r="A234" s="14" t="s">
        <v>2567</v>
      </c>
      <c r="B234" s="14" t="s">
        <v>2865</v>
      </c>
      <c r="C234" s="14" t="s">
        <v>462</v>
      </c>
      <c r="D234" s="14" t="s">
        <v>880</v>
      </c>
      <c r="E234" s="14" t="s">
        <v>56</v>
      </c>
      <c r="F234" s="15" t="n">
        <v>260000</v>
      </c>
      <c r="G234" s="16" t="n">
        <v>0.75</v>
      </c>
      <c r="H234" s="16" t="n">
        <v>1.34</v>
      </c>
      <c r="I234" s="16" t="n">
        <v>0.8792</v>
      </c>
      <c r="J234" s="16" t="n">
        <v>0.53</v>
      </c>
      <c r="K234" s="15" t="n">
        <f aca="false">ROUND(F234/100*G234*H234*I234/J234,2)</f>
        <v>4334.62</v>
      </c>
      <c r="L234" s="15" t="n">
        <v>4334.62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2613</v>
      </c>
      <c r="B235" s="3" t="s">
        <v>2866</v>
      </c>
      <c r="C235" s="3" t="s">
        <v>89</v>
      </c>
      <c r="D235" s="3" t="s">
        <v>2059</v>
      </c>
      <c r="E235" s="3" t="s">
        <v>56</v>
      </c>
      <c r="F235" s="12" t="n">
        <v>310000</v>
      </c>
      <c r="G235" s="13" t="n">
        <v>0.75</v>
      </c>
      <c r="H235" s="13" t="n">
        <v>1.35</v>
      </c>
      <c r="I235" s="13" t="n">
        <v>0.8792</v>
      </c>
      <c r="J235" s="13" t="n">
        <v>0.53</v>
      </c>
      <c r="K235" s="12" t="n">
        <f aca="false">ROUND(F235/100*G235*H235*I235/J235,2)</f>
        <v>5206.77</v>
      </c>
      <c r="L235" s="12" t="n">
        <v>5206.77</v>
      </c>
      <c r="M235" s="12" t="n">
        <f aca="false">L235-K235</f>
        <v>0</v>
      </c>
      <c r="N235" s="3" t="s">
        <v>51</v>
      </c>
      <c r="O235" s="3" t="s">
        <v>52</v>
      </c>
    </row>
    <row r="236" customFormat="false" ht="15" hidden="false" customHeight="false" outlineLevel="0" collapsed="false">
      <c r="A236" s="14" t="s">
        <v>2588</v>
      </c>
      <c r="B236" s="14" t="s">
        <v>2867</v>
      </c>
      <c r="C236" s="14" t="s">
        <v>174</v>
      </c>
      <c r="D236" s="14" t="s">
        <v>608</v>
      </c>
      <c r="E236" s="14" t="s">
        <v>56</v>
      </c>
      <c r="F236" s="15" t="n">
        <v>420000</v>
      </c>
      <c r="G236" s="16" t="n">
        <v>0.75</v>
      </c>
      <c r="H236" s="16" t="n">
        <v>1.55</v>
      </c>
      <c r="I236" s="16" t="n">
        <v>0.8792</v>
      </c>
      <c r="J236" s="16" t="n">
        <v>0.53</v>
      </c>
      <c r="K236" s="15" t="n">
        <f aca="false">ROUND(F236/100*G236*H236*I236/J236,2)</f>
        <v>8099.42</v>
      </c>
      <c r="L236" s="15" t="n">
        <v>8099.42</v>
      </c>
      <c r="M236" s="15" t="n">
        <f aca="false">L236-K236</f>
        <v>0</v>
      </c>
      <c r="N236" s="14" t="s">
        <v>51</v>
      </c>
      <c r="O236" s="14" t="s">
        <v>52</v>
      </c>
    </row>
    <row r="237" customFormat="false" ht="15" hidden="false" customHeight="false" outlineLevel="0" collapsed="false">
      <c r="A237" s="3" t="s">
        <v>2613</v>
      </c>
      <c r="B237" s="3" t="s">
        <v>2868</v>
      </c>
      <c r="C237" s="3" t="s">
        <v>77</v>
      </c>
      <c r="D237" s="3" t="s">
        <v>2618</v>
      </c>
      <c r="E237" s="3" t="s">
        <v>50</v>
      </c>
      <c r="F237" s="12" t="n">
        <v>685000</v>
      </c>
      <c r="G237" s="13" t="n">
        <v>0.95</v>
      </c>
      <c r="H237" s="13" t="n">
        <v>1.42</v>
      </c>
      <c r="I237" s="13" t="n">
        <v>0.8792</v>
      </c>
      <c r="J237" s="13" t="n">
        <v>0.53</v>
      </c>
      <c r="K237" s="12" t="n">
        <f aca="false">ROUND(F237/100*G237*H237*I237/J237,2)</f>
        <v>15329.02</v>
      </c>
      <c r="L237" s="12" t="n">
        <v>15329.02</v>
      </c>
      <c r="M237" s="12" t="n">
        <f aca="false">L237-K237</f>
        <v>0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2602</v>
      </c>
      <c r="B238" s="14" t="s">
        <v>2869</v>
      </c>
      <c r="C238" s="14" t="s">
        <v>295</v>
      </c>
      <c r="D238" s="14" t="s">
        <v>1087</v>
      </c>
      <c r="E238" s="14" t="s">
        <v>50</v>
      </c>
      <c r="F238" s="15" t="n">
        <v>765000</v>
      </c>
      <c r="G238" s="16" t="n">
        <v>0.95</v>
      </c>
      <c r="H238" s="16" t="n">
        <v>1.2</v>
      </c>
      <c r="I238" s="16" t="n">
        <v>0.8792</v>
      </c>
      <c r="J238" s="16" t="n">
        <v>0.53</v>
      </c>
      <c r="K238" s="15" t="n">
        <f aca="false">ROUND(F238/100*G238*H238*I238/J238,2)</f>
        <v>14466.99</v>
      </c>
      <c r="L238" s="15" t="n">
        <v>14466.99</v>
      </c>
      <c r="M238" s="15" t="n">
        <f aca="false">L238-K238</f>
        <v>0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2599</v>
      </c>
      <c r="B239" s="3" t="s">
        <v>2870</v>
      </c>
      <c r="C239" s="3" t="s">
        <v>174</v>
      </c>
      <c r="D239" s="3" t="s">
        <v>1984</v>
      </c>
      <c r="E239" s="3" t="s">
        <v>56</v>
      </c>
      <c r="F239" s="12" t="n">
        <v>940000</v>
      </c>
      <c r="G239" s="13" t="n">
        <v>0.65</v>
      </c>
      <c r="H239" s="13" t="n">
        <v>1.55</v>
      </c>
      <c r="I239" s="13" t="n">
        <v>0.8792</v>
      </c>
      <c r="J239" s="13" t="n">
        <v>0.53</v>
      </c>
      <c r="K239" s="12" t="n">
        <f aca="false">ROUND(F239/100*G239*H239*I239/J239,2)</f>
        <v>15710.31</v>
      </c>
      <c r="L239" s="12" t="n">
        <v>15710.31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2571</v>
      </c>
      <c r="B240" s="14" t="s">
        <v>2871</v>
      </c>
      <c r="C240" s="14" t="s">
        <v>210</v>
      </c>
      <c r="D240" s="14" t="s">
        <v>2872</v>
      </c>
      <c r="E240" s="14" t="s">
        <v>56</v>
      </c>
      <c r="F240" s="15" t="n">
        <v>400000</v>
      </c>
      <c r="G240" s="16" t="n">
        <v>0.75</v>
      </c>
      <c r="H240" s="16" t="n">
        <v>1.21</v>
      </c>
      <c r="I240" s="16" t="n">
        <v>0.8792</v>
      </c>
      <c r="J240" s="16" t="n">
        <v>0.53</v>
      </c>
      <c r="K240" s="15" t="n">
        <f aca="false">ROUND(F240/100*G240*H240*I240/J240,2)</f>
        <v>6021.69</v>
      </c>
      <c r="L240" s="15" t="n">
        <v>6021.69</v>
      </c>
      <c r="M240" s="15" t="n">
        <f aca="false">L240-K240</f>
        <v>0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2715</v>
      </c>
      <c r="B241" s="3" t="s">
        <v>2873</v>
      </c>
      <c r="C241" s="3" t="s">
        <v>117</v>
      </c>
      <c r="D241" s="3" t="s">
        <v>1406</v>
      </c>
      <c r="E241" s="3" t="s">
        <v>133</v>
      </c>
      <c r="F241" s="12" t="n">
        <v>560000</v>
      </c>
      <c r="G241" s="13" t="n">
        <v>0.38</v>
      </c>
      <c r="H241" s="13" t="n">
        <v>0.91</v>
      </c>
      <c r="I241" s="13" t="n">
        <v>0.8792</v>
      </c>
      <c r="J241" s="13" t="n">
        <v>0.53</v>
      </c>
      <c r="K241" s="12" t="n">
        <f aca="false">ROUND(F241/100*G241*H241*I241/J241,2)</f>
        <v>3212.36</v>
      </c>
      <c r="L241" s="12" t="n">
        <v>3212.37</v>
      </c>
      <c r="M241" s="12" t="n">
        <f aca="false">L241-K241</f>
        <v>0.00999999999976353</v>
      </c>
      <c r="N241" s="3" t="s">
        <v>51</v>
      </c>
      <c r="O241" s="3" t="s">
        <v>52</v>
      </c>
    </row>
    <row r="242" customFormat="false" ht="15" hidden="false" customHeight="false" outlineLevel="0" collapsed="false">
      <c r="A242" s="14" t="s">
        <v>2613</v>
      </c>
      <c r="B242" s="14" t="s">
        <v>2874</v>
      </c>
      <c r="C242" s="14" t="s">
        <v>89</v>
      </c>
      <c r="D242" s="14" t="s">
        <v>2034</v>
      </c>
      <c r="E242" s="14" t="s">
        <v>56</v>
      </c>
      <c r="F242" s="15" t="n">
        <v>500000</v>
      </c>
      <c r="G242" s="16" t="n">
        <v>0.65</v>
      </c>
      <c r="H242" s="16" t="n">
        <v>1.35</v>
      </c>
      <c r="I242" s="16" t="n">
        <v>0.8792</v>
      </c>
      <c r="J242" s="16" t="n">
        <v>0.53</v>
      </c>
      <c r="K242" s="15" t="n">
        <f aca="false">ROUND(F242/100*G242*H242*I242/J242,2)</f>
        <v>7278.28</v>
      </c>
      <c r="L242" s="15" t="n">
        <v>7278.28</v>
      </c>
      <c r="M242" s="15" t="n">
        <f aca="false">L242-K242</f>
        <v>0</v>
      </c>
      <c r="N242" s="14" t="s">
        <v>51</v>
      </c>
      <c r="O242" s="14" t="s">
        <v>52</v>
      </c>
    </row>
    <row r="243" customFormat="false" ht="15" hidden="false" customHeight="false" outlineLevel="0" collapsed="false">
      <c r="A243" s="3" t="s">
        <v>2563</v>
      </c>
      <c r="B243" s="3" t="s">
        <v>2875</v>
      </c>
      <c r="C243" s="3" t="s">
        <v>409</v>
      </c>
      <c r="D243" s="3" t="s">
        <v>1806</v>
      </c>
      <c r="E243" s="3" t="s">
        <v>56</v>
      </c>
      <c r="F243" s="12" t="n">
        <v>310000</v>
      </c>
      <c r="G243" s="13" t="n">
        <v>0.75</v>
      </c>
      <c r="H243" s="13" t="n">
        <v>1.3</v>
      </c>
      <c r="I243" s="13" t="n">
        <v>0.8792</v>
      </c>
      <c r="J243" s="13" t="n">
        <v>0.53</v>
      </c>
      <c r="K243" s="12" t="n">
        <f aca="false">ROUND(F243/100*G243*H243*I243/J243,2)</f>
        <v>5013.93</v>
      </c>
      <c r="L243" s="12" t="n">
        <v>5013.93</v>
      </c>
      <c r="M243" s="12" t="n">
        <f aca="false">L243-K243</f>
        <v>0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2561</v>
      </c>
      <c r="B244" s="14" t="s">
        <v>2876</v>
      </c>
      <c r="C244" s="14" t="s">
        <v>275</v>
      </c>
      <c r="D244" s="14" t="s">
        <v>367</v>
      </c>
      <c r="E244" s="14" t="s">
        <v>56</v>
      </c>
      <c r="F244" s="15" t="n">
        <v>655000</v>
      </c>
      <c r="G244" s="16" t="n">
        <v>0.65</v>
      </c>
      <c r="H244" s="16" t="n">
        <v>1.19</v>
      </c>
      <c r="I244" s="16" t="n">
        <v>0.8792</v>
      </c>
      <c r="J244" s="16" t="n">
        <v>0.53</v>
      </c>
      <c r="K244" s="15" t="n">
        <f aca="false">ROUND(F244/100*G244*H244*I244/J244,2)</f>
        <v>8404.53</v>
      </c>
      <c r="L244" s="15" t="n">
        <v>8404.53</v>
      </c>
      <c r="M244" s="15" t="n">
        <f aca="false">L244-K244</f>
        <v>0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2578</v>
      </c>
      <c r="B245" s="3" t="s">
        <v>2877</v>
      </c>
      <c r="C245" s="3" t="s">
        <v>193</v>
      </c>
      <c r="D245" s="3" t="s">
        <v>2878</v>
      </c>
      <c r="E245" s="3" t="s">
        <v>50</v>
      </c>
      <c r="F245" s="12" t="n">
        <v>860000</v>
      </c>
      <c r="G245" s="13" t="n">
        <v>0.95</v>
      </c>
      <c r="H245" s="13" t="n">
        <v>1.25</v>
      </c>
      <c r="I245" s="13" t="n">
        <v>0.8792</v>
      </c>
      <c r="J245" s="13" t="n">
        <v>0.53</v>
      </c>
      <c r="K245" s="12" t="n">
        <f aca="false">ROUND(F245/100*G245*H245*I245/J245,2)</f>
        <v>16941.19</v>
      </c>
      <c r="L245" s="12" t="n">
        <v>16941.19</v>
      </c>
      <c r="M245" s="12" t="n">
        <f aca="false">L245-K245</f>
        <v>0</v>
      </c>
      <c r="N245" s="3" t="s">
        <v>70</v>
      </c>
      <c r="O245" s="3" t="s">
        <v>52</v>
      </c>
    </row>
    <row r="246" customFormat="false" ht="15" hidden="false" customHeight="false" outlineLevel="0" collapsed="false">
      <c r="A246" s="14" t="s">
        <v>2715</v>
      </c>
      <c r="B246" s="14" t="s">
        <v>2879</v>
      </c>
      <c r="C246" s="14" t="s">
        <v>275</v>
      </c>
      <c r="D246" s="14" t="s">
        <v>587</v>
      </c>
      <c r="E246" s="14" t="s">
        <v>56</v>
      </c>
      <c r="F246" s="15" t="n">
        <v>1280000</v>
      </c>
      <c r="G246" s="16" t="n">
        <v>0.55</v>
      </c>
      <c r="H246" s="16" t="n">
        <v>1.19</v>
      </c>
      <c r="I246" s="16" t="n">
        <v>0.8792</v>
      </c>
      <c r="J246" s="16" t="n">
        <v>0.53</v>
      </c>
      <c r="K246" s="15" t="n">
        <f aca="false">ROUND(F246/100*G246*H246*I246/J246,2)</f>
        <v>13897.33</v>
      </c>
      <c r="L246" s="15" t="n">
        <v>13897.33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2563</v>
      </c>
      <c r="B247" s="3" t="s">
        <v>2880</v>
      </c>
      <c r="C247" s="3" t="s">
        <v>77</v>
      </c>
      <c r="D247" s="3" t="s">
        <v>2881</v>
      </c>
      <c r="E247" s="3" t="s">
        <v>133</v>
      </c>
      <c r="F247" s="12" t="n">
        <v>1950000</v>
      </c>
      <c r="G247" s="13" t="n">
        <v>0.34</v>
      </c>
      <c r="H247" s="13" t="n">
        <v>1.42</v>
      </c>
      <c r="I247" s="13" t="n">
        <v>0.8792</v>
      </c>
      <c r="J247" s="13" t="n">
        <v>0.53</v>
      </c>
      <c r="K247" s="12" t="n">
        <f aca="false">ROUND(F247/100*G247*H247*I247/J247,2)</f>
        <v>15617.58</v>
      </c>
      <c r="L247" s="12" t="n">
        <v>15617.58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2557</v>
      </c>
      <c r="B248" s="14" t="s">
        <v>2882</v>
      </c>
      <c r="C248" s="14" t="s">
        <v>89</v>
      </c>
      <c r="D248" s="14" t="s">
        <v>2883</v>
      </c>
      <c r="E248" s="14" t="s">
        <v>74</v>
      </c>
      <c r="F248" s="15" t="n">
        <v>1310000</v>
      </c>
      <c r="G248" s="16" t="n">
        <v>0.38</v>
      </c>
      <c r="H248" s="16" t="n">
        <v>1.35</v>
      </c>
      <c r="I248" s="16" t="n">
        <v>0.8792</v>
      </c>
      <c r="J248" s="16" t="n">
        <v>0.53</v>
      </c>
      <c r="K248" s="15" t="n">
        <f aca="false">ROUND(F248/100*G248*H248*I248/J248,2)</f>
        <v>11148.09</v>
      </c>
      <c r="L248" s="15" t="n">
        <v>11148.09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2565</v>
      </c>
      <c r="B249" s="3" t="s">
        <v>2884</v>
      </c>
      <c r="C249" s="3" t="s">
        <v>366</v>
      </c>
      <c r="D249" s="3" t="s">
        <v>2138</v>
      </c>
      <c r="E249" s="3" t="s">
        <v>56</v>
      </c>
      <c r="F249" s="12" t="n">
        <v>1950000</v>
      </c>
      <c r="G249" s="13" t="n">
        <v>0.55</v>
      </c>
      <c r="H249" s="13" t="n">
        <v>1.26</v>
      </c>
      <c r="I249" s="13" t="n">
        <v>0.8792</v>
      </c>
      <c r="J249" s="13" t="n">
        <v>0.53</v>
      </c>
      <c r="K249" s="12" t="n">
        <f aca="false">ROUND(F249/100*G249*H249*I249/J249,2)</f>
        <v>22417.11</v>
      </c>
      <c r="L249" s="12" t="n">
        <v>22417.11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2626</v>
      </c>
      <c r="B250" s="14" t="s">
        <v>2885</v>
      </c>
      <c r="C250" s="14" t="s">
        <v>311</v>
      </c>
      <c r="D250" s="14" t="s">
        <v>1707</v>
      </c>
      <c r="E250" s="14" t="s">
        <v>56</v>
      </c>
      <c r="F250" s="15" t="n">
        <v>245000</v>
      </c>
      <c r="G250" s="16" t="n">
        <v>0.92</v>
      </c>
      <c r="H250" s="16" t="n">
        <v>1.06</v>
      </c>
      <c r="I250" s="16" t="n">
        <v>0.8792</v>
      </c>
      <c r="J250" s="16" t="n">
        <v>0.53</v>
      </c>
      <c r="K250" s="15" t="n">
        <f aca="false">ROUND(F250/100*G250*H250*I250/J250,2)</f>
        <v>3963.43</v>
      </c>
      <c r="L250" s="15" t="n">
        <v>3963.43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2578</v>
      </c>
      <c r="B251" s="3" t="s">
        <v>2886</v>
      </c>
      <c r="C251" s="3" t="s">
        <v>295</v>
      </c>
      <c r="D251" s="3" t="s">
        <v>1700</v>
      </c>
      <c r="E251" s="3" t="s">
        <v>56</v>
      </c>
      <c r="F251" s="12" t="n">
        <v>740000</v>
      </c>
      <c r="G251" s="13" t="n">
        <v>0.65</v>
      </c>
      <c r="H251" s="13" t="n">
        <v>1.2</v>
      </c>
      <c r="I251" s="13" t="n">
        <v>0.8792</v>
      </c>
      <c r="J251" s="13" t="n">
        <v>0.53</v>
      </c>
      <c r="K251" s="12" t="n">
        <f aca="false">ROUND(F251/100*G251*H251*I251/J251,2)</f>
        <v>9574.99</v>
      </c>
      <c r="L251" s="12" t="n">
        <v>9574.99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2582</v>
      </c>
      <c r="B252" s="14" t="s">
        <v>2887</v>
      </c>
      <c r="C252" s="14" t="s">
        <v>184</v>
      </c>
      <c r="D252" s="14" t="s">
        <v>793</v>
      </c>
      <c r="E252" s="14" t="s">
        <v>50</v>
      </c>
      <c r="F252" s="15" t="n">
        <v>575000</v>
      </c>
      <c r="G252" s="16" t="n">
        <v>0.95</v>
      </c>
      <c r="H252" s="16" t="n">
        <v>1.02</v>
      </c>
      <c r="I252" s="16" t="n">
        <v>0.8792</v>
      </c>
      <c r="J252" s="16" t="n">
        <v>0.53</v>
      </c>
      <c r="K252" s="15" t="n">
        <f aca="false">ROUND(F252/100*G252*H252*I252/J252,2)</f>
        <v>9242.8</v>
      </c>
      <c r="L252" s="15" t="n">
        <v>9242.8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2715</v>
      </c>
      <c r="B253" s="3" t="s">
        <v>2888</v>
      </c>
      <c r="C253" s="3" t="s">
        <v>93</v>
      </c>
      <c r="D253" s="3" t="s">
        <v>2081</v>
      </c>
      <c r="E253" s="3" t="s">
        <v>56</v>
      </c>
      <c r="F253" s="12" t="n">
        <v>505000</v>
      </c>
      <c r="G253" s="13" t="n">
        <v>0.65</v>
      </c>
      <c r="H253" s="13" t="n">
        <v>1.39</v>
      </c>
      <c r="I253" s="13" t="n">
        <v>0.8792</v>
      </c>
      <c r="J253" s="13" t="n">
        <v>0.53</v>
      </c>
      <c r="K253" s="12" t="n">
        <f aca="false">ROUND(F253/100*G253*H253*I253/J253,2)</f>
        <v>7568.88</v>
      </c>
      <c r="L253" s="12" t="n">
        <v>7568.87</v>
      </c>
      <c r="M253" s="12" t="n">
        <f aca="false">L253-K253</f>
        <v>-0.0100000000002183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2588</v>
      </c>
      <c r="B254" s="14" t="s">
        <v>2889</v>
      </c>
      <c r="C254" s="14" t="s">
        <v>193</v>
      </c>
      <c r="D254" s="14" t="s">
        <v>1197</v>
      </c>
      <c r="E254" s="14" t="s">
        <v>56</v>
      </c>
      <c r="F254" s="15" t="n">
        <v>675000</v>
      </c>
      <c r="G254" s="16" t="n">
        <v>0.65</v>
      </c>
      <c r="H254" s="16" t="n">
        <v>1.25</v>
      </c>
      <c r="I254" s="16" t="n">
        <v>0.8792</v>
      </c>
      <c r="J254" s="16" t="n">
        <v>0.53</v>
      </c>
      <c r="K254" s="15" t="n">
        <f aca="false">ROUND(F254/100*G254*H254*I254/J254,2)</f>
        <v>9097.85</v>
      </c>
      <c r="L254" s="15" t="n">
        <v>9097.86</v>
      </c>
      <c r="M254" s="15" t="n">
        <f aca="false">L254-K254</f>
        <v>0.0100000000002183</v>
      </c>
      <c r="N254" s="14" t="s">
        <v>70</v>
      </c>
      <c r="O254" s="14" t="s">
        <v>52</v>
      </c>
    </row>
    <row r="255" customFormat="false" ht="15" hidden="false" customHeight="false" outlineLevel="0" collapsed="false">
      <c r="A255" s="3" t="s">
        <v>2608</v>
      </c>
      <c r="B255" s="3" t="s">
        <v>2890</v>
      </c>
      <c r="C255" s="3" t="s">
        <v>169</v>
      </c>
      <c r="D255" s="3" t="s">
        <v>1168</v>
      </c>
      <c r="E255" s="3" t="s">
        <v>56</v>
      </c>
      <c r="F255" s="12" t="n">
        <v>620000</v>
      </c>
      <c r="G255" s="13" t="n">
        <v>0.65</v>
      </c>
      <c r="H255" s="13" t="n">
        <v>1.07</v>
      </c>
      <c r="I255" s="13" t="n">
        <v>0.8792</v>
      </c>
      <c r="J255" s="13" t="n">
        <v>0.53</v>
      </c>
      <c r="K255" s="12" t="n">
        <f aca="false">ROUND(F255/100*G255*H255*I255/J255,2)</f>
        <v>7153.2</v>
      </c>
      <c r="L255" s="12" t="n">
        <v>7153.21</v>
      </c>
      <c r="M255" s="12" t="n">
        <f aca="false">L255-K255</f>
        <v>0.0100000000002183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2559</v>
      </c>
      <c r="B256" s="14" t="s">
        <v>2891</v>
      </c>
      <c r="C256" s="14" t="s">
        <v>85</v>
      </c>
      <c r="D256" s="14" t="s">
        <v>1335</v>
      </c>
      <c r="E256" s="14" t="s">
        <v>56</v>
      </c>
      <c r="F256" s="15" t="n">
        <v>370000</v>
      </c>
      <c r="G256" s="16" t="n">
        <v>0.75</v>
      </c>
      <c r="H256" s="16" t="n">
        <v>1.28</v>
      </c>
      <c r="I256" s="16" t="n">
        <v>0.8792</v>
      </c>
      <c r="J256" s="16" t="n">
        <v>0.53</v>
      </c>
      <c r="K256" s="15" t="n">
        <f aca="false">ROUND(F256/100*G256*H256*I256/J256,2)</f>
        <v>5892.3</v>
      </c>
      <c r="L256" s="15" t="n">
        <v>5892.3</v>
      </c>
      <c r="M256" s="15" t="n">
        <f aca="false">L256-K256</f>
        <v>0</v>
      </c>
      <c r="N256" s="14" t="s">
        <v>61</v>
      </c>
      <c r="O256" s="14" t="s">
        <v>62</v>
      </c>
    </row>
    <row r="257" customFormat="false" ht="15" hidden="false" customHeight="false" outlineLevel="0" collapsed="false">
      <c r="A257" s="3" t="s">
        <v>2602</v>
      </c>
      <c r="B257" s="3" t="s">
        <v>2892</v>
      </c>
      <c r="C257" s="3" t="s">
        <v>85</v>
      </c>
      <c r="D257" s="3" t="s">
        <v>2176</v>
      </c>
      <c r="E257" s="3" t="s">
        <v>50</v>
      </c>
      <c r="F257" s="12" t="n">
        <v>590000</v>
      </c>
      <c r="G257" s="13" t="n">
        <v>0.95</v>
      </c>
      <c r="H257" s="13" t="n">
        <v>1.28</v>
      </c>
      <c r="I257" s="13" t="n">
        <v>0.8792</v>
      </c>
      <c r="J257" s="13" t="n">
        <v>0.53</v>
      </c>
      <c r="K257" s="12" t="n">
        <f aca="false">ROUND(F257/100*G257*H257*I257/J257,2)</f>
        <v>11901.38</v>
      </c>
      <c r="L257" s="12" t="n">
        <v>11901.38</v>
      </c>
      <c r="M257" s="12" t="n">
        <f aca="false">L257-K257</f>
        <v>0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2604</v>
      </c>
      <c r="B258" s="14" t="s">
        <v>2893</v>
      </c>
      <c r="C258" s="14" t="s">
        <v>93</v>
      </c>
      <c r="D258" s="14" t="s">
        <v>2260</v>
      </c>
      <c r="E258" s="14" t="s">
        <v>56</v>
      </c>
      <c r="F258" s="15" t="n">
        <v>775000</v>
      </c>
      <c r="G258" s="16" t="n">
        <v>0.65</v>
      </c>
      <c r="H258" s="16" t="n">
        <v>1.39</v>
      </c>
      <c r="I258" s="16" t="n">
        <v>0.8792</v>
      </c>
      <c r="J258" s="16" t="n">
        <v>0.53</v>
      </c>
      <c r="K258" s="15" t="n">
        <f aca="false">ROUND(F258/100*G258*H258*I258/J258,2)</f>
        <v>11615.6</v>
      </c>
      <c r="L258" s="15" t="n">
        <v>11615.6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2642</v>
      </c>
      <c r="B259" s="3" t="s">
        <v>2894</v>
      </c>
      <c r="C259" s="3" t="s">
        <v>892</v>
      </c>
      <c r="D259" s="3" t="s">
        <v>645</v>
      </c>
      <c r="E259" s="3" t="s">
        <v>56</v>
      </c>
      <c r="F259" s="12" t="n">
        <v>1655000</v>
      </c>
      <c r="G259" s="13" t="n">
        <v>0.55</v>
      </c>
      <c r="H259" s="13" t="n">
        <v>1.08</v>
      </c>
      <c r="I259" s="13" t="n">
        <v>0.8792</v>
      </c>
      <c r="J259" s="13" t="n">
        <v>0.53</v>
      </c>
      <c r="K259" s="12" t="n">
        <f aca="false">ROUND(F259/100*G259*H259*I259/J259,2)</f>
        <v>16307.83</v>
      </c>
      <c r="L259" s="12" t="n">
        <v>16307.83</v>
      </c>
      <c r="M259" s="12" t="n">
        <f aca="false">L259-K259</f>
        <v>0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2571</v>
      </c>
      <c r="B260" s="14" t="s">
        <v>2895</v>
      </c>
      <c r="C260" s="14" t="s">
        <v>108</v>
      </c>
      <c r="D260" s="14" t="s">
        <v>2445</v>
      </c>
      <c r="E260" s="14" t="s">
        <v>50</v>
      </c>
      <c r="F260" s="15" t="n">
        <v>1335000</v>
      </c>
      <c r="G260" s="16" t="n">
        <v>0.8</v>
      </c>
      <c r="H260" s="16" t="n">
        <v>0.93</v>
      </c>
      <c r="I260" s="16" t="n">
        <v>0.8792</v>
      </c>
      <c r="J260" s="16" t="n">
        <v>0.53</v>
      </c>
      <c r="K260" s="15" t="n">
        <f aca="false">ROUND(F260/100*G260*H260*I260/J260,2)</f>
        <v>16476.54</v>
      </c>
      <c r="L260" s="15" t="n">
        <v>16476.54</v>
      </c>
      <c r="M260" s="15" t="n">
        <f aca="false">L260-K260</f>
        <v>0</v>
      </c>
      <c r="N260" s="14" t="s">
        <v>51</v>
      </c>
      <c r="O260" s="14" t="s">
        <v>52</v>
      </c>
    </row>
    <row r="261" customFormat="false" ht="15" hidden="false" customHeight="false" outlineLevel="0" collapsed="false">
      <c r="A261" s="3" t="s">
        <v>2633</v>
      </c>
      <c r="B261" s="3" t="s">
        <v>2896</v>
      </c>
      <c r="C261" s="3" t="s">
        <v>210</v>
      </c>
      <c r="D261" s="3" t="s">
        <v>2897</v>
      </c>
      <c r="E261" s="3" t="s">
        <v>133</v>
      </c>
      <c r="F261" s="12" t="n">
        <v>1950000</v>
      </c>
      <c r="G261" s="13" t="n">
        <v>0.34</v>
      </c>
      <c r="H261" s="13" t="n">
        <v>1.21</v>
      </c>
      <c r="I261" s="13" t="n">
        <v>0.8792</v>
      </c>
      <c r="J261" s="13" t="n">
        <v>0.53</v>
      </c>
      <c r="K261" s="12" t="n">
        <f aca="false">ROUND(F261/100*G261*H261*I261/J261,2)</f>
        <v>13307.94</v>
      </c>
      <c r="L261" s="12" t="n">
        <v>13307.94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2588</v>
      </c>
      <c r="B262" s="14" t="s">
        <v>2898</v>
      </c>
      <c r="C262" s="14" t="s">
        <v>224</v>
      </c>
      <c r="D262" s="14" t="s">
        <v>1360</v>
      </c>
      <c r="E262" s="14" t="s">
        <v>56</v>
      </c>
      <c r="F262" s="15" t="n">
        <v>150000</v>
      </c>
      <c r="G262" s="16" t="n">
        <v>0.92</v>
      </c>
      <c r="H262" s="16" t="n">
        <v>1.1</v>
      </c>
      <c r="I262" s="16" t="n">
        <v>0.8792</v>
      </c>
      <c r="J262" s="16" t="n">
        <v>0.53</v>
      </c>
      <c r="K262" s="15" t="n">
        <f aca="false">ROUND(F262/100*G262*H262*I262/J262,2)</f>
        <v>2518.16</v>
      </c>
      <c r="L262" s="15" t="n">
        <v>2518.16</v>
      </c>
      <c r="M262" s="15" t="n">
        <f aca="false">L262-K262</f>
        <v>0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2578</v>
      </c>
      <c r="B263" s="3" t="s">
        <v>2899</v>
      </c>
      <c r="C263" s="3" t="s">
        <v>48</v>
      </c>
      <c r="D263" s="3" t="s">
        <v>498</v>
      </c>
      <c r="E263" s="3" t="s">
        <v>56</v>
      </c>
      <c r="F263" s="12" t="n">
        <v>575000</v>
      </c>
      <c r="G263" s="13" t="n">
        <v>0.65</v>
      </c>
      <c r="H263" s="13" t="n">
        <v>1.28</v>
      </c>
      <c r="I263" s="13" t="n">
        <v>0.8792</v>
      </c>
      <c r="J263" s="13" t="n">
        <v>0.53</v>
      </c>
      <c r="K263" s="12" t="n">
        <f aca="false">ROUND(F263/100*G263*H263*I263/J263,2)</f>
        <v>7936.02</v>
      </c>
      <c r="L263" s="12" t="n">
        <v>7936.03</v>
      </c>
      <c r="M263" s="12" t="n">
        <f aca="false">L263-K263</f>
        <v>0.00999999999930878</v>
      </c>
      <c r="N263" s="3" t="s">
        <v>51</v>
      </c>
      <c r="O263" s="3" t="s">
        <v>52</v>
      </c>
    </row>
    <row r="264" customFormat="false" ht="15" hidden="false" customHeight="false" outlineLevel="0" collapsed="false">
      <c r="A264" s="14" t="s">
        <v>2616</v>
      </c>
      <c r="B264" s="14" t="s">
        <v>2900</v>
      </c>
      <c r="C264" s="14" t="s">
        <v>230</v>
      </c>
      <c r="D264" s="14" t="s">
        <v>2901</v>
      </c>
      <c r="E264" s="14" t="s">
        <v>56</v>
      </c>
      <c r="F264" s="15" t="n">
        <v>1020000</v>
      </c>
      <c r="G264" s="16" t="n">
        <v>0.55</v>
      </c>
      <c r="H264" s="16" t="n">
        <v>1.09</v>
      </c>
      <c r="I264" s="16" t="n">
        <v>0.8792</v>
      </c>
      <c r="J264" s="16" t="n">
        <v>0.53</v>
      </c>
      <c r="K264" s="15" t="n">
        <f aca="false">ROUND(F264/100*G264*H264*I264/J264,2)</f>
        <v>10143.81</v>
      </c>
      <c r="L264" s="15" t="n">
        <v>10143.81</v>
      </c>
      <c r="M264" s="15" t="n">
        <f aca="false">L264-K264</f>
        <v>0</v>
      </c>
      <c r="N264" s="14" t="s">
        <v>51</v>
      </c>
      <c r="O264" s="14" t="s">
        <v>52</v>
      </c>
    </row>
    <row r="265" customFormat="false" ht="15" hidden="false" customHeight="false" outlineLevel="0" collapsed="false">
      <c r="A265" s="3" t="s">
        <v>2559</v>
      </c>
      <c r="B265" s="3" t="s">
        <v>2902</v>
      </c>
      <c r="C265" s="3" t="s">
        <v>139</v>
      </c>
      <c r="D265" s="3" t="s">
        <v>1056</v>
      </c>
      <c r="E265" s="3" t="s">
        <v>50</v>
      </c>
      <c r="F265" s="12" t="n">
        <v>1175000</v>
      </c>
      <c r="G265" s="13" t="n">
        <v>0.8</v>
      </c>
      <c r="H265" s="13" t="n">
        <v>1.23</v>
      </c>
      <c r="I265" s="13" t="n">
        <v>0.8792</v>
      </c>
      <c r="J265" s="13" t="n">
        <v>0.53</v>
      </c>
      <c r="K265" s="12" t="n">
        <f aca="false">ROUND(F265/100*G265*H265*I265/J265,2)</f>
        <v>19179.83</v>
      </c>
      <c r="L265" s="12" t="n">
        <v>19179.83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2578</v>
      </c>
      <c r="B266" s="14" t="s">
        <v>2903</v>
      </c>
      <c r="C266" s="14" t="s">
        <v>193</v>
      </c>
      <c r="D266" s="14" t="s">
        <v>2904</v>
      </c>
      <c r="E266" s="14" t="s">
        <v>56</v>
      </c>
      <c r="F266" s="15" t="n">
        <v>1250000</v>
      </c>
      <c r="G266" s="16" t="n">
        <v>0.55</v>
      </c>
      <c r="H266" s="16" t="n">
        <v>1.25</v>
      </c>
      <c r="I266" s="16" t="n">
        <v>0.8792</v>
      </c>
      <c r="J266" s="16" t="n">
        <v>0.53</v>
      </c>
      <c r="K266" s="15" t="n">
        <f aca="false">ROUND(F266/100*G266*H266*I266/J266,2)</f>
        <v>14255.9</v>
      </c>
      <c r="L266" s="15" t="n">
        <v>14255.89</v>
      </c>
      <c r="M266" s="15" t="n">
        <f aca="false">L266-K266</f>
        <v>-0.0100000000002183</v>
      </c>
      <c r="N266" s="14" t="s">
        <v>70</v>
      </c>
      <c r="O266" s="14" t="s">
        <v>52</v>
      </c>
    </row>
    <row r="267" customFormat="false" ht="15" hidden="false" customHeight="false" outlineLevel="0" collapsed="false">
      <c r="A267" s="3" t="s">
        <v>2642</v>
      </c>
      <c r="B267" s="3" t="s">
        <v>2905</v>
      </c>
      <c r="C267" s="3" t="s">
        <v>230</v>
      </c>
      <c r="D267" s="3" t="s">
        <v>2906</v>
      </c>
      <c r="E267" s="3" t="s">
        <v>74</v>
      </c>
      <c r="F267" s="12" t="n">
        <v>760000</v>
      </c>
      <c r="G267" s="13" t="n">
        <v>0.43</v>
      </c>
      <c r="H267" s="13" t="n">
        <v>1.09</v>
      </c>
      <c r="I267" s="13" t="n">
        <v>0.8792</v>
      </c>
      <c r="J267" s="13" t="n">
        <v>0.53</v>
      </c>
      <c r="K267" s="12" t="n">
        <f aca="false">ROUND(F267/100*G267*H267*I267/J267,2)</f>
        <v>5909.09</v>
      </c>
      <c r="L267" s="12" t="n">
        <v>5909.09</v>
      </c>
      <c r="M267" s="12" t="n">
        <f aca="false">L267-K267</f>
        <v>0</v>
      </c>
      <c r="N267" s="3" t="s">
        <v>51</v>
      </c>
      <c r="O267" s="3" t="s">
        <v>52</v>
      </c>
    </row>
    <row r="268" customFormat="false" ht="15" hidden="false" customHeight="false" outlineLevel="0" collapsed="false">
      <c r="A268" s="14" t="s">
        <v>2604</v>
      </c>
      <c r="B268" s="14" t="s">
        <v>2907</v>
      </c>
      <c r="C268" s="14" t="s">
        <v>217</v>
      </c>
      <c r="D268" s="14" t="s">
        <v>747</v>
      </c>
      <c r="E268" s="14" t="s">
        <v>56</v>
      </c>
      <c r="F268" s="15" t="n">
        <v>450000</v>
      </c>
      <c r="G268" s="16" t="n">
        <v>0.75</v>
      </c>
      <c r="H268" s="16" t="n">
        <v>1.3</v>
      </c>
      <c r="I268" s="16" t="n">
        <v>0.8792</v>
      </c>
      <c r="J268" s="16" t="n">
        <v>0.53</v>
      </c>
      <c r="K268" s="15" t="n">
        <f aca="false">ROUND(F268/100*G268*H268*I268/J268,2)</f>
        <v>7278.28</v>
      </c>
      <c r="L268" s="15" t="n">
        <v>7278.28</v>
      </c>
      <c r="M268" s="15" t="n">
        <f aca="false">L268-K268</f>
        <v>0</v>
      </c>
      <c r="N268" s="14" t="s">
        <v>61</v>
      </c>
      <c r="O268" s="14" t="s">
        <v>62</v>
      </c>
    </row>
    <row r="269" customFormat="false" ht="15" hidden="false" customHeight="false" outlineLevel="0" collapsed="false">
      <c r="A269" s="3" t="s">
        <v>2608</v>
      </c>
      <c r="B269" s="3" t="s">
        <v>2908</v>
      </c>
      <c r="C269" s="3" t="s">
        <v>275</v>
      </c>
      <c r="D269" s="3" t="s">
        <v>291</v>
      </c>
      <c r="E269" s="3" t="s">
        <v>50</v>
      </c>
      <c r="F269" s="12" t="n">
        <v>1670000</v>
      </c>
      <c r="G269" s="13" t="n">
        <v>0.8</v>
      </c>
      <c r="H269" s="13" t="n">
        <v>1.19</v>
      </c>
      <c r="I269" s="13" t="n">
        <v>0.8792</v>
      </c>
      <c r="J269" s="13" t="n">
        <v>0.53</v>
      </c>
      <c r="K269" s="12" t="n">
        <f aca="false">ROUND(F269/100*G269*H269*I269/J269,2)</f>
        <v>26373.35</v>
      </c>
      <c r="L269" s="12" t="n">
        <v>26373.34</v>
      </c>
      <c r="M269" s="12" t="n">
        <f aca="false">L269-K269</f>
        <v>-0.00999999999839929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2715</v>
      </c>
      <c r="B270" s="14" t="s">
        <v>2909</v>
      </c>
      <c r="C270" s="14" t="s">
        <v>326</v>
      </c>
      <c r="D270" s="14" t="s">
        <v>2910</v>
      </c>
      <c r="E270" s="14" t="s">
        <v>56</v>
      </c>
      <c r="F270" s="15" t="n">
        <v>1235000</v>
      </c>
      <c r="G270" s="16" t="n">
        <v>0.55</v>
      </c>
      <c r="H270" s="16" t="n">
        <v>1.12</v>
      </c>
      <c r="I270" s="16" t="n">
        <v>0.8792</v>
      </c>
      <c r="J270" s="16" t="n">
        <v>0.53</v>
      </c>
      <c r="K270" s="15" t="n">
        <f aca="false">ROUND(F270/100*G270*H270*I270/J270,2)</f>
        <v>12620</v>
      </c>
      <c r="L270" s="15" t="n">
        <v>12620</v>
      </c>
      <c r="M270" s="15" t="n">
        <f aca="false">L270-K270</f>
        <v>0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2616</v>
      </c>
      <c r="B271" s="3" t="s">
        <v>2911</v>
      </c>
      <c r="C271" s="3" t="s">
        <v>77</v>
      </c>
      <c r="D271" s="3" t="s">
        <v>2912</v>
      </c>
      <c r="E271" s="3" t="s">
        <v>133</v>
      </c>
      <c r="F271" s="12" t="n">
        <v>210000</v>
      </c>
      <c r="G271" s="13" t="n">
        <v>0.5</v>
      </c>
      <c r="H271" s="13" t="n">
        <v>1.42</v>
      </c>
      <c r="I271" s="13" t="n">
        <v>0.8792</v>
      </c>
      <c r="J271" s="13" t="n">
        <v>0.53</v>
      </c>
      <c r="K271" s="12" t="n">
        <f aca="false">ROUND(F271/100*G271*H271*I271/J271,2)</f>
        <v>2473.37</v>
      </c>
      <c r="L271" s="12" t="n">
        <v>2473.37</v>
      </c>
      <c r="M271" s="12" t="n">
        <f aca="false">L271-K271</f>
        <v>0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2642</v>
      </c>
      <c r="B272" s="14" t="s">
        <v>2913</v>
      </c>
      <c r="C272" s="14" t="s">
        <v>139</v>
      </c>
      <c r="D272" s="14" t="s">
        <v>2650</v>
      </c>
      <c r="E272" s="14" t="s">
        <v>50</v>
      </c>
      <c r="F272" s="15" t="n">
        <v>1950000</v>
      </c>
      <c r="G272" s="16" t="n">
        <v>0.8</v>
      </c>
      <c r="H272" s="16" t="n">
        <v>1.23</v>
      </c>
      <c r="I272" s="16" t="n">
        <v>0.8792</v>
      </c>
      <c r="J272" s="16" t="n">
        <v>0.53</v>
      </c>
      <c r="K272" s="15" t="n">
        <f aca="false">ROUND(F272/100*G272*H272*I272/J272,2)</f>
        <v>31830.36</v>
      </c>
      <c r="L272" s="15" t="n">
        <v>31830.35</v>
      </c>
      <c r="M272" s="15" t="n">
        <f aca="false">L272-K272</f>
        <v>-0.0100000000020373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2631</v>
      </c>
      <c r="B273" s="3" t="s">
        <v>2914</v>
      </c>
      <c r="C273" s="3" t="s">
        <v>89</v>
      </c>
      <c r="D273" s="3" t="s">
        <v>1567</v>
      </c>
      <c r="E273" s="3" t="s">
        <v>74</v>
      </c>
      <c r="F273" s="12" t="n">
        <v>375000</v>
      </c>
      <c r="G273" s="13" t="n">
        <v>0.48</v>
      </c>
      <c r="H273" s="13" t="n">
        <v>1.35</v>
      </c>
      <c r="I273" s="13" t="n">
        <v>0.8792</v>
      </c>
      <c r="J273" s="13" t="n">
        <v>0.53</v>
      </c>
      <c r="K273" s="12" t="n">
        <f aca="false">ROUND(F273/100*G273*H273*I273/J273,2)</f>
        <v>4031.05</v>
      </c>
      <c r="L273" s="12" t="n">
        <v>4031.05</v>
      </c>
      <c r="M273" s="12" t="n">
        <f aca="false">L273-K273</f>
        <v>0</v>
      </c>
      <c r="N273" s="3" t="s">
        <v>61</v>
      </c>
      <c r="O273" s="3" t="s">
        <v>62</v>
      </c>
    </row>
    <row r="274" customFormat="false" ht="15" hidden="false" customHeight="false" outlineLevel="0" collapsed="false">
      <c r="A274" s="14" t="s">
        <v>2616</v>
      </c>
      <c r="B274" s="14" t="s">
        <v>2915</v>
      </c>
      <c r="C274" s="14" t="s">
        <v>145</v>
      </c>
      <c r="D274" s="14" t="s">
        <v>97</v>
      </c>
      <c r="E274" s="14" t="s">
        <v>56</v>
      </c>
      <c r="F274" s="15" t="n">
        <v>285000</v>
      </c>
      <c r="G274" s="16" t="n">
        <v>0.75</v>
      </c>
      <c r="H274" s="16" t="n">
        <v>0.96</v>
      </c>
      <c r="I274" s="16" t="n">
        <v>0.8792</v>
      </c>
      <c r="J274" s="16" t="n">
        <v>0.53</v>
      </c>
      <c r="K274" s="15" t="n">
        <f aca="false">ROUND(F274/100*G274*H274*I274/J274,2)</f>
        <v>3404</v>
      </c>
      <c r="L274" s="15" t="n">
        <v>3404</v>
      </c>
      <c r="M274" s="15" t="n">
        <f aca="false">L274-K274</f>
        <v>0</v>
      </c>
      <c r="N274" s="14" t="s">
        <v>61</v>
      </c>
      <c r="O274" s="14" t="s">
        <v>62</v>
      </c>
    </row>
    <row r="275" customFormat="false" ht="15" hidden="false" customHeight="false" outlineLevel="0" collapsed="false">
      <c r="A275" s="3" t="s">
        <v>2604</v>
      </c>
      <c r="B275" s="3" t="s">
        <v>2916</v>
      </c>
      <c r="C275" s="3" t="s">
        <v>48</v>
      </c>
      <c r="D275" s="3" t="s">
        <v>751</v>
      </c>
      <c r="E275" s="3" t="s">
        <v>56</v>
      </c>
      <c r="F275" s="12" t="n">
        <v>265000</v>
      </c>
      <c r="G275" s="13" t="n">
        <v>0.75</v>
      </c>
      <c r="H275" s="13" t="n">
        <v>1.28</v>
      </c>
      <c r="I275" s="13" t="n">
        <v>0.8792</v>
      </c>
      <c r="J275" s="13" t="n">
        <v>0.53</v>
      </c>
      <c r="K275" s="12" t="n">
        <f aca="false">ROUND(F275/100*G275*H275*I275/J275,2)</f>
        <v>4220.16</v>
      </c>
      <c r="L275" s="12" t="n">
        <v>4220.16</v>
      </c>
      <c r="M275" s="12" t="n">
        <f aca="false">L275-K275</f>
        <v>0</v>
      </c>
      <c r="N275" s="3" t="s">
        <v>51</v>
      </c>
      <c r="O275" s="3" t="s">
        <v>52</v>
      </c>
    </row>
    <row r="276" customFormat="false" ht="15" hidden="false" customHeight="false" outlineLevel="0" collapsed="false">
      <c r="A276" s="14" t="s">
        <v>2608</v>
      </c>
      <c r="B276" s="14" t="s">
        <v>2917</v>
      </c>
      <c r="C276" s="14" t="s">
        <v>108</v>
      </c>
      <c r="D276" s="14" t="s">
        <v>1612</v>
      </c>
      <c r="E276" s="14" t="s">
        <v>56</v>
      </c>
      <c r="F276" s="15" t="n">
        <v>350000</v>
      </c>
      <c r="G276" s="16" t="n">
        <v>0.75</v>
      </c>
      <c r="H276" s="16" t="n">
        <v>0.93</v>
      </c>
      <c r="I276" s="16" t="n">
        <v>0.8792</v>
      </c>
      <c r="J276" s="16" t="n">
        <v>0.53</v>
      </c>
      <c r="K276" s="15" t="n">
        <f aca="false">ROUND(F276/100*G276*H276*I276/J276,2)</f>
        <v>4049.71</v>
      </c>
      <c r="L276" s="15" t="n">
        <v>4049.71</v>
      </c>
      <c r="M276" s="15" t="n">
        <f aca="false">L276-K276</f>
        <v>0</v>
      </c>
      <c r="N276" s="14" t="s">
        <v>51</v>
      </c>
      <c r="O276" s="14" t="s">
        <v>52</v>
      </c>
    </row>
    <row r="277" customFormat="false" ht="15" hidden="false" customHeight="false" outlineLevel="0" collapsed="false">
      <c r="A277" s="3" t="s">
        <v>2684</v>
      </c>
      <c r="B277" s="3" t="s">
        <v>2918</v>
      </c>
      <c r="C277" s="3" t="s">
        <v>117</v>
      </c>
      <c r="D277" s="3" t="s">
        <v>923</v>
      </c>
      <c r="E277" s="3" t="s">
        <v>56</v>
      </c>
      <c r="F277" s="12" t="n">
        <v>890000</v>
      </c>
      <c r="G277" s="13" t="n">
        <v>0.65</v>
      </c>
      <c r="H277" s="13" t="n">
        <v>0.91</v>
      </c>
      <c r="I277" s="13" t="n">
        <v>0.8792</v>
      </c>
      <c r="J277" s="13" t="n">
        <v>0.53</v>
      </c>
      <c r="K277" s="12" t="n">
        <f aca="false">ROUND(F277/100*G277*H277*I277/J277,2)</f>
        <v>8732.86</v>
      </c>
      <c r="L277" s="12" t="n">
        <v>8732.87</v>
      </c>
      <c r="M277" s="12" t="n">
        <f aca="false">L277-K277</f>
        <v>0.0100000000002183</v>
      </c>
      <c r="N277" s="3" t="s">
        <v>61</v>
      </c>
      <c r="O277" s="3" t="s">
        <v>62</v>
      </c>
    </row>
    <row r="278" customFormat="false" ht="15" hidden="false" customHeight="false" outlineLevel="0" collapsed="false">
      <c r="A278" s="14" t="s">
        <v>2588</v>
      </c>
      <c r="B278" s="14" t="s">
        <v>2919</v>
      </c>
      <c r="C278" s="14" t="s">
        <v>81</v>
      </c>
      <c r="D278" s="14" t="s">
        <v>318</v>
      </c>
      <c r="E278" s="14" t="s">
        <v>56</v>
      </c>
      <c r="F278" s="15" t="n">
        <v>215000</v>
      </c>
      <c r="G278" s="16" t="n">
        <v>0.92</v>
      </c>
      <c r="H278" s="16" t="n">
        <v>1.27</v>
      </c>
      <c r="I278" s="16" t="n">
        <v>0.8792</v>
      </c>
      <c r="J278" s="16" t="n">
        <v>0.53</v>
      </c>
      <c r="K278" s="15" t="n">
        <f aca="false">ROUND(F278/100*G278*H278*I278/J278,2)</f>
        <v>4167.18</v>
      </c>
      <c r="L278" s="15" t="n">
        <v>4167.18</v>
      </c>
      <c r="M278" s="15" t="n">
        <f aca="false">L278-K278</f>
        <v>0</v>
      </c>
      <c r="N278" s="14" t="s">
        <v>51</v>
      </c>
      <c r="O278" s="14" t="s">
        <v>52</v>
      </c>
    </row>
    <row r="279" customFormat="false" ht="15" hidden="false" customHeight="false" outlineLevel="0" collapsed="false">
      <c r="A279" s="3" t="s">
        <v>2588</v>
      </c>
      <c r="B279" s="3" t="s">
        <v>2920</v>
      </c>
      <c r="C279" s="3" t="s">
        <v>311</v>
      </c>
      <c r="D279" s="3" t="s">
        <v>2921</v>
      </c>
      <c r="E279" s="3" t="s">
        <v>50</v>
      </c>
      <c r="F279" s="12" t="n">
        <v>1355000</v>
      </c>
      <c r="G279" s="13" t="n">
        <v>0.8</v>
      </c>
      <c r="H279" s="13" t="n">
        <v>1.06</v>
      </c>
      <c r="I279" s="13" t="n">
        <v>0.8792</v>
      </c>
      <c r="J279" s="13" t="n">
        <v>0.53</v>
      </c>
      <c r="K279" s="12" t="n">
        <f aca="false">ROUND(F279/100*G279*H279*I279/J279,2)</f>
        <v>19061.06</v>
      </c>
      <c r="L279" s="12" t="n">
        <v>19061.06</v>
      </c>
      <c r="M279" s="12" t="n">
        <f aca="false">L279-K279</f>
        <v>0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2567</v>
      </c>
      <c r="B280" s="14" t="s">
        <v>2922</v>
      </c>
      <c r="C280" s="14" t="s">
        <v>77</v>
      </c>
      <c r="D280" s="14" t="s">
        <v>1565</v>
      </c>
      <c r="E280" s="14" t="s">
        <v>50</v>
      </c>
      <c r="F280" s="15" t="n">
        <v>1140000</v>
      </c>
      <c r="G280" s="16" t="n">
        <v>0.8</v>
      </c>
      <c r="H280" s="16" t="n">
        <v>1.42</v>
      </c>
      <c r="I280" s="16" t="n">
        <v>0.8792</v>
      </c>
      <c r="J280" s="16" t="n">
        <v>0.53</v>
      </c>
      <c r="K280" s="15" t="n">
        <f aca="false">ROUND(F280/100*G280*H280*I280/J280,2)</f>
        <v>21483</v>
      </c>
      <c r="L280" s="15" t="n">
        <v>21483.01</v>
      </c>
      <c r="M280" s="15" t="n">
        <f aca="false">L280-K280</f>
        <v>0.00999999999839929</v>
      </c>
      <c r="N280" s="14" t="s">
        <v>51</v>
      </c>
      <c r="O280" s="14" t="s">
        <v>52</v>
      </c>
    </row>
    <row r="281" customFormat="false" ht="15" hidden="false" customHeight="false" outlineLevel="0" collapsed="false">
      <c r="A281" s="3" t="s">
        <v>2561</v>
      </c>
      <c r="B281" s="3" t="s">
        <v>2923</v>
      </c>
      <c r="C281" s="3" t="s">
        <v>59</v>
      </c>
      <c r="D281" s="3" t="s">
        <v>423</v>
      </c>
      <c r="E281" s="3" t="s">
        <v>56</v>
      </c>
      <c r="F281" s="12" t="n">
        <v>580000</v>
      </c>
      <c r="G281" s="13" t="n">
        <v>0.65</v>
      </c>
      <c r="H281" s="13" t="n">
        <v>0.97</v>
      </c>
      <c r="I281" s="13" t="n">
        <v>0.8792</v>
      </c>
      <c r="J281" s="13" t="n">
        <v>0.53</v>
      </c>
      <c r="K281" s="12" t="n">
        <f aca="false">ROUND(F281/100*G281*H281*I281/J281,2)</f>
        <v>6066.31</v>
      </c>
      <c r="L281" s="12" t="n">
        <v>6066.31</v>
      </c>
      <c r="M281" s="12" t="n">
        <f aca="false">L281-K281</f>
        <v>0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2786</v>
      </c>
      <c r="B282" s="14" t="s">
        <v>2924</v>
      </c>
      <c r="C282" s="14" t="s">
        <v>81</v>
      </c>
      <c r="D282" s="14" t="s">
        <v>2925</v>
      </c>
      <c r="E282" s="14" t="s">
        <v>50</v>
      </c>
      <c r="F282" s="15" t="n">
        <v>1445000</v>
      </c>
      <c r="G282" s="16" t="n">
        <v>0.8</v>
      </c>
      <c r="H282" s="16" t="n">
        <v>1.27</v>
      </c>
      <c r="I282" s="16" t="n">
        <v>0.8792</v>
      </c>
      <c r="J282" s="16" t="n">
        <v>0.53</v>
      </c>
      <c r="K282" s="15" t="n">
        <f aca="false">ROUND(F282/100*G282*H282*I282/J282,2)</f>
        <v>24354.17</v>
      </c>
      <c r="L282" s="15" t="n">
        <v>24354.17</v>
      </c>
      <c r="M282" s="15" t="n">
        <f aca="false">L282-K282</f>
        <v>0</v>
      </c>
      <c r="N282" s="14" t="s">
        <v>70</v>
      </c>
      <c r="O282" s="14" t="s">
        <v>52</v>
      </c>
    </row>
    <row r="283" customFormat="false" ht="15" hidden="false" customHeight="false" outlineLevel="0" collapsed="false">
      <c r="A283" s="3" t="s">
        <v>2561</v>
      </c>
      <c r="B283" s="3" t="s">
        <v>2926</v>
      </c>
      <c r="C283" s="3" t="s">
        <v>266</v>
      </c>
      <c r="D283" s="3" t="s">
        <v>225</v>
      </c>
      <c r="E283" s="3" t="s">
        <v>56</v>
      </c>
      <c r="F283" s="12" t="n">
        <v>140000</v>
      </c>
      <c r="G283" s="13" t="n">
        <v>0.92</v>
      </c>
      <c r="H283" s="13" t="n">
        <v>1.1</v>
      </c>
      <c r="I283" s="13" t="n">
        <v>0.8792</v>
      </c>
      <c r="J283" s="13" t="n">
        <v>0.53</v>
      </c>
      <c r="K283" s="12" t="n">
        <f aca="false">ROUND(F283/100*G283*H283*I283/J283,2)</f>
        <v>2350.28</v>
      </c>
      <c r="L283" s="12" t="n">
        <v>2350.29</v>
      </c>
      <c r="M283" s="12" t="n">
        <f aca="false">L283-K283</f>
        <v>0.00999999999976353</v>
      </c>
      <c r="N283" s="3" t="s">
        <v>61</v>
      </c>
      <c r="O283" s="3" t="s">
        <v>62</v>
      </c>
    </row>
    <row r="284" customFormat="false" ht="15" hidden="false" customHeight="false" outlineLevel="0" collapsed="false">
      <c r="A284" s="14" t="s">
        <v>2565</v>
      </c>
      <c r="B284" s="14" t="s">
        <v>2927</v>
      </c>
      <c r="C284" s="14" t="s">
        <v>145</v>
      </c>
      <c r="D284" s="14" t="s">
        <v>916</v>
      </c>
      <c r="E284" s="14" t="s">
        <v>56</v>
      </c>
      <c r="F284" s="15" t="n">
        <v>425000</v>
      </c>
      <c r="G284" s="16" t="n">
        <v>0.75</v>
      </c>
      <c r="H284" s="16" t="n">
        <v>0.96</v>
      </c>
      <c r="I284" s="16" t="n">
        <v>0.8792</v>
      </c>
      <c r="J284" s="16" t="n">
        <v>0.53</v>
      </c>
      <c r="K284" s="15" t="n">
        <f aca="false">ROUND(F284/100*G284*H284*I284/J284,2)</f>
        <v>5076.14</v>
      </c>
      <c r="L284" s="15" t="n">
        <v>5076.13</v>
      </c>
      <c r="M284" s="15" t="n">
        <f aca="false">L284-K284</f>
        <v>-0.0100000000002183</v>
      </c>
      <c r="N284" s="14" t="s">
        <v>61</v>
      </c>
      <c r="O284" s="14" t="s">
        <v>62</v>
      </c>
    </row>
    <row r="285" customFormat="false" ht="15" hidden="false" customHeight="false" outlineLevel="0" collapsed="false">
      <c r="A285" s="3" t="s">
        <v>2604</v>
      </c>
      <c r="B285" s="3" t="s">
        <v>2928</v>
      </c>
      <c r="C285" s="3" t="s">
        <v>114</v>
      </c>
      <c r="D285" s="3" t="s">
        <v>2929</v>
      </c>
      <c r="E285" s="3" t="s">
        <v>56</v>
      </c>
      <c r="F285" s="12" t="n">
        <v>995000</v>
      </c>
      <c r="G285" s="13" t="n">
        <v>0.65</v>
      </c>
      <c r="H285" s="13" t="n">
        <v>1.36</v>
      </c>
      <c r="I285" s="13" t="n">
        <v>0.8792</v>
      </c>
      <c r="J285" s="13" t="n">
        <v>0.53</v>
      </c>
      <c r="K285" s="12" t="n">
        <f aca="false">ROUND(F285/100*G285*H285*I285/J285,2)</f>
        <v>14591.07</v>
      </c>
      <c r="L285" s="12" t="n">
        <v>14591.07</v>
      </c>
      <c r="M285" s="12" t="n">
        <f aca="false">L285-K285</f>
        <v>0</v>
      </c>
      <c r="N285" s="3" t="s">
        <v>61</v>
      </c>
      <c r="O285" s="3" t="s">
        <v>62</v>
      </c>
    </row>
    <row r="286" customFormat="false" ht="15" hidden="false" customHeight="false" outlineLevel="0" collapsed="false">
      <c r="A286" s="14" t="s">
        <v>2633</v>
      </c>
      <c r="B286" s="14" t="s">
        <v>2930</v>
      </c>
      <c r="C286" s="14" t="s">
        <v>108</v>
      </c>
      <c r="D286" s="14" t="s">
        <v>2931</v>
      </c>
      <c r="E286" s="14" t="s">
        <v>157</v>
      </c>
      <c r="F286" s="15" t="n">
        <v>385000</v>
      </c>
      <c r="G286" s="16" t="n">
        <v>0.88</v>
      </c>
      <c r="H286" s="16" t="n">
        <v>0.93</v>
      </c>
      <c r="I286" s="16" t="n">
        <v>0.8792</v>
      </c>
      <c r="J286" s="16" t="n">
        <v>0.53</v>
      </c>
      <c r="K286" s="15" t="n">
        <f aca="false">ROUND(F286/100*G286*H286*I286/J286,2)</f>
        <v>5226.83</v>
      </c>
      <c r="L286" s="15" t="n">
        <v>5226.83</v>
      </c>
      <c r="M286" s="15" t="n">
        <f aca="false">L286-K286</f>
        <v>0</v>
      </c>
      <c r="N286" s="14" t="s">
        <v>61</v>
      </c>
      <c r="O286" s="14" t="s">
        <v>62</v>
      </c>
    </row>
    <row r="287" customFormat="false" ht="15" hidden="false" customHeight="false" outlineLevel="0" collapsed="false">
      <c r="A287" s="3" t="s">
        <v>2642</v>
      </c>
      <c r="B287" s="3" t="s">
        <v>2932</v>
      </c>
      <c r="C287" s="3" t="s">
        <v>174</v>
      </c>
      <c r="D287" s="3" t="s">
        <v>1154</v>
      </c>
      <c r="E287" s="3" t="s">
        <v>50</v>
      </c>
      <c r="F287" s="12" t="n">
        <v>1190000</v>
      </c>
      <c r="G287" s="13" t="n">
        <v>0.8</v>
      </c>
      <c r="H287" s="13" t="n">
        <v>1.55</v>
      </c>
      <c r="I287" s="13" t="n">
        <v>0.8792</v>
      </c>
      <c r="J287" s="13" t="n">
        <v>0.53</v>
      </c>
      <c r="K287" s="12" t="n">
        <f aca="false">ROUND(F287/100*G287*H287*I287/J287,2)</f>
        <v>24478.26</v>
      </c>
      <c r="L287" s="12" t="n">
        <v>24478.26</v>
      </c>
      <c r="M287" s="12" t="n">
        <f aca="false">L287-K287</f>
        <v>0</v>
      </c>
      <c r="N287" s="3" t="s">
        <v>61</v>
      </c>
      <c r="O287" s="3" t="s">
        <v>62</v>
      </c>
    </row>
    <row r="289" customFormat="false" ht="15" hidden="false" customHeight="false" outlineLevel="0" collapsed="false">
      <c r="A289" s="10" t="s">
        <v>551</v>
      </c>
      <c r="C289" s="17" t="n">
        <f aca="false">COUNTA(B5:B287)</f>
        <v>283</v>
      </c>
    </row>
    <row r="290" customFormat="false" ht="15" hidden="false" customHeight="false" outlineLevel="0" collapsed="false">
      <c r="A290" s="10" t="s">
        <v>552</v>
      </c>
      <c r="C290" s="17" t="n">
        <f aca="false">COUNTIF(O5:O287,"bound")</f>
        <v>217</v>
      </c>
    </row>
    <row r="291" customFormat="false" ht="15" hidden="false" customHeight="false" outlineLevel="0" collapsed="false">
      <c r="A291" s="10" t="s">
        <v>553</v>
      </c>
      <c r="C291" s="18" t="n">
        <f aca="false">AVERAGE(L5:L287)</f>
        <v>9930.60296819788</v>
      </c>
    </row>
    <row r="292" customFormat="false" ht="15" hidden="false" customHeight="false" outlineLevel="0" collapsed="false">
      <c r="A292" s="10" t="s">
        <v>554</v>
      </c>
      <c r="C292" s="18" t="n">
        <f aca="false">AVERAGEIF(O5:O287,"bound",L5:L287)</f>
        <v>9916.86115207373</v>
      </c>
    </row>
    <row r="293" customFormat="false" ht="15" hidden="false" customHeight="false" outlineLevel="0" collapsed="false">
      <c r="A293" s="10" t="s">
        <v>555</v>
      </c>
      <c r="C293" s="18" t="n">
        <f aca="false">SUMIF(O5:O287,"bound",L5:L287)</f>
        <v>2151958.87</v>
      </c>
    </row>
    <row r="294" customFormat="false" ht="15" hidden="false" customHeight="false" outlineLevel="0" collapsed="false">
      <c r="A294" s="10" t="s">
        <v>556</v>
      </c>
      <c r="C294" s="19" t="n">
        <v>0.8792</v>
      </c>
    </row>
  </sheetData>
  <autoFilter ref="A4:O2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2933</v>
      </c>
    </row>
    <row r="2" customFormat="false" ht="15" hidden="false" customHeight="false" outlineLevel="0" collapsed="false">
      <c r="A2" s="4" t="s">
        <v>2934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2935</v>
      </c>
      <c r="B5" s="3" t="s">
        <v>2936</v>
      </c>
      <c r="C5" s="3" t="s">
        <v>210</v>
      </c>
      <c r="D5" s="3" t="s">
        <v>970</v>
      </c>
      <c r="E5" s="3" t="s">
        <v>56</v>
      </c>
      <c r="F5" s="12" t="n">
        <v>480000</v>
      </c>
      <c r="G5" s="13" t="n">
        <v>0.75</v>
      </c>
      <c r="H5" s="13" t="n">
        <v>1.21</v>
      </c>
      <c r="I5" s="13" t="n">
        <v>0.8467</v>
      </c>
      <c r="J5" s="13" t="n">
        <v>0.53</v>
      </c>
      <c r="K5" s="12" t="n">
        <f aca="false">ROUND(F5/100*G5*H5*I5/J5,2)</f>
        <v>6958.92</v>
      </c>
      <c r="L5" s="12" t="n">
        <v>6958.92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2935</v>
      </c>
      <c r="B6" s="14" t="s">
        <v>2937</v>
      </c>
      <c r="C6" s="14" t="s">
        <v>305</v>
      </c>
      <c r="D6" s="14" t="s">
        <v>2072</v>
      </c>
      <c r="E6" s="14" t="s">
        <v>56</v>
      </c>
      <c r="F6" s="15" t="n">
        <v>710000</v>
      </c>
      <c r="G6" s="16" t="n">
        <v>0.65</v>
      </c>
      <c r="H6" s="16" t="n">
        <v>1.12</v>
      </c>
      <c r="I6" s="16" t="n">
        <v>0.8467</v>
      </c>
      <c r="J6" s="16" t="n">
        <v>0.53</v>
      </c>
      <c r="K6" s="15" t="n">
        <f aca="false">ROUND(F6/100*G6*H6*I6/J6,2)</f>
        <v>8257.4</v>
      </c>
      <c r="L6" s="15" t="n">
        <v>8257.4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2938</v>
      </c>
      <c r="B7" s="3" t="s">
        <v>2939</v>
      </c>
      <c r="C7" s="3" t="s">
        <v>77</v>
      </c>
      <c r="D7" s="3" t="s">
        <v>927</v>
      </c>
      <c r="E7" s="3" t="s">
        <v>74</v>
      </c>
      <c r="F7" s="12" t="n">
        <v>530000</v>
      </c>
      <c r="G7" s="13" t="n">
        <v>0.43</v>
      </c>
      <c r="H7" s="13" t="n">
        <v>1.42</v>
      </c>
      <c r="I7" s="13" t="n">
        <v>0.8467</v>
      </c>
      <c r="J7" s="13" t="n">
        <v>0.53</v>
      </c>
      <c r="K7" s="12" t="n">
        <f aca="false">ROUND(F7/100*G7*H7*I7/J7,2)</f>
        <v>5169.95</v>
      </c>
      <c r="L7" s="12" t="n">
        <v>5169.95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2940</v>
      </c>
      <c r="B8" s="14" t="s">
        <v>2941</v>
      </c>
      <c r="C8" s="14" t="s">
        <v>159</v>
      </c>
      <c r="D8" s="14" t="s">
        <v>1722</v>
      </c>
      <c r="E8" s="14" t="s">
        <v>56</v>
      </c>
      <c r="F8" s="15" t="n">
        <v>420000</v>
      </c>
      <c r="G8" s="16" t="n">
        <v>0.75</v>
      </c>
      <c r="H8" s="16" t="n">
        <v>1.15</v>
      </c>
      <c r="I8" s="16" t="n">
        <v>0.8467</v>
      </c>
      <c r="J8" s="16" t="n">
        <v>0.53</v>
      </c>
      <c r="K8" s="15" t="n">
        <f aca="false">ROUND(F8/100*G8*H8*I8/J8,2)</f>
        <v>5787.11</v>
      </c>
      <c r="L8" s="15" t="n">
        <v>5787.12</v>
      </c>
      <c r="M8" s="15" t="n">
        <f aca="false">L8-K8</f>
        <v>0.0100000000002183</v>
      </c>
      <c r="N8" s="14" t="s">
        <v>70</v>
      </c>
      <c r="O8" s="14" t="s">
        <v>52</v>
      </c>
    </row>
    <row r="9" customFormat="false" ht="15" hidden="false" customHeight="false" outlineLevel="0" collapsed="false">
      <c r="A9" s="3" t="s">
        <v>2942</v>
      </c>
      <c r="B9" s="3" t="s">
        <v>2943</v>
      </c>
      <c r="C9" s="3" t="s">
        <v>224</v>
      </c>
      <c r="D9" s="3" t="s">
        <v>2944</v>
      </c>
      <c r="E9" s="3" t="s">
        <v>133</v>
      </c>
      <c r="F9" s="12" t="n">
        <v>1450000</v>
      </c>
      <c r="G9" s="13" t="n">
        <v>0.34</v>
      </c>
      <c r="H9" s="13" t="n">
        <v>1.1</v>
      </c>
      <c r="I9" s="13" t="n">
        <v>0.8467</v>
      </c>
      <c r="J9" s="13" t="n">
        <v>0.53</v>
      </c>
      <c r="K9" s="12" t="n">
        <f aca="false">ROUND(F9/100*G9*H9*I9/J9,2)</f>
        <v>8663.5</v>
      </c>
      <c r="L9" s="12" t="n">
        <v>8663.5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2940</v>
      </c>
      <c r="B10" s="14" t="s">
        <v>2945</v>
      </c>
      <c r="C10" s="14" t="s">
        <v>152</v>
      </c>
      <c r="D10" s="14" t="s">
        <v>2946</v>
      </c>
      <c r="E10" s="14" t="s">
        <v>74</v>
      </c>
      <c r="F10" s="15" t="n">
        <v>975000</v>
      </c>
      <c r="G10" s="16" t="n">
        <v>0.43</v>
      </c>
      <c r="H10" s="16" t="n">
        <v>1</v>
      </c>
      <c r="I10" s="16" t="n">
        <v>0.8467</v>
      </c>
      <c r="J10" s="16" t="n">
        <v>0.53</v>
      </c>
      <c r="K10" s="15" t="n">
        <f aca="false">ROUND(F10/100*G10*H10*I10/J10,2)</f>
        <v>6697.72</v>
      </c>
      <c r="L10" s="15" t="n">
        <v>6697.72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2947</v>
      </c>
      <c r="B11" s="3" t="s">
        <v>2948</v>
      </c>
      <c r="C11" s="3" t="s">
        <v>68</v>
      </c>
      <c r="D11" s="3" t="s">
        <v>2949</v>
      </c>
      <c r="E11" s="3" t="s">
        <v>74</v>
      </c>
      <c r="F11" s="12" t="n">
        <v>670000</v>
      </c>
      <c r="G11" s="13" t="n">
        <v>0.43</v>
      </c>
      <c r="H11" s="13" t="n">
        <v>1.38</v>
      </c>
      <c r="I11" s="13" t="n">
        <v>0.8467</v>
      </c>
      <c r="J11" s="13" t="n">
        <v>0.53</v>
      </c>
      <c r="K11" s="12" t="n">
        <f aca="false">ROUND(F11/100*G11*H11*I11/J11,2)</f>
        <v>6351.5</v>
      </c>
      <c r="L11" s="12" t="n">
        <v>6351.49</v>
      </c>
      <c r="M11" s="12" t="n">
        <f aca="false">L11-K11</f>
        <v>-0.0100000000002183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2950</v>
      </c>
      <c r="B12" s="14" t="s">
        <v>2951</v>
      </c>
      <c r="C12" s="14" t="s">
        <v>89</v>
      </c>
      <c r="D12" s="14" t="s">
        <v>383</v>
      </c>
      <c r="E12" s="14" t="s">
        <v>50</v>
      </c>
      <c r="F12" s="15" t="n">
        <v>825000</v>
      </c>
      <c r="G12" s="16" t="n">
        <v>0.95</v>
      </c>
      <c r="H12" s="16" t="n">
        <v>1.35</v>
      </c>
      <c r="I12" s="16" t="n">
        <v>0.8467</v>
      </c>
      <c r="J12" s="16" t="n">
        <v>0.53</v>
      </c>
      <c r="K12" s="15" t="n">
        <f aca="false">ROUND(F12/100*G12*H12*I12/J12,2)</f>
        <v>16903.05</v>
      </c>
      <c r="L12" s="15" t="n">
        <v>16903.04</v>
      </c>
      <c r="M12" s="15" t="n">
        <f aca="false">L12-K12</f>
        <v>-0.00999999999839929</v>
      </c>
      <c r="N12" s="14" t="s">
        <v>61</v>
      </c>
      <c r="O12" s="14" t="s">
        <v>62</v>
      </c>
    </row>
    <row r="13" customFormat="false" ht="15" hidden="false" customHeight="false" outlineLevel="0" collapsed="false">
      <c r="A13" s="3" t="s">
        <v>2952</v>
      </c>
      <c r="B13" s="3" t="s">
        <v>2953</v>
      </c>
      <c r="C13" s="3" t="s">
        <v>887</v>
      </c>
      <c r="D13" s="3" t="s">
        <v>2954</v>
      </c>
      <c r="E13" s="3" t="s">
        <v>50</v>
      </c>
      <c r="F13" s="12" t="n">
        <v>825000</v>
      </c>
      <c r="G13" s="13" t="n">
        <v>0.95</v>
      </c>
      <c r="H13" s="13" t="n">
        <v>1.37</v>
      </c>
      <c r="I13" s="13" t="n">
        <v>0.8467</v>
      </c>
      <c r="J13" s="13" t="n">
        <v>0.53</v>
      </c>
      <c r="K13" s="12" t="n">
        <f aca="false">ROUND(F13/100*G13*H13*I13/J13,2)</f>
        <v>17153.46</v>
      </c>
      <c r="L13" s="12" t="n">
        <v>17153.46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2955</v>
      </c>
      <c r="B14" s="14" t="s">
        <v>2956</v>
      </c>
      <c r="C14" s="14" t="s">
        <v>48</v>
      </c>
      <c r="D14" s="14" t="s">
        <v>2427</v>
      </c>
      <c r="E14" s="14" t="s">
        <v>74</v>
      </c>
      <c r="F14" s="15" t="n">
        <v>255000</v>
      </c>
      <c r="G14" s="16" t="n">
        <v>0.48</v>
      </c>
      <c r="H14" s="16" t="n">
        <v>1.28</v>
      </c>
      <c r="I14" s="16" t="n">
        <v>0.8467</v>
      </c>
      <c r="J14" s="16" t="n">
        <v>0.53</v>
      </c>
      <c r="K14" s="15" t="n">
        <f aca="false">ROUND(F14/100*G14*H14*I14/J14,2)</f>
        <v>2502.91</v>
      </c>
      <c r="L14" s="15" t="n">
        <v>2502.91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2957</v>
      </c>
      <c r="B15" s="3" t="s">
        <v>2958</v>
      </c>
      <c r="C15" s="3" t="s">
        <v>89</v>
      </c>
      <c r="D15" s="3" t="s">
        <v>859</v>
      </c>
      <c r="E15" s="3" t="s">
        <v>56</v>
      </c>
      <c r="F15" s="12" t="n">
        <v>1490000</v>
      </c>
      <c r="G15" s="13" t="n">
        <v>0.55</v>
      </c>
      <c r="H15" s="13" t="n">
        <v>1.35</v>
      </c>
      <c r="I15" s="13" t="n">
        <v>0.8467</v>
      </c>
      <c r="J15" s="13" t="n">
        <v>0.53</v>
      </c>
      <c r="K15" s="12" t="n">
        <f aca="false">ROUND(F15/100*G15*H15*I15/J15,2)</f>
        <v>17674.06</v>
      </c>
      <c r="L15" s="12" t="n">
        <v>17674.07</v>
      </c>
      <c r="M15" s="12" t="n">
        <f aca="false">L15-K15</f>
        <v>0.00999999999839929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2959</v>
      </c>
      <c r="B16" s="14" t="s">
        <v>2960</v>
      </c>
      <c r="C16" s="14" t="s">
        <v>326</v>
      </c>
      <c r="D16" s="14" t="s">
        <v>1454</v>
      </c>
      <c r="E16" s="14" t="s">
        <v>56</v>
      </c>
      <c r="F16" s="15" t="n">
        <v>475000</v>
      </c>
      <c r="G16" s="16" t="n">
        <v>0.75</v>
      </c>
      <c r="H16" s="16" t="n">
        <v>1.12</v>
      </c>
      <c r="I16" s="16" t="n">
        <v>0.8467</v>
      </c>
      <c r="J16" s="16" t="n">
        <v>0.53</v>
      </c>
      <c r="K16" s="15" t="n">
        <f aca="false">ROUND(F16/100*G16*H16*I16/J16,2)</f>
        <v>6374.21</v>
      </c>
      <c r="L16" s="15" t="n">
        <v>6374.21</v>
      </c>
      <c r="M16" s="15" t="n">
        <f aca="false">L16-K16</f>
        <v>0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2961</v>
      </c>
      <c r="B17" s="3" t="s">
        <v>2962</v>
      </c>
      <c r="C17" s="3" t="s">
        <v>224</v>
      </c>
      <c r="D17" s="3" t="s">
        <v>2963</v>
      </c>
      <c r="E17" s="3" t="s">
        <v>50</v>
      </c>
      <c r="F17" s="12" t="n">
        <v>295000</v>
      </c>
      <c r="G17" s="13" t="n">
        <v>1.15</v>
      </c>
      <c r="H17" s="13" t="n">
        <v>1.1</v>
      </c>
      <c r="I17" s="13" t="n">
        <v>0.8467</v>
      </c>
      <c r="J17" s="13" t="n">
        <v>0.53</v>
      </c>
      <c r="K17" s="12" t="n">
        <f aca="false">ROUND(F17/100*G17*H17*I17/J17,2)</f>
        <v>5961.65</v>
      </c>
      <c r="L17" s="12" t="n">
        <v>5961.65</v>
      </c>
      <c r="M17" s="12" t="n">
        <f aca="false">L17-K17</f>
        <v>0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2952</v>
      </c>
      <c r="B18" s="14" t="s">
        <v>2964</v>
      </c>
      <c r="C18" s="14" t="s">
        <v>237</v>
      </c>
      <c r="D18" s="14" t="s">
        <v>2427</v>
      </c>
      <c r="E18" s="14" t="s">
        <v>74</v>
      </c>
      <c r="F18" s="15" t="n">
        <v>595000</v>
      </c>
      <c r="G18" s="16" t="n">
        <v>0.43</v>
      </c>
      <c r="H18" s="16" t="n">
        <v>1.33</v>
      </c>
      <c r="I18" s="16" t="n">
        <v>0.8467</v>
      </c>
      <c r="J18" s="16" t="n">
        <v>0.53</v>
      </c>
      <c r="K18" s="15" t="n">
        <f aca="false">ROUND(F18/100*G18*H18*I18/J18,2)</f>
        <v>5436.14</v>
      </c>
      <c r="L18" s="15" t="n">
        <v>5436.14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2965</v>
      </c>
      <c r="B19" s="3" t="s">
        <v>2966</v>
      </c>
      <c r="C19" s="3" t="s">
        <v>145</v>
      </c>
      <c r="D19" s="3" t="s">
        <v>730</v>
      </c>
      <c r="E19" s="3" t="s">
        <v>56</v>
      </c>
      <c r="F19" s="12" t="n">
        <v>615000</v>
      </c>
      <c r="G19" s="13" t="n">
        <v>0.65</v>
      </c>
      <c r="H19" s="13" t="n">
        <v>0.96</v>
      </c>
      <c r="I19" s="13" t="n">
        <v>0.8467</v>
      </c>
      <c r="J19" s="13" t="n">
        <v>0.53</v>
      </c>
      <c r="K19" s="12" t="n">
        <f aca="false">ROUND(F19/100*G19*H19*I19/J19,2)</f>
        <v>6130.75</v>
      </c>
      <c r="L19" s="12" t="n">
        <v>6130.74</v>
      </c>
      <c r="M19" s="12" t="n">
        <f aca="false">L19-K19</f>
        <v>-0.0100000000002183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2967</v>
      </c>
      <c r="B20" s="14" t="s">
        <v>2968</v>
      </c>
      <c r="C20" s="14" t="s">
        <v>120</v>
      </c>
      <c r="D20" s="14" t="s">
        <v>1081</v>
      </c>
      <c r="E20" s="14" t="s">
        <v>50</v>
      </c>
      <c r="F20" s="15" t="n">
        <v>810000</v>
      </c>
      <c r="G20" s="16" t="n">
        <v>0.95</v>
      </c>
      <c r="H20" s="16" t="n">
        <v>1.15</v>
      </c>
      <c r="I20" s="16" t="n">
        <v>0.8467</v>
      </c>
      <c r="J20" s="16" t="n">
        <v>0.53</v>
      </c>
      <c r="K20" s="15" t="n">
        <f aca="false">ROUND(F20/100*G20*H20*I20/J20,2)</f>
        <v>14137.09</v>
      </c>
      <c r="L20" s="15" t="n">
        <v>14137.1</v>
      </c>
      <c r="M20" s="15" t="n">
        <f aca="false">L20-K20</f>
        <v>0.0100000000002183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2969</v>
      </c>
      <c r="B21" s="3" t="s">
        <v>2970</v>
      </c>
      <c r="C21" s="3" t="s">
        <v>85</v>
      </c>
      <c r="D21" s="3" t="s">
        <v>2971</v>
      </c>
      <c r="E21" s="3" t="s">
        <v>50</v>
      </c>
      <c r="F21" s="12" t="n">
        <v>795000</v>
      </c>
      <c r="G21" s="13" t="n">
        <v>0.95</v>
      </c>
      <c r="H21" s="13" t="n">
        <v>1.28</v>
      </c>
      <c r="I21" s="13" t="n">
        <v>0.8467</v>
      </c>
      <c r="J21" s="13" t="n">
        <v>0.53</v>
      </c>
      <c r="K21" s="12" t="n">
        <f aca="false">ROUND(F21/100*G21*H21*I21/J21,2)</f>
        <v>15443.81</v>
      </c>
      <c r="L21" s="12" t="n">
        <v>15443.81</v>
      </c>
      <c r="M21" s="12" t="n">
        <f aca="false">L21-K21</f>
        <v>0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2972</v>
      </c>
      <c r="B22" s="14" t="s">
        <v>2973</v>
      </c>
      <c r="C22" s="14" t="s">
        <v>326</v>
      </c>
      <c r="D22" s="14" t="s">
        <v>1637</v>
      </c>
      <c r="E22" s="14" t="s">
        <v>56</v>
      </c>
      <c r="F22" s="15" t="n">
        <v>1125000</v>
      </c>
      <c r="G22" s="16" t="n">
        <v>0.55</v>
      </c>
      <c r="H22" s="16" t="n">
        <v>1.12</v>
      </c>
      <c r="I22" s="16" t="n">
        <v>0.8467</v>
      </c>
      <c r="J22" s="16" t="n">
        <v>0.53</v>
      </c>
      <c r="K22" s="15" t="n">
        <f aca="false">ROUND(F22/100*G22*H22*I22/J22,2)</f>
        <v>11071</v>
      </c>
      <c r="L22" s="15" t="n">
        <v>11071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2974</v>
      </c>
      <c r="B23" s="3" t="s">
        <v>2975</v>
      </c>
      <c r="C23" s="3" t="s">
        <v>311</v>
      </c>
      <c r="D23" s="3" t="s">
        <v>550</v>
      </c>
      <c r="E23" s="3" t="s">
        <v>56</v>
      </c>
      <c r="F23" s="12" t="n">
        <v>425000</v>
      </c>
      <c r="G23" s="13" t="n">
        <v>0.75</v>
      </c>
      <c r="H23" s="13" t="n">
        <v>1.06</v>
      </c>
      <c r="I23" s="13" t="n">
        <v>0.8467</v>
      </c>
      <c r="J23" s="13" t="n">
        <v>0.53</v>
      </c>
      <c r="K23" s="12" t="n">
        <f aca="false">ROUND(F23/100*G23*H23*I23/J23,2)</f>
        <v>5397.71</v>
      </c>
      <c r="L23" s="12" t="n">
        <v>5397.71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2976</v>
      </c>
      <c r="B24" s="14" t="s">
        <v>2977</v>
      </c>
      <c r="C24" s="14" t="s">
        <v>326</v>
      </c>
      <c r="D24" s="14" t="s">
        <v>1747</v>
      </c>
      <c r="E24" s="14" t="s">
        <v>74</v>
      </c>
      <c r="F24" s="15" t="n">
        <v>875000</v>
      </c>
      <c r="G24" s="16" t="n">
        <v>0.43</v>
      </c>
      <c r="H24" s="16" t="n">
        <v>1.12</v>
      </c>
      <c r="I24" s="16" t="n">
        <v>0.8467</v>
      </c>
      <c r="J24" s="16" t="n">
        <v>0.53</v>
      </c>
      <c r="K24" s="15" t="n">
        <f aca="false">ROUND(F24/100*G24*H24*I24/J24,2)</f>
        <v>6732.06</v>
      </c>
      <c r="L24" s="15" t="n">
        <v>6732.06</v>
      </c>
      <c r="M24" s="15" t="n">
        <f aca="false">L24-K24</f>
        <v>0</v>
      </c>
      <c r="N24" s="14" t="s">
        <v>51</v>
      </c>
      <c r="O24" s="14" t="s">
        <v>52</v>
      </c>
    </row>
    <row r="25" customFormat="false" ht="15" hidden="false" customHeight="false" outlineLevel="0" collapsed="false">
      <c r="A25" s="3" t="s">
        <v>2935</v>
      </c>
      <c r="B25" s="3" t="s">
        <v>2978</v>
      </c>
      <c r="C25" s="3" t="s">
        <v>237</v>
      </c>
      <c r="D25" s="3" t="s">
        <v>1085</v>
      </c>
      <c r="E25" s="3" t="s">
        <v>56</v>
      </c>
      <c r="F25" s="12" t="n">
        <v>1005000</v>
      </c>
      <c r="G25" s="13" t="n">
        <v>0.55</v>
      </c>
      <c r="H25" s="13" t="n">
        <v>1.33</v>
      </c>
      <c r="I25" s="13" t="n">
        <v>0.8467</v>
      </c>
      <c r="J25" s="13" t="n">
        <v>0.53</v>
      </c>
      <c r="K25" s="12" t="n">
        <f aca="false">ROUND(F25/100*G25*H25*I25/J25,2)</f>
        <v>11744.49</v>
      </c>
      <c r="L25" s="12" t="n">
        <v>11744.49</v>
      </c>
      <c r="M25" s="12" t="n">
        <f aca="false">L25-K25</f>
        <v>0</v>
      </c>
      <c r="N25" s="3" t="s">
        <v>51</v>
      </c>
      <c r="O25" s="3" t="s">
        <v>52</v>
      </c>
    </row>
    <row r="26" customFormat="false" ht="15" hidden="false" customHeight="false" outlineLevel="0" collapsed="false">
      <c r="A26" s="14" t="s">
        <v>2955</v>
      </c>
      <c r="B26" s="14" t="s">
        <v>2979</v>
      </c>
      <c r="C26" s="14" t="s">
        <v>224</v>
      </c>
      <c r="D26" s="14" t="s">
        <v>488</v>
      </c>
      <c r="E26" s="14" t="s">
        <v>56</v>
      </c>
      <c r="F26" s="15" t="n">
        <v>820000</v>
      </c>
      <c r="G26" s="16" t="n">
        <v>0.65</v>
      </c>
      <c r="H26" s="16" t="n">
        <v>1.1</v>
      </c>
      <c r="I26" s="16" t="n">
        <v>0.8467</v>
      </c>
      <c r="J26" s="16" t="n">
        <v>0.53</v>
      </c>
      <c r="K26" s="15" t="n">
        <f aca="false">ROUND(F26/100*G26*H26*I26/J26,2)</f>
        <v>9366.42</v>
      </c>
      <c r="L26" s="15" t="n">
        <v>9366.42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2938</v>
      </c>
      <c r="B27" s="3" t="s">
        <v>2980</v>
      </c>
      <c r="C27" s="3" t="s">
        <v>266</v>
      </c>
      <c r="D27" s="3" t="s">
        <v>258</v>
      </c>
      <c r="E27" s="3" t="s">
        <v>56</v>
      </c>
      <c r="F27" s="12" t="n">
        <v>450000</v>
      </c>
      <c r="G27" s="13" t="n">
        <v>0.75</v>
      </c>
      <c r="H27" s="13" t="n">
        <v>1.1</v>
      </c>
      <c r="I27" s="13" t="n">
        <v>0.8467</v>
      </c>
      <c r="J27" s="13" t="n">
        <v>0.53</v>
      </c>
      <c r="K27" s="12" t="n">
        <f aca="false">ROUND(F27/100*G27*H27*I27/J27,2)</f>
        <v>5930.89</v>
      </c>
      <c r="L27" s="12" t="n">
        <v>5930.9</v>
      </c>
      <c r="M27" s="12" t="n">
        <f aca="false">L27-K27</f>
        <v>0.00999999999930878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2974</v>
      </c>
      <c r="B28" s="14" t="s">
        <v>2981</v>
      </c>
      <c r="C28" s="14" t="s">
        <v>193</v>
      </c>
      <c r="D28" s="14" t="s">
        <v>1184</v>
      </c>
      <c r="E28" s="14" t="s">
        <v>50</v>
      </c>
      <c r="F28" s="15" t="n">
        <v>1720000</v>
      </c>
      <c r="G28" s="16" t="n">
        <v>0.8</v>
      </c>
      <c r="H28" s="16" t="n">
        <v>1.25</v>
      </c>
      <c r="I28" s="16" t="n">
        <v>0.8467</v>
      </c>
      <c r="J28" s="16" t="n">
        <v>0.53</v>
      </c>
      <c r="K28" s="15" t="n">
        <f aca="false">ROUND(F28/100*G28*H28*I28/J28,2)</f>
        <v>27477.81</v>
      </c>
      <c r="L28" s="15" t="n">
        <v>27477.81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2952</v>
      </c>
      <c r="B29" s="3" t="s">
        <v>2982</v>
      </c>
      <c r="C29" s="3" t="s">
        <v>152</v>
      </c>
      <c r="D29" s="3" t="s">
        <v>509</v>
      </c>
      <c r="E29" s="3" t="s">
        <v>74</v>
      </c>
      <c r="F29" s="12" t="n">
        <v>1095000</v>
      </c>
      <c r="G29" s="13" t="n">
        <v>0.38</v>
      </c>
      <c r="H29" s="13" t="n">
        <v>1</v>
      </c>
      <c r="I29" s="13" t="n">
        <v>0.8467</v>
      </c>
      <c r="J29" s="13" t="n">
        <v>0.53</v>
      </c>
      <c r="K29" s="12" t="n">
        <f aca="false">ROUND(F29/100*G29*H29*I29/J29,2)</f>
        <v>6647.39</v>
      </c>
      <c r="L29" s="12" t="n">
        <v>6647.39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2959</v>
      </c>
      <c r="B30" s="14" t="s">
        <v>2983</v>
      </c>
      <c r="C30" s="14" t="s">
        <v>85</v>
      </c>
      <c r="D30" s="14" t="s">
        <v>2984</v>
      </c>
      <c r="E30" s="14" t="s">
        <v>74</v>
      </c>
      <c r="F30" s="15" t="n">
        <v>1780000</v>
      </c>
      <c r="G30" s="16" t="n">
        <v>0.38</v>
      </c>
      <c r="H30" s="16" t="n">
        <v>1.28</v>
      </c>
      <c r="I30" s="16" t="n">
        <v>0.8467</v>
      </c>
      <c r="J30" s="16" t="n">
        <v>0.53</v>
      </c>
      <c r="K30" s="15" t="n">
        <f aca="false">ROUND(F30/100*G30*H30*I30/J30,2)</f>
        <v>13831.44</v>
      </c>
      <c r="L30" s="15" t="n">
        <v>13831.44</v>
      </c>
      <c r="M30" s="15" t="n">
        <f aca="false">L30-K30</f>
        <v>0</v>
      </c>
      <c r="N30" s="14" t="s">
        <v>51</v>
      </c>
      <c r="O30" s="14" t="s">
        <v>52</v>
      </c>
    </row>
    <row r="31" customFormat="false" ht="15" hidden="false" customHeight="false" outlineLevel="0" collapsed="false">
      <c r="A31" s="3" t="s">
        <v>2985</v>
      </c>
      <c r="B31" s="3" t="s">
        <v>2986</v>
      </c>
      <c r="C31" s="3" t="s">
        <v>237</v>
      </c>
      <c r="D31" s="3" t="s">
        <v>2987</v>
      </c>
      <c r="E31" s="3" t="s">
        <v>50</v>
      </c>
      <c r="F31" s="12" t="n">
        <v>635000</v>
      </c>
      <c r="G31" s="13" t="n">
        <v>0.95</v>
      </c>
      <c r="H31" s="13" t="n">
        <v>1.33</v>
      </c>
      <c r="I31" s="13" t="n">
        <v>0.8467</v>
      </c>
      <c r="J31" s="13" t="n">
        <v>0.53</v>
      </c>
      <c r="K31" s="12" t="n">
        <f aca="false">ROUND(F31/100*G31*H31*I31/J31,2)</f>
        <v>12817.48</v>
      </c>
      <c r="L31" s="12" t="n">
        <v>12817.48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2988</v>
      </c>
      <c r="B32" s="14" t="s">
        <v>2989</v>
      </c>
      <c r="C32" s="14" t="s">
        <v>77</v>
      </c>
      <c r="D32" s="14" t="s">
        <v>659</v>
      </c>
      <c r="E32" s="14" t="s">
        <v>56</v>
      </c>
      <c r="F32" s="15" t="n">
        <v>610000</v>
      </c>
      <c r="G32" s="16" t="n">
        <v>0.65</v>
      </c>
      <c r="H32" s="16" t="n">
        <v>1.42</v>
      </c>
      <c r="I32" s="16" t="n">
        <v>0.8467</v>
      </c>
      <c r="J32" s="16" t="n">
        <v>0.53</v>
      </c>
      <c r="K32" s="15" t="n">
        <f aca="false">ROUND(F32/100*G32*H32*I32/J32,2)</f>
        <v>8994.67</v>
      </c>
      <c r="L32" s="15" t="n">
        <v>8994.67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2947</v>
      </c>
      <c r="B33" s="3" t="s">
        <v>2990</v>
      </c>
      <c r="C33" s="3" t="s">
        <v>462</v>
      </c>
      <c r="D33" s="3" t="s">
        <v>763</v>
      </c>
      <c r="E33" s="3" t="s">
        <v>56</v>
      </c>
      <c r="F33" s="12" t="n">
        <v>445000</v>
      </c>
      <c r="G33" s="13" t="n">
        <v>0.75</v>
      </c>
      <c r="H33" s="13" t="n">
        <v>1.34</v>
      </c>
      <c r="I33" s="13" t="n">
        <v>0.8467</v>
      </c>
      <c r="J33" s="13" t="n">
        <v>0.53</v>
      </c>
      <c r="K33" s="12" t="n">
        <f aca="false">ROUND(F33/100*G33*H33*I33/J33,2)</f>
        <v>7144.63</v>
      </c>
      <c r="L33" s="12" t="n">
        <v>7144.63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2942</v>
      </c>
      <c r="B34" s="14" t="s">
        <v>2991</v>
      </c>
      <c r="C34" s="14" t="s">
        <v>77</v>
      </c>
      <c r="D34" s="14" t="s">
        <v>1889</v>
      </c>
      <c r="E34" s="14" t="s">
        <v>56</v>
      </c>
      <c r="F34" s="15" t="n">
        <v>640000</v>
      </c>
      <c r="G34" s="16" t="n">
        <v>0.65</v>
      </c>
      <c r="H34" s="16" t="n">
        <v>1.42</v>
      </c>
      <c r="I34" s="16" t="n">
        <v>0.8467</v>
      </c>
      <c r="J34" s="16" t="n">
        <v>0.53</v>
      </c>
      <c r="K34" s="15" t="n">
        <f aca="false">ROUND(F34/100*G34*H34*I34/J34,2)</f>
        <v>9437.03</v>
      </c>
      <c r="L34" s="15" t="n">
        <v>9437.03</v>
      </c>
      <c r="M34" s="15" t="n">
        <f aca="false">L34-K34</f>
        <v>0</v>
      </c>
      <c r="N34" s="14" t="s">
        <v>70</v>
      </c>
      <c r="O34" s="14" t="s">
        <v>52</v>
      </c>
    </row>
    <row r="35" customFormat="false" ht="15" hidden="false" customHeight="false" outlineLevel="0" collapsed="false">
      <c r="A35" s="3" t="s">
        <v>2959</v>
      </c>
      <c r="B35" s="3" t="s">
        <v>2992</v>
      </c>
      <c r="C35" s="3" t="s">
        <v>89</v>
      </c>
      <c r="D35" s="3" t="s">
        <v>1112</v>
      </c>
      <c r="E35" s="3" t="s">
        <v>50</v>
      </c>
      <c r="F35" s="12" t="n">
        <v>1950000</v>
      </c>
      <c r="G35" s="13" t="n">
        <v>0.8</v>
      </c>
      <c r="H35" s="13" t="n">
        <v>1.35</v>
      </c>
      <c r="I35" s="13" t="n">
        <v>0.8467</v>
      </c>
      <c r="J35" s="13" t="n">
        <v>0.53</v>
      </c>
      <c r="K35" s="12" t="n">
        <f aca="false">ROUND(F35/100*G35*H35*I35/J35,2)</f>
        <v>33644.34</v>
      </c>
      <c r="L35" s="12" t="n">
        <v>33644.34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2993</v>
      </c>
      <c r="B36" s="14" t="s">
        <v>2994</v>
      </c>
      <c r="C36" s="14" t="s">
        <v>131</v>
      </c>
      <c r="D36" s="14" t="s">
        <v>1563</v>
      </c>
      <c r="E36" s="14" t="s">
        <v>56</v>
      </c>
      <c r="F36" s="15" t="n">
        <v>455000</v>
      </c>
      <c r="G36" s="16" t="n">
        <v>0.75</v>
      </c>
      <c r="H36" s="16" t="n">
        <v>0.95</v>
      </c>
      <c r="I36" s="16" t="n">
        <v>0.8467</v>
      </c>
      <c r="J36" s="16" t="n">
        <v>0.53</v>
      </c>
      <c r="K36" s="15" t="n">
        <f aca="false">ROUND(F36/100*G36*H36*I36/J36,2)</f>
        <v>5179.05</v>
      </c>
      <c r="L36" s="15" t="n">
        <v>5179.05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2965</v>
      </c>
      <c r="B37" s="3" t="s">
        <v>2995</v>
      </c>
      <c r="C37" s="3" t="s">
        <v>159</v>
      </c>
      <c r="D37" s="3" t="s">
        <v>2996</v>
      </c>
      <c r="E37" s="3" t="s">
        <v>74</v>
      </c>
      <c r="F37" s="12" t="n">
        <v>1255000</v>
      </c>
      <c r="G37" s="13" t="n">
        <v>0.38</v>
      </c>
      <c r="H37" s="13" t="n">
        <v>1.15</v>
      </c>
      <c r="I37" s="13" t="n">
        <v>0.8467</v>
      </c>
      <c r="J37" s="13" t="n">
        <v>0.53</v>
      </c>
      <c r="K37" s="12" t="n">
        <f aca="false">ROUND(F37/100*G37*H37*I37/J37,2)</f>
        <v>8761.51</v>
      </c>
      <c r="L37" s="12" t="n">
        <v>8761.51</v>
      </c>
      <c r="M37" s="12" t="n">
        <f aca="false">L37-K37</f>
        <v>0</v>
      </c>
      <c r="N37" s="3" t="s">
        <v>70</v>
      </c>
      <c r="O37" s="3" t="s">
        <v>52</v>
      </c>
    </row>
    <row r="38" customFormat="false" ht="15" hidden="false" customHeight="false" outlineLevel="0" collapsed="false">
      <c r="A38" s="14" t="s">
        <v>2997</v>
      </c>
      <c r="B38" s="14" t="s">
        <v>2998</v>
      </c>
      <c r="C38" s="14" t="s">
        <v>93</v>
      </c>
      <c r="D38" s="14" t="s">
        <v>2081</v>
      </c>
      <c r="E38" s="14" t="s">
        <v>56</v>
      </c>
      <c r="F38" s="15" t="n">
        <v>350000</v>
      </c>
      <c r="G38" s="16" t="n">
        <v>0.75</v>
      </c>
      <c r="H38" s="16" t="n">
        <v>1.39</v>
      </c>
      <c r="I38" s="16" t="n">
        <v>0.8467</v>
      </c>
      <c r="J38" s="16" t="n">
        <v>0.53</v>
      </c>
      <c r="K38" s="15" t="n">
        <f aca="false">ROUND(F38/100*G38*H38*I38/J38,2)</f>
        <v>5829.05</v>
      </c>
      <c r="L38" s="15" t="n">
        <v>5829.05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2935</v>
      </c>
      <c r="B39" s="3" t="s">
        <v>2999</v>
      </c>
      <c r="C39" s="3" t="s">
        <v>64</v>
      </c>
      <c r="D39" s="3" t="s">
        <v>2420</v>
      </c>
      <c r="E39" s="3" t="s">
        <v>50</v>
      </c>
      <c r="F39" s="12" t="n">
        <v>1530000</v>
      </c>
      <c r="G39" s="13" t="n">
        <v>0.8</v>
      </c>
      <c r="H39" s="13" t="n">
        <v>1.17</v>
      </c>
      <c r="I39" s="13" t="n">
        <v>0.8467</v>
      </c>
      <c r="J39" s="13" t="n">
        <v>0.53</v>
      </c>
      <c r="K39" s="12" t="n">
        <f aca="false">ROUND(F39/100*G39*H39*I39/J39,2)</f>
        <v>22878.15</v>
      </c>
      <c r="L39" s="12" t="n">
        <v>22878.16</v>
      </c>
      <c r="M39" s="12" t="n">
        <f aca="false">L39-K39</f>
        <v>0.00999999999839929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2952</v>
      </c>
      <c r="B40" s="14" t="s">
        <v>3000</v>
      </c>
      <c r="C40" s="14" t="s">
        <v>326</v>
      </c>
      <c r="D40" s="14" t="s">
        <v>2311</v>
      </c>
      <c r="E40" s="14" t="s">
        <v>56</v>
      </c>
      <c r="F40" s="15" t="n">
        <v>1710000</v>
      </c>
      <c r="G40" s="16" t="n">
        <v>0.55</v>
      </c>
      <c r="H40" s="16" t="n">
        <v>1.12</v>
      </c>
      <c r="I40" s="16" t="n">
        <v>0.8467</v>
      </c>
      <c r="J40" s="16" t="n">
        <v>0.53</v>
      </c>
      <c r="K40" s="15" t="n">
        <f aca="false">ROUND(F40/100*G40*H40*I40/J40,2)</f>
        <v>16827.92</v>
      </c>
      <c r="L40" s="15" t="n">
        <v>16827.93</v>
      </c>
      <c r="M40" s="15" t="n">
        <f aca="false">L40-K40</f>
        <v>0.0100000000020373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3001</v>
      </c>
      <c r="B41" s="3" t="s">
        <v>3002</v>
      </c>
      <c r="C41" s="3" t="s">
        <v>159</v>
      </c>
      <c r="D41" s="3" t="s">
        <v>1234</v>
      </c>
      <c r="E41" s="3" t="s">
        <v>56</v>
      </c>
      <c r="F41" s="12" t="n">
        <v>595000</v>
      </c>
      <c r="G41" s="13" t="n">
        <v>0.65</v>
      </c>
      <c r="H41" s="13" t="n">
        <v>1.15</v>
      </c>
      <c r="I41" s="13" t="n">
        <v>0.8467</v>
      </c>
      <c r="J41" s="13" t="n">
        <v>0.53</v>
      </c>
      <c r="K41" s="12" t="n">
        <f aca="false">ROUND(F41/100*G41*H41*I41/J41,2)</f>
        <v>7105.29</v>
      </c>
      <c r="L41" s="12" t="n">
        <v>7105.29</v>
      </c>
      <c r="M41" s="12" t="n">
        <f aca="false">L41-K41</f>
        <v>0</v>
      </c>
      <c r="N41" s="3" t="s">
        <v>51</v>
      </c>
      <c r="O41" s="3" t="s">
        <v>52</v>
      </c>
    </row>
    <row r="42" customFormat="false" ht="15" hidden="false" customHeight="false" outlineLevel="0" collapsed="false">
      <c r="A42" s="14" t="s">
        <v>2972</v>
      </c>
      <c r="B42" s="14" t="s">
        <v>3003</v>
      </c>
      <c r="C42" s="14" t="s">
        <v>417</v>
      </c>
      <c r="D42" s="14" t="s">
        <v>3004</v>
      </c>
      <c r="E42" s="14" t="s">
        <v>56</v>
      </c>
      <c r="F42" s="15" t="n">
        <v>890000</v>
      </c>
      <c r="G42" s="16" t="n">
        <v>0.65</v>
      </c>
      <c r="H42" s="16" t="n">
        <v>1.24</v>
      </c>
      <c r="I42" s="16" t="n">
        <v>0.8467</v>
      </c>
      <c r="J42" s="16" t="n">
        <v>0.53</v>
      </c>
      <c r="K42" s="15" t="n">
        <f aca="false">ROUND(F42/100*G42*H42*I42/J42,2)</f>
        <v>11459.84</v>
      </c>
      <c r="L42" s="15" t="n">
        <v>11459.85</v>
      </c>
      <c r="M42" s="15" t="n">
        <f aca="false">L42-K42</f>
        <v>0.0100000000002183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3005</v>
      </c>
      <c r="B43" s="3" t="s">
        <v>3006</v>
      </c>
      <c r="C43" s="3" t="s">
        <v>275</v>
      </c>
      <c r="D43" s="3" t="s">
        <v>3007</v>
      </c>
      <c r="E43" s="3" t="s">
        <v>157</v>
      </c>
      <c r="F43" s="12" t="n">
        <v>595000</v>
      </c>
      <c r="G43" s="13" t="n">
        <v>0.78</v>
      </c>
      <c r="H43" s="13" t="n">
        <v>1.19</v>
      </c>
      <c r="I43" s="13" t="n">
        <v>0.8467</v>
      </c>
      <c r="J43" s="13" t="n">
        <v>0.53</v>
      </c>
      <c r="K43" s="12" t="n">
        <f aca="false">ROUND(F43/100*G43*H43*I43/J43,2)</f>
        <v>8822.92</v>
      </c>
      <c r="L43" s="12" t="n">
        <v>8822.92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2993</v>
      </c>
      <c r="B44" s="14" t="s">
        <v>3008</v>
      </c>
      <c r="C44" s="14" t="s">
        <v>193</v>
      </c>
      <c r="D44" s="14" t="s">
        <v>962</v>
      </c>
      <c r="E44" s="14" t="s">
        <v>56</v>
      </c>
      <c r="F44" s="15" t="n">
        <v>520000</v>
      </c>
      <c r="G44" s="16" t="n">
        <v>0.65</v>
      </c>
      <c r="H44" s="16" t="n">
        <v>1.25</v>
      </c>
      <c r="I44" s="16" t="n">
        <v>0.8467</v>
      </c>
      <c r="J44" s="16" t="n">
        <v>0.53</v>
      </c>
      <c r="K44" s="15" t="n">
        <f aca="false">ROUND(F44/100*G44*H44*I44/J44,2)</f>
        <v>6749.64</v>
      </c>
      <c r="L44" s="15" t="n">
        <v>6749.64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3009</v>
      </c>
      <c r="B45" s="3" t="s">
        <v>3010</v>
      </c>
      <c r="C45" s="3" t="s">
        <v>193</v>
      </c>
      <c r="D45" s="3" t="s">
        <v>293</v>
      </c>
      <c r="E45" s="3" t="s">
        <v>56</v>
      </c>
      <c r="F45" s="12" t="n">
        <v>615000</v>
      </c>
      <c r="G45" s="13" t="n">
        <v>0.65</v>
      </c>
      <c r="H45" s="13" t="n">
        <v>1.25</v>
      </c>
      <c r="I45" s="13" t="n">
        <v>0.8467</v>
      </c>
      <c r="J45" s="13" t="n">
        <v>0.53</v>
      </c>
      <c r="K45" s="12" t="n">
        <f aca="false">ROUND(F45/100*G45*H45*I45/J45,2)</f>
        <v>7982.74</v>
      </c>
      <c r="L45" s="12" t="n">
        <v>7982.75</v>
      </c>
      <c r="M45" s="12" t="n">
        <f aca="false">L45-K45</f>
        <v>0.0100000000002183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3011</v>
      </c>
      <c r="B46" s="14" t="s">
        <v>3012</v>
      </c>
      <c r="C46" s="14" t="s">
        <v>85</v>
      </c>
      <c r="D46" s="14" t="s">
        <v>97</v>
      </c>
      <c r="E46" s="14" t="s">
        <v>56</v>
      </c>
      <c r="F46" s="15" t="n">
        <v>1150000</v>
      </c>
      <c r="G46" s="16" t="n">
        <v>0.55</v>
      </c>
      <c r="H46" s="16" t="n">
        <v>1.28</v>
      </c>
      <c r="I46" s="16" t="n">
        <v>0.8467</v>
      </c>
      <c r="J46" s="16" t="n">
        <v>0.53</v>
      </c>
      <c r="K46" s="15" t="n">
        <f aca="false">ROUND(F46/100*G46*H46*I46/J46,2)</f>
        <v>12933.74</v>
      </c>
      <c r="L46" s="15" t="n">
        <v>12933.74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3013</v>
      </c>
      <c r="B47" s="3" t="s">
        <v>3014</v>
      </c>
      <c r="C47" s="3" t="s">
        <v>77</v>
      </c>
      <c r="D47" s="3" t="s">
        <v>451</v>
      </c>
      <c r="E47" s="3" t="s">
        <v>50</v>
      </c>
      <c r="F47" s="12" t="n">
        <v>1460000</v>
      </c>
      <c r="G47" s="13" t="n">
        <v>0.8</v>
      </c>
      <c r="H47" s="13" t="n">
        <v>1.42</v>
      </c>
      <c r="I47" s="13" t="n">
        <v>0.8467</v>
      </c>
      <c r="J47" s="13" t="n">
        <v>0.53</v>
      </c>
      <c r="K47" s="12" t="n">
        <f aca="false">ROUND(F47/100*G47*H47*I47/J47,2)</f>
        <v>26496.28</v>
      </c>
      <c r="L47" s="12" t="n">
        <v>26496.27</v>
      </c>
      <c r="M47" s="12" t="n">
        <f aca="false">L47-K47</f>
        <v>-0.00999999999839929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3009</v>
      </c>
      <c r="B48" s="14" t="s">
        <v>3015</v>
      </c>
      <c r="C48" s="14" t="s">
        <v>89</v>
      </c>
      <c r="D48" s="14" t="s">
        <v>745</v>
      </c>
      <c r="E48" s="14" t="s">
        <v>56</v>
      </c>
      <c r="F48" s="15" t="n">
        <v>565000</v>
      </c>
      <c r="G48" s="16" t="n">
        <v>0.65</v>
      </c>
      <c r="H48" s="16" t="n">
        <v>1.35</v>
      </c>
      <c r="I48" s="16" t="n">
        <v>0.8467</v>
      </c>
      <c r="J48" s="16" t="n">
        <v>0.53</v>
      </c>
      <c r="K48" s="15" t="n">
        <f aca="false">ROUND(F48/100*G48*H48*I48/J48,2)</f>
        <v>7920.44</v>
      </c>
      <c r="L48" s="15" t="n">
        <v>7920.44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2935</v>
      </c>
      <c r="B49" s="3" t="s">
        <v>3016</v>
      </c>
      <c r="C49" s="3" t="s">
        <v>159</v>
      </c>
      <c r="D49" s="3" t="s">
        <v>1671</v>
      </c>
      <c r="E49" s="3" t="s">
        <v>50</v>
      </c>
      <c r="F49" s="12" t="n">
        <v>815000</v>
      </c>
      <c r="G49" s="13" t="n">
        <v>0.95</v>
      </c>
      <c r="H49" s="13" t="n">
        <v>1.15</v>
      </c>
      <c r="I49" s="13" t="n">
        <v>0.8467</v>
      </c>
      <c r="J49" s="13" t="n">
        <v>0.53</v>
      </c>
      <c r="K49" s="12" t="n">
        <f aca="false">ROUND(F49/100*G49*H49*I49/J49,2)</f>
        <v>14224.36</v>
      </c>
      <c r="L49" s="12" t="n">
        <v>14224.36</v>
      </c>
      <c r="M49" s="12" t="n">
        <f aca="false">L49-K49</f>
        <v>0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2947</v>
      </c>
      <c r="B50" s="14" t="s">
        <v>3017</v>
      </c>
      <c r="C50" s="14" t="s">
        <v>196</v>
      </c>
      <c r="D50" s="14" t="s">
        <v>1321</v>
      </c>
      <c r="E50" s="14" t="s">
        <v>56</v>
      </c>
      <c r="F50" s="15" t="n">
        <v>405000</v>
      </c>
      <c r="G50" s="16" t="n">
        <v>0.75</v>
      </c>
      <c r="H50" s="16" t="n">
        <v>1.04</v>
      </c>
      <c r="I50" s="16" t="n">
        <v>0.8467</v>
      </c>
      <c r="J50" s="16" t="n">
        <v>0.53</v>
      </c>
      <c r="K50" s="15" t="n">
        <f aca="false">ROUND(F50/100*G50*H50*I50/J50,2)</f>
        <v>5046.65</v>
      </c>
      <c r="L50" s="15" t="n">
        <v>5046.65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2952</v>
      </c>
      <c r="B51" s="3" t="s">
        <v>3018</v>
      </c>
      <c r="C51" s="3" t="s">
        <v>77</v>
      </c>
      <c r="D51" s="3" t="s">
        <v>1330</v>
      </c>
      <c r="E51" s="3" t="s">
        <v>56</v>
      </c>
      <c r="F51" s="12" t="n">
        <v>280000</v>
      </c>
      <c r="G51" s="13" t="n">
        <v>0.75</v>
      </c>
      <c r="H51" s="13" t="n">
        <v>1.42</v>
      </c>
      <c r="I51" s="13" t="n">
        <v>0.8467</v>
      </c>
      <c r="J51" s="13" t="n">
        <v>0.53</v>
      </c>
      <c r="K51" s="12" t="n">
        <f aca="false">ROUND(F51/100*G51*H51*I51/J51,2)</f>
        <v>4763.89</v>
      </c>
      <c r="L51" s="12" t="n">
        <v>4763.89</v>
      </c>
      <c r="M51" s="12" t="n">
        <f aca="false">L51-K51</f>
        <v>0</v>
      </c>
      <c r="N51" s="3" t="s">
        <v>51</v>
      </c>
      <c r="O51" s="3" t="s">
        <v>52</v>
      </c>
    </row>
    <row r="52" customFormat="false" ht="15" hidden="false" customHeight="false" outlineLevel="0" collapsed="false">
      <c r="A52" s="14" t="s">
        <v>2950</v>
      </c>
      <c r="B52" s="14" t="s">
        <v>3019</v>
      </c>
      <c r="C52" s="14" t="s">
        <v>68</v>
      </c>
      <c r="D52" s="14" t="s">
        <v>675</v>
      </c>
      <c r="E52" s="14" t="s">
        <v>56</v>
      </c>
      <c r="F52" s="15" t="n">
        <v>915000</v>
      </c>
      <c r="G52" s="16" t="n">
        <v>0.65</v>
      </c>
      <c r="H52" s="16" t="n">
        <v>1.38</v>
      </c>
      <c r="I52" s="16" t="n">
        <v>0.8467</v>
      </c>
      <c r="J52" s="16" t="n">
        <v>0.53</v>
      </c>
      <c r="K52" s="15" t="n">
        <f aca="false">ROUND(F52/100*G52*H52*I52/J52,2)</f>
        <v>13111.95</v>
      </c>
      <c r="L52" s="15" t="n">
        <v>13111.95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2974</v>
      </c>
      <c r="B53" s="3" t="s">
        <v>3020</v>
      </c>
      <c r="C53" s="3" t="s">
        <v>105</v>
      </c>
      <c r="D53" s="3" t="s">
        <v>584</v>
      </c>
      <c r="E53" s="3" t="s">
        <v>50</v>
      </c>
      <c r="F53" s="12" t="n">
        <v>610000</v>
      </c>
      <c r="G53" s="13" t="n">
        <v>0.95</v>
      </c>
      <c r="H53" s="13" t="n">
        <v>0.99</v>
      </c>
      <c r="I53" s="13" t="n">
        <v>0.8467</v>
      </c>
      <c r="J53" s="13" t="n">
        <v>0.53</v>
      </c>
      <c r="K53" s="12" t="n">
        <f aca="false">ROUND(F53/100*G53*H53*I53/J53,2)</f>
        <v>9165.21</v>
      </c>
      <c r="L53" s="12" t="n">
        <v>9165.21</v>
      </c>
      <c r="M53" s="12" t="n">
        <f aca="false">L53-K53</f>
        <v>0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2938</v>
      </c>
      <c r="B54" s="14" t="s">
        <v>3021</v>
      </c>
      <c r="C54" s="14" t="s">
        <v>295</v>
      </c>
      <c r="D54" s="14" t="s">
        <v>1039</v>
      </c>
      <c r="E54" s="14" t="s">
        <v>74</v>
      </c>
      <c r="F54" s="15" t="n">
        <v>750000</v>
      </c>
      <c r="G54" s="16" t="n">
        <v>0.43</v>
      </c>
      <c r="H54" s="16" t="n">
        <v>1.2</v>
      </c>
      <c r="I54" s="16" t="n">
        <v>0.8467</v>
      </c>
      <c r="J54" s="16" t="n">
        <v>0.53</v>
      </c>
      <c r="K54" s="15" t="n">
        <f aca="false">ROUND(F54/100*G54*H54*I54/J54,2)</f>
        <v>6182.51</v>
      </c>
      <c r="L54" s="15" t="n">
        <v>6182.51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2947</v>
      </c>
      <c r="B55" s="3" t="s">
        <v>3022</v>
      </c>
      <c r="C55" s="3" t="s">
        <v>77</v>
      </c>
      <c r="D55" s="3" t="s">
        <v>2385</v>
      </c>
      <c r="E55" s="3" t="s">
        <v>50</v>
      </c>
      <c r="F55" s="12" t="n">
        <v>945000</v>
      </c>
      <c r="G55" s="13" t="n">
        <v>0.95</v>
      </c>
      <c r="H55" s="13" t="n">
        <v>1.42</v>
      </c>
      <c r="I55" s="13" t="n">
        <v>0.8467</v>
      </c>
      <c r="J55" s="13" t="n">
        <v>0.53</v>
      </c>
      <c r="K55" s="12" t="n">
        <f aca="false">ROUND(F55/100*G55*H55*I55/J55,2)</f>
        <v>20365.61</v>
      </c>
      <c r="L55" s="12" t="n">
        <v>20365.61</v>
      </c>
      <c r="M55" s="12" t="n">
        <f aca="false">L55-K55</f>
        <v>0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2961</v>
      </c>
      <c r="B56" s="14" t="s">
        <v>3023</v>
      </c>
      <c r="C56" s="14" t="s">
        <v>89</v>
      </c>
      <c r="D56" s="14" t="s">
        <v>1103</v>
      </c>
      <c r="E56" s="14" t="s">
        <v>56</v>
      </c>
      <c r="F56" s="15" t="n">
        <v>1310000</v>
      </c>
      <c r="G56" s="16" t="n">
        <v>0.55</v>
      </c>
      <c r="H56" s="16" t="n">
        <v>1.35</v>
      </c>
      <c r="I56" s="16" t="n">
        <v>0.8467</v>
      </c>
      <c r="J56" s="16" t="n">
        <v>0.53</v>
      </c>
      <c r="K56" s="15" t="n">
        <f aca="false">ROUND(F56/100*G56*H56*I56/J56,2)</f>
        <v>15538.94</v>
      </c>
      <c r="L56" s="15" t="n">
        <v>15538.94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3024</v>
      </c>
      <c r="B57" s="3" t="s">
        <v>3025</v>
      </c>
      <c r="C57" s="3" t="s">
        <v>89</v>
      </c>
      <c r="D57" s="3" t="s">
        <v>3026</v>
      </c>
      <c r="E57" s="3" t="s">
        <v>56</v>
      </c>
      <c r="F57" s="12" t="n">
        <v>720000</v>
      </c>
      <c r="G57" s="13" t="n">
        <v>0.65</v>
      </c>
      <c r="H57" s="13" t="n">
        <v>1.35</v>
      </c>
      <c r="I57" s="13" t="n">
        <v>0.8467</v>
      </c>
      <c r="J57" s="13" t="n">
        <v>0.53</v>
      </c>
      <c r="K57" s="12" t="n">
        <f aca="false">ROUND(F57/100*G57*H57*I57/J57,2)</f>
        <v>10093.3</v>
      </c>
      <c r="L57" s="12" t="n">
        <v>10093.3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2993</v>
      </c>
      <c r="B58" s="14" t="s">
        <v>3027</v>
      </c>
      <c r="C58" s="14" t="s">
        <v>139</v>
      </c>
      <c r="D58" s="14" t="s">
        <v>2245</v>
      </c>
      <c r="E58" s="14" t="s">
        <v>50</v>
      </c>
      <c r="F58" s="15" t="n">
        <v>515000</v>
      </c>
      <c r="G58" s="16" t="n">
        <v>0.95</v>
      </c>
      <c r="H58" s="16" t="n">
        <v>1.23</v>
      </c>
      <c r="I58" s="16" t="n">
        <v>0.8467</v>
      </c>
      <c r="J58" s="16" t="n">
        <v>0.53</v>
      </c>
      <c r="K58" s="15" t="n">
        <f aca="false">ROUND(F58/100*G58*H58*I58/J58,2)</f>
        <v>9613.68</v>
      </c>
      <c r="L58" s="15" t="n">
        <v>9613.68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3028</v>
      </c>
      <c r="B59" s="3" t="s">
        <v>3029</v>
      </c>
      <c r="C59" s="3" t="s">
        <v>59</v>
      </c>
      <c r="D59" s="3" t="s">
        <v>1234</v>
      </c>
      <c r="E59" s="3" t="s">
        <v>56</v>
      </c>
      <c r="F59" s="12" t="n">
        <v>590000</v>
      </c>
      <c r="G59" s="13" t="n">
        <v>0.65</v>
      </c>
      <c r="H59" s="13" t="n">
        <v>0.97</v>
      </c>
      <c r="I59" s="13" t="n">
        <v>0.8467</v>
      </c>
      <c r="J59" s="13" t="n">
        <v>0.53</v>
      </c>
      <c r="K59" s="12" t="n">
        <f aca="false">ROUND(F59/100*G59*H59*I59/J59,2)</f>
        <v>5942.8</v>
      </c>
      <c r="L59" s="12" t="n">
        <v>5942.79</v>
      </c>
      <c r="M59" s="12" t="n">
        <f aca="false">L59-K59</f>
        <v>-0.0100000000002183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2972</v>
      </c>
      <c r="B60" s="14" t="s">
        <v>3030</v>
      </c>
      <c r="C60" s="14" t="s">
        <v>139</v>
      </c>
      <c r="D60" s="14" t="s">
        <v>1939</v>
      </c>
      <c r="E60" s="14" t="s">
        <v>56</v>
      </c>
      <c r="F60" s="15" t="n">
        <v>570000</v>
      </c>
      <c r="G60" s="16" t="n">
        <v>0.65</v>
      </c>
      <c r="H60" s="16" t="n">
        <v>1.23</v>
      </c>
      <c r="I60" s="16" t="n">
        <v>0.8467</v>
      </c>
      <c r="J60" s="16" t="n">
        <v>0.53</v>
      </c>
      <c r="K60" s="15" t="n">
        <f aca="false">ROUND(F60/100*G60*H60*I60/J60,2)</f>
        <v>7280.26</v>
      </c>
      <c r="L60" s="15" t="n">
        <v>7280.27</v>
      </c>
      <c r="M60" s="15" t="n">
        <f aca="false">L60-K60</f>
        <v>0.0100000000002183</v>
      </c>
      <c r="N60" s="14" t="s">
        <v>51</v>
      </c>
      <c r="O60" s="14" t="s">
        <v>52</v>
      </c>
    </row>
    <row r="61" customFormat="false" ht="15" hidden="false" customHeight="false" outlineLevel="0" collapsed="false">
      <c r="A61" s="3" t="s">
        <v>2974</v>
      </c>
      <c r="B61" s="3" t="s">
        <v>3031</v>
      </c>
      <c r="C61" s="3" t="s">
        <v>217</v>
      </c>
      <c r="D61" s="3" t="s">
        <v>531</v>
      </c>
      <c r="E61" s="3" t="s">
        <v>56</v>
      </c>
      <c r="F61" s="12" t="n">
        <v>295000</v>
      </c>
      <c r="G61" s="13" t="n">
        <v>0.75</v>
      </c>
      <c r="H61" s="13" t="n">
        <v>1.3</v>
      </c>
      <c r="I61" s="13" t="n">
        <v>0.8467</v>
      </c>
      <c r="J61" s="13" t="n">
        <v>0.53</v>
      </c>
      <c r="K61" s="12" t="n">
        <f aca="false">ROUND(F61/100*G61*H61*I61/J61,2)</f>
        <v>4594.95</v>
      </c>
      <c r="L61" s="12" t="n">
        <v>4594.95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2955</v>
      </c>
      <c r="B62" s="14" t="s">
        <v>3032</v>
      </c>
      <c r="C62" s="14" t="s">
        <v>105</v>
      </c>
      <c r="D62" s="14" t="s">
        <v>3033</v>
      </c>
      <c r="E62" s="14" t="s">
        <v>74</v>
      </c>
      <c r="F62" s="15" t="n">
        <v>535000</v>
      </c>
      <c r="G62" s="16" t="n">
        <v>0.43</v>
      </c>
      <c r="H62" s="16" t="n">
        <v>0.99</v>
      </c>
      <c r="I62" s="16" t="n">
        <v>0.8467</v>
      </c>
      <c r="J62" s="16" t="n">
        <v>0.53</v>
      </c>
      <c r="K62" s="15" t="n">
        <f aca="false">ROUND(F62/100*G62*H62*I62/J62,2)</f>
        <v>3638.41</v>
      </c>
      <c r="L62" s="15" t="n">
        <v>3638.41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2985</v>
      </c>
      <c r="B63" s="3" t="s">
        <v>3034</v>
      </c>
      <c r="C63" s="3" t="s">
        <v>193</v>
      </c>
      <c r="D63" s="3" t="s">
        <v>935</v>
      </c>
      <c r="E63" s="3" t="s">
        <v>50</v>
      </c>
      <c r="F63" s="12" t="n">
        <v>1030000</v>
      </c>
      <c r="G63" s="13" t="n">
        <v>0.8</v>
      </c>
      <c r="H63" s="13" t="n">
        <v>1.25</v>
      </c>
      <c r="I63" s="13" t="n">
        <v>0.8467</v>
      </c>
      <c r="J63" s="13" t="n">
        <v>0.53</v>
      </c>
      <c r="K63" s="12" t="n">
        <f aca="false">ROUND(F63/100*G63*H63*I63/J63,2)</f>
        <v>16454.74</v>
      </c>
      <c r="L63" s="12" t="n">
        <v>16454.73</v>
      </c>
      <c r="M63" s="12" t="n">
        <f aca="false">L63-K63</f>
        <v>-0.0100000000020373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3035</v>
      </c>
      <c r="B64" s="14" t="s">
        <v>3036</v>
      </c>
      <c r="C64" s="14" t="s">
        <v>114</v>
      </c>
      <c r="D64" s="14" t="s">
        <v>1234</v>
      </c>
      <c r="E64" s="14" t="s">
        <v>56</v>
      </c>
      <c r="F64" s="15" t="n">
        <v>440000</v>
      </c>
      <c r="G64" s="16" t="n">
        <v>0.75</v>
      </c>
      <c r="H64" s="16" t="n">
        <v>1.36</v>
      </c>
      <c r="I64" s="16" t="n">
        <v>0.8467</v>
      </c>
      <c r="J64" s="16" t="n">
        <v>0.53</v>
      </c>
      <c r="K64" s="15" t="n">
        <f aca="false">ROUND(F64/100*G64*H64*I64/J64,2)</f>
        <v>7169.79</v>
      </c>
      <c r="L64" s="15" t="n">
        <v>7169.79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2993</v>
      </c>
      <c r="B65" s="3" t="s">
        <v>3037</v>
      </c>
      <c r="C65" s="3" t="s">
        <v>295</v>
      </c>
      <c r="D65" s="3" t="s">
        <v>3038</v>
      </c>
      <c r="E65" s="3" t="s">
        <v>157</v>
      </c>
      <c r="F65" s="12" t="n">
        <v>1190000</v>
      </c>
      <c r="G65" s="13" t="n">
        <v>0.68</v>
      </c>
      <c r="H65" s="13" t="n">
        <v>1.2</v>
      </c>
      <c r="I65" s="13" t="n">
        <v>0.8467</v>
      </c>
      <c r="J65" s="13" t="n">
        <v>0.53</v>
      </c>
      <c r="K65" s="12" t="n">
        <f aca="false">ROUND(F65/100*G65*H65*I65/J65,2)</f>
        <v>15512.82</v>
      </c>
      <c r="L65" s="12" t="n">
        <v>15512.82</v>
      </c>
      <c r="M65" s="12" t="n">
        <f aca="false">L65-K65</f>
        <v>0</v>
      </c>
      <c r="N65" s="3" t="s">
        <v>51</v>
      </c>
      <c r="O65" s="3" t="s">
        <v>52</v>
      </c>
    </row>
    <row r="66" customFormat="false" ht="15" hidden="false" customHeight="false" outlineLevel="0" collapsed="false">
      <c r="A66" s="14" t="s">
        <v>2965</v>
      </c>
      <c r="B66" s="14" t="s">
        <v>3039</v>
      </c>
      <c r="C66" s="14" t="s">
        <v>114</v>
      </c>
      <c r="D66" s="14" t="s">
        <v>324</v>
      </c>
      <c r="E66" s="14" t="s">
        <v>56</v>
      </c>
      <c r="F66" s="15" t="n">
        <v>480000</v>
      </c>
      <c r="G66" s="16" t="n">
        <v>0.75</v>
      </c>
      <c r="H66" s="16" t="n">
        <v>1.36</v>
      </c>
      <c r="I66" s="16" t="n">
        <v>0.8467</v>
      </c>
      <c r="J66" s="16" t="n">
        <v>0.53</v>
      </c>
      <c r="K66" s="15" t="n">
        <f aca="false">ROUND(F66/100*G66*H66*I66/J66,2)</f>
        <v>7821.59</v>
      </c>
      <c r="L66" s="15" t="n">
        <v>7821.59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2957</v>
      </c>
      <c r="B67" s="3" t="s">
        <v>3040</v>
      </c>
      <c r="C67" s="3" t="s">
        <v>193</v>
      </c>
      <c r="D67" s="3" t="s">
        <v>1276</v>
      </c>
      <c r="E67" s="3" t="s">
        <v>56</v>
      </c>
      <c r="F67" s="12" t="n">
        <v>755000</v>
      </c>
      <c r="G67" s="13" t="n">
        <v>0.65</v>
      </c>
      <c r="H67" s="13" t="n">
        <v>1.25</v>
      </c>
      <c r="I67" s="13" t="n">
        <v>0.8467</v>
      </c>
      <c r="J67" s="13" t="n">
        <v>0.53</v>
      </c>
      <c r="K67" s="12" t="n">
        <f aca="false">ROUND(F67/100*G67*H67*I67/J67,2)</f>
        <v>9799.95</v>
      </c>
      <c r="L67" s="12" t="n">
        <v>9799.95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2947</v>
      </c>
      <c r="B68" s="14" t="s">
        <v>3041</v>
      </c>
      <c r="C68" s="14" t="s">
        <v>224</v>
      </c>
      <c r="D68" s="14" t="s">
        <v>2099</v>
      </c>
      <c r="E68" s="14" t="s">
        <v>50</v>
      </c>
      <c r="F68" s="15" t="n">
        <v>905000</v>
      </c>
      <c r="G68" s="16" t="n">
        <v>0.95</v>
      </c>
      <c r="H68" s="16" t="n">
        <v>1.1</v>
      </c>
      <c r="I68" s="16" t="n">
        <v>0.8467</v>
      </c>
      <c r="J68" s="16" t="n">
        <v>0.53</v>
      </c>
      <c r="K68" s="15" t="n">
        <f aca="false">ROUND(F68/100*G68*H68*I68/J68,2)</f>
        <v>15108.4</v>
      </c>
      <c r="L68" s="15" t="n">
        <v>15108.4</v>
      </c>
      <c r="M68" s="15" t="n">
        <f aca="false">L68-K68</f>
        <v>0</v>
      </c>
      <c r="N68" s="14" t="s">
        <v>70</v>
      </c>
      <c r="O68" s="14" t="s">
        <v>52</v>
      </c>
    </row>
    <row r="69" customFormat="false" ht="15" hidden="false" customHeight="false" outlineLevel="0" collapsed="false">
      <c r="A69" s="3" t="s">
        <v>2965</v>
      </c>
      <c r="B69" s="3" t="s">
        <v>3042</v>
      </c>
      <c r="C69" s="3" t="s">
        <v>159</v>
      </c>
      <c r="D69" s="3" t="s">
        <v>834</v>
      </c>
      <c r="E69" s="3" t="s">
        <v>56</v>
      </c>
      <c r="F69" s="12" t="n">
        <v>680000</v>
      </c>
      <c r="G69" s="13" t="n">
        <v>0.65</v>
      </c>
      <c r="H69" s="13" t="n">
        <v>1.15</v>
      </c>
      <c r="I69" s="13" t="n">
        <v>0.8467</v>
      </c>
      <c r="J69" s="13" t="n">
        <v>0.53</v>
      </c>
      <c r="K69" s="12" t="n">
        <f aca="false">ROUND(F69/100*G69*H69*I69/J69,2)</f>
        <v>8120.33</v>
      </c>
      <c r="L69" s="12" t="n">
        <v>8120.34</v>
      </c>
      <c r="M69" s="12" t="n">
        <f aca="false">L69-K69</f>
        <v>0.0100000000002183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2967</v>
      </c>
      <c r="B70" s="14" t="s">
        <v>3043</v>
      </c>
      <c r="C70" s="14" t="s">
        <v>89</v>
      </c>
      <c r="D70" s="14" t="s">
        <v>902</v>
      </c>
      <c r="E70" s="14" t="s">
        <v>50</v>
      </c>
      <c r="F70" s="15" t="n">
        <v>655000</v>
      </c>
      <c r="G70" s="16" t="n">
        <v>0.95</v>
      </c>
      <c r="H70" s="16" t="n">
        <v>1.35</v>
      </c>
      <c r="I70" s="16" t="n">
        <v>0.8467</v>
      </c>
      <c r="J70" s="16" t="n">
        <v>0.53</v>
      </c>
      <c r="K70" s="15" t="n">
        <f aca="false">ROUND(F70/100*G70*H70*I70/J70,2)</f>
        <v>13420</v>
      </c>
      <c r="L70" s="15" t="n">
        <v>13419.99</v>
      </c>
      <c r="M70" s="15" t="n">
        <f aca="false">L70-K70</f>
        <v>-0.0100000000002183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2938</v>
      </c>
      <c r="B71" s="3" t="s">
        <v>3044</v>
      </c>
      <c r="C71" s="3" t="s">
        <v>188</v>
      </c>
      <c r="D71" s="3" t="s">
        <v>724</v>
      </c>
      <c r="E71" s="3" t="s">
        <v>50</v>
      </c>
      <c r="F71" s="12" t="n">
        <v>1020000</v>
      </c>
      <c r="G71" s="13" t="n">
        <v>0.8</v>
      </c>
      <c r="H71" s="13" t="n">
        <v>1.35</v>
      </c>
      <c r="I71" s="13" t="n">
        <v>0.8467</v>
      </c>
      <c r="J71" s="13" t="n">
        <v>0.53</v>
      </c>
      <c r="K71" s="12" t="n">
        <f aca="false">ROUND(F71/100*G71*H71*I71/J71,2)</f>
        <v>17598.58</v>
      </c>
      <c r="L71" s="12" t="n">
        <v>17598.58</v>
      </c>
      <c r="M71" s="12" t="n">
        <f aca="false">L71-K71</f>
        <v>0</v>
      </c>
      <c r="N71" s="3" t="s">
        <v>61</v>
      </c>
      <c r="O71" s="3" t="s">
        <v>62</v>
      </c>
    </row>
    <row r="72" customFormat="false" ht="15" hidden="false" customHeight="false" outlineLevel="0" collapsed="false">
      <c r="A72" s="14" t="s">
        <v>2988</v>
      </c>
      <c r="B72" s="14" t="s">
        <v>3045</v>
      </c>
      <c r="C72" s="14" t="s">
        <v>278</v>
      </c>
      <c r="D72" s="14" t="s">
        <v>49</v>
      </c>
      <c r="E72" s="14" t="s">
        <v>50</v>
      </c>
      <c r="F72" s="15" t="n">
        <v>760000</v>
      </c>
      <c r="G72" s="16" t="n">
        <v>0.95</v>
      </c>
      <c r="H72" s="16" t="n">
        <v>0.98</v>
      </c>
      <c r="I72" s="16" t="n">
        <v>0.8467</v>
      </c>
      <c r="J72" s="16" t="n">
        <v>0.53</v>
      </c>
      <c r="K72" s="15" t="n">
        <f aca="false">ROUND(F72/100*G72*H72*I72/J72,2)</f>
        <v>11303.6</v>
      </c>
      <c r="L72" s="15" t="n">
        <v>11303.61</v>
      </c>
      <c r="M72" s="15" t="n">
        <f aca="false">L72-K72</f>
        <v>0.0100000000002183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2957</v>
      </c>
      <c r="B73" s="3" t="s">
        <v>3046</v>
      </c>
      <c r="C73" s="3" t="s">
        <v>243</v>
      </c>
      <c r="D73" s="3" t="s">
        <v>180</v>
      </c>
      <c r="E73" s="3" t="s">
        <v>56</v>
      </c>
      <c r="F73" s="12" t="n">
        <v>530000</v>
      </c>
      <c r="G73" s="13" t="n">
        <v>0.65</v>
      </c>
      <c r="H73" s="13" t="n">
        <v>1.14</v>
      </c>
      <c r="I73" s="13" t="n">
        <v>0.8467</v>
      </c>
      <c r="J73" s="13" t="n">
        <v>0.53</v>
      </c>
      <c r="K73" s="12" t="n">
        <f aca="false">ROUND(F73/100*G73*H73*I73/J73,2)</f>
        <v>6274.05</v>
      </c>
      <c r="L73" s="12" t="n">
        <v>6274.05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2972</v>
      </c>
      <c r="B74" s="14" t="s">
        <v>3047</v>
      </c>
      <c r="C74" s="14" t="s">
        <v>117</v>
      </c>
      <c r="D74" s="14" t="s">
        <v>624</v>
      </c>
      <c r="E74" s="14" t="s">
        <v>56</v>
      </c>
      <c r="F74" s="15" t="n">
        <v>820000</v>
      </c>
      <c r="G74" s="16" t="n">
        <v>0.65</v>
      </c>
      <c r="H74" s="16" t="n">
        <v>0.91</v>
      </c>
      <c r="I74" s="16" t="n">
        <v>0.8467</v>
      </c>
      <c r="J74" s="16" t="n">
        <v>0.53</v>
      </c>
      <c r="K74" s="15" t="n">
        <f aca="false">ROUND(F74/100*G74*H74*I74/J74,2)</f>
        <v>7748.58</v>
      </c>
      <c r="L74" s="15" t="n">
        <v>7748.58</v>
      </c>
      <c r="M74" s="15" t="n">
        <f aca="false">L74-K74</f>
        <v>0</v>
      </c>
      <c r="N74" s="14" t="s">
        <v>70</v>
      </c>
      <c r="O74" s="14" t="s">
        <v>52</v>
      </c>
    </row>
    <row r="75" customFormat="false" ht="15" hidden="false" customHeight="false" outlineLevel="0" collapsed="false">
      <c r="A75" s="3" t="s">
        <v>2993</v>
      </c>
      <c r="B75" s="3" t="s">
        <v>3048</v>
      </c>
      <c r="C75" s="3" t="s">
        <v>892</v>
      </c>
      <c r="D75" s="3" t="s">
        <v>1688</v>
      </c>
      <c r="E75" s="3" t="s">
        <v>50</v>
      </c>
      <c r="F75" s="12" t="n">
        <v>565000</v>
      </c>
      <c r="G75" s="13" t="n">
        <v>0.95</v>
      </c>
      <c r="H75" s="13" t="n">
        <v>1.08</v>
      </c>
      <c r="I75" s="13" t="n">
        <v>0.8467</v>
      </c>
      <c r="J75" s="13" t="n">
        <v>0.53</v>
      </c>
      <c r="K75" s="12" t="n">
        <f aca="false">ROUND(F75/100*G75*H75*I75/J75,2)</f>
        <v>9260.82</v>
      </c>
      <c r="L75" s="12" t="n">
        <v>9260.82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3049</v>
      </c>
      <c r="B76" s="14" t="s">
        <v>3050</v>
      </c>
      <c r="C76" s="14" t="s">
        <v>220</v>
      </c>
      <c r="D76" s="14" t="s">
        <v>3051</v>
      </c>
      <c r="E76" s="14" t="s">
        <v>56</v>
      </c>
      <c r="F76" s="15" t="n">
        <v>360000</v>
      </c>
      <c r="G76" s="16" t="n">
        <v>0.75</v>
      </c>
      <c r="H76" s="16" t="n">
        <v>1.01</v>
      </c>
      <c r="I76" s="16" t="n">
        <v>0.8467</v>
      </c>
      <c r="J76" s="16" t="n">
        <v>0.53</v>
      </c>
      <c r="K76" s="15" t="n">
        <f aca="false">ROUND(F76/100*G76*H76*I76/J76,2)</f>
        <v>4356.51</v>
      </c>
      <c r="L76" s="15" t="n">
        <v>4356.51</v>
      </c>
      <c r="M76" s="15" t="n">
        <f aca="false">L76-K76</f>
        <v>0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2952</v>
      </c>
      <c r="B77" s="3" t="s">
        <v>3052</v>
      </c>
      <c r="C77" s="3" t="s">
        <v>120</v>
      </c>
      <c r="D77" s="3" t="s">
        <v>49</v>
      </c>
      <c r="E77" s="3" t="s">
        <v>50</v>
      </c>
      <c r="F77" s="12" t="n">
        <v>300000</v>
      </c>
      <c r="G77" s="13" t="n">
        <v>1.15</v>
      </c>
      <c r="H77" s="13" t="n">
        <v>1.15</v>
      </c>
      <c r="I77" s="13" t="n">
        <v>0.8467</v>
      </c>
      <c r="J77" s="13" t="n">
        <v>0.53</v>
      </c>
      <c r="K77" s="12" t="n">
        <f aca="false">ROUND(F77/100*G77*H77*I77/J77,2)</f>
        <v>6338.27</v>
      </c>
      <c r="L77" s="12" t="n">
        <v>6338.27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2940</v>
      </c>
      <c r="B78" s="14" t="s">
        <v>3053</v>
      </c>
      <c r="C78" s="14" t="s">
        <v>64</v>
      </c>
      <c r="D78" s="14" t="s">
        <v>182</v>
      </c>
      <c r="E78" s="14" t="s">
        <v>56</v>
      </c>
      <c r="F78" s="15" t="n">
        <v>1175000</v>
      </c>
      <c r="G78" s="16" t="n">
        <v>0.55</v>
      </c>
      <c r="H78" s="16" t="n">
        <v>1.17</v>
      </c>
      <c r="I78" s="16" t="n">
        <v>0.8467</v>
      </c>
      <c r="J78" s="16" t="n">
        <v>0.53</v>
      </c>
      <c r="K78" s="15" t="n">
        <f aca="false">ROUND(F78/100*G78*H78*I78/J78,2)</f>
        <v>12079.25</v>
      </c>
      <c r="L78" s="15" t="n">
        <v>12079.25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2967</v>
      </c>
      <c r="B79" s="3" t="s">
        <v>3054</v>
      </c>
      <c r="C79" s="3" t="s">
        <v>128</v>
      </c>
      <c r="D79" s="3" t="s">
        <v>3055</v>
      </c>
      <c r="E79" s="3" t="s">
        <v>74</v>
      </c>
      <c r="F79" s="12" t="n">
        <v>270000</v>
      </c>
      <c r="G79" s="13" t="n">
        <v>0.48</v>
      </c>
      <c r="H79" s="13" t="n">
        <v>1.25</v>
      </c>
      <c r="I79" s="13" t="n">
        <v>0.8467</v>
      </c>
      <c r="J79" s="13" t="n">
        <v>0.53</v>
      </c>
      <c r="K79" s="12" t="n">
        <f aca="false">ROUND(F79/100*G79*H79*I79/J79,2)</f>
        <v>2588.03</v>
      </c>
      <c r="L79" s="12" t="n">
        <v>2588.02</v>
      </c>
      <c r="M79" s="12" t="n">
        <f aca="false">L79-K79</f>
        <v>-0.0100000000002183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2952</v>
      </c>
      <c r="B80" s="14" t="s">
        <v>3056</v>
      </c>
      <c r="C80" s="14" t="s">
        <v>184</v>
      </c>
      <c r="D80" s="14" t="s">
        <v>1002</v>
      </c>
      <c r="E80" s="14" t="s">
        <v>50</v>
      </c>
      <c r="F80" s="15" t="n">
        <v>1455000</v>
      </c>
      <c r="G80" s="16" t="n">
        <v>0.8</v>
      </c>
      <c r="H80" s="16" t="n">
        <v>1.02</v>
      </c>
      <c r="I80" s="16" t="n">
        <v>0.8467</v>
      </c>
      <c r="J80" s="16" t="n">
        <v>0.53</v>
      </c>
      <c r="K80" s="15" t="n">
        <f aca="false">ROUND(F80/100*G80*H80*I80/J80,2)</f>
        <v>18967.36</v>
      </c>
      <c r="L80" s="15" t="n">
        <v>18967.36</v>
      </c>
      <c r="M80" s="15" t="n">
        <f aca="false">L80-K80</f>
        <v>0</v>
      </c>
      <c r="N80" s="14" t="s">
        <v>51</v>
      </c>
      <c r="O80" s="14" t="s">
        <v>52</v>
      </c>
    </row>
    <row r="81" customFormat="false" ht="15" hidden="false" customHeight="false" outlineLevel="0" collapsed="false">
      <c r="A81" s="3" t="s">
        <v>2959</v>
      </c>
      <c r="B81" s="3" t="s">
        <v>3057</v>
      </c>
      <c r="C81" s="3" t="s">
        <v>196</v>
      </c>
      <c r="D81" s="3" t="s">
        <v>1335</v>
      </c>
      <c r="E81" s="3" t="s">
        <v>56</v>
      </c>
      <c r="F81" s="12" t="n">
        <v>615000</v>
      </c>
      <c r="G81" s="13" t="n">
        <v>0.65</v>
      </c>
      <c r="H81" s="13" t="n">
        <v>1.04</v>
      </c>
      <c r="I81" s="13" t="n">
        <v>0.8467</v>
      </c>
      <c r="J81" s="13" t="n">
        <v>0.53</v>
      </c>
      <c r="K81" s="12" t="n">
        <f aca="false">ROUND(F81/100*G81*H81*I81/J81,2)</f>
        <v>6641.64</v>
      </c>
      <c r="L81" s="12" t="n">
        <v>6641.64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2947</v>
      </c>
      <c r="B82" s="14" t="s">
        <v>3058</v>
      </c>
      <c r="C82" s="14" t="s">
        <v>409</v>
      </c>
      <c r="D82" s="14" t="s">
        <v>766</v>
      </c>
      <c r="E82" s="14" t="s">
        <v>50</v>
      </c>
      <c r="F82" s="15" t="n">
        <v>1165000</v>
      </c>
      <c r="G82" s="16" t="n">
        <v>0.8</v>
      </c>
      <c r="H82" s="16" t="n">
        <v>1.3</v>
      </c>
      <c r="I82" s="16" t="n">
        <v>0.8467</v>
      </c>
      <c r="J82" s="16" t="n">
        <v>0.53</v>
      </c>
      <c r="K82" s="15" t="n">
        <f aca="false">ROUND(F82/100*G82*H82*I82/J82,2)</f>
        <v>19355.88</v>
      </c>
      <c r="L82" s="15" t="n">
        <v>19355.88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2988</v>
      </c>
      <c r="B83" s="3" t="s">
        <v>3059</v>
      </c>
      <c r="C83" s="3" t="s">
        <v>81</v>
      </c>
      <c r="D83" s="3" t="s">
        <v>3060</v>
      </c>
      <c r="E83" s="3" t="s">
        <v>56</v>
      </c>
      <c r="F83" s="12" t="n">
        <v>600000</v>
      </c>
      <c r="G83" s="13" t="n">
        <v>0.65</v>
      </c>
      <c r="H83" s="13" t="n">
        <v>1.27</v>
      </c>
      <c r="I83" s="13" t="n">
        <v>0.8467</v>
      </c>
      <c r="J83" s="13" t="n">
        <v>0.53</v>
      </c>
      <c r="K83" s="12" t="n">
        <f aca="false">ROUND(F83/100*G83*H83*I83/J83,2)</f>
        <v>7912.65</v>
      </c>
      <c r="L83" s="12" t="n">
        <v>7912.65</v>
      </c>
      <c r="M83" s="12" t="n">
        <f aca="false">L83-K83</f>
        <v>0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2938</v>
      </c>
      <c r="B84" s="14" t="s">
        <v>3061</v>
      </c>
      <c r="C84" s="14" t="s">
        <v>89</v>
      </c>
      <c r="D84" s="14" t="s">
        <v>2394</v>
      </c>
      <c r="E84" s="14" t="s">
        <v>74</v>
      </c>
      <c r="F84" s="15" t="n">
        <v>1155000</v>
      </c>
      <c r="G84" s="16" t="n">
        <v>0.38</v>
      </c>
      <c r="H84" s="16" t="n">
        <v>1.35</v>
      </c>
      <c r="I84" s="16" t="n">
        <v>0.8467</v>
      </c>
      <c r="J84" s="16" t="n">
        <v>0.53</v>
      </c>
      <c r="K84" s="15" t="n">
        <f aca="false">ROUND(F84/100*G84*H84*I84/J84,2)</f>
        <v>9465.71</v>
      </c>
      <c r="L84" s="15" t="n">
        <v>9465.71</v>
      </c>
      <c r="M84" s="15" t="n">
        <f aca="false">L84-K84</f>
        <v>0</v>
      </c>
      <c r="N84" s="14" t="s">
        <v>51</v>
      </c>
      <c r="O84" s="14" t="s">
        <v>52</v>
      </c>
    </row>
    <row r="85" customFormat="false" ht="15" hidden="false" customHeight="false" outlineLevel="0" collapsed="false">
      <c r="A85" s="3" t="s">
        <v>2959</v>
      </c>
      <c r="B85" s="3" t="s">
        <v>3062</v>
      </c>
      <c r="C85" s="3" t="s">
        <v>193</v>
      </c>
      <c r="D85" s="3" t="s">
        <v>3063</v>
      </c>
      <c r="E85" s="3" t="s">
        <v>56</v>
      </c>
      <c r="F85" s="12" t="n">
        <v>260000</v>
      </c>
      <c r="G85" s="13" t="n">
        <v>0.75</v>
      </c>
      <c r="H85" s="13" t="n">
        <v>1.25</v>
      </c>
      <c r="I85" s="13" t="n">
        <v>0.8467</v>
      </c>
      <c r="J85" s="13" t="n">
        <v>0.53</v>
      </c>
      <c r="K85" s="12" t="n">
        <f aca="false">ROUND(F85/100*G85*H85*I85/J85,2)</f>
        <v>3894.02</v>
      </c>
      <c r="L85" s="12" t="n">
        <v>3894.02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3005</v>
      </c>
      <c r="B86" s="14" t="s">
        <v>3064</v>
      </c>
      <c r="C86" s="14" t="s">
        <v>159</v>
      </c>
      <c r="D86" s="14" t="s">
        <v>3065</v>
      </c>
      <c r="E86" s="14" t="s">
        <v>50</v>
      </c>
      <c r="F86" s="15" t="n">
        <v>910000</v>
      </c>
      <c r="G86" s="16" t="n">
        <v>0.95</v>
      </c>
      <c r="H86" s="16" t="n">
        <v>1.15</v>
      </c>
      <c r="I86" s="16" t="n">
        <v>0.8467</v>
      </c>
      <c r="J86" s="16" t="n">
        <v>0.53</v>
      </c>
      <c r="K86" s="15" t="n">
        <f aca="false">ROUND(F86/100*G86*H86*I86/J86,2)</f>
        <v>15882.41</v>
      </c>
      <c r="L86" s="15" t="n">
        <v>15882.42</v>
      </c>
      <c r="M86" s="15" t="n">
        <f aca="false">L86-K86</f>
        <v>0.0100000000002183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3005</v>
      </c>
      <c r="B87" s="3" t="s">
        <v>3066</v>
      </c>
      <c r="C87" s="3" t="s">
        <v>305</v>
      </c>
      <c r="D87" s="3" t="s">
        <v>782</v>
      </c>
      <c r="E87" s="3" t="s">
        <v>56</v>
      </c>
      <c r="F87" s="12" t="n">
        <v>320000</v>
      </c>
      <c r="G87" s="13" t="n">
        <v>0.75</v>
      </c>
      <c r="H87" s="13" t="n">
        <v>1.12</v>
      </c>
      <c r="I87" s="13" t="n">
        <v>0.8467</v>
      </c>
      <c r="J87" s="13" t="n">
        <v>0.53</v>
      </c>
      <c r="K87" s="12" t="n">
        <f aca="false">ROUND(F87/100*G87*H87*I87/J87,2)</f>
        <v>4294.21</v>
      </c>
      <c r="L87" s="12" t="n">
        <v>4294.21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2976</v>
      </c>
      <c r="B88" s="14" t="s">
        <v>3067</v>
      </c>
      <c r="C88" s="14" t="s">
        <v>300</v>
      </c>
      <c r="D88" s="14" t="s">
        <v>1592</v>
      </c>
      <c r="E88" s="14" t="s">
        <v>56</v>
      </c>
      <c r="F88" s="15" t="n">
        <v>325000</v>
      </c>
      <c r="G88" s="16" t="n">
        <v>0.75</v>
      </c>
      <c r="H88" s="16" t="n">
        <v>1.11</v>
      </c>
      <c r="I88" s="16" t="n">
        <v>0.8467</v>
      </c>
      <c r="J88" s="16" t="n">
        <v>0.53</v>
      </c>
      <c r="K88" s="15" t="n">
        <f aca="false">ROUND(F88/100*G88*H88*I88/J88,2)</f>
        <v>4322.36</v>
      </c>
      <c r="L88" s="15" t="n">
        <v>4322.36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3068</v>
      </c>
      <c r="B89" s="3" t="s">
        <v>3069</v>
      </c>
      <c r="C89" s="3" t="s">
        <v>462</v>
      </c>
      <c r="D89" s="3" t="s">
        <v>859</v>
      </c>
      <c r="E89" s="3" t="s">
        <v>56</v>
      </c>
      <c r="F89" s="12" t="n">
        <v>425000</v>
      </c>
      <c r="G89" s="13" t="n">
        <v>0.75</v>
      </c>
      <c r="H89" s="13" t="n">
        <v>1.34</v>
      </c>
      <c r="I89" s="13" t="n">
        <v>0.8467</v>
      </c>
      <c r="J89" s="13" t="n">
        <v>0.53</v>
      </c>
      <c r="K89" s="12" t="n">
        <f aca="false">ROUND(F89/100*G89*H89*I89/J89,2)</f>
        <v>6823.52</v>
      </c>
      <c r="L89" s="12" t="n">
        <v>6823.52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3024</v>
      </c>
      <c r="B90" s="14" t="s">
        <v>3070</v>
      </c>
      <c r="C90" s="14" t="s">
        <v>188</v>
      </c>
      <c r="D90" s="14" t="s">
        <v>2824</v>
      </c>
      <c r="E90" s="14" t="s">
        <v>50</v>
      </c>
      <c r="F90" s="15" t="n">
        <v>1115000</v>
      </c>
      <c r="G90" s="16" t="n">
        <v>0.8</v>
      </c>
      <c r="H90" s="16" t="n">
        <v>1.35</v>
      </c>
      <c r="I90" s="16" t="n">
        <v>0.8467</v>
      </c>
      <c r="J90" s="16" t="n">
        <v>0.53</v>
      </c>
      <c r="K90" s="15" t="n">
        <f aca="false">ROUND(F90/100*G90*H90*I90/J90,2)</f>
        <v>19237.66</v>
      </c>
      <c r="L90" s="15" t="n">
        <v>19237.66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2972</v>
      </c>
      <c r="B91" s="3" t="s">
        <v>3071</v>
      </c>
      <c r="C91" s="3" t="s">
        <v>59</v>
      </c>
      <c r="D91" s="3" t="s">
        <v>1360</v>
      </c>
      <c r="E91" s="3" t="s">
        <v>56</v>
      </c>
      <c r="F91" s="12" t="n">
        <v>945000</v>
      </c>
      <c r="G91" s="13" t="n">
        <v>0.65</v>
      </c>
      <c r="H91" s="13" t="n">
        <v>0.97</v>
      </c>
      <c r="I91" s="13" t="n">
        <v>0.8467</v>
      </c>
      <c r="J91" s="13" t="n">
        <v>0.53</v>
      </c>
      <c r="K91" s="12" t="n">
        <f aca="false">ROUND(F91/100*G91*H91*I91/J91,2)</f>
        <v>9518.55</v>
      </c>
      <c r="L91" s="12" t="n">
        <v>9518.54</v>
      </c>
      <c r="M91" s="12" t="n">
        <f aca="false">L91-K91</f>
        <v>-0.00999999999839929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2993</v>
      </c>
      <c r="B92" s="14" t="s">
        <v>3072</v>
      </c>
      <c r="C92" s="14" t="s">
        <v>59</v>
      </c>
      <c r="D92" s="14" t="s">
        <v>3073</v>
      </c>
      <c r="E92" s="14" t="s">
        <v>74</v>
      </c>
      <c r="F92" s="15" t="n">
        <v>360000</v>
      </c>
      <c r="G92" s="16" t="n">
        <v>0.48</v>
      </c>
      <c r="H92" s="16" t="n">
        <v>0.97</v>
      </c>
      <c r="I92" s="16" t="n">
        <v>0.8467</v>
      </c>
      <c r="J92" s="16" t="n">
        <v>0.53</v>
      </c>
      <c r="K92" s="15" t="n">
        <f aca="false">ROUND(F92/100*G92*H92*I92/J92,2)</f>
        <v>2677.74</v>
      </c>
      <c r="L92" s="15" t="n">
        <v>2677.75</v>
      </c>
      <c r="M92" s="15" t="n">
        <f aca="false">L92-K92</f>
        <v>0.0100000000002183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2938</v>
      </c>
      <c r="B93" s="3" t="s">
        <v>3074</v>
      </c>
      <c r="C93" s="3" t="s">
        <v>892</v>
      </c>
      <c r="D93" s="3" t="s">
        <v>123</v>
      </c>
      <c r="E93" s="3" t="s">
        <v>50</v>
      </c>
      <c r="F93" s="12" t="n">
        <v>550000</v>
      </c>
      <c r="G93" s="13" t="n">
        <v>0.95</v>
      </c>
      <c r="H93" s="13" t="n">
        <v>1.08</v>
      </c>
      <c r="I93" s="13" t="n">
        <v>0.8467</v>
      </c>
      <c r="J93" s="13" t="n">
        <v>0.53</v>
      </c>
      <c r="K93" s="12" t="n">
        <f aca="false">ROUND(F93/100*G93*H93*I93/J93,2)</f>
        <v>9014.96</v>
      </c>
      <c r="L93" s="12" t="n">
        <v>9014.96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2938</v>
      </c>
      <c r="B94" s="14" t="s">
        <v>3075</v>
      </c>
      <c r="C94" s="14" t="s">
        <v>224</v>
      </c>
      <c r="D94" s="14" t="s">
        <v>373</v>
      </c>
      <c r="E94" s="14" t="s">
        <v>56</v>
      </c>
      <c r="F94" s="15" t="n">
        <v>435000</v>
      </c>
      <c r="G94" s="16" t="n">
        <v>0.75</v>
      </c>
      <c r="H94" s="16" t="n">
        <v>1.1</v>
      </c>
      <c r="I94" s="16" t="n">
        <v>0.8467</v>
      </c>
      <c r="J94" s="16" t="n">
        <v>0.53</v>
      </c>
      <c r="K94" s="15" t="n">
        <f aca="false">ROUND(F94/100*G94*H94*I94/J94,2)</f>
        <v>5733.2</v>
      </c>
      <c r="L94" s="15" t="n">
        <v>5733.2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3013</v>
      </c>
      <c r="B95" s="3" t="s">
        <v>3076</v>
      </c>
      <c r="C95" s="3" t="s">
        <v>139</v>
      </c>
      <c r="D95" s="3" t="s">
        <v>624</v>
      </c>
      <c r="E95" s="3" t="s">
        <v>56</v>
      </c>
      <c r="F95" s="12" t="n">
        <v>535000</v>
      </c>
      <c r="G95" s="13" t="n">
        <v>0.65</v>
      </c>
      <c r="H95" s="13" t="n">
        <v>1.23</v>
      </c>
      <c r="I95" s="13" t="n">
        <v>0.8467</v>
      </c>
      <c r="J95" s="13" t="n">
        <v>0.53</v>
      </c>
      <c r="K95" s="12" t="n">
        <f aca="false">ROUND(F95/100*G95*H95*I95/J95,2)</f>
        <v>6833.23</v>
      </c>
      <c r="L95" s="12" t="n">
        <v>6833.22</v>
      </c>
      <c r="M95" s="12" t="n">
        <f aca="false">L95-K95</f>
        <v>-0.00999999999930878</v>
      </c>
      <c r="N95" s="3" t="s">
        <v>51</v>
      </c>
      <c r="O95" s="3" t="s">
        <v>52</v>
      </c>
    </row>
    <row r="96" customFormat="false" ht="15" hidden="false" customHeight="false" outlineLevel="0" collapsed="false">
      <c r="A96" s="14" t="s">
        <v>3013</v>
      </c>
      <c r="B96" s="14" t="s">
        <v>3077</v>
      </c>
      <c r="C96" s="14" t="s">
        <v>295</v>
      </c>
      <c r="D96" s="14" t="s">
        <v>2067</v>
      </c>
      <c r="E96" s="14" t="s">
        <v>50</v>
      </c>
      <c r="F96" s="15" t="n">
        <v>320000</v>
      </c>
      <c r="G96" s="16" t="n">
        <v>1.15</v>
      </c>
      <c r="H96" s="16" t="n">
        <v>1.2</v>
      </c>
      <c r="I96" s="16" t="n">
        <v>0.8467</v>
      </c>
      <c r="J96" s="16" t="n">
        <v>0.53</v>
      </c>
      <c r="K96" s="15" t="n">
        <f aca="false">ROUND(F96/100*G96*H96*I96/J96,2)</f>
        <v>7054.77</v>
      </c>
      <c r="L96" s="15" t="n">
        <v>7054.77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2952</v>
      </c>
      <c r="B97" s="3" t="s">
        <v>3078</v>
      </c>
      <c r="C97" s="3" t="s">
        <v>85</v>
      </c>
      <c r="D97" s="3" t="s">
        <v>1315</v>
      </c>
      <c r="E97" s="3" t="s">
        <v>56</v>
      </c>
      <c r="F97" s="12" t="n">
        <v>1295000</v>
      </c>
      <c r="G97" s="13" t="n">
        <v>0.55</v>
      </c>
      <c r="H97" s="13" t="n">
        <v>1.28</v>
      </c>
      <c r="I97" s="13" t="n">
        <v>0.8467</v>
      </c>
      <c r="J97" s="13" t="n">
        <v>0.53</v>
      </c>
      <c r="K97" s="12" t="n">
        <f aca="false">ROUND(F97/100*G97*H97*I97/J97,2)</f>
        <v>14564.52</v>
      </c>
      <c r="L97" s="12" t="n">
        <v>14564.52</v>
      </c>
      <c r="M97" s="12" t="n">
        <f aca="false">L97-K97</f>
        <v>0</v>
      </c>
      <c r="N97" s="3" t="s">
        <v>51</v>
      </c>
      <c r="O97" s="3" t="s">
        <v>52</v>
      </c>
    </row>
    <row r="98" customFormat="false" ht="15" hidden="false" customHeight="false" outlineLevel="0" collapsed="false">
      <c r="A98" s="14" t="s">
        <v>2952</v>
      </c>
      <c r="B98" s="14" t="s">
        <v>3079</v>
      </c>
      <c r="C98" s="14" t="s">
        <v>48</v>
      </c>
      <c r="D98" s="14" t="s">
        <v>1360</v>
      </c>
      <c r="E98" s="14" t="s">
        <v>56</v>
      </c>
      <c r="F98" s="15" t="n">
        <v>915000</v>
      </c>
      <c r="G98" s="16" t="n">
        <v>0.65</v>
      </c>
      <c r="H98" s="16" t="n">
        <v>1.28</v>
      </c>
      <c r="I98" s="16" t="n">
        <v>0.8467</v>
      </c>
      <c r="J98" s="16" t="n">
        <v>0.53</v>
      </c>
      <c r="K98" s="15" t="n">
        <f aca="false">ROUND(F98/100*G98*H98*I98/J98,2)</f>
        <v>12161.81</v>
      </c>
      <c r="L98" s="15" t="n">
        <v>12161.8</v>
      </c>
      <c r="M98" s="15" t="n">
        <f aca="false">L98-K98</f>
        <v>-0.0100000000002183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2969</v>
      </c>
      <c r="B99" s="3" t="s">
        <v>3080</v>
      </c>
      <c r="C99" s="3" t="s">
        <v>193</v>
      </c>
      <c r="D99" s="3" t="s">
        <v>1806</v>
      </c>
      <c r="E99" s="3" t="s">
        <v>56</v>
      </c>
      <c r="F99" s="12" t="n">
        <v>310000</v>
      </c>
      <c r="G99" s="13" t="n">
        <v>0.75</v>
      </c>
      <c r="H99" s="13" t="n">
        <v>1.25</v>
      </c>
      <c r="I99" s="13" t="n">
        <v>0.8467</v>
      </c>
      <c r="J99" s="13" t="n">
        <v>0.53</v>
      </c>
      <c r="K99" s="12" t="n">
        <f aca="false">ROUND(F99/100*G99*H99*I99/J99,2)</f>
        <v>4642.87</v>
      </c>
      <c r="L99" s="12" t="n">
        <v>4642.87</v>
      </c>
      <c r="M99" s="12" t="n">
        <f aca="false">L99-K99</f>
        <v>0</v>
      </c>
      <c r="N99" s="3" t="s">
        <v>51</v>
      </c>
      <c r="O99" s="3" t="s">
        <v>52</v>
      </c>
    </row>
    <row r="100" customFormat="false" ht="15" hidden="false" customHeight="false" outlineLevel="0" collapsed="false">
      <c r="A100" s="14" t="s">
        <v>2965</v>
      </c>
      <c r="B100" s="14" t="s">
        <v>3081</v>
      </c>
      <c r="C100" s="14" t="s">
        <v>305</v>
      </c>
      <c r="D100" s="14" t="s">
        <v>170</v>
      </c>
      <c r="E100" s="14" t="s">
        <v>56</v>
      </c>
      <c r="F100" s="15" t="n">
        <v>270000</v>
      </c>
      <c r="G100" s="16" t="n">
        <v>0.75</v>
      </c>
      <c r="H100" s="16" t="n">
        <v>1.12</v>
      </c>
      <c r="I100" s="16" t="n">
        <v>0.8467</v>
      </c>
      <c r="J100" s="16" t="n">
        <v>0.53</v>
      </c>
      <c r="K100" s="15" t="n">
        <f aca="false">ROUND(F100/100*G100*H100*I100/J100,2)</f>
        <v>3623.24</v>
      </c>
      <c r="L100" s="15" t="n">
        <v>3623.24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3028</v>
      </c>
      <c r="B101" s="3" t="s">
        <v>3082</v>
      </c>
      <c r="C101" s="3" t="s">
        <v>81</v>
      </c>
      <c r="D101" s="3" t="s">
        <v>197</v>
      </c>
      <c r="E101" s="3" t="s">
        <v>74</v>
      </c>
      <c r="F101" s="12" t="n">
        <v>620000</v>
      </c>
      <c r="G101" s="13" t="n">
        <v>0.43</v>
      </c>
      <c r="H101" s="13" t="n">
        <v>1.27</v>
      </c>
      <c r="I101" s="13" t="n">
        <v>0.8467</v>
      </c>
      <c r="J101" s="13" t="n">
        <v>0.53</v>
      </c>
      <c r="K101" s="12" t="n">
        <f aca="false">ROUND(F101/100*G101*H101*I101/J101,2)</f>
        <v>5409.01</v>
      </c>
      <c r="L101" s="12" t="n">
        <v>5409.01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2969</v>
      </c>
      <c r="B102" s="14" t="s">
        <v>3083</v>
      </c>
      <c r="C102" s="14" t="s">
        <v>68</v>
      </c>
      <c r="D102" s="14" t="s">
        <v>1434</v>
      </c>
      <c r="E102" s="14" t="s">
        <v>56</v>
      </c>
      <c r="F102" s="15" t="n">
        <v>985000</v>
      </c>
      <c r="G102" s="16" t="n">
        <v>0.65</v>
      </c>
      <c r="H102" s="16" t="n">
        <v>1.38</v>
      </c>
      <c r="I102" s="16" t="n">
        <v>0.8467</v>
      </c>
      <c r="J102" s="16" t="n">
        <v>0.53</v>
      </c>
      <c r="K102" s="15" t="n">
        <f aca="false">ROUND(F102/100*G102*H102*I102/J102,2)</f>
        <v>14115.05</v>
      </c>
      <c r="L102" s="15" t="n">
        <v>14115.05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2967</v>
      </c>
      <c r="B103" s="3" t="s">
        <v>3084</v>
      </c>
      <c r="C103" s="3" t="s">
        <v>93</v>
      </c>
      <c r="D103" s="3" t="s">
        <v>287</v>
      </c>
      <c r="E103" s="3" t="s">
        <v>56</v>
      </c>
      <c r="F103" s="12" t="n">
        <v>280000</v>
      </c>
      <c r="G103" s="13" t="n">
        <v>0.75</v>
      </c>
      <c r="H103" s="13" t="n">
        <v>1.39</v>
      </c>
      <c r="I103" s="13" t="n">
        <v>0.8467</v>
      </c>
      <c r="J103" s="13" t="n">
        <v>0.53</v>
      </c>
      <c r="K103" s="12" t="n">
        <f aca="false">ROUND(F103/100*G103*H103*I103/J103,2)</f>
        <v>4663.24</v>
      </c>
      <c r="L103" s="12" t="n">
        <v>4663.24</v>
      </c>
      <c r="M103" s="12" t="n">
        <f aca="false">L103-K103</f>
        <v>0</v>
      </c>
      <c r="N103" s="3" t="s">
        <v>51</v>
      </c>
      <c r="O103" s="3" t="s">
        <v>52</v>
      </c>
    </row>
    <row r="104" customFormat="false" ht="15" hidden="false" customHeight="false" outlineLevel="0" collapsed="false">
      <c r="A104" s="14" t="s">
        <v>2959</v>
      </c>
      <c r="B104" s="14" t="s">
        <v>3085</v>
      </c>
      <c r="C104" s="14" t="s">
        <v>142</v>
      </c>
      <c r="D104" s="14" t="s">
        <v>398</v>
      </c>
      <c r="E104" s="14" t="s">
        <v>56</v>
      </c>
      <c r="F104" s="15" t="n">
        <v>1195000</v>
      </c>
      <c r="G104" s="16" t="n">
        <v>0.55</v>
      </c>
      <c r="H104" s="16" t="n">
        <v>1.22</v>
      </c>
      <c r="I104" s="16" t="n">
        <v>0.8467</v>
      </c>
      <c r="J104" s="16" t="n">
        <v>0.53</v>
      </c>
      <c r="K104" s="15" t="n">
        <f aca="false">ROUND(F104/100*G104*H104*I104/J104,2)</f>
        <v>12809.85</v>
      </c>
      <c r="L104" s="15" t="n">
        <v>12809.85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2965</v>
      </c>
      <c r="B105" s="3" t="s">
        <v>3086</v>
      </c>
      <c r="C105" s="3" t="s">
        <v>210</v>
      </c>
      <c r="D105" s="3" t="s">
        <v>1849</v>
      </c>
      <c r="E105" s="3" t="s">
        <v>56</v>
      </c>
      <c r="F105" s="12" t="n">
        <v>615000</v>
      </c>
      <c r="G105" s="13" t="n">
        <v>0.65</v>
      </c>
      <c r="H105" s="13" t="n">
        <v>1.21</v>
      </c>
      <c r="I105" s="13" t="n">
        <v>0.8467</v>
      </c>
      <c r="J105" s="13" t="n">
        <v>0.53</v>
      </c>
      <c r="K105" s="12" t="n">
        <f aca="false">ROUND(F105/100*G105*H105*I105/J105,2)</f>
        <v>7727.3</v>
      </c>
      <c r="L105" s="12" t="n">
        <v>7727.3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2965</v>
      </c>
      <c r="B106" s="14" t="s">
        <v>3087</v>
      </c>
      <c r="C106" s="14" t="s">
        <v>77</v>
      </c>
      <c r="D106" s="14" t="s">
        <v>2112</v>
      </c>
      <c r="E106" s="14" t="s">
        <v>56</v>
      </c>
      <c r="F106" s="15" t="n">
        <v>495000</v>
      </c>
      <c r="G106" s="16" t="n">
        <v>0.75</v>
      </c>
      <c r="H106" s="16" t="n">
        <v>1.42</v>
      </c>
      <c r="I106" s="16" t="n">
        <v>0.8467</v>
      </c>
      <c r="J106" s="16" t="n">
        <v>0.53</v>
      </c>
      <c r="K106" s="15" t="n">
        <f aca="false">ROUND(F106/100*G106*H106*I106/J106,2)</f>
        <v>8421.87</v>
      </c>
      <c r="L106" s="15" t="n">
        <v>8421.87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3068</v>
      </c>
      <c r="B107" s="3" t="s">
        <v>3088</v>
      </c>
      <c r="C107" s="3" t="s">
        <v>145</v>
      </c>
      <c r="D107" s="3" t="s">
        <v>324</v>
      </c>
      <c r="E107" s="3" t="s">
        <v>56</v>
      </c>
      <c r="F107" s="12" t="n">
        <v>665000</v>
      </c>
      <c r="G107" s="13" t="n">
        <v>0.65</v>
      </c>
      <c r="H107" s="13" t="n">
        <v>0.96</v>
      </c>
      <c r="I107" s="13" t="n">
        <v>0.8467</v>
      </c>
      <c r="J107" s="13" t="n">
        <v>0.53</v>
      </c>
      <c r="K107" s="12" t="n">
        <f aca="false">ROUND(F107/100*G107*H107*I107/J107,2)</f>
        <v>6629.18</v>
      </c>
      <c r="L107" s="12" t="n">
        <v>6629.18</v>
      </c>
      <c r="M107" s="12" t="n">
        <f aca="false">L107-K107</f>
        <v>0</v>
      </c>
      <c r="N107" s="3" t="s">
        <v>51</v>
      </c>
      <c r="O107" s="3" t="s">
        <v>52</v>
      </c>
    </row>
    <row r="108" customFormat="false" ht="15" hidden="false" customHeight="false" outlineLevel="0" collapsed="false">
      <c r="A108" s="14" t="s">
        <v>3011</v>
      </c>
      <c r="B108" s="14" t="s">
        <v>3089</v>
      </c>
      <c r="C108" s="14" t="s">
        <v>89</v>
      </c>
      <c r="D108" s="14" t="s">
        <v>1560</v>
      </c>
      <c r="E108" s="14" t="s">
        <v>56</v>
      </c>
      <c r="F108" s="15" t="n">
        <v>305000</v>
      </c>
      <c r="G108" s="16" t="n">
        <v>0.75</v>
      </c>
      <c r="H108" s="16" t="n">
        <v>1.35</v>
      </c>
      <c r="I108" s="16" t="n">
        <v>0.8467</v>
      </c>
      <c r="J108" s="16" t="n">
        <v>0.53</v>
      </c>
      <c r="K108" s="15" t="n">
        <f aca="false">ROUND(F108/100*G108*H108*I108/J108,2)</f>
        <v>4933.43</v>
      </c>
      <c r="L108" s="15" t="n">
        <v>4933.42</v>
      </c>
      <c r="M108" s="15" t="n">
        <f aca="false">L108-K108</f>
        <v>-0.0100000000002183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2972</v>
      </c>
      <c r="B109" s="3" t="s">
        <v>3090</v>
      </c>
      <c r="C109" s="3" t="s">
        <v>136</v>
      </c>
      <c r="D109" s="3" t="s">
        <v>1304</v>
      </c>
      <c r="E109" s="3" t="s">
        <v>56</v>
      </c>
      <c r="F109" s="12" t="n">
        <v>460000</v>
      </c>
      <c r="G109" s="13" t="n">
        <v>0.75</v>
      </c>
      <c r="H109" s="13" t="n">
        <v>1.32</v>
      </c>
      <c r="I109" s="13" t="n">
        <v>0.8467</v>
      </c>
      <c r="J109" s="13" t="n">
        <v>0.53</v>
      </c>
      <c r="K109" s="12" t="n">
        <f aca="false">ROUND(F109/100*G109*H109*I109/J109,2)</f>
        <v>7275.23</v>
      </c>
      <c r="L109" s="12" t="n">
        <v>7275.23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2940</v>
      </c>
      <c r="B110" s="14" t="s">
        <v>3091</v>
      </c>
      <c r="C110" s="14" t="s">
        <v>266</v>
      </c>
      <c r="D110" s="14" t="s">
        <v>2628</v>
      </c>
      <c r="E110" s="14" t="s">
        <v>56</v>
      </c>
      <c r="F110" s="15" t="n">
        <v>695000</v>
      </c>
      <c r="G110" s="16" t="n">
        <v>0.65</v>
      </c>
      <c r="H110" s="16" t="n">
        <v>1.1</v>
      </c>
      <c r="I110" s="16" t="n">
        <v>0.8467</v>
      </c>
      <c r="J110" s="16" t="n">
        <v>0.53</v>
      </c>
      <c r="K110" s="15" t="n">
        <f aca="false">ROUND(F110/100*G110*H110*I110/J110,2)</f>
        <v>7938.61</v>
      </c>
      <c r="L110" s="15" t="n">
        <v>7938.61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2950</v>
      </c>
      <c r="B111" s="3" t="s">
        <v>3092</v>
      </c>
      <c r="C111" s="3" t="s">
        <v>210</v>
      </c>
      <c r="D111" s="3" t="s">
        <v>3093</v>
      </c>
      <c r="E111" s="3" t="s">
        <v>50</v>
      </c>
      <c r="F111" s="12" t="n">
        <v>715000</v>
      </c>
      <c r="G111" s="13" t="n">
        <v>0.95</v>
      </c>
      <c r="H111" s="13" t="n">
        <v>1.21</v>
      </c>
      <c r="I111" s="13" t="n">
        <v>0.8467</v>
      </c>
      <c r="J111" s="13" t="n">
        <v>0.53</v>
      </c>
      <c r="K111" s="12" t="n">
        <f aca="false">ROUND(F111/100*G111*H111*I111/J111,2)</f>
        <v>13130.12</v>
      </c>
      <c r="L111" s="12" t="n">
        <v>13130.12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2957</v>
      </c>
      <c r="B112" s="14" t="s">
        <v>3094</v>
      </c>
      <c r="C112" s="14" t="s">
        <v>409</v>
      </c>
      <c r="D112" s="14" t="s">
        <v>3095</v>
      </c>
      <c r="E112" s="14" t="s">
        <v>157</v>
      </c>
      <c r="F112" s="15" t="n">
        <v>1395000</v>
      </c>
      <c r="G112" s="16" t="n">
        <v>0.68</v>
      </c>
      <c r="H112" s="16" t="n">
        <v>1.3</v>
      </c>
      <c r="I112" s="16" t="n">
        <v>0.8467</v>
      </c>
      <c r="J112" s="16" t="n">
        <v>0.53</v>
      </c>
      <c r="K112" s="15" t="n">
        <f aca="false">ROUND(F112/100*G112*H112*I112/J112,2)</f>
        <v>19700.63</v>
      </c>
      <c r="L112" s="15" t="n">
        <v>19700.63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2961</v>
      </c>
      <c r="B113" s="3" t="s">
        <v>3096</v>
      </c>
      <c r="C113" s="3" t="s">
        <v>435</v>
      </c>
      <c r="D113" s="3" t="s">
        <v>199</v>
      </c>
      <c r="E113" s="3" t="s">
        <v>56</v>
      </c>
      <c r="F113" s="12" t="n">
        <v>330000</v>
      </c>
      <c r="G113" s="13" t="n">
        <v>0.75</v>
      </c>
      <c r="H113" s="13" t="n">
        <v>1.13</v>
      </c>
      <c r="I113" s="13" t="n">
        <v>0.8467</v>
      </c>
      <c r="J113" s="13" t="n">
        <v>0.53</v>
      </c>
      <c r="K113" s="12" t="n">
        <f aca="false">ROUND(F113/100*G113*H113*I113/J113,2)</f>
        <v>4467.94</v>
      </c>
      <c r="L113" s="12" t="n">
        <v>4467.94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2965</v>
      </c>
      <c r="B114" s="14" t="s">
        <v>3097</v>
      </c>
      <c r="C114" s="14" t="s">
        <v>295</v>
      </c>
      <c r="D114" s="14" t="s">
        <v>3098</v>
      </c>
      <c r="E114" s="14" t="s">
        <v>74</v>
      </c>
      <c r="F114" s="15" t="n">
        <v>345000</v>
      </c>
      <c r="G114" s="16" t="n">
        <v>0.48</v>
      </c>
      <c r="H114" s="16" t="n">
        <v>1.2</v>
      </c>
      <c r="I114" s="16" t="n">
        <v>0.8467</v>
      </c>
      <c r="J114" s="16" t="n">
        <v>0.53</v>
      </c>
      <c r="K114" s="15" t="n">
        <f aca="false">ROUND(F114/100*G114*H114*I114/J114,2)</f>
        <v>3174.65</v>
      </c>
      <c r="L114" s="15" t="n">
        <v>3174.64</v>
      </c>
      <c r="M114" s="15" t="n">
        <f aca="false">L114-K114</f>
        <v>-0.0100000000002183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2938</v>
      </c>
      <c r="B115" s="3" t="s">
        <v>3099</v>
      </c>
      <c r="C115" s="3" t="s">
        <v>193</v>
      </c>
      <c r="D115" s="3" t="s">
        <v>3100</v>
      </c>
      <c r="E115" s="3" t="s">
        <v>157</v>
      </c>
      <c r="F115" s="12" t="n">
        <v>750000</v>
      </c>
      <c r="G115" s="13" t="n">
        <v>0.78</v>
      </c>
      <c r="H115" s="13" t="n">
        <v>1.25</v>
      </c>
      <c r="I115" s="13" t="n">
        <v>0.8467</v>
      </c>
      <c r="J115" s="13" t="n">
        <v>0.53</v>
      </c>
      <c r="K115" s="12" t="n">
        <f aca="false">ROUND(F115/100*G115*H115*I115/J115,2)</f>
        <v>11682.06</v>
      </c>
      <c r="L115" s="12" t="n">
        <v>11682.06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3049</v>
      </c>
      <c r="B116" s="14" t="s">
        <v>3101</v>
      </c>
      <c r="C116" s="14" t="s">
        <v>48</v>
      </c>
      <c r="D116" s="14" t="s">
        <v>3102</v>
      </c>
      <c r="E116" s="14" t="s">
        <v>74</v>
      </c>
      <c r="F116" s="15" t="n">
        <v>710000</v>
      </c>
      <c r="G116" s="16" t="n">
        <v>0.43</v>
      </c>
      <c r="H116" s="16" t="n">
        <v>1.28</v>
      </c>
      <c r="I116" s="16" t="n">
        <v>0.8467</v>
      </c>
      <c r="J116" s="16" t="n">
        <v>0.53</v>
      </c>
      <c r="K116" s="15" t="n">
        <f aca="false">ROUND(F116/100*G116*H116*I116/J116,2)</f>
        <v>6242.96</v>
      </c>
      <c r="L116" s="15" t="n">
        <v>6242.96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3024</v>
      </c>
      <c r="B117" s="3" t="s">
        <v>3103</v>
      </c>
      <c r="C117" s="3" t="s">
        <v>159</v>
      </c>
      <c r="D117" s="3" t="s">
        <v>1180</v>
      </c>
      <c r="E117" s="3" t="s">
        <v>50</v>
      </c>
      <c r="F117" s="12" t="n">
        <v>1250000</v>
      </c>
      <c r="G117" s="13" t="n">
        <v>0.8</v>
      </c>
      <c r="H117" s="13" t="n">
        <v>1.15</v>
      </c>
      <c r="I117" s="13" t="n">
        <v>0.8467</v>
      </c>
      <c r="J117" s="13" t="n">
        <v>0.53</v>
      </c>
      <c r="K117" s="12" t="n">
        <f aca="false">ROUND(F117/100*G117*H117*I117/J117,2)</f>
        <v>18371.79</v>
      </c>
      <c r="L117" s="12" t="n">
        <v>18371.79</v>
      </c>
      <c r="M117" s="12" t="n">
        <f aca="false">L117-K117</f>
        <v>0</v>
      </c>
      <c r="N117" s="3" t="s">
        <v>51</v>
      </c>
      <c r="O117" s="3" t="s">
        <v>52</v>
      </c>
    </row>
    <row r="118" customFormat="false" ht="15" hidden="false" customHeight="false" outlineLevel="0" collapsed="false">
      <c r="A118" s="14" t="s">
        <v>2997</v>
      </c>
      <c r="B118" s="14" t="s">
        <v>3104</v>
      </c>
      <c r="C118" s="14" t="s">
        <v>114</v>
      </c>
      <c r="D118" s="14" t="s">
        <v>713</v>
      </c>
      <c r="E118" s="14" t="s">
        <v>50</v>
      </c>
      <c r="F118" s="15" t="n">
        <v>1415000</v>
      </c>
      <c r="G118" s="16" t="n">
        <v>0.8</v>
      </c>
      <c r="H118" s="16" t="n">
        <v>1.36</v>
      </c>
      <c r="I118" s="16" t="n">
        <v>0.8467</v>
      </c>
      <c r="J118" s="16" t="n">
        <v>0.53</v>
      </c>
      <c r="K118" s="15" t="n">
        <f aca="false">ROUND(F118/100*G118*H118*I118/J118,2)</f>
        <v>24594.56</v>
      </c>
      <c r="L118" s="15" t="n">
        <v>24594.56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2997</v>
      </c>
      <c r="B119" s="3" t="s">
        <v>3105</v>
      </c>
      <c r="C119" s="3" t="s">
        <v>887</v>
      </c>
      <c r="D119" s="3" t="s">
        <v>429</v>
      </c>
      <c r="E119" s="3" t="s">
        <v>56</v>
      </c>
      <c r="F119" s="12" t="n">
        <v>885000</v>
      </c>
      <c r="G119" s="13" t="n">
        <v>0.65</v>
      </c>
      <c r="H119" s="13" t="n">
        <v>1.37</v>
      </c>
      <c r="I119" s="13" t="n">
        <v>0.8467</v>
      </c>
      <c r="J119" s="13" t="n">
        <v>0.53</v>
      </c>
      <c r="K119" s="12" t="n">
        <f aca="false">ROUND(F119/100*G119*H119*I119/J119,2)</f>
        <v>12590.15</v>
      </c>
      <c r="L119" s="12" t="n">
        <v>12590.15</v>
      </c>
      <c r="M119" s="12" t="n">
        <f aca="false">L119-K119</f>
        <v>0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3035</v>
      </c>
      <c r="B120" s="14" t="s">
        <v>3106</v>
      </c>
      <c r="C120" s="14" t="s">
        <v>193</v>
      </c>
      <c r="D120" s="14" t="s">
        <v>3107</v>
      </c>
      <c r="E120" s="14" t="s">
        <v>56</v>
      </c>
      <c r="F120" s="15" t="n">
        <v>610000</v>
      </c>
      <c r="G120" s="16" t="n">
        <v>0.65</v>
      </c>
      <c r="H120" s="16" t="n">
        <v>1.25</v>
      </c>
      <c r="I120" s="16" t="n">
        <v>0.8467</v>
      </c>
      <c r="J120" s="16" t="n">
        <v>0.53</v>
      </c>
      <c r="K120" s="15" t="n">
        <f aca="false">ROUND(F120/100*G120*H120*I120/J120,2)</f>
        <v>7917.84</v>
      </c>
      <c r="L120" s="15" t="n">
        <v>7917.85</v>
      </c>
      <c r="M120" s="15" t="n">
        <f aca="false">L120-K120</f>
        <v>0.0100000000002183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2940</v>
      </c>
      <c r="B121" s="3" t="s">
        <v>3108</v>
      </c>
      <c r="C121" s="3" t="s">
        <v>145</v>
      </c>
      <c r="D121" s="3" t="s">
        <v>1735</v>
      </c>
      <c r="E121" s="3" t="s">
        <v>50</v>
      </c>
      <c r="F121" s="12" t="n">
        <v>1685000</v>
      </c>
      <c r="G121" s="13" t="n">
        <v>0.8</v>
      </c>
      <c r="H121" s="13" t="n">
        <v>0.96</v>
      </c>
      <c r="I121" s="13" t="n">
        <v>0.8467</v>
      </c>
      <c r="J121" s="13" t="n">
        <v>0.53</v>
      </c>
      <c r="K121" s="12" t="n">
        <f aca="false">ROUND(F121/100*G121*H121*I121/J121,2)</f>
        <v>20673.54</v>
      </c>
      <c r="L121" s="12" t="n">
        <v>20673.54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2969</v>
      </c>
      <c r="B122" s="14" t="s">
        <v>3109</v>
      </c>
      <c r="C122" s="14" t="s">
        <v>230</v>
      </c>
      <c r="D122" s="14" t="s">
        <v>3110</v>
      </c>
      <c r="E122" s="14" t="s">
        <v>56</v>
      </c>
      <c r="F122" s="15" t="n">
        <v>270000</v>
      </c>
      <c r="G122" s="16" t="n">
        <v>0.75</v>
      </c>
      <c r="H122" s="16" t="n">
        <v>1.09</v>
      </c>
      <c r="I122" s="16" t="n">
        <v>0.8467</v>
      </c>
      <c r="J122" s="16" t="n">
        <v>0.53</v>
      </c>
      <c r="K122" s="15" t="n">
        <f aca="false">ROUND(F122/100*G122*H122*I122/J122,2)</f>
        <v>3526.19</v>
      </c>
      <c r="L122" s="15" t="n">
        <v>3526.18</v>
      </c>
      <c r="M122" s="15" t="n">
        <f aca="false">L122-K122</f>
        <v>-0.0100000000002183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3024</v>
      </c>
      <c r="B123" s="3" t="s">
        <v>3111</v>
      </c>
      <c r="C123" s="3" t="s">
        <v>81</v>
      </c>
      <c r="D123" s="3" t="s">
        <v>324</v>
      </c>
      <c r="E123" s="3" t="s">
        <v>56</v>
      </c>
      <c r="F123" s="12" t="n">
        <v>500000</v>
      </c>
      <c r="G123" s="13" t="n">
        <v>0.65</v>
      </c>
      <c r="H123" s="13" t="n">
        <v>1.27</v>
      </c>
      <c r="I123" s="13" t="n">
        <v>0.8467</v>
      </c>
      <c r="J123" s="13" t="n">
        <v>0.53</v>
      </c>
      <c r="K123" s="12" t="n">
        <f aca="false">ROUND(F123/100*G123*H123*I123/J123,2)</f>
        <v>6593.88</v>
      </c>
      <c r="L123" s="12" t="n">
        <v>6593.88</v>
      </c>
      <c r="M123" s="12" t="n">
        <f aca="false">L123-K123</f>
        <v>0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2942</v>
      </c>
      <c r="B124" s="14" t="s">
        <v>3112</v>
      </c>
      <c r="C124" s="14" t="s">
        <v>224</v>
      </c>
      <c r="D124" s="14" t="s">
        <v>488</v>
      </c>
      <c r="E124" s="14" t="s">
        <v>56</v>
      </c>
      <c r="F124" s="15" t="n">
        <v>520000</v>
      </c>
      <c r="G124" s="16" t="n">
        <v>0.65</v>
      </c>
      <c r="H124" s="16" t="n">
        <v>1.1</v>
      </c>
      <c r="I124" s="16" t="n">
        <v>0.8467</v>
      </c>
      <c r="J124" s="16" t="n">
        <v>0.53</v>
      </c>
      <c r="K124" s="15" t="n">
        <f aca="false">ROUND(F124/100*G124*H124*I124/J124,2)</f>
        <v>5939.68</v>
      </c>
      <c r="L124" s="15" t="n">
        <v>5939.68</v>
      </c>
      <c r="M124" s="15" t="n">
        <f aca="false">L124-K124</f>
        <v>0</v>
      </c>
      <c r="N124" s="14" t="s">
        <v>51</v>
      </c>
      <c r="O124" s="14" t="s">
        <v>52</v>
      </c>
    </row>
    <row r="125" customFormat="false" ht="15" hidden="false" customHeight="false" outlineLevel="0" collapsed="false">
      <c r="A125" s="3" t="s">
        <v>2950</v>
      </c>
      <c r="B125" s="3" t="s">
        <v>3113</v>
      </c>
      <c r="C125" s="3" t="s">
        <v>117</v>
      </c>
      <c r="D125" s="3" t="s">
        <v>1658</v>
      </c>
      <c r="E125" s="3" t="s">
        <v>56</v>
      </c>
      <c r="F125" s="12" t="n">
        <v>635000</v>
      </c>
      <c r="G125" s="13" t="n">
        <v>0.65</v>
      </c>
      <c r="H125" s="13" t="n">
        <v>0.91</v>
      </c>
      <c r="I125" s="13" t="n">
        <v>0.8467</v>
      </c>
      <c r="J125" s="13" t="n">
        <v>0.53</v>
      </c>
      <c r="K125" s="12" t="n">
        <f aca="false">ROUND(F125/100*G125*H125*I125/J125,2)</f>
        <v>6000.43</v>
      </c>
      <c r="L125" s="12" t="n">
        <v>6000.43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2967</v>
      </c>
      <c r="B126" s="14" t="s">
        <v>3114</v>
      </c>
      <c r="C126" s="14" t="s">
        <v>184</v>
      </c>
      <c r="D126" s="14" t="s">
        <v>3115</v>
      </c>
      <c r="E126" s="14" t="s">
        <v>157</v>
      </c>
      <c r="F126" s="15" t="n">
        <v>1190000</v>
      </c>
      <c r="G126" s="16" t="n">
        <v>0.68</v>
      </c>
      <c r="H126" s="16" t="n">
        <v>1.02</v>
      </c>
      <c r="I126" s="16" t="n">
        <v>0.8467</v>
      </c>
      <c r="J126" s="16" t="n">
        <v>0.53</v>
      </c>
      <c r="K126" s="15" t="n">
        <f aca="false">ROUND(F126/100*G126*H126*I126/J126,2)</f>
        <v>13185.9</v>
      </c>
      <c r="L126" s="15" t="n">
        <v>13185.9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2976</v>
      </c>
      <c r="B127" s="3" t="s">
        <v>3116</v>
      </c>
      <c r="C127" s="3" t="s">
        <v>128</v>
      </c>
      <c r="D127" s="3" t="s">
        <v>2413</v>
      </c>
      <c r="E127" s="3" t="s">
        <v>50</v>
      </c>
      <c r="F127" s="12" t="n">
        <v>320000</v>
      </c>
      <c r="G127" s="13" t="n">
        <v>1.15</v>
      </c>
      <c r="H127" s="13" t="n">
        <v>1.25</v>
      </c>
      <c r="I127" s="13" t="n">
        <v>0.8467</v>
      </c>
      <c r="J127" s="13" t="n">
        <v>0.53</v>
      </c>
      <c r="K127" s="12" t="n">
        <f aca="false">ROUND(F127/100*G127*H127*I127/J127,2)</f>
        <v>7348.72</v>
      </c>
      <c r="L127" s="12" t="n">
        <v>7348.72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3013</v>
      </c>
      <c r="B128" s="14" t="s">
        <v>3117</v>
      </c>
      <c r="C128" s="14" t="s">
        <v>188</v>
      </c>
      <c r="D128" s="14" t="s">
        <v>1299</v>
      </c>
      <c r="E128" s="14" t="s">
        <v>50</v>
      </c>
      <c r="F128" s="15" t="n">
        <v>695000</v>
      </c>
      <c r="G128" s="16" t="n">
        <v>0.95</v>
      </c>
      <c r="H128" s="16" t="n">
        <v>1.35</v>
      </c>
      <c r="I128" s="16" t="n">
        <v>0.8467</v>
      </c>
      <c r="J128" s="16" t="n">
        <v>0.53</v>
      </c>
      <c r="K128" s="15" t="n">
        <f aca="false">ROUND(F128/100*G128*H128*I128/J128,2)</f>
        <v>14239.54</v>
      </c>
      <c r="L128" s="15" t="n">
        <v>14239.54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2942</v>
      </c>
      <c r="B129" s="3" t="s">
        <v>3118</v>
      </c>
      <c r="C129" s="3" t="s">
        <v>230</v>
      </c>
      <c r="D129" s="3" t="s">
        <v>1137</v>
      </c>
      <c r="E129" s="3" t="s">
        <v>56</v>
      </c>
      <c r="F129" s="12" t="n">
        <v>725000</v>
      </c>
      <c r="G129" s="13" t="n">
        <v>0.65</v>
      </c>
      <c r="H129" s="13" t="n">
        <v>1.09</v>
      </c>
      <c r="I129" s="13" t="n">
        <v>0.8467</v>
      </c>
      <c r="J129" s="13" t="n">
        <v>0.53</v>
      </c>
      <c r="K129" s="12" t="n">
        <f aca="false">ROUND(F129/100*G129*H129*I129/J129,2)</f>
        <v>8206</v>
      </c>
      <c r="L129" s="12" t="n">
        <v>8206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3009</v>
      </c>
      <c r="B130" s="14" t="s">
        <v>3119</v>
      </c>
      <c r="C130" s="14" t="s">
        <v>93</v>
      </c>
      <c r="D130" s="14" t="s">
        <v>143</v>
      </c>
      <c r="E130" s="14" t="s">
        <v>56</v>
      </c>
      <c r="F130" s="15" t="n">
        <v>610000</v>
      </c>
      <c r="G130" s="16" t="n">
        <v>0.65</v>
      </c>
      <c r="H130" s="16" t="n">
        <v>1.39</v>
      </c>
      <c r="I130" s="16" t="n">
        <v>0.8467</v>
      </c>
      <c r="J130" s="16" t="n">
        <v>0.53</v>
      </c>
      <c r="K130" s="15" t="n">
        <f aca="false">ROUND(F130/100*G130*H130*I130/J130,2)</f>
        <v>8804.64</v>
      </c>
      <c r="L130" s="15" t="n">
        <v>8804.64</v>
      </c>
      <c r="M130" s="15" t="n">
        <f aca="false">L130-K130</f>
        <v>0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2942</v>
      </c>
      <c r="B131" s="3" t="s">
        <v>3120</v>
      </c>
      <c r="C131" s="3" t="s">
        <v>48</v>
      </c>
      <c r="D131" s="3" t="s">
        <v>529</v>
      </c>
      <c r="E131" s="3" t="s">
        <v>56</v>
      </c>
      <c r="F131" s="12" t="n">
        <v>420000</v>
      </c>
      <c r="G131" s="13" t="n">
        <v>0.75</v>
      </c>
      <c r="H131" s="13" t="n">
        <v>1.28</v>
      </c>
      <c r="I131" s="13" t="n">
        <v>0.8467</v>
      </c>
      <c r="J131" s="13" t="n">
        <v>0.53</v>
      </c>
      <c r="K131" s="12" t="n">
        <f aca="false">ROUND(F131/100*G131*H131*I131/J131,2)</f>
        <v>6441.31</v>
      </c>
      <c r="L131" s="12" t="n">
        <v>6441.31</v>
      </c>
      <c r="M131" s="12" t="n">
        <f aca="false">L131-K131</f>
        <v>0</v>
      </c>
      <c r="N131" s="3" t="s">
        <v>51</v>
      </c>
      <c r="O131" s="3" t="s">
        <v>52</v>
      </c>
    </row>
    <row r="132" customFormat="false" ht="15" hidden="false" customHeight="false" outlineLevel="0" collapsed="false">
      <c r="A132" s="14" t="s">
        <v>2957</v>
      </c>
      <c r="B132" s="14" t="s">
        <v>3121</v>
      </c>
      <c r="C132" s="14" t="s">
        <v>48</v>
      </c>
      <c r="D132" s="14" t="s">
        <v>2396</v>
      </c>
      <c r="E132" s="14" t="s">
        <v>56</v>
      </c>
      <c r="F132" s="15" t="n">
        <v>615000</v>
      </c>
      <c r="G132" s="16" t="n">
        <v>0.65</v>
      </c>
      <c r="H132" s="16" t="n">
        <v>1.28</v>
      </c>
      <c r="I132" s="16" t="n">
        <v>0.8467</v>
      </c>
      <c r="J132" s="16" t="n">
        <v>0.53</v>
      </c>
      <c r="K132" s="15" t="n">
        <f aca="false">ROUND(F132/100*G132*H132*I132/J132,2)</f>
        <v>8174.33</v>
      </c>
      <c r="L132" s="15" t="n">
        <v>8174.33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2967</v>
      </c>
      <c r="B133" s="3" t="s">
        <v>3122</v>
      </c>
      <c r="C133" s="3" t="s">
        <v>93</v>
      </c>
      <c r="D133" s="3" t="s">
        <v>527</v>
      </c>
      <c r="E133" s="3" t="s">
        <v>56</v>
      </c>
      <c r="F133" s="12" t="n">
        <v>325000</v>
      </c>
      <c r="G133" s="13" t="n">
        <v>0.75</v>
      </c>
      <c r="H133" s="13" t="n">
        <v>1.39</v>
      </c>
      <c r="I133" s="13" t="n">
        <v>0.8467</v>
      </c>
      <c r="J133" s="13" t="n">
        <v>0.53</v>
      </c>
      <c r="K133" s="12" t="n">
        <f aca="false">ROUND(F133/100*G133*H133*I133/J133,2)</f>
        <v>5412.69</v>
      </c>
      <c r="L133" s="12" t="n">
        <v>5412.69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3068</v>
      </c>
      <c r="B134" s="14" t="s">
        <v>3123</v>
      </c>
      <c r="C134" s="14" t="s">
        <v>305</v>
      </c>
      <c r="D134" s="14" t="s">
        <v>1045</v>
      </c>
      <c r="E134" s="14" t="s">
        <v>50</v>
      </c>
      <c r="F134" s="15" t="n">
        <v>890000</v>
      </c>
      <c r="G134" s="16" t="n">
        <v>0.95</v>
      </c>
      <c r="H134" s="16" t="n">
        <v>1.12</v>
      </c>
      <c r="I134" s="16" t="n">
        <v>0.8467</v>
      </c>
      <c r="J134" s="16" t="n">
        <v>0.53</v>
      </c>
      <c r="K134" s="15" t="n">
        <f aca="false">ROUND(F134/100*G134*H134*I134/J134,2)</f>
        <v>15128.13</v>
      </c>
      <c r="L134" s="15" t="n">
        <v>15128.13</v>
      </c>
      <c r="M134" s="15" t="n">
        <f aca="false">L134-K134</f>
        <v>0</v>
      </c>
      <c r="N134" s="14" t="s">
        <v>51</v>
      </c>
      <c r="O134" s="14" t="s">
        <v>52</v>
      </c>
    </row>
    <row r="135" customFormat="false" ht="15" hidden="false" customHeight="false" outlineLevel="0" collapsed="false">
      <c r="A135" s="3" t="s">
        <v>2938</v>
      </c>
      <c r="B135" s="3" t="s">
        <v>3124</v>
      </c>
      <c r="C135" s="3" t="s">
        <v>184</v>
      </c>
      <c r="D135" s="3" t="s">
        <v>523</v>
      </c>
      <c r="E135" s="3" t="s">
        <v>74</v>
      </c>
      <c r="F135" s="12" t="n">
        <v>955000</v>
      </c>
      <c r="G135" s="13" t="n">
        <v>0.43</v>
      </c>
      <c r="H135" s="13" t="n">
        <v>1.02</v>
      </c>
      <c r="I135" s="13" t="n">
        <v>0.8467</v>
      </c>
      <c r="J135" s="13" t="n">
        <v>0.53</v>
      </c>
      <c r="K135" s="12" t="n">
        <f aca="false">ROUND(F135/100*G135*H135*I135/J135,2)</f>
        <v>6691.53</v>
      </c>
      <c r="L135" s="12" t="n">
        <v>6691.54</v>
      </c>
      <c r="M135" s="12" t="n">
        <f aca="false">L135-K135</f>
        <v>0.0100000000002183</v>
      </c>
      <c r="N135" s="3" t="s">
        <v>51</v>
      </c>
      <c r="O135" s="3" t="s">
        <v>52</v>
      </c>
    </row>
    <row r="136" customFormat="false" ht="15" hidden="false" customHeight="false" outlineLevel="0" collapsed="false">
      <c r="A136" s="14" t="s">
        <v>3068</v>
      </c>
      <c r="B136" s="14" t="s">
        <v>3125</v>
      </c>
      <c r="C136" s="14" t="s">
        <v>159</v>
      </c>
      <c r="D136" s="14" t="s">
        <v>393</v>
      </c>
      <c r="E136" s="14" t="s">
        <v>50</v>
      </c>
      <c r="F136" s="15" t="n">
        <v>290000</v>
      </c>
      <c r="G136" s="16" t="n">
        <v>1.15</v>
      </c>
      <c r="H136" s="16" t="n">
        <v>1.15</v>
      </c>
      <c r="I136" s="16" t="n">
        <v>0.8467</v>
      </c>
      <c r="J136" s="16" t="n">
        <v>0.53</v>
      </c>
      <c r="K136" s="15" t="n">
        <f aca="false">ROUND(F136/100*G136*H136*I136/J136,2)</f>
        <v>6126.99</v>
      </c>
      <c r="L136" s="15" t="n">
        <v>6126.99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3001</v>
      </c>
      <c r="B137" s="3" t="s">
        <v>3126</v>
      </c>
      <c r="C137" s="3" t="s">
        <v>887</v>
      </c>
      <c r="D137" s="3" t="s">
        <v>3127</v>
      </c>
      <c r="E137" s="3" t="s">
        <v>56</v>
      </c>
      <c r="F137" s="12" t="n">
        <v>265000</v>
      </c>
      <c r="G137" s="13" t="n">
        <v>0.75</v>
      </c>
      <c r="H137" s="13" t="n">
        <v>1.37</v>
      </c>
      <c r="I137" s="13" t="n">
        <v>0.8467</v>
      </c>
      <c r="J137" s="13" t="n">
        <v>0.53</v>
      </c>
      <c r="K137" s="12" t="n">
        <f aca="false">ROUND(F137/100*G137*H137*I137/J137,2)</f>
        <v>4349.92</v>
      </c>
      <c r="L137" s="12" t="n">
        <v>4349.92</v>
      </c>
      <c r="M137" s="12" t="n">
        <f aca="false">L137-K137</f>
        <v>0</v>
      </c>
      <c r="N137" s="3" t="s">
        <v>51</v>
      </c>
      <c r="O137" s="3" t="s">
        <v>52</v>
      </c>
    </row>
    <row r="138" customFormat="false" ht="15" hidden="false" customHeight="false" outlineLevel="0" collapsed="false">
      <c r="A138" s="14" t="s">
        <v>2961</v>
      </c>
      <c r="B138" s="14" t="s">
        <v>3128</v>
      </c>
      <c r="C138" s="14" t="s">
        <v>131</v>
      </c>
      <c r="D138" s="14" t="s">
        <v>215</v>
      </c>
      <c r="E138" s="14" t="s">
        <v>56</v>
      </c>
      <c r="F138" s="15" t="n">
        <v>715000</v>
      </c>
      <c r="G138" s="16" t="n">
        <v>0.65</v>
      </c>
      <c r="H138" s="16" t="n">
        <v>0.95</v>
      </c>
      <c r="I138" s="16" t="n">
        <v>0.8467</v>
      </c>
      <c r="J138" s="16" t="n">
        <v>0.53</v>
      </c>
      <c r="K138" s="15" t="n">
        <f aca="false">ROUND(F138/100*G138*H138*I138/J138,2)</f>
        <v>7053.37</v>
      </c>
      <c r="L138" s="15" t="n">
        <v>7053.37</v>
      </c>
      <c r="M138" s="15" t="n">
        <f aca="false">L138-K138</f>
        <v>0</v>
      </c>
      <c r="N138" s="14" t="s">
        <v>51</v>
      </c>
      <c r="O138" s="14" t="s">
        <v>52</v>
      </c>
    </row>
    <row r="139" customFormat="false" ht="15" hidden="false" customHeight="false" outlineLevel="0" collapsed="false">
      <c r="A139" s="3" t="s">
        <v>2974</v>
      </c>
      <c r="B139" s="3" t="s">
        <v>3129</v>
      </c>
      <c r="C139" s="3" t="s">
        <v>117</v>
      </c>
      <c r="D139" s="3" t="s">
        <v>3130</v>
      </c>
      <c r="E139" s="3" t="s">
        <v>157</v>
      </c>
      <c r="F139" s="12" t="n">
        <v>1030000</v>
      </c>
      <c r="G139" s="13" t="n">
        <v>0.68</v>
      </c>
      <c r="H139" s="13" t="n">
        <v>0.91</v>
      </c>
      <c r="I139" s="13" t="n">
        <v>0.8467</v>
      </c>
      <c r="J139" s="13" t="n">
        <v>0.53</v>
      </c>
      <c r="K139" s="12" t="n">
        <f aca="false">ROUND(F139/100*G139*H139*I139/J139,2)</f>
        <v>10182.19</v>
      </c>
      <c r="L139" s="12" t="n">
        <v>10182.19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2955</v>
      </c>
      <c r="B140" s="14" t="s">
        <v>3131</v>
      </c>
      <c r="C140" s="14" t="s">
        <v>152</v>
      </c>
      <c r="D140" s="14" t="s">
        <v>2057</v>
      </c>
      <c r="E140" s="14" t="s">
        <v>56</v>
      </c>
      <c r="F140" s="15" t="n">
        <v>745000</v>
      </c>
      <c r="G140" s="16" t="n">
        <v>0.65</v>
      </c>
      <c r="H140" s="16" t="n">
        <v>1</v>
      </c>
      <c r="I140" s="16" t="n">
        <v>0.8467</v>
      </c>
      <c r="J140" s="16" t="n">
        <v>0.53</v>
      </c>
      <c r="K140" s="15" t="n">
        <f aca="false">ROUND(F140/100*G140*H140*I140/J140,2)</f>
        <v>7736.12</v>
      </c>
      <c r="L140" s="15" t="n">
        <v>7736.12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2947</v>
      </c>
      <c r="B141" s="3" t="s">
        <v>3132</v>
      </c>
      <c r="C141" s="3" t="s">
        <v>275</v>
      </c>
      <c r="D141" s="3" t="s">
        <v>763</v>
      </c>
      <c r="E141" s="3" t="s">
        <v>56</v>
      </c>
      <c r="F141" s="12" t="n">
        <v>1360000</v>
      </c>
      <c r="G141" s="13" t="n">
        <v>0.55</v>
      </c>
      <c r="H141" s="13" t="n">
        <v>1.19</v>
      </c>
      <c r="I141" s="13" t="n">
        <v>0.8467</v>
      </c>
      <c r="J141" s="13" t="n">
        <v>0.53</v>
      </c>
      <c r="K141" s="12" t="n">
        <f aca="false">ROUND(F141/100*G141*H141*I141/J141,2)</f>
        <v>14220.09</v>
      </c>
      <c r="L141" s="12" t="n">
        <v>14220.09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2947</v>
      </c>
      <c r="B142" s="14" t="s">
        <v>3133</v>
      </c>
      <c r="C142" s="14" t="s">
        <v>89</v>
      </c>
      <c r="D142" s="14" t="s">
        <v>3134</v>
      </c>
      <c r="E142" s="14" t="s">
        <v>56</v>
      </c>
      <c r="F142" s="15" t="n">
        <v>395000</v>
      </c>
      <c r="G142" s="16" t="n">
        <v>0.75</v>
      </c>
      <c r="H142" s="16" t="n">
        <v>1.35</v>
      </c>
      <c r="I142" s="16" t="n">
        <v>0.8467</v>
      </c>
      <c r="J142" s="16" t="n">
        <v>0.53</v>
      </c>
      <c r="K142" s="15" t="n">
        <f aca="false">ROUND(F142/100*G142*H142*I142/J142,2)</f>
        <v>6389.19</v>
      </c>
      <c r="L142" s="15" t="n">
        <v>6389.19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3001</v>
      </c>
      <c r="B143" s="3" t="s">
        <v>3135</v>
      </c>
      <c r="C143" s="3" t="s">
        <v>159</v>
      </c>
      <c r="D143" s="3" t="s">
        <v>529</v>
      </c>
      <c r="E143" s="3" t="s">
        <v>56</v>
      </c>
      <c r="F143" s="12" t="n">
        <v>780000</v>
      </c>
      <c r="G143" s="13" t="n">
        <v>0.65</v>
      </c>
      <c r="H143" s="13" t="n">
        <v>1.15</v>
      </c>
      <c r="I143" s="13" t="n">
        <v>0.8467</v>
      </c>
      <c r="J143" s="13" t="n">
        <v>0.53</v>
      </c>
      <c r="K143" s="12" t="n">
        <f aca="false">ROUND(F143/100*G143*H143*I143/J143,2)</f>
        <v>9314.5</v>
      </c>
      <c r="L143" s="12" t="n">
        <v>9314.5</v>
      </c>
      <c r="M143" s="12" t="n">
        <f aca="false">L143-K143</f>
        <v>0</v>
      </c>
      <c r="N143" s="3" t="s">
        <v>70</v>
      </c>
      <c r="O143" s="3" t="s">
        <v>52</v>
      </c>
    </row>
    <row r="144" customFormat="false" ht="15" hidden="false" customHeight="false" outlineLevel="0" collapsed="false">
      <c r="A144" s="14" t="s">
        <v>3024</v>
      </c>
      <c r="B144" s="14" t="s">
        <v>3136</v>
      </c>
      <c r="C144" s="14" t="s">
        <v>174</v>
      </c>
      <c r="D144" s="14" t="s">
        <v>893</v>
      </c>
      <c r="E144" s="14" t="s">
        <v>56</v>
      </c>
      <c r="F144" s="15" t="n">
        <v>185000</v>
      </c>
      <c r="G144" s="16" t="n">
        <v>0.92</v>
      </c>
      <c r="H144" s="16" t="n">
        <v>1.55</v>
      </c>
      <c r="I144" s="16" t="n">
        <v>0.8467</v>
      </c>
      <c r="J144" s="16" t="n">
        <v>0.53</v>
      </c>
      <c r="K144" s="15" t="n">
        <f aca="false">ROUND(F144/100*G144*H144*I144/J144,2)</f>
        <v>4214.49</v>
      </c>
      <c r="L144" s="15" t="n">
        <v>4214.49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2997</v>
      </c>
      <c r="B145" s="3" t="s">
        <v>3137</v>
      </c>
      <c r="C145" s="3" t="s">
        <v>59</v>
      </c>
      <c r="D145" s="3" t="s">
        <v>2708</v>
      </c>
      <c r="E145" s="3" t="s">
        <v>56</v>
      </c>
      <c r="F145" s="12" t="n">
        <v>160000</v>
      </c>
      <c r="G145" s="13" t="n">
        <v>0.92</v>
      </c>
      <c r="H145" s="13" t="n">
        <v>0.97</v>
      </c>
      <c r="I145" s="13" t="n">
        <v>0.8467</v>
      </c>
      <c r="J145" s="13" t="n">
        <v>0.53</v>
      </c>
      <c r="K145" s="12" t="n">
        <f aca="false">ROUND(F145/100*G145*H145*I145/J145,2)</f>
        <v>2281.04</v>
      </c>
      <c r="L145" s="12" t="n">
        <v>2281.04</v>
      </c>
      <c r="M145" s="12" t="n">
        <f aca="false">L145-K145</f>
        <v>0</v>
      </c>
      <c r="N145" s="3" t="s">
        <v>51</v>
      </c>
      <c r="O145" s="3" t="s">
        <v>52</v>
      </c>
    </row>
    <row r="146" customFormat="false" ht="15" hidden="false" customHeight="false" outlineLevel="0" collapsed="false">
      <c r="A146" s="14" t="s">
        <v>2947</v>
      </c>
      <c r="B146" s="14" t="s">
        <v>3138</v>
      </c>
      <c r="C146" s="14" t="s">
        <v>295</v>
      </c>
      <c r="D146" s="14" t="s">
        <v>3139</v>
      </c>
      <c r="E146" s="14" t="s">
        <v>157</v>
      </c>
      <c r="F146" s="15" t="n">
        <v>275000</v>
      </c>
      <c r="G146" s="16" t="n">
        <v>0.88</v>
      </c>
      <c r="H146" s="16" t="n">
        <v>1.2</v>
      </c>
      <c r="I146" s="16" t="n">
        <v>0.8467</v>
      </c>
      <c r="J146" s="16" t="n">
        <v>0.53</v>
      </c>
      <c r="K146" s="15" t="n">
        <f aca="false">ROUND(F146/100*G146*H146*I146/J146,2)</f>
        <v>4639.28</v>
      </c>
      <c r="L146" s="15" t="n">
        <v>4639.28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2985</v>
      </c>
      <c r="B147" s="3" t="s">
        <v>3140</v>
      </c>
      <c r="C147" s="3" t="s">
        <v>174</v>
      </c>
      <c r="D147" s="3" t="s">
        <v>1594</v>
      </c>
      <c r="E147" s="3" t="s">
        <v>74</v>
      </c>
      <c r="F147" s="12" t="n">
        <v>145000</v>
      </c>
      <c r="G147" s="13" t="n">
        <v>0.57</v>
      </c>
      <c r="H147" s="13" t="n">
        <v>1.55</v>
      </c>
      <c r="I147" s="13" t="n">
        <v>0.8467</v>
      </c>
      <c r="J147" s="13" t="n">
        <v>0.53</v>
      </c>
      <c r="K147" s="12" t="n">
        <f aca="false">ROUND(F147/100*G147*H147*I147/J147,2)</f>
        <v>2046.58</v>
      </c>
      <c r="L147" s="12" t="n">
        <v>2046.58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2957</v>
      </c>
      <c r="B148" s="14" t="s">
        <v>3141</v>
      </c>
      <c r="C148" s="14" t="s">
        <v>417</v>
      </c>
      <c r="D148" s="14" t="s">
        <v>498</v>
      </c>
      <c r="E148" s="14" t="s">
        <v>56</v>
      </c>
      <c r="F148" s="15" t="n">
        <v>495000</v>
      </c>
      <c r="G148" s="16" t="n">
        <v>0.75</v>
      </c>
      <c r="H148" s="16" t="n">
        <v>1.24</v>
      </c>
      <c r="I148" s="16" t="n">
        <v>0.8467</v>
      </c>
      <c r="J148" s="16" t="n">
        <v>0.53</v>
      </c>
      <c r="K148" s="15" t="n">
        <f aca="false">ROUND(F148/100*G148*H148*I148/J148,2)</f>
        <v>7354.31</v>
      </c>
      <c r="L148" s="15" t="n">
        <v>7354.31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3011</v>
      </c>
      <c r="B149" s="3" t="s">
        <v>3142</v>
      </c>
      <c r="C149" s="3" t="s">
        <v>152</v>
      </c>
      <c r="D149" s="3" t="s">
        <v>2245</v>
      </c>
      <c r="E149" s="3" t="s">
        <v>50</v>
      </c>
      <c r="F149" s="12" t="n">
        <v>1725000</v>
      </c>
      <c r="G149" s="13" t="n">
        <v>0.8</v>
      </c>
      <c r="H149" s="13" t="n">
        <v>1</v>
      </c>
      <c r="I149" s="13" t="n">
        <v>0.8467</v>
      </c>
      <c r="J149" s="13" t="n">
        <v>0.53</v>
      </c>
      <c r="K149" s="12" t="n">
        <f aca="false">ROUND(F149/100*G149*H149*I149/J149,2)</f>
        <v>22046.15</v>
      </c>
      <c r="L149" s="12" t="n">
        <v>22046.15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2972</v>
      </c>
      <c r="B150" s="14" t="s">
        <v>3143</v>
      </c>
      <c r="C150" s="14" t="s">
        <v>326</v>
      </c>
      <c r="D150" s="14" t="s">
        <v>3144</v>
      </c>
      <c r="E150" s="14" t="s">
        <v>56</v>
      </c>
      <c r="F150" s="15" t="n">
        <v>640000</v>
      </c>
      <c r="G150" s="16" t="n">
        <v>0.65</v>
      </c>
      <c r="H150" s="16" t="n">
        <v>1.12</v>
      </c>
      <c r="I150" s="16" t="n">
        <v>0.8467</v>
      </c>
      <c r="J150" s="16" t="n">
        <v>0.53</v>
      </c>
      <c r="K150" s="15" t="n">
        <f aca="false">ROUND(F150/100*G150*H150*I150/J150,2)</f>
        <v>7443.29</v>
      </c>
      <c r="L150" s="15" t="n">
        <v>7443.29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2967</v>
      </c>
      <c r="B151" s="3" t="s">
        <v>3145</v>
      </c>
      <c r="C151" s="3" t="s">
        <v>48</v>
      </c>
      <c r="D151" s="3" t="s">
        <v>73</v>
      </c>
      <c r="E151" s="3" t="s">
        <v>74</v>
      </c>
      <c r="F151" s="12" t="n">
        <v>730000</v>
      </c>
      <c r="G151" s="13" t="n">
        <v>0.43</v>
      </c>
      <c r="H151" s="13" t="n">
        <v>1.28</v>
      </c>
      <c r="I151" s="13" t="n">
        <v>0.8467</v>
      </c>
      <c r="J151" s="13" t="n">
        <v>0.53</v>
      </c>
      <c r="K151" s="12" t="n">
        <f aca="false">ROUND(F151/100*G151*H151*I151/J151,2)</f>
        <v>6418.82</v>
      </c>
      <c r="L151" s="12" t="n">
        <v>6418.82</v>
      </c>
      <c r="M151" s="12" t="n">
        <f aca="false">L151-K151</f>
        <v>0</v>
      </c>
      <c r="N151" s="3" t="s">
        <v>51</v>
      </c>
      <c r="O151" s="3" t="s">
        <v>52</v>
      </c>
    </row>
    <row r="152" customFormat="false" ht="15" hidden="false" customHeight="false" outlineLevel="0" collapsed="false">
      <c r="A152" s="14" t="s">
        <v>2938</v>
      </c>
      <c r="B152" s="14" t="s">
        <v>3146</v>
      </c>
      <c r="C152" s="14" t="s">
        <v>193</v>
      </c>
      <c r="D152" s="14" t="s">
        <v>256</v>
      </c>
      <c r="E152" s="14" t="s">
        <v>56</v>
      </c>
      <c r="F152" s="15" t="n">
        <v>470000</v>
      </c>
      <c r="G152" s="16" t="n">
        <v>0.75</v>
      </c>
      <c r="H152" s="16" t="n">
        <v>1.25</v>
      </c>
      <c r="I152" s="16" t="n">
        <v>0.8467</v>
      </c>
      <c r="J152" s="16" t="n">
        <v>0.53</v>
      </c>
      <c r="K152" s="15" t="n">
        <f aca="false">ROUND(F152/100*G152*H152*I152/J152,2)</f>
        <v>7039.19</v>
      </c>
      <c r="L152" s="15" t="n">
        <v>7039.19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2997</v>
      </c>
      <c r="B153" s="3" t="s">
        <v>3147</v>
      </c>
      <c r="C153" s="3" t="s">
        <v>142</v>
      </c>
      <c r="D153" s="3" t="s">
        <v>3148</v>
      </c>
      <c r="E153" s="3" t="s">
        <v>56</v>
      </c>
      <c r="F153" s="12" t="n">
        <v>640000</v>
      </c>
      <c r="G153" s="13" t="n">
        <v>0.65</v>
      </c>
      <c r="H153" s="13" t="n">
        <v>1.22</v>
      </c>
      <c r="I153" s="13" t="n">
        <v>0.8467</v>
      </c>
      <c r="J153" s="13" t="n">
        <v>0.53</v>
      </c>
      <c r="K153" s="12" t="n">
        <f aca="false">ROUND(F153/100*G153*H153*I153/J153,2)</f>
        <v>8107.87</v>
      </c>
      <c r="L153" s="12" t="n">
        <v>8107.87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2952</v>
      </c>
      <c r="B154" s="14" t="s">
        <v>3149</v>
      </c>
      <c r="C154" s="14" t="s">
        <v>887</v>
      </c>
      <c r="D154" s="14" t="s">
        <v>279</v>
      </c>
      <c r="E154" s="14" t="s">
        <v>50</v>
      </c>
      <c r="F154" s="15" t="n">
        <v>765000</v>
      </c>
      <c r="G154" s="16" t="n">
        <v>0.95</v>
      </c>
      <c r="H154" s="16" t="n">
        <v>1.37</v>
      </c>
      <c r="I154" s="16" t="n">
        <v>0.8467</v>
      </c>
      <c r="J154" s="16" t="n">
        <v>0.53</v>
      </c>
      <c r="K154" s="15" t="n">
        <f aca="false">ROUND(F154/100*G154*H154*I154/J154,2)</f>
        <v>15905.94</v>
      </c>
      <c r="L154" s="15" t="n">
        <v>15905.94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2955</v>
      </c>
      <c r="B155" s="3" t="s">
        <v>3150</v>
      </c>
      <c r="C155" s="3" t="s">
        <v>128</v>
      </c>
      <c r="D155" s="3" t="s">
        <v>199</v>
      </c>
      <c r="E155" s="3" t="s">
        <v>56</v>
      </c>
      <c r="F155" s="12" t="n">
        <v>825000</v>
      </c>
      <c r="G155" s="13" t="n">
        <v>0.65</v>
      </c>
      <c r="H155" s="13" t="n">
        <v>1.25</v>
      </c>
      <c r="I155" s="13" t="n">
        <v>0.8467</v>
      </c>
      <c r="J155" s="13" t="n">
        <v>0.53</v>
      </c>
      <c r="K155" s="12" t="n">
        <f aca="false">ROUND(F155/100*G155*H155*I155/J155,2)</f>
        <v>10708.56</v>
      </c>
      <c r="L155" s="12" t="n">
        <v>10708.56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2985</v>
      </c>
      <c r="B156" s="14" t="s">
        <v>3151</v>
      </c>
      <c r="C156" s="14" t="s">
        <v>68</v>
      </c>
      <c r="D156" s="14" t="s">
        <v>312</v>
      </c>
      <c r="E156" s="14" t="s">
        <v>56</v>
      </c>
      <c r="F156" s="15" t="n">
        <v>345000</v>
      </c>
      <c r="G156" s="16" t="n">
        <v>0.75</v>
      </c>
      <c r="H156" s="16" t="n">
        <v>1.38</v>
      </c>
      <c r="I156" s="16" t="n">
        <v>0.8467</v>
      </c>
      <c r="J156" s="16" t="n">
        <v>0.53</v>
      </c>
      <c r="K156" s="15" t="n">
        <f aca="false">ROUND(F156/100*G156*H156*I156/J156,2)</f>
        <v>5704.44</v>
      </c>
      <c r="L156" s="15" t="n">
        <v>5704.44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3013</v>
      </c>
      <c r="B157" s="3" t="s">
        <v>3152</v>
      </c>
      <c r="C157" s="3" t="s">
        <v>159</v>
      </c>
      <c r="D157" s="3" t="s">
        <v>944</v>
      </c>
      <c r="E157" s="3" t="s">
        <v>56</v>
      </c>
      <c r="F157" s="12" t="n">
        <v>190000</v>
      </c>
      <c r="G157" s="13" t="n">
        <v>0.92</v>
      </c>
      <c r="H157" s="13" t="n">
        <v>1.15</v>
      </c>
      <c r="I157" s="13" t="n">
        <v>0.8467</v>
      </c>
      <c r="J157" s="13" t="n">
        <v>0.53</v>
      </c>
      <c r="K157" s="12" t="n">
        <f aca="false">ROUND(F157/100*G157*H157*I157/J157,2)</f>
        <v>3211.39</v>
      </c>
      <c r="L157" s="12" t="n">
        <v>3211.39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2938</v>
      </c>
      <c r="B158" s="14" t="s">
        <v>3153</v>
      </c>
      <c r="C158" s="14" t="s">
        <v>81</v>
      </c>
      <c r="D158" s="14" t="s">
        <v>2738</v>
      </c>
      <c r="E158" s="14" t="s">
        <v>56</v>
      </c>
      <c r="F158" s="15" t="n">
        <v>820000</v>
      </c>
      <c r="G158" s="16" t="n">
        <v>0.65</v>
      </c>
      <c r="H158" s="16" t="n">
        <v>1.27</v>
      </c>
      <c r="I158" s="16" t="n">
        <v>0.8467</v>
      </c>
      <c r="J158" s="16" t="n">
        <v>0.53</v>
      </c>
      <c r="K158" s="15" t="n">
        <f aca="false">ROUND(F158/100*G158*H158*I158/J158,2)</f>
        <v>10813.96</v>
      </c>
      <c r="L158" s="15" t="n">
        <v>10813.96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3013</v>
      </c>
      <c r="B159" s="3" t="s">
        <v>3154</v>
      </c>
      <c r="C159" s="3" t="s">
        <v>366</v>
      </c>
      <c r="D159" s="3" t="s">
        <v>730</v>
      </c>
      <c r="E159" s="3" t="s">
        <v>56</v>
      </c>
      <c r="F159" s="12" t="n">
        <v>330000</v>
      </c>
      <c r="G159" s="13" t="n">
        <v>0.75</v>
      </c>
      <c r="H159" s="13" t="n">
        <v>1.26</v>
      </c>
      <c r="I159" s="13" t="n">
        <v>0.8467</v>
      </c>
      <c r="J159" s="13" t="n">
        <v>0.53</v>
      </c>
      <c r="K159" s="12" t="n">
        <f aca="false">ROUND(F159/100*G159*H159*I159/J159,2)</f>
        <v>4981.95</v>
      </c>
      <c r="L159" s="12" t="n">
        <v>4981.95</v>
      </c>
      <c r="M159" s="12" t="n">
        <f aca="false">L159-K159</f>
        <v>0</v>
      </c>
      <c r="N159" s="3" t="s">
        <v>70</v>
      </c>
      <c r="O159" s="3" t="s">
        <v>52</v>
      </c>
    </row>
    <row r="160" customFormat="false" ht="15" hidden="false" customHeight="false" outlineLevel="0" collapsed="false">
      <c r="A160" s="14" t="s">
        <v>2952</v>
      </c>
      <c r="B160" s="14" t="s">
        <v>3155</v>
      </c>
      <c r="C160" s="14" t="s">
        <v>77</v>
      </c>
      <c r="D160" s="14" t="s">
        <v>3156</v>
      </c>
      <c r="E160" s="14" t="s">
        <v>56</v>
      </c>
      <c r="F160" s="15" t="n">
        <v>420000</v>
      </c>
      <c r="G160" s="16" t="n">
        <v>0.75</v>
      </c>
      <c r="H160" s="16" t="n">
        <v>1.42</v>
      </c>
      <c r="I160" s="16" t="n">
        <v>0.8467</v>
      </c>
      <c r="J160" s="16" t="n">
        <v>0.53</v>
      </c>
      <c r="K160" s="15" t="n">
        <f aca="false">ROUND(F160/100*G160*H160*I160/J160,2)</f>
        <v>7145.83</v>
      </c>
      <c r="L160" s="15" t="n">
        <v>7145.83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2993</v>
      </c>
      <c r="B161" s="3" t="s">
        <v>3157</v>
      </c>
      <c r="C161" s="3" t="s">
        <v>85</v>
      </c>
      <c r="D161" s="3" t="s">
        <v>3158</v>
      </c>
      <c r="E161" s="3" t="s">
        <v>133</v>
      </c>
      <c r="F161" s="12" t="n">
        <v>795000</v>
      </c>
      <c r="G161" s="13" t="n">
        <v>0.38</v>
      </c>
      <c r="H161" s="13" t="n">
        <v>1.28</v>
      </c>
      <c r="I161" s="13" t="n">
        <v>0.8467</v>
      </c>
      <c r="J161" s="13" t="n">
        <v>0.53</v>
      </c>
      <c r="K161" s="12" t="n">
        <f aca="false">ROUND(F161/100*G161*H161*I161/J161,2)</f>
        <v>6177.52</v>
      </c>
      <c r="L161" s="12" t="n">
        <v>6177.52</v>
      </c>
      <c r="M161" s="12" t="n">
        <f aca="false">L161-K161</f>
        <v>0</v>
      </c>
      <c r="N161" s="3" t="s">
        <v>51</v>
      </c>
      <c r="O161" s="3" t="s">
        <v>52</v>
      </c>
    </row>
    <row r="162" customFormat="false" ht="15" hidden="false" customHeight="false" outlineLevel="0" collapsed="false">
      <c r="A162" s="14" t="s">
        <v>2961</v>
      </c>
      <c r="B162" s="14" t="s">
        <v>3159</v>
      </c>
      <c r="C162" s="14" t="s">
        <v>93</v>
      </c>
      <c r="D162" s="14" t="s">
        <v>1268</v>
      </c>
      <c r="E162" s="14" t="s">
        <v>50</v>
      </c>
      <c r="F162" s="15" t="n">
        <v>265000</v>
      </c>
      <c r="G162" s="16" t="n">
        <v>1.15</v>
      </c>
      <c r="H162" s="16" t="n">
        <v>1.39</v>
      </c>
      <c r="I162" s="16" t="n">
        <v>0.8467</v>
      </c>
      <c r="J162" s="16" t="n">
        <v>0.53</v>
      </c>
      <c r="K162" s="15" t="n">
        <f aca="false">ROUND(F162/100*G162*H162*I162/J162,2)</f>
        <v>6767.25</v>
      </c>
      <c r="L162" s="15" t="n">
        <v>6767.25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2955</v>
      </c>
      <c r="B163" s="3" t="s">
        <v>3160</v>
      </c>
      <c r="C163" s="3" t="s">
        <v>224</v>
      </c>
      <c r="D163" s="3" t="s">
        <v>1935</v>
      </c>
      <c r="E163" s="3" t="s">
        <v>56</v>
      </c>
      <c r="F163" s="12" t="n">
        <v>345000</v>
      </c>
      <c r="G163" s="13" t="n">
        <v>0.75</v>
      </c>
      <c r="H163" s="13" t="n">
        <v>1.1</v>
      </c>
      <c r="I163" s="13" t="n">
        <v>0.8467</v>
      </c>
      <c r="J163" s="13" t="n">
        <v>0.53</v>
      </c>
      <c r="K163" s="12" t="n">
        <f aca="false">ROUND(F163/100*G163*H163*I163/J163,2)</f>
        <v>4547.02</v>
      </c>
      <c r="L163" s="12" t="n">
        <v>4547.02</v>
      </c>
      <c r="M163" s="12" t="n">
        <f aca="false">L163-K163</f>
        <v>0</v>
      </c>
      <c r="N163" s="3" t="s">
        <v>51</v>
      </c>
      <c r="O163" s="3" t="s">
        <v>52</v>
      </c>
    </row>
    <row r="164" customFormat="false" ht="15" hidden="false" customHeight="false" outlineLevel="0" collapsed="false">
      <c r="A164" s="14" t="s">
        <v>2950</v>
      </c>
      <c r="B164" s="14" t="s">
        <v>3161</v>
      </c>
      <c r="C164" s="14" t="s">
        <v>77</v>
      </c>
      <c r="D164" s="14" t="s">
        <v>465</v>
      </c>
      <c r="E164" s="14" t="s">
        <v>50</v>
      </c>
      <c r="F164" s="15" t="n">
        <v>655000</v>
      </c>
      <c r="G164" s="16" t="n">
        <v>0.95</v>
      </c>
      <c r="H164" s="16" t="n">
        <v>1.42</v>
      </c>
      <c r="I164" s="16" t="n">
        <v>0.8467</v>
      </c>
      <c r="J164" s="16" t="n">
        <v>0.53</v>
      </c>
      <c r="K164" s="15" t="n">
        <f aca="false">ROUND(F164/100*G164*H164*I164/J164,2)</f>
        <v>14115.85</v>
      </c>
      <c r="L164" s="15" t="n">
        <v>14115.84</v>
      </c>
      <c r="M164" s="15" t="n">
        <f aca="false">L164-K164</f>
        <v>-0.0100000000002183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2952</v>
      </c>
      <c r="B165" s="3" t="s">
        <v>3162</v>
      </c>
      <c r="C165" s="3" t="s">
        <v>77</v>
      </c>
      <c r="D165" s="3" t="s">
        <v>968</v>
      </c>
      <c r="E165" s="3" t="s">
        <v>50</v>
      </c>
      <c r="F165" s="12" t="n">
        <v>1655000</v>
      </c>
      <c r="G165" s="13" t="n">
        <v>0.8</v>
      </c>
      <c r="H165" s="13" t="n">
        <v>1.42</v>
      </c>
      <c r="I165" s="13" t="n">
        <v>0.8467</v>
      </c>
      <c r="J165" s="13" t="n">
        <v>0.53</v>
      </c>
      <c r="K165" s="12" t="n">
        <f aca="false">ROUND(F165/100*G165*H165*I165/J165,2)</f>
        <v>30035.16</v>
      </c>
      <c r="L165" s="12" t="n">
        <v>30035.17</v>
      </c>
      <c r="M165" s="12" t="n">
        <f aca="false">L165-K165</f>
        <v>0.00999999999839929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2942</v>
      </c>
      <c r="B166" s="14" t="s">
        <v>3163</v>
      </c>
      <c r="C166" s="14" t="s">
        <v>77</v>
      </c>
      <c r="D166" s="14" t="s">
        <v>763</v>
      </c>
      <c r="E166" s="14" t="s">
        <v>56</v>
      </c>
      <c r="F166" s="15" t="n">
        <v>605000</v>
      </c>
      <c r="G166" s="16" t="n">
        <v>0.65</v>
      </c>
      <c r="H166" s="16" t="n">
        <v>1.42</v>
      </c>
      <c r="I166" s="16" t="n">
        <v>0.8467</v>
      </c>
      <c r="J166" s="16" t="n">
        <v>0.53</v>
      </c>
      <c r="K166" s="15" t="n">
        <f aca="false">ROUND(F166/100*G166*H166*I166/J166,2)</f>
        <v>8920.94</v>
      </c>
      <c r="L166" s="15" t="n">
        <v>8920.94</v>
      </c>
      <c r="M166" s="15" t="n">
        <f aca="false">L166-K166</f>
        <v>0</v>
      </c>
      <c r="N166" s="14" t="s">
        <v>51</v>
      </c>
      <c r="O166" s="14" t="s">
        <v>52</v>
      </c>
    </row>
    <row r="167" customFormat="false" ht="15" hidden="false" customHeight="false" outlineLevel="0" collapsed="false">
      <c r="A167" s="3" t="s">
        <v>2974</v>
      </c>
      <c r="B167" s="3" t="s">
        <v>3164</v>
      </c>
      <c r="C167" s="3" t="s">
        <v>81</v>
      </c>
      <c r="D167" s="3" t="s">
        <v>925</v>
      </c>
      <c r="E167" s="3" t="s">
        <v>56</v>
      </c>
      <c r="F167" s="12" t="n">
        <v>295000</v>
      </c>
      <c r="G167" s="13" t="n">
        <v>0.75</v>
      </c>
      <c r="H167" s="13" t="n">
        <v>1.27</v>
      </c>
      <c r="I167" s="13" t="n">
        <v>0.8467</v>
      </c>
      <c r="J167" s="13" t="n">
        <v>0.53</v>
      </c>
      <c r="K167" s="12" t="n">
        <f aca="false">ROUND(F167/100*G167*H167*I167/J167,2)</f>
        <v>4488.91</v>
      </c>
      <c r="L167" s="12" t="n">
        <v>4488.91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2957</v>
      </c>
      <c r="B168" s="14" t="s">
        <v>3165</v>
      </c>
      <c r="C168" s="14" t="s">
        <v>108</v>
      </c>
      <c r="D168" s="14" t="s">
        <v>3166</v>
      </c>
      <c r="E168" s="14" t="s">
        <v>74</v>
      </c>
      <c r="F168" s="15" t="n">
        <v>155000</v>
      </c>
      <c r="G168" s="16" t="n">
        <v>0.57</v>
      </c>
      <c r="H168" s="16" t="n">
        <v>0.93</v>
      </c>
      <c r="I168" s="16" t="n">
        <v>0.8467</v>
      </c>
      <c r="J168" s="16" t="n">
        <v>0.53</v>
      </c>
      <c r="K168" s="15" t="n">
        <f aca="false">ROUND(F168/100*G168*H168*I168/J168,2)</f>
        <v>1312.63</v>
      </c>
      <c r="L168" s="15" t="n">
        <v>1312.63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2952</v>
      </c>
      <c r="B169" s="3" t="s">
        <v>3167</v>
      </c>
      <c r="C169" s="3" t="s">
        <v>64</v>
      </c>
      <c r="D169" s="3" t="s">
        <v>364</v>
      </c>
      <c r="E169" s="3" t="s">
        <v>56</v>
      </c>
      <c r="F169" s="12" t="n">
        <v>315000</v>
      </c>
      <c r="G169" s="13" t="n">
        <v>0.75</v>
      </c>
      <c r="H169" s="13" t="n">
        <v>1.17</v>
      </c>
      <c r="I169" s="13" t="n">
        <v>0.8467</v>
      </c>
      <c r="J169" s="13" t="n">
        <v>0.53</v>
      </c>
      <c r="K169" s="12" t="n">
        <f aca="false">ROUND(F169/100*G169*H169*I169/J169,2)</f>
        <v>4415.82</v>
      </c>
      <c r="L169" s="12" t="n">
        <v>4415.82</v>
      </c>
      <c r="M169" s="12" t="n">
        <f aca="false">L169-K169</f>
        <v>0</v>
      </c>
      <c r="N169" s="3" t="s">
        <v>51</v>
      </c>
      <c r="O169" s="3" t="s">
        <v>52</v>
      </c>
    </row>
    <row r="170" customFormat="false" ht="15" hidden="false" customHeight="false" outlineLevel="0" collapsed="false">
      <c r="A170" s="14" t="s">
        <v>2969</v>
      </c>
      <c r="B170" s="14" t="s">
        <v>3168</v>
      </c>
      <c r="C170" s="14" t="s">
        <v>142</v>
      </c>
      <c r="D170" s="14" t="s">
        <v>3169</v>
      </c>
      <c r="E170" s="14" t="s">
        <v>74</v>
      </c>
      <c r="F170" s="15" t="n">
        <v>525000</v>
      </c>
      <c r="G170" s="16" t="n">
        <v>0.43</v>
      </c>
      <c r="H170" s="16" t="n">
        <v>1.22</v>
      </c>
      <c r="I170" s="16" t="n">
        <v>0.8467</v>
      </c>
      <c r="J170" s="16" t="n">
        <v>0.53</v>
      </c>
      <c r="K170" s="15" t="n">
        <f aca="false">ROUND(F170/100*G170*H170*I170/J170,2)</f>
        <v>4399.88</v>
      </c>
      <c r="L170" s="15" t="n">
        <v>4399.89</v>
      </c>
      <c r="M170" s="15" t="n">
        <f aca="false">L170-K170</f>
        <v>0.0100000000002183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2974</v>
      </c>
      <c r="B171" s="3" t="s">
        <v>3170</v>
      </c>
      <c r="C171" s="3" t="s">
        <v>217</v>
      </c>
      <c r="D171" s="3" t="s">
        <v>3171</v>
      </c>
      <c r="E171" s="3" t="s">
        <v>157</v>
      </c>
      <c r="F171" s="12" t="n">
        <v>425000</v>
      </c>
      <c r="G171" s="13" t="n">
        <v>0.88</v>
      </c>
      <c r="H171" s="13" t="n">
        <v>1.3</v>
      </c>
      <c r="I171" s="13" t="n">
        <v>0.8467</v>
      </c>
      <c r="J171" s="13" t="n">
        <v>0.53</v>
      </c>
      <c r="K171" s="12" t="n">
        <f aca="false">ROUND(F171/100*G171*H171*I171/J171,2)</f>
        <v>7767.27</v>
      </c>
      <c r="L171" s="12" t="n">
        <v>7767.27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2950</v>
      </c>
      <c r="B172" s="14" t="s">
        <v>3172</v>
      </c>
      <c r="C172" s="14" t="s">
        <v>435</v>
      </c>
      <c r="D172" s="14" t="s">
        <v>1996</v>
      </c>
      <c r="E172" s="14" t="s">
        <v>74</v>
      </c>
      <c r="F172" s="15" t="n">
        <v>270000</v>
      </c>
      <c r="G172" s="16" t="n">
        <v>0.48</v>
      </c>
      <c r="H172" s="16" t="n">
        <v>1.13</v>
      </c>
      <c r="I172" s="16" t="n">
        <v>0.8467</v>
      </c>
      <c r="J172" s="16" t="n">
        <v>0.53</v>
      </c>
      <c r="K172" s="15" t="n">
        <f aca="false">ROUND(F172/100*G172*H172*I172/J172,2)</f>
        <v>2339.58</v>
      </c>
      <c r="L172" s="15" t="n">
        <v>2339.58</v>
      </c>
      <c r="M172" s="15" t="n">
        <f aca="false">L172-K172</f>
        <v>0</v>
      </c>
      <c r="N172" s="14" t="s">
        <v>51</v>
      </c>
      <c r="O172" s="14" t="s">
        <v>52</v>
      </c>
    </row>
    <row r="173" customFormat="false" ht="15" hidden="false" customHeight="false" outlineLevel="0" collapsed="false">
      <c r="A173" s="3" t="s">
        <v>2974</v>
      </c>
      <c r="B173" s="3" t="s">
        <v>3173</v>
      </c>
      <c r="C173" s="3" t="s">
        <v>220</v>
      </c>
      <c r="D173" s="3" t="s">
        <v>3174</v>
      </c>
      <c r="E173" s="3" t="s">
        <v>50</v>
      </c>
      <c r="F173" s="12" t="n">
        <v>1195000</v>
      </c>
      <c r="G173" s="13" t="n">
        <v>0.8</v>
      </c>
      <c r="H173" s="13" t="n">
        <v>1.01</v>
      </c>
      <c r="I173" s="13" t="n">
        <v>0.8467</v>
      </c>
      <c r="J173" s="13" t="n">
        <v>0.53</v>
      </c>
      <c r="K173" s="12" t="n">
        <f aca="false">ROUND(F173/100*G173*H173*I173/J173,2)</f>
        <v>15425.28</v>
      </c>
      <c r="L173" s="12" t="n">
        <v>15425.27</v>
      </c>
      <c r="M173" s="12" t="n">
        <f aca="false">L173-K173</f>
        <v>-0.0100000000002183</v>
      </c>
      <c r="N173" s="3" t="s">
        <v>51</v>
      </c>
      <c r="O173" s="3" t="s">
        <v>52</v>
      </c>
    </row>
    <row r="174" customFormat="false" ht="15" hidden="false" customHeight="false" outlineLevel="0" collapsed="false">
      <c r="A174" s="14" t="s">
        <v>2969</v>
      </c>
      <c r="B174" s="14" t="s">
        <v>3175</v>
      </c>
      <c r="C174" s="14" t="s">
        <v>417</v>
      </c>
      <c r="D174" s="14" t="s">
        <v>671</v>
      </c>
      <c r="E174" s="14" t="s">
        <v>56</v>
      </c>
      <c r="F174" s="15" t="n">
        <v>645000</v>
      </c>
      <c r="G174" s="16" t="n">
        <v>0.65</v>
      </c>
      <c r="H174" s="16" t="n">
        <v>1.24</v>
      </c>
      <c r="I174" s="16" t="n">
        <v>0.8467</v>
      </c>
      <c r="J174" s="16" t="n">
        <v>0.53</v>
      </c>
      <c r="K174" s="15" t="n">
        <f aca="false">ROUND(F174/100*G174*H174*I174/J174,2)</f>
        <v>8305.17</v>
      </c>
      <c r="L174" s="15" t="n">
        <v>8305.17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3068</v>
      </c>
      <c r="B175" s="3" t="s">
        <v>3176</v>
      </c>
      <c r="C175" s="3" t="s">
        <v>48</v>
      </c>
      <c r="D175" s="3" t="s">
        <v>3177</v>
      </c>
      <c r="E175" s="3" t="s">
        <v>74</v>
      </c>
      <c r="F175" s="12" t="n">
        <v>1205000</v>
      </c>
      <c r="G175" s="13" t="n">
        <v>0.38</v>
      </c>
      <c r="H175" s="13" t="n">
        <v>1.28</v>
      </c>
      <c r="I175" s="13" t="n">
        <v>0.8467</v>
      </c>
      <c r="J175" s="13" t="n">
        <v>0.53</v>
      </c>
      <c r="K175" s="12" t="n">
        <f aca="false">ROUND(F175/100*G175*H175*I175/J175,2)</f>
        <v>9363.42</v>
      </c>
      <c r="L175" s="12" t="n">
        <v>9363.42</v>
      </c>
      <c r="M175" s="12" t="n">
        <f aca="false">L175-K175</f>
        <v>0</v>
      </c>
      <c r="N175" s="3" t="s">
        <v>51</v>
      </c>
      <c r="O175" s="3" t="s">
        <v>52</v>
      </c>
    </row>
    <row r="176" customFormat="false" ht="15" hidden="false" customHeight="false" outlineLevel="0" collapsed="false">
      <c r="A176" s="14" t="s">
        <v>2985</v>
      </c>
      <c r="B176" s="14" t="s">
        <v>3178</v>
      </c>
      <c r="C176" s="14" t="s">
        <v>224</v>
      </c>
      <c r="D176" s="14" t="s">
        <v>3179</v>
      </c>
      <c r="E176" s="14" t="s">
        <v>56</v>
      </c>
      <c r="F176" s="15" t="n">
        <v>630000</v>
      </c>
      <c r="G176" s="16" t="n">
        <v>0.65</v>
      </c>
      <c r="H176" s="16" t="n">
        <v>1.1</v>
      </c>
      <c r="I176" s="16" t="n">
        <v>0.8467</v>
      </c>
      <c r="J176" s="16" t="n">
        <v>0.53</v>
      </c>
      <c r="K176" s="15" t="n">
        <f aca="false">ROUND(F176/100*G176*H176*I176/J176,2)</f>
        <v>7196.15</v>
      </c>
      <c r="L176" s="15" t="n">
        <v>7196.15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2997</v>
      </c>
      <c r="B177" s="3" t="s">
        <v>3180</v>
      </c>
      <c r="C177" s="3" t="s">
        <v>48</v>
      </c>
      <c r="D177" s="3" t="s">
        <v>1707</v>
      </c>
      <c r="E177" s="3" t="s">
        <v>56</v>
      </c>
      <c r="F177" s="12" t="n">
        <v>805000</v>
      </c>
      <c r="G177" s="13" t="n">
        <v>0.65</v>
      </c>
      <c r="H177" s="13" t="n">
        <v>1.28</v>
      </c>
      <c r="I177" s="13" t="n">
        <v>0.8467</v>
      </c>
      <c r="J177" s="13" t="n">
        <v>0.53</v>
      </c>
      <c r="K177" s="12" t="n">
        <f aca="false">ROUND(F177/100*G177*H177*I177/J177,2)</f>
        <v>10699.73</v>
      </c>
      <c r="L177" s="12" t="n">
        <v>10699.73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2950</v>
      </c>
      <c r="B178" s="14" t="s">
        <v>3181</v>
      </c>
      <c r="C178" s="14" t="s">
        <v>77</v>
      </c>
      <c r="D178" s="14" t="s">
        <v>1553</v>
      </c>
      <c r="E178" s="14" t="s">
        <v>50</v>
      </c>
      <c r="F178" s="15" t="n">
        <v>1155000</v>
      </c>
      <c r="G178" s="16" t="n">
        <v>0.8</v>
      </c>
      <c r="H178" s="16" t="n">
        <v>1.42</v>
      </c>
      <c r="I178" s="16" t="n">
        <v>0.8467</v>
      </c>
      <c r="J178" s="16" t="n">
        <v>0.53</v>
      </c>
      <c r="K178" s="15" t="n">
        <f aca="false">ROUND(F178/100*G178*H178*I178/J178,2)</f>
        <v>20961.1</v>
      </c>
      <c r="L178" s="15" t="n">
        <v>20961.1</v>
      </c>
      <c r="M178" s="15" t="n">
        <f aca="false">L178-K178</f>
        <v>0</v>
      </c>
      <c r="N178" s="14" t="s">
        <v>51</v>
      </c>
      <c r="O178" s="14" t="s">
        <v>52</v>
      </c>
    </row>
    <row r="179" customFormat="false" ht="15" hidden="false" customHeight="false" outlineLevel="0" collapsed="false">
      <c r="A179" s="3" t="s">
        <v>3035</v>
      </c>
      <c r="B179" s="3" t="s">
        <v>3182</v>
      </c>
      <c r="C179" s="3" t="s">
        <v>89</v>
      </c>
      <c r="D179" s="3" t="s">
        <v>279</v>
      </c>
      <c r="E179" s="3" t="s">
        <v>50</v>
      </c>
      <c r="F179" s="12" t="n">
        <v>1950000</v>
      </c>
      <c r="G179" s="13" t="n">
        <v>0.8</v>
      </c>
      <c r="H179" s="13" t="n">
        <v>1.35</v>
      </c>
      <c r="I179" s="13" t="n">
        <v>0.8467</v>
      </c>
      <c r="J179" s="13" t="n">
        <v>0.53</v>
      </c>
      <c r="K179" s="12" t="n">
        <f aca="false">ROUND(F179/100*G179*H179*I179/J179,2)</f>
        <v>33644.34</v>
      </c>
      <c r="L179" s="12" t="n">
        <v>33644.34</v>
      </c>
      <c r="M179" s="12" t="n">
        <f aca="false">L179-K179</f>
        <v>0</v>
      </c>
      <c r="N179" s="3" t="s">
        <v>61</v>
      </c>
      <c r="O179" s="3" t="s">
        <v>62</v>
      </c>
    </row>
    <row r="180" customFormat="false" ht="15" hidden="false" customHeight="false" outlineLevel="0" collapsed="false">
      <c r="A180" s="14" t="s">
        <v>2955</v>
      </c>
      <c r="B180" s="14" t="s">
        <v>3183</v>
      </c>
      <c r="C180" s="14" t="s">
        <v>278</v>
      </c>
      <c r="D180" s="14" t="s">
        <v>717</v>
      </c>
      <c r="E180" s="14" t="s">
        <v>56</v>
      </c>
      <c r="F180" s="15" t="n">
        <v>750000</v>
      </c>
      <c r="G180" s="16" t="n">
        <v>0.65</v>
      </c>
      <c r="H180" s="16" t="n">
        <v>0.98</v>
      </c>
      <c r="I180" s="16" t="n">
        <v>0.8467</v>
      </c>
      <c r="J180" s="16" t="n">
        <v>0.53</v>
      </c>
      <c r="K180" s="15" t="n">
        <f aca="false">ROUND(F180/100*G180*H180*I180/J180,2)</f>
        <v>7632.28</v>
      </c>
      <c r="L180" s="15" t="n">
        <v>7632.28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2965</v>
      </c>
      <c r="B181" s="3" t="s">
        <v>3184</v>
      </c>
      <c r="C181" s="3" t="s">
        <v>188</v>
      </c>
      <c r="D181" s="3" t="s">
        <v>1537</v>
      </c>
      <c r="E181" s="3" t="s">
        <v>50</v>
      </c>
      <c r="F181" s="12" t="n">
        <v>715000</v>
      </c>
      <c r="G181" s="13" t="n">
        <v>0.95</v>
      </c>
      <c r="H181" s="13" t="n">
        <v>1.35</v>
      </c>
      <c r="I181" s="13" t="n">
        <v>0.8467</v>
      </c>
      <c r="J181" s="13" t="n">
        <v>0.53</v>
      </c>
      <c r="K181" s="12" t="n">
        <f aca="false">ROUND(F181/100*G181*H181*I181/J181,2)</f>
        <v>14649.31</v>
      </c>
      <c r="L181" s="12" t="n">
        <v>14649.31</v>
      </c>
      <c r="M181" s="12" t="n">
        <f aca="false">L181-K181</f>
        <v>0</v>
      </c>
      <c r="N181" s="3" t="s">
        <v>51</v>
      </c>
      <c r="O181" s="3" t="s">
        <v>52</v>
      </c>
    </row>
    <row r="182" customFormat="false" ht="15" hidden="false" customHeight="false" outlineLevel="0" collapsed="false">
      <c r="A182" s="14" t="s">
        <v>2997</v>
      </c>
      <c r="B182" s="14" t="s">
        <v>3185</v>
      </c>
      <c r="C182" s="14" t="s">
        <v>136</v>
      </c>
      <c r="D182" s="14" t="s">
        <v>598</v>
      </c>
      <c r="E182" s="14" t="s">
        <v>56</v>
      </c>
      <c r="F182" s="15" t="n">
        <v>360000</v>
      </c>
      <c r="G182" s="16" t="n">
        <v>0.75</v>
      </c>
      <c r="H182" s="16" t="n">
        <v>1.32</v>
      </c>
      <c r="I182" s="16" t="n">
        <v>0.8467</v>
      </c>
      <c r="J182" s="16" t="n">
        <v>0.53</v>
      </c>
      <c r="K182" s="15" t="n">
        <f aca="false">ROUND(F182/100*G182*H182*I182/J182,2)</f>
        <v>5693.66</v>
      </c>
      <c r="L182" s="15" t="n">
        <v>5693.66</v>
      </c>
      <c r="M182" s="15" t="n">
        <f aca="false">L182-K182</f>
        <v>0</v>
      </c>
      <c r="N182" s="14" t="s">
        <v>51</v>
      </c>
      <c r="O182" s="14" t="s">
        <v>52</v>
      </c>
    </row>
    <row r="183" customFormat="false" ht="15" hidden="false" customHeight="false" outlineLevel="0" collapsed="false">
      <c r="A183" s="3" t="s">
        <v>2955</v>
      </c>
      <c r="B183" s="3" t="s">
        <v>3186</v>
      </c>
      <c r="C183" s="3" t="s">
        <v>217</v>
      </c>
      <c r="D183" s="3" t="s">
        <v>364</v>
      </c>
      <c r="E183" s="3" t="s">
        <v>56</v>
      </c>
      <c r="F183" s="12" t="n">
        <v>810000</v>
      </c>
      <c r="G183" s="13" t="n">
        <v>0.65</v>
      </c>
      <c r="H183" s="13" t="n">
        <v>1.3</v>
      </c>
      <c r="I183" s="13" t="n">
        <v>0.8467</v>
      </c>
      <c r="J183" s="13" t="n">
        <v>0.53</v>
      </c>
      <c r="K183" s="12" t="n">
        <f aca="false">ROUND(F183/100*G183*H183*I183/J183,2)</f>
        <v>10934.41</v>
      </c>
      <c r="L183" s="12" t="n">
        <v>10934.41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2957</v>
      </c>
      <c r="B184" s="14" t="s">
        <v>3187</v>
      </c>
      <c r="C184" s="14" t="s">
        <v>89</v>
      </c>
      <c r="D184" s="14" t="s">
        <v>3188</v>
      </c>
      <c r="E184" s="14" t="s">
        <v>133</v>
      </c>
      <c r="F184" s="15" t="n">
        <v>1320000</v>
      </c>
      <c r="G184" s="16" t="n">
        <v>0.34</v>
      </c>
      <c r="H184" s="16" t="n">
        <v>1.35</v>
      </c>
      <c r="I184" s="16" t="n">
        <v>0.8467</v>
      </c>
      <c r="J184" s="16" t="n">
        <v>0.53</v>
      </c>
      <c r="K184" s="15" t="n">
        <f aca="false">ROUND(F184/100*G184*H184*I184/J184,2)</f>
        <v>9679.22</v>
      </c>
      <c r="L184" s="15" t="n">
        <v>9679.22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2988</v>
      </c>
      <c r="B185" s="3" t="s">
        <v>3189</v>
      </c>
      <c r="C185" s="3" t="s">
        <v>193</v>
      </c>
      <c r="D185" s="3" t="s">
        <v>1874</v>
      </c>
      <c r="E185" s="3" t="s">
        <v>50</v>
      </c>
      <c r="F185" s="12" t="n">
        <v>465000</v>
      </c>
      <c r="G185" s="13" t="n">
        <v>1.15</v>
      </c>
      <c r="H185" s="13" t="n">
        <v>1.25</v>
      </c>
      <c r="I185" s="13" t="n">
        <v>0.8467</v>
      </c>
      <c r="J185" s="13" t="n">
        <v>0.53</v>
      </c>
      <c r="K185" s="12" t="n">
        <f aca="false">ROUND(F185/100*G185*H185*I185/J185,2)</f>
        <v>10678.6</v>
      </c>
      <c r="L185" s="12" t="n">
        <v>10678.61</v>
      </c>
      <c r="M185" s="12" t="n">
        <f aca="false">L185-K185</f>
        <v>0.0100000000002183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2955</v>
      </c>
      <c r="B186" s="14" t="s">
        <v>3190</v>
      </c>
      <c r="C186" s="14" t="s">
        <v>81</v>
      </c>
      <c r="D186" s="14" t="s">
        <v>713</v>
      </c>
      <c r="E186" s="14" t="s">
        <v>50</v>
      </c>
      <c r="F186" s="15" t="n">
        <v>1335000</v>
      </c>
      <c r="G186" s="16" t="n">
        <v>0.8</v>
      </c>
      <c r="H186" s="16" t="n">
        <v>1.27</v>
      </c>
      <c r="I186" s="16" t="n">
        <v>0.8467</v>
      </c>
      <c r="J186" s="16" t="n">
        <v>0.53</v>
      </c>
      <c r="K186" s="15" t="n">
        <f aca="false">ROUND(F186/100*G186*H186*I186/J186,2)</f>
        <v>21668.49</v>
      </c>
      <c r="L186" s="15" t="n">
        <v>21668.49</v>
      </c>
      <c r="M186" s="15" t="n">
        <f aca="false">L186-K186</f>
        <v>0</v>
      </c>
      <c r="N186" s="14" t="s">
        <v>61</v>
      </c>
      <c r="O186" s="14" t="s">
        <v>62</v>
      </c>
    </row>
    <row r="187" customFormat="false" ht="15" hidden="false" customHeight="false" outlineLevel="0" collapsed="false">
      <c r="A187" s="3" t="s">
        <v>2942</v>
      </c>
      <c r="B187" s="3" t="s">
        <v>3191</v>
      </c>
      <c r="C187" s="3" t="s">
        <v>117</v>
      </c>
      <c r="D187" s="3" t="s">
        <v>338</v>
      </c>
      <c r="E187" s="3" t="s">
        <v>56</v>
      </c>
      <c r="F187" s="12" t="n">
        <v>600000</v>
      </c>
      <c r="G187" s="13" t="n">
        <v>0.65</v>
      </c>
      <c r="H187" s="13" t="n">
        <v>0.91</v>
      </c>
      <c r="I187" s="13" t="n">
        <v>0.8467</v>
      </c>
      <c r="J187" s="13" t="n">
        <v>0.53</v>
      </c>
      <c r="K187" s="12" t="n">
        <f aca="false">ROUND(F187/100*G187*H187*I187/J187,2)</f>
        <v>5669.69</v>
      </c>
      <c r="L187" s="12" t="n">
        <v>5669.7</v>
      </c>
      <c r="M187" s="12" t="n">
        <f aca="false">L187-K187</f>
        <v>0.0100000000002183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2974</v>
      </c>
      <c r="B188" s="14" t="s">
        <v>3192</v>
      </c>
      <c r="C188" s="14" t="s">
        <v>462</v>
      </c>
      <c r="D188" s="14" t="s">
        <v>204</v>
      </c>
      <c r="E188" s="14" t="s">
        <v>74</v>
      </c>
      <c r="F188" s="15" t="n">
        <v>440000</v>
      </c>
      <c r="G188" s="16" t="n">
        <v>0.48</v>
      </c>
      <c r="H188" s="16" t="n">
        <v>1.34</v>
      </c>
      <c r="I188" s="16" t="n">
        <v>0.8467</v>
      </c>
      <c r="J188" s="16" t="n">
        <v>0.53</v>
      </c>
      <c r="K188" s="15" t="n">
        <f aca="false">ROUND(F188/100*G188*H188*I188/J188,2)</f>
        <v>4521.19</v>
      </c>
      <c r="L188" s="15" t="n">
        <v>4521.18</v>
      </c>
      <c r="M188" s="15" t="n">
        <f aca="false">L188-K188</f>
        <v>-0.00999999999930878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2959</v>
      </c>
      <c r="B189" s="3" t="s">
        <v>3193</v>
      </c>
      <c r="C189" s="3" t="s">
        <v>142</v>
      </c>
      <c r="D189" s="3" t="s">
        <v>1242</v>
      </c>
      <c r="E189" s="3" t="s">
        <v>56</v>
      </c>
      <c r="F189" s="12" t="n">
        <v>995000</v>
      </c>
      <c r="G189" s="13" t="n">
        <v>0.65</v>
      </c>
      <c r="H189" s="13" t="n">
        <v>1.22</v>
      </c>
      <c r="I189" s="13" t="n">
        <v>0.8467</v>
      </c>
      <c r="J189" s="13" t="n">
        <v>0.53</v>
      </c>
      <c r="K189" s="12" t="n">
        <f aca="false">ROUND(F189/100*G189*H189*I189/J189,2)</f>
        <v>12605.21</v>
      </c>
      <c r="L189" s="12" t="n">
        <v>12605.2</v>
      </c>
      <c r="M189" s="12" t="n">
        <f aca="false">L189-K189</f>
        <v>-0.00999999999839929</v>
      </c>
      <c r="N189" s="3" t="s">
        <v>51</v>
      </c>
      <c r="O189" s="3" t="s">
        <v>52</v>
      </c>
    </row>
    <row r="190" customFormat="false" ht="15" hidden="false" customHeight="false" outlineLevel="0" collapsed="false">
      <c r="A190" s="14" t="s">
        <v>2955</v>
      </c>
      <c r="B190" s="14" t="s">
        <v>3194</v>
      </c>
      <c r="C190" s="14" t="s">
        <v>417</v>
      </c>
      <c r="D190" s="14" t="s">
        <v>1777</v>
      </c>
      <c r="E190" s="14" t="s">
        <v>50</v>
      </c>
      <c r="F190" s="15" t="n">
        <v>750000</v>
      </c>
      <c r="G190" s="16" t="n">
        <v>0.95</v>
      </c>
      <c r="H190" s="16" t="n">
        <v>1.24</v>
      </c>
      <c r="I190" s="16" t="n">
        <v>0.8467</v>
      </c>
      <c r="J190" s="16" t="n">
        <v>0.53</v>
      </c>
      <c r="K190" s="15" t="n">
        <f aca="false">ROUND(F190/100*G190*H190*I190/J190,2)</f>
        <v>14114.33</v>
      </c>
      <c r="L190" s="15" t="n">
        <v>14114.33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2972</v>
      </c>
      <c r="B191" s="3" t="s">
        <v>3195</v>
      </c>
      <c r="C191" s="3" t="s">
        <v>159</v>
      </c>
      <c r="D191" s="3" t="s">
        <v>498</v>
      </c>
      <c r="E191" s="3" t="s">
        <v>56</v>
      </c>
      <c r="F191" s="12" t="n">
        <v>1285000</v>
      </c>
      <c r="G191" s="13" t="n">
        <v>0.55</v>
      </c>
      <c r="H191" s="13" t="n">
        <v>1.15</v>
      </c>
      <c r="I191" s="13" t="n">
        <v>0.8467</v>
      </c>
      <c r="J191" s="13" t="n">
        <v>0.53</v>
      </c>
      <c r="K191" s="12" t="n">
        <f aca="false">ROUND(F191/100*G191*H191*I191/J191,2)</f>
        <v>12984.26</v>
      </c>
      <c r="L191" s="12" t="n">
        <v>12984.26</v>
      </c>
      <c r="M191" s="12" t="n">
        <f aca="false">L191-K191</f>
        <v>0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2993</v>
      </c>
      <c r="B192" s="14" t="s">
        <v>3196</v>
      </c>
      <c r="C192" s="14" t="s">
        <v>311</v>
      </c>
      <c r="D192" s="14" t="s">
        <v>806</v>
      </c>
      <c r="E192" s="14" t="s">
        <v>50</v>
      </c>
      <c r="F192" s="15" t="n">
        <v>715000</v>
      </c>
      <c r="G192" s="16" t="n">
        <v>0.95</v>
      </c>
      <c r="H192" s="16" t="n">
        <v>1.06</v>
      </c>
      <c r="I192" s="16" t="n">
        <v>0.8467</v>
      </c>
      <c r="J192" s="16" t="n">
        <v>0.53</v>
      </c>
      <c r="K192" s="15" t="n">
        <f aca="false">ROUND(F192/100*G192*H192*I192/J192,2)</f>
        <v>11502.42</v>
      </c>
      <c r="L192" s="15" t="n">
        <v>11502.42</v>
      </c>
      <c r="M192" s="15" t="n">
        <f aca="false">L192-K192</f>
        <v>0</v>
      </c>
      <c r="N192" s="14" t="s">
        <v>70</v>
      </c>
      <c r="O192" s="14" t="s">
        <v>52</v>
      </c>
    </row>
    <row r="193" customFormat="false" ht="15" hidden="false" customHeight="false" outlineLevel="0" collapsed="false">
      <c r="A193" s="3" t="s">
        <v>3005</v>
      </c>
      <c r="B193" s="3" t="s">
        <v>3197</v>
      </c>
      <c r="C193" s="3" t="s">
        <v>145</v>
      </c>
      <c r="D193" s="3" t="s">
        <v>252</v>
      </c>
      <c r="E193" s="3" t="s">
        <v>74</v>
      </c>
      <c r="F193" s="12" t="n">
        <v>200000</v>
      </c>
      <c r="G193" s="13" t="n">
        <v>0.57</v>
      </c>
      <c r="H193" s="13" t="n">
        <v>0.96</v>
      </c>
      <c r="I193" s="13" t="n">
        <v>0.8467</v>
      </c>
      <c r="J193" s="13" t="n">
        <v>0.53</v>
      </c>
      <c r="K193" s="12" t="n">
        <f aca="false">ROUND(F193/100*G193*H193*I193/J193,2)</f>
        <v>1748.36</v>
      </c>
      <c r="L193" s="12" t="n">
        <v>1748.36</v>
      </c>
      <c r="M193" s="12" t="n">
        <f aca="false">L193-K193</f>
        <v>0</v>
      </c>
      <c r="N193" s="3" t="s">
        <v>70</v>
      </c>
      <c r="O193" s="3" t="s">
        <v>52</v>
      </c>
    </row>
    <row r="194" customFormat="false" ht="15" hidden="false" customHeight="false" outlineLevel="0" collapsed="false">
      <c r="A194" s="14" t="s">
        <v>2940</v>
      </c>
      <c r="B194" s="14" t="s">
        <v>3198</v>
      </c>
      <c r="C194" s="14" t="s">
        <v>220</v>
      </c>
      <c r="D194" s="14" t="s">
        <v>2385</v>
      </c>
      <c r="E194" s="14" t="s">
        <v>50</v>
      </c>
      <c r="F194" s="15" t="n">
        <v>965000</v>
      </c>
      <c r="G194" s="16" t="n">
        <v>0.95</v>
      </c>
      <c r="H194" s="16" t="n">
        <v>1.01</v>
      </c>
      <c r="I194" s="16" t="n">
        <v>0.8467</v>
      </c>
      <c r="J194" s="16" t="n">
        <v>0.53</v>
      </c>
      <c r="K194" s="15" t="n">
        <f aca="false">ROUND(F194/100*G194*H194*I194/J194,2)</f>
        <v>14791.97</v>
      </c>
      <c r="L194" s="15" t="n">
        <v>14791.97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2965</v>
      </c>
      <c r="B195" s="3" t="s">
        <v>3199</v>
      </c>
      <c r="C195" s="3" t="s">
        <v>305</v>
      </c>
      <c r="D195" s="3" t="s">
        <v>267</v>
      </c>
      <c r="E195" s="3" t="s">
        <v>56</v>
      </c>
      <c r="F195" s="12" t="n">
        <v>930000</v>
      </c>
      <c r="G195" s="13" t="n">
        <v>0.65</v>
      </c>
      <c r="H195" s="13" t="n">
        <v>1.12</v>
      </c>
      <c r="I195" s="13" t="n">
        <v>0.8467</v>
      </c>
      <c r="J195" s="13" t="n">
        <v>0.53</v>
      </c>
      <c r="K195" s="12" t="n">
        <f aca="false">ROUND(F195/100*G195*H195*I195/J195,2)</f>
        <v>10816.03</v>
      </c>
      <c r="L195" s="12" t="n">
        <v>10816.03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2938</v>
      </c>
      <c r="B196" s="14" t="s">
        <v>3200</v>
      </c>
      <c r="C196" s="14" t="s">
        <v>295</v>
      </c>
      <c r="D196" s="14" t="s">
        <v>327</v>
      </c>
      <c r="E196" s="14" t="s">
        <v>56</v>
      </c>
      <c r="F196" s="15" t="n">
        <v>370000</v>
      </c>
      <c r="G196" s="16" t="n">
        <v>0.75</v>
      </c>
      <c r="H196" s="16" t="n">
        <v>1.2</v>
      </c>
      <c r="I196" s="16" t="n">
        <v>0.8467</v>
      </c>
      <c r="J196" s="16" t="n">
        <v>0.53</v>
      </c>
      <c r="K196" s="15" t="n">
        <f aca="false">ROUND(F196/100*G196*H196*I196/J196,2)</f>
        <v>5319.83</v>
      </c>
      <c r="L196" s="15" t="n">
        <v>5319.83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2935</v>
      </c>
      <c r="B197" s="3" t="s">
        <v>3201</v>
      </c>
      <c r="C197" s="3" t="s">
        <v>77</v>
      </c>
      <c r="D197" s="3" t="s">
        <v>112</v>
      </c>
      <c r="E197" s="3" t="s">
        <v>56</v>
      </c>
      <c r="F197" s="12" t="n">
        <v>360000</v>
      </c>
      <c r="G197" s="13" t="n">
        <v>0.75</v>
      </c>
      <c r="H197" s="13" t="n">
        <v>1.42</v>
      </c>
      <c r="I197" s="13" t="n">
        <v>0.8467</v>
      </c>
      <c r="J197" s="13" t="n">
        <v>0.53</v>
      </c>
      <c r="K197" s="12" t="n">
        <f aca="false">ROUND(F197/100*G197*H197*I197/J197,2)</f>
        <v>6125</v>
      </c>
      <c r="L197" s="12" t="n">
        <v>6124.99</v>
      </c>
      <c r="M197" s="12" t="n">
        <f aca="false">L197-K197</f>
        <v>-0.0100000000002183</v>
      </c>
      <c r="N197" s="3" t="s">
        <v>70</v>
      </c>
      <c r="O197" s="3" t="s">
        <v>52</v>
      </c>
    </row>
    <row r="198" customFormat="false" ht="15" hidden="false" customHeight="false" outlineLevel="0" collapsed="false">
      <c r="A198" s="14" t="s">
        <v>3011</v>
      </c>
      <c r="B198" s="14" t="s">
        <v>3202</v>
      </c>
      <c r="C198" s="14" t="s">
        <v>93</v>
      </c>
      <c r="D198" s="14" t="s">
        <v>3203</v>
      </c>
      <c r="E198" s="14" t="s">
        <v>74</v>
      </c>
      <c r="F198" s="15" t="n">
        <v>845000</v>
      </c>
      <c r="G198" s="16" t="n">
        <v>0.43</v>
      </c>
      <c r="H198" s="16" t="n">
        <v>1.39</v>
      </c>
      <c r="I198" s="16" t="n">
        <v>0.8467</v>
      </c>
      <c r="J198" s="16" t="n">
        <v>0.53</v>
      </c>
      <c r="K198" s="15" t="n">
        <f aca="false">ROUND(F198/100*G198*H198*I198/J198,2)</f>
        <v>8068.52</v>
      </c>
      <c r="L198" s="15" t="n">
        <v>8068.52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2972</v>
      </c>
      <c r="B199" s="3" t="s">
        <v>3204</v>
      </c>
      <c r="C199" s="3" t="s">
        <v>174</v>
      </c>
      <c r="D199" s="3" t="s">
        <v>566</v>
      </c>
      <c r="E199" s="3" t="s">
        <v>56</v>
      </c>
      <c r="F199" s="12" t="n">
        <v>1605000</v>
      </c>
      <c r="G199" s="13" t="n">
        <v>0.55</v>
      </c>
      <c r="H199" s="13" t="n">
        <v>1.55</v>
      </c>
      <c r="I199" s="13" t="n">
        <v>0.8467</v>
      </c>
      <c r="J199" s="13" t="n">
        <v>0.53</v>
      </c>
      <c r="K199" s="12" t="n">
        <f aca="false">ROUND(F199/100*G199*H199*I199/J199,2)</f>
        <v>21858.64</v>
      </c>
      <c r="L199" s="12" t="n">
        <v>21858.64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2947</v>
      </c>
      <c r="B200" s="14" t="s">
        <v>3205</v>
      </c>
      <c r="C200" s="14" t="s">
        <v>81</v>
      </c>
      <c r="D200" s="14" t="s">
        <v>2832</v>
      </c>
      <c r="E200" s="14" t="s">
        <v>50</v>
      </c>
      <c r="F200" s="15" t="n">
        <v>475000</v>
      </c>
      <c r="G200" s="16" t="n">
        <v>1.15</v>
      </c>
      <c r="H200" s="16" t="n">
        <v>1.27</v>
      </c>
      <c r="I200" s="16" t="n">
        <v>0.8467</v>
      </c>
      <c r="J200" s="16" t="n">
        <v>0.53</v>
      </c>
      <c r="K200" s="15" t="n">
        <f aca="false">ROUND(F200/100*G200*H200*I200/J200,2)</f>
        <v>11082.78</v>
      </c>
      <c r="L200" s="15" t="n">
        <v>11082.79</v>
      </c>
      <c r="M200" s="15" t="n">
        <f aca="false">L200-K200</f>
        <v>0.0100000000002183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3001</v>
      </c>
      <c r="B201" s="3" t="s">
        <v>3206</v>
      </c>
      <c r="C201" s="3" t="s">
        <v>81</v>
      </c>
      <c r="D201" s="3" t="s">
        <v>1854</v>
      </c>
      <c r="E201" s="3" t="s">
        <v>56</v>
      </c>
      <c r="F201" s="12" t="n">
        <v>465000</v>
      </c>
      <c r="G201" s="13" t="n">
        <v>0.75</v>
      </c>
      <c r="H201" s="13" t="n">
        <v>1.27</v>
      </c>
      <c r="I201" s="13" t="n">
        <v>0.8467</v>
      </c>
      <c r="J201" s="13" t="n">
        <v>0.53</v>
      </c>
      <c r="K201" s="12" t="n">
        <f aca="false">ROUND(F201/100*G201*H201*I201/J201,2)</f>
        <v>7075.74</v>
      </c>
      <c r="L201" s="12" t="n">
        <v>7075.74</v>
      </c>
      <c r="M201" s="12" t="n">
        <f aca="false">L201-K201</f>
        <v>0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2997</v>
      </c>
      <c r="B202" s="14" t="s">
        <v>3207</v>
      </c>
      <c r="C202" s="14" t="s">
        <v>230</v>
      </c>
      <c r="D202" s="14" t="s">
        <v>3208</v>
      </c>
      <c r="E202" s="14" t="s">
        <v>74</v>
      </c>
      <c r="F202" s="15" t="n">
        <v>365000</v>
      </c>
      <c r="G202" s="16" t="n">
        <v>0.48</v>
      </c>
      <c r="H202" s="16" t="n">
        <v>1.09</v>
      </c>
      <c r="I202" s="16" t="n">
        <v>0.8467</v>
      </c>
      <c r="J202" s="16" t="n">
        <v>0.53</v>
      </c>
      <c r="K202" s="15" t="n">
        <f aca="false">ROUND(F202/100*G202*H202*I202/J202,2)</f>
        <v>3050.8</v>
      </c>
      <c r="L202" s="15" t="n">
        <v>3050.8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3009</v>
      </c>
      <c r="B203" s="3" t="s">
        <v>3209</v>
      </c>
      <c r="C203" s="3" t="s">
        <v>152</v>
      </c>
      <c r="D203" s="3" t="s">
        <v>1028</v>
      </c>
      <c r="E203" s="3" t="s">
        <v>50</v>
      </c>
      <c r="F203" s="12" t="n">
        <v>1440000</v>
      </c>
      <c r="G203" s="13" t="n">
        <v>0.8</v>
      </c>
      <c r="H203" s="13" t="n">
        <v>1</v>
      </c>
      <c r="I203" s="13" t="n">
        <v>0.8467</v>
      </c>
      <c r="J203" s="13" t="n">
        <v>0.53</v>
      </c>
      <c r="K203" s="12" t="n">
        <f aca="false">ROUND(F203/100*G203*H203*I203/J203,2)</f>
        <v>18403.74</v>
      </c>
      <c r="L203" s="12" t="n">
        <v>18403.74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2947</v>
      </c>
      <c r="B204" s="14" t="s">
        <v>3210</v>
      </c>
      <c r="C204" s="14" t="s">
        <v>266</v>
      </c>
      <c r="D204" s="14" t="s">
        <v>2208</v>
      </c>
      <c r="E204" s="14" t="s">
        <v>56</v>
      </c>
      <c r="F204" s="15" t="n">
        <v>765000</v>
      </c>
      <c r="G204" s="16" t="n">
        <v>0.65</v>
      </c>
      <c r="H204" s="16" t="n">
        <v>1.1</v>
      </c>
      <c r="I204" s="16" t="n">
        <v>0.8467</v>
      </c>
      <c r="J204" s="16" t="n">
        <v>0.53</v>
      </c>
      <c r="K204" s="15" t="n">
        <f aca="false">ROUND(F204/100*G204*H204*I204/J204,2)</f>
        <v>8738.18</v>
      </c>
      <c r="L204" s="15" t="n">
        <v>8738.18</v>
      </c>
      <c r="M204" s="15" t="n">
        <f aca="false">L204-K204</f>
        <v>0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2965</v>
      </c>
      <c r="B205" s="3" t="s">
        <v>3211</v>
      </c>
      <c r="C205" s="3" t="s">
        <v>68</v>
      </c>
      <c r="D205" s="3" t="s">
        <v>1728</v>
      </c>
      <c r="E205" s="3" t="s">
        <v>56</v>
      </c>
      <c r="F205" s="12" t="n">
        <v>300000</v>
      </c>
      <c r="G205" s="13" t="n">
        <v>0.75</v>
      </c>
      <c r="H205" s="13" t="n">
        <v>1.38</v>
      </c>
      <c r="I205" s="13" t="n">
        <v>0.8467</v>
      </c>
      <c r="J205" s="13" t="n">
        <v>0.53</v>
      </c>
      <c r="K205" s="12" t="n">
        <f aca="false">ROUND(F205/100*G205*H205*I205/J205,2)</f>
        <v>4960.38</v>
      </c>
      <c r="L205" s="12" t="n">
        <v>4960.38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2976</v>
      </c>
      <c r="B206" s="14" t="s">
        <v>3212</v>
      </c>
      <c r="C206" s="14" t="s">
        <v>311</v>
      </c>
      <c r="D206" s="14" t="s">
        <v>453</v>
      </c>
      <c r="E206" s="14" t="s">
        <v>56</v>
      </c>
      <c r="F206" s="15" t="n">
        <v>1400000</v>
      </c>
      <c r="G206" s="16" t="n">
        <v>0.55</v>
      </c>
      <c r="H206" s="16" t="n">
        <v>1.06</v>
      </c>
      <c r="I206" s="16" t="n">
        <v>0.8467</v>
      </c>
      <c r="J206" s="16" t="n">
        <v>0.53</v>
      </c>
      <c r="K206" s="15" t="n">
        <f aca="false">ROUND(F206/100*G206*H206*I206/J206,2)</f>
        <v>13039.18</v>
      </c>
      <c r="L206" s="15" t="n">
        <v>13039.18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3028</v>
      </c>
      <c r="B207" s="3" t="s">
        <v>3213</v>
      </c>
      <c r="C207" s="3" t="s">
        <v>210</v>
      </c>
      <c r="D207" s="3" t="s">
        <v>2404</v>
      </c>
      <c r="E207" s="3" t="s">
        <v>157</v>
      </c>
      <c r="F207" s="12" t="n">
        <v>125000</v>
      </c>
      <c r="G207" s="13" t="n">
        <v>1.05</v>
      </c>
      <c r="H207" s="13" t="n">
        <v>1.21</v>
      </c>
      <c r="I207" s="13" t="n">
        <v>0.8467</v>
      </c>
      <c r="J207" s="13" t="n">
        <v>0.53</v>
      </c>
      <c r="K207" s="12" t="n">
        <f aca="false">ROUND(F207/100*G207*H207*I207/J207,2)</f>
        <v>2537.1</v>
      </c>
      <c r="L207" s="12" t="n">
        <v>2537.1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2988</v>
      </c>
      <c r="B208" s="14" t="s">
        <v>3214</v>
      </c>
      <c r="C208" s="14" t="s">
        <v>275</v>
      </c>
      <c r="D208" s="14" t="s">
        <v>2855</v>
      </c>
      <c r="E208" s="14" t="s">
        <v>74</v>
      </c>
      <c r="F208" s="15" t="n">
        <v>615000</v>
      </c>
      <c r="G208" s="16" t="n">
        <v>0.43</v>
      </c>
      <c r="H208" s="16" t="n">
        <v>1.19</v>
      </c>
      <c r="I208" s="16" t="n">
        <v>0.8467</v>
      </c>
      <c r="J208" s="16" t="n">
        <v>0.53</v>
      </c>
      <c r="K208" s="15" t="n">
        <f aca="false">ROUND(F208/100*G208*H208*I208/J208,2)</f>
        <v>5027.41</v>
      </c>
      <c r="L208" s="15" t="n">
        <v>5027.41</v>
      </c>
      <c r="M208" s="15" t="n">
        <f aca="false">L208-K208</f>
        <v>0</v>
      </c>
      <c r="N208" s="14" t="s">
        <v>51</v>
      </c>
      <c r="O208" s="14" t="s">
        <v>52</v>
      </c>
    </row>
    <row r="209" customFormat="false" ht="15" hidden="false" customHeight="false" outlineLevel="0" collapsed="false">
      <c r="A209" s="3" t="s">
        <v>2965</v>
      </c>
      <c r="B209" s="3" t="s">
        <v>3215</v>
      </c>
      <c r="C209" s="3" t="s">
        <v>89</v>
      </c>
      <c r="D209" s="3" t="s">
        <v>3216</v>
      </c>
      <c r="E209" s="3" t="s">
        <v>50</v>
      </c>
      <c r="F209" s="12" t="n">
        <v>895000</v>
      </c>
      <c r="G209" s="13" t="n">
        <v>0.95</v>
      </c>
      <c r="H209" s="13" t="n">
        <v>1.35</v>
      </c>
      <c r="I209" s="13" t="n">
        <v>0.8467</v>
      </c>
      <c r="J209" s="13" t="n">
        <v>0.53</v>
      </c>
      <c r="K209" s="12" t="n">
        <f aca="false">ROUND(F209/100*G209*H209*I209/J209,2)</f>
        <v>18337.25</v>
      </c>
      <c r="L209" s="12" t="n">
        <v>18337.24</v>
      </c>
      <c r="M209" s="12" t="n">
        <f aca="false">L209-K209</f>
        <v>-0.00999999999839929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2976</v>
      </c>
      <c r="B210" s="14" t="s">
        <v>3217</v>
      </c>
      <c r="C210" s="14" t="s">
        <v>145</v>
      </c>
      <c r="D210" s="14" t="s">
        <v>240</v>
      </c>
      <c r="E210" s="14" t="s">
        <v>56</v>
      </c>
      <c r="F210" s="15" t="n">
        <v>660000</v>
      </c>
      <c r="G210" s="16" t="n">
        <v>0.65</v>
      </c>
      <c r="H210" s="16" t="n">
        <v>0.96</v>
      </c>
      <c r="I210" s="16" t="n">
        <v>0.8467</v>
      </c>
      <c r="J210" s="16" t="n">
        <v>0.53</v>
      </c>
      <c r="K210" s="15" t="n">
        <f aca="false">ROUND(F210/100*G210*H210*I210/J210,2)</f>
        <v>6579.34</v>
      </c>
      <c r="L210" s="15" t="n">
        <v>6579.34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2974</v>
      </c>
      <c r="B211" s="3" t="s">
        <v>3218</v>
      </c>
      <c r="C211" s="3" t="s">
        <v>48</v>
      </c>
      <c r="D211" s="3" t="s">
        <v>204</v>
      </c>
      <c r="E211" s="3" t="s">
        <v>74</v>
      </c>
      <c r="F211" s="12" t="n">
        <v>535000</v>
      </c>
      <c r="G211" s="13" t="n">
        <v>0.43</v>
      </c>
      <c r="H211" s="13" t="n">
        <v>1.28</v>
      </c>
      <c r="I211" s="13" t="n">
        <v>0.8467</v>
      </c>
      <c r="J211" s="13" t="n">
        <v>0.53</v>
      </c>
      <c r="K211" s="12" t="n">
        <f aca="false">ROUND(F211/100*G211*H211*I211/J211,2)</f>
        <v>4704.2</v>
      </c>
      <c r="L211" s="12" t="n">
        <v>4704.2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3028</v>
      </c>
      <c r="B212" s="14" t="s">
        <v>3219</v>
      </c>
      <c r="C212" s="14" t="s">
        <v>59</v>
      </c>
      <c r="D212" s="14" t="s">
        <v>49</v>
      </c>
      <c r="E212" s="14" t="s">
        <v>50</v>
      </c>
      <c r="F212" s="15" t="n">
        <v>1275000</v>
      </c>
      <c r="G212" s="16" t="n">
        <v>0.8</v>
      </c>
      <c r="H212" s="16" t="n">
        <v>0.97</v>
      </c>
      <c r="I212" s="16" t="n">
        <v>0.8467</v>
      </c>
      <c r="J212" s="16" t="n">
        <v>0.53</v>
      </c>
      <c r="K212" s="15" t="n">
        <f aca="false">ROUND(F212/100*G212*H212*I212/J212,2)</f>
        <v>15806.13</v>
      </c>
      <c r="L212" s="15" t="n">
        <v>15806.13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2942</v>
      </c>
      <c r="B213" s="3" t="s">
        <v>3220</v>
      </c>
      <c r="C213" s="3" t="s">
        <v>435</v>
      </c>
      <c r="D213" s="3" t="s">
        <v>1281</v>
      </c>
      <c r="E213" s="3" t="s">
        <v>74</v>
      </c>
      <c r="F213" s="12" t="n">
        <v>1615000</v>
      </c>
      <c r="G213" s="13" t="n">
        <v>0.38</v>
      </c>
      <c r="H213" s="13" t="n">
        <v>1.13</v>
      </c>
      <c r="I213" s="13" t="n">
        <v>0.8467</v>
      </c>
      <c r="J213" s="13" t="n">
        <v>0.53</v>
      </c>
      <c r="K213" s="12" t="n">
        <f aca="false">ROUND(F213/100*G213*H213*I213/J213,2)</f>
        <v>11078.69</v>
      </c>
      <c r="L213" s="12" t="n">
        <v>11078.69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2974</v>
      </c>
      <c r="B214" s="14" t="s">
        <v>3221</v>
      </c>
      <c r="C214" s="14" t="s">
        <v>159</v>
      </c>
      <c r="D214" s="14" t="s">
        <v>2368</v>
      </c>
      <c r="E214" s="14" t="s">
        <v>56</v>
      </c>
      <c r="F214" s="15" t="n">
        <v>680000</v>
      </c>
      <c r="G214" s="16" t="n">
        <v>0.65</v>
      </c>
      <c r="H214" s="16" t="n">
        <v>1.15</v>
      </c>
      <c r="I214" s="16" t="n">
        <v>0.8467</v>
      </c>
      <c r="J214" s="16" t="n">
        <v>0.53</v>
      </c>
      <c r="K214" s="15" t="n">
        <f aca="false">ROUND(F214/100*G214*H214*I214/J214,2)</f>
        <v>8120.33</v>
      </c>
      <c r="L214" s="15" t="n">
        <v>8120.34</v>
      </c>
      <c r="M214" s="15" t="n">
        <f aca="false">L214-K214</f>
        <v>0.0100000000002183</v>
      </c>
      <c r="N214" s="14" t="s">
        <v>61</v>
      </c>
      <c r="O214" s="14" t="s">
        <v>62</v>
      </c>
    </row>
    <row r="215" customFormat="false" ht="15" hidden="false" customHeight="false" outlineLevel="0" collapsed="false">
      <c r="A215" s="3" t="s">
        <v>2969</v>
      </c>
      <c r="B215" s="3" t="s">
        <v>3222</v>
      </c>
      <c r="C215" s="3" t="s">
        <v>275</v>
      </c>
      <c r="D215" s="3" t="s">
        <v>615</v>
      </c>
      <c r="E215" s="3" t="s">
        <v>56</v>
      </c>
      <c r="F215" s="12" t="n">
        <v>560000</v>
      </c>
      <c r="G215" s="13" t="n">
        <v>0.65</v>
      </c>
      <c r="H215" s="13" t="n">
        <v>1.19</v>
      </c>
      <c r="I215" s="13" t="n">
        <v>0.8467</v>
      </c>
      <c r="J215" s="13" t="n">
        <v>0.53</v>
      </c>
      <c r="K215" s="12" t="n">
        <f aca="false">ROUND(F215/100*G215*H215*I215/J215,2)</f>
        <v>6919.94</v>
      </c>
      <c r="L215" s="12" t="n">
        <v>6919.94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2957</v>
      </c>
      <c r="B216" s="14" t="s">
        <v>3223</v>
      </c>
      <c r="C216" s="14" t="s">
        <v>142</v>
      </c>
      <c r="D216" s="14" t="s">
        <v>2077</v>
      </c>
      <c r="E216" s="14" t="s">
        <v>56</v>
      </c>
      <c r="F216" s="15" t="n">
        <v>985000</v>
      </c>
      <c r="G216" s="16" t="n">
        <v>0.65</v>
      </c>
      <c r="H216" s="16" t="n">
        <v>1.22</v>
      </c>
      <c r="I216" s="16" t="n">
        <v>0.8467</v>
      </c>
      <c r="J216" s="16" t="n">
        <v>0.53</v>
      </c>
      <c r="K216" s="15" t="n">
        <f aca="false">ROUND(F216/100*G216*H216*I216/J216,2)</f>
        <v>12478.52</v>
      </c>
      <c r="L216" s="15" t="n">
        <v>12478.52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3005</v>
      </c>
      <c r="B217" s="3" t="s">
        <v>3224</v>
      </c>
      <c r="C217" s="3" t="s">
        <v>224</v>
      </c>
      <c r="D217" s="3" t="s">
        <v>3225</v>
      </c>
      <c r="E217" s="3" t="s">
        <v>50</v>
      </c>
      <c r="F217" s="12" t="n">
        <v>885000</v>
      </c>
      <c r="G217" s="13" t="n">
        <v>0.95</v>
      </c>
      <c r="H217" s="13" t="n">
        <v>1.1</v>
      </c>
      <c r="I217" s="13" t="n">
        <v>0.8467</v>
      </c>
      <c r="J217" s="13" t="n">
        <v>0.53</v>
      </c>
      <c r="K217" s="12" t="n">
        <f aca="false">ROUND(F217/100*G217*H217*I217/J217,2)</f>
        <v>14774.52</v>
      </c>
      <c r="L217" s="12" t="n">
        <v>14774.52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2935</v>
      </c>
      <c r="B218" s="14" t="s">
        <v>3226</v>
      </c>
      <c r="C218" s="14" t="s">
        <v>93</v>
      </c>
      <c r="D218" s="14" t="s">
        <v>3227</v>
      </c>
      <c r="E218" s="14" t="s">
        <v>56</v>
      </c>
      <c r="F218" s="15" t="n">
        <v>395000</v>
      </c>
      <c r="G218" s="16" t="n">
        <v>0.75</v>
      </c>
      <c r="H218" s="16" t="n">
        <v>1.39</v>
      </c>
      <c r="I218" s="16" t="n">
        <v>0.8467</v>
      </c>
      <c r="J218" s="16" t="n">
        <v>0.53</v>
      </c>
      <c r="K218" s="15" t="n">
        <f aca="false">ROUND(F218/100*G218*H218*I218/J218,2)</f>
        <v>6578.5</v>
      </c>
      <c r="L218" s="15" t="n">
        <v>6578.5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2938</v>
      </c>
      <c r="B219" s="3" t="s">
        <v>3228</v>
      </c>
      <c r="C219" s="3" t="s">
        <v>210</v>
      </c>
      <c r="D219" s="3" t="s">
        <v>1849</v>
      </c>
      <c r="E219" s="3" t="s">
        <v>56</v>
      </c>
      <c r="F219" s="12" t="n">
        <v>715000</v>
      </c>
      <c r="G219" s="13" t="n">
        <v>0.65</v>
      </c>
      <c r="H219" s="13" t="n">
        <v>1.21</v>
      </c>
      <c r="I219" s="13" t="n">
        <v>0.8467</v>
      </c>
      <c r="J219" s="13" t="n">
        <v>0.53</v>
      </c>
      <c r="K219" s="12" t="n">
        <f aca="false">ROUND(F219/100*G219*H219*I219/J219,2)</f>
        <v>8983.77</v>
      </c>
      <c r="L219" s="12" t="n">
        <v>8983.77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3013</v>
      </c>
      <c r="B220" s="14" t="s">
        <v>3229</v>
      </c>
      <c r="C220" s="14" t="s">
        <v>48</v>
      </c>
      <c r="D220" s="14" t="s">
        <v>880</v>
      </c>
      <c r="E220" s="14" t="s">
        <v>56</v>
      </c>
      <c r="F220" s="15" t="n">
        <v>285000</v>
      </c>
      <c r="G220" s="16" t="n">
        <v>0.75</v>
      </c>
      <c r="H220" s="16" t="n">
        <v>1.28</v>
      </c>
      <c r="I220" s="16" t="n">
        <v>0.8467</v>
      </c>
      <c r="J220" s="16" t="n">
        <v>0.53</v>
      </c>
      <c r="K220" s="15" t="n">
        <f aca="false">ROUND(F220/100*G220*H220*I220/J220,2)</f>
        <v>4370.89</v>
      </c>
      <c r="L220" s="15" t="n">
        <v>4370.89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2967</v>
      </c>
      <c r="B221" s="3" t="s">
        <v>3230</v>
      </c>
      <c r="C221" s="3" t="s">
        <v>159</v>
      </c>
      <c r="D221" s="3" t="s">
        <v>2065</v>
      </c>
      <c r="E221" s="3" t="s">
        <v>56</v>
      </c>
      <c r="F221" s="12" t="n">
        <v>1020000</v>
      </c>
      <c r="G221" s="13" t="n">
        <v>0.55</v>
      </c>
      <c r="H221" s="13" t="n">
        <v>1.15</v>
      </c>
      <c r="I221" s="13" t="n">
        <v>0.8467</v>
      </c>
      <c r="J221" s="13" t="n">
        <v>0.53</v>
      </c>
      <c r="K221" s="12" t="n">
        <f aca="false">ROUND(F221/100*G221*H221*I221/J221,2)</f>
        <v>10306.58</v>
      </c>
      <c r="L221" s="12" t="n">
        <v>10306.57</v>
      </c>
      <c r="M221" s="12" t="n">
        <f aca="false">L221-K221</f>
        <v>-0.0100000000002183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3024</v>
      </c>
      <c r="B222" s="14" t="s">
        <v>3231</v>
      </c>
      <c r="C222" s="14" t="s">
        <v>196</v>
      </c>
      <c r="D222" s="14" t="s">
        <v>2065</v>
      </c>
      <c r="E222" s="14" t="s">
        <v>56</v>
      </c>
      <c r="F222" s="15" t="n">
        <v>965000</v>
      </c>
      <c r="G222" s="16" t="n">
        <v>0.65</v>
      </c>
      <c r="H222" s="16" t="n">
        <v>1.04</v>
      </c>
      <c r="I222" s="16" t="n">
        <v>0.8467</v>
      </c>
      <c r="J222" s="16" t="n">
        <v>0.53</v>
      </c>
      <c r="K222" s="15" t="n">
        <f aca="false">ROUND(F222/100*G222*H222*I222/J222,2)</f>
        <v>10421.44</v>
      </c>
      <c r="L222" s="15" t="n">
        <v>10421.44</v>
      </c>
      <c r="M222" s="15" t="n">
        <f aca="false">L222-K222</f>
        <v>0</v>
      </c>
      <c r="N222" s="14" t="s">
        <v>51</v>
      </c>
      <c r="O222" s="14" t="s">
        <v>52</v>
      </c>
    </row>
    <row r="223" customFormat="false" ht="15" hidden="false" customHeight="false" outlineLevel="0" collapsed="false">
      <c r="A223" s="3" t="s">
        <v>3028</v>
      </c>
      <c r="B223" s="3" t="s">
        <v>3232</v>
      </c>
      <c r="C223" s="3" t="s">
        <v>105</v>
      </c>
      <c r="D223" s="3" t="s">
        <v>3233</v>
      </c>
      <c r="E223" s="3" t="s">
        <v>157</v>
      </c>
      <c r="F223" s="12" t="n">
        <v>735000</v>
      </c>
      <c r="G223" s="13" t="n">
        <v>0.78</v>
      </c>
      <c r="H223" s="13" t="n">
        <v>0.99</v>
      </c>
      <c r="I223" s="13" t="n">
        <v>0.8467</v>
      </c>
      <c r="J223" s="13" t="n">
        <v>0.53</v>
      </c>
      <c r="K223" s="12" t="n">
        <f aca="false">ROUND(F223/100*G223*H223*I223/J223,2)</f>
        <v>9067.15</v>
      </c>
      <c r="L223" s="12" t="n">
        <v>9067.15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2993</v>
      </c>
      <c r="B224" s="14" t="s">
        <v>3234</v>
      </c>
      <c r="C224" s="14" t="s">
        <v>77</v>
      </c>
      <c r="D224" s="14" t="s">
        <v>149</v>
      </c>
      <c r="E224" s="14" t="s">
        <v>74</v>
      </c>
      <c r="F224" s="15" t="n">
        <v>570000</v>
      </c>
      <c r="G224" s="16" t="n">
        <v>0.43</v>
      </c>
      <c r="H224" s="16" t="n">
        <v>1.42</v>
      </c>
      <c r="I224" s="16" t="n">
        <v>0.8467</v>
      </c>
      <c r="J224" s="16" t="n">
        <v>0.53</v>
      </c>
      <c r="K224" s="15" t="n">
        <f aca="false">ROUND(F224/100*G224*H224*I224/J224,2)</f>
        <v>5560.14</v>
      </c>
      <c r="L224" s="15" t="n">
        <v>5560.13</v>
      </c>
      <c r="M224" s="15" t="n">
        <f aca="false">L224-K224</f>
        <v>-0.0100000000002183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2988</v>
      </c>
      <c r="B225" s="3" t="s">
        <v>3235</v>
      </c>
      <c r="C225" s="3" t="s">
        <v>326</v>
      </c>
      <c r="D225" s="3" t="s">
        <v>2996</v>
      </c>
      <c r="E225" s="3" t="s">
        <v>74</v>
      </c>
      <c r="F225" s="12" t="n">
        <v>590000</v>
      </c>
      <c r="G225" s="13" t="n">
        <v>0.43</v>
      </c>
      <c r="H225" s="13" t="n">
        <v>1.12</v>
      </c>
      <c r="I225" s="13" t="n">
        <v>0.8467</v>
      </c>
      <c r="J225" s="13" t="n">
        <v>0.53</v>
      </c>
      <c r="K225" s="12" t="n">
        <f aca="false">ROUND(F225/100*G225*H225*I225/J225,2)</f>
        <v>4539.33</v>
      </c>
      <c r="L225" s="12" t="n">
        <v>4539.34</v>
      </c>
      <c r="M225" s="12" t="n">
        <f aca="false">L225-K225</f>
        <v>0.0100000000002183</v>
      </c>
      <c r="N225" s="3" t="s">
        <v>51</v>
      </c>
      <c r="O225" s="3" t="s">
        <v>52</v>
      </c>
    </row>
    <row r="226" customFormat="false" ht="15" hidden="false" customHeight="false" outlineLevel="0" collapsed="false">
      <c r="A226" s="14" t="s">
        <v>3024</v>
      </c>
      <c r="B226" s="14" t="s">
        <v>3236</v>
      </c>
      <c r="C226" s="14" t="s">
        <v>278</v>
      </c>
      <c r="D226" s="14" t="s">
        <v>628</v>
      </c>
      <c r="E226" s="14" t="s">
        <v>56</v>
      </c>
      <c r="F226" s="15" t="n">
        <v>575000</v>
      </c>
      <c r="G226" s="16" t="n">
        <v>0.65</v>
      </c>
      <c r="H226" s="16" t="n">
        <v>0.98</v>
      </c>
      <c r="I226" s="16" t="n">
        <v>0.8467</v>
      </c>
      <c r="J226" s="16" t="n">
        <v>0.53</v>
      </c>
      <c r="K226" s="15" t="n">
        <f aca="false">ROUND(F226/100*G226*H226*I226/J226,2)</f>
        <v>5851.42</v>
      </c>
      <c r="L226" s="15" t="n">
        <v>5851.42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2972</v>
      </c>
      <c r="B227" s="3" t="s">
        <v>3237</v>
      </c>
      <c r="C227" s="3" t="s">
        <v>887</v>
      </c>
      <c r="D227" s="3" t="s">
        <v>3238</v>
      </c>
      <c r="E227" s="3" t="s">
        <v>56</v>
      </c>
      <c r="F227" s="12" t="n">
        <v>470000</v>
      </c>
      <c r="G227" s="13" t="n">
        <v>0.75</v>
      </c>
      <c r="H227" s="13" t="n">
        <v>1.37</v>
      </c>
      <c r="I227" s="13" t="n">
        <v>0.8467</v>
      </c>
      <c r="J227" s="13" t="n">
        <v>0.53</v>
      </c>
      <c r="K227" s="12" t="n">
        <f aca="false">ROUND(F227/100*G227*H227*I227/J227,2)</f>
        <v>7714.95</v>
      </c>
      <c r="L227" s="12" t="n">
        <v>7714.95</v>
      </c>
      <c r="M227" s="12" t="n">
        <f aca="false">L227-K227</f>
        <v>0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2967</v>
      </c>
      <c r="B228" s="14" t="s">
        <v>3239</v>
      </c>
      <c r="C228" s="14" t="s">
        <v>81</v>
      </c>
      <c r="D228" s="14" t="s">
        <v>780</v>
      </c>
      <c r="E228" s="14" t="s">
        <v>56</v>
      </c>
      <c r="F228" s="15" t="n">
        <v>475000</v>
      </c>
      <c r="G228" s="16" t="n">
        <v>0.75</v>
      </c>
      <c r="H228" s="16" t="n">
        <v>1.27</v>
      </c>
      <c r="I228" s="16" t="n">
        <v>0.8467</v>
      </c>
      <c r="J228" s="16" t="n">
        <v>0.53</v>
      </c>
      <c r="K228" s="15" t="n">
        <f aca="false">ROUND(F228/100*G228*H228*I228/J228,2)</f>
        <v>7227.9</v>
      </c>
      <c r="L228" s="15" t="n">
        <v>7227.91</v>
      </c>
      <c r="M228" s="15" t="n">
        <f aca="false">L228-K228</f>
        <v>0.0100000000002183</v>
      </c>
      <c r="N228" s="14" t="s">
        <v>51</v>
      </c>
      <c r="O228" s="14" t="s">
        <v>52</v>
      </c>
    </row>
    <row r="229" customFormat="false" ht="15" hidden="false" customHeight="false" outlineLevel="0" collapsed="false">
      <c r="A229" s="3" t="s">
        <v>2985</v>
      </c>
      <c r="B229" s="3" t="s">
        <v>3240</v>
      </c>
      <c r="C229" s="3" t="s">
        <v>237</v>
      </c>
      <c r="D229" s="3" t="s">
        <v>527</v>
      </c>
      <c r="E229" s="3" t="s">
        <v>56</v>
      </c>
      <c r="F229" s="12" t="n">
        <v>1030000</v>
      </c>
      <c r="G229" s="13" t="n">
        <v>0.55</v>
      </c>
      <c r="H229" s="13" t="n">
        <v>1.33</v>
      </c>
      <c r="I229" s="13" t="n">
        <v>0.8467</v>
      </c>
      <c r="J229" s="13" t="n">
        <v>0.53</v>
      </c>
      <c r="K229" s="12" t="n">
        <f aca="false">ROUND(F229/100*G229*H229*I229/J229,2)</f>
        <v>12036.64</v>
      </c>
      <c r="L229" s="12" t="n">
        <v>12036.64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3049</v>
      </c>
      <c r="B230" s="14" t="s">
        <v>3241</v>
      </c>
      <c r="C230" s="14" t="s">
        <v>184</v>
      </c>
      <c r="D230" s="14" t="s">
        <v>3242</v>
      </c>
      <c r="E230" s="14" t="s">
        <v>56</v>
      </c>
      <c r="F230" s="15" t="n">
        <v>310000</v>
      </c>
      <c r="G230" s="16" t="n">
        <v>0.75</v>
      </c>
      <c r="H230" s="16" t="n">
        <v>1.02</v>
      </c>
      <c r="I230" s="16" t="n">
        <v>0.8467</v>
      </c>
      <c r="J230" s="16" t="n">
        <v>0.53</v>
      </c>
      <c r="K230" s="15" t="n">
        <f aca="false">ROUND(F230/100*G230*H230*I230/J230,2)</f>
        <v>3788.58</v>
      </c>
      <c r="L230" s="15" t="n">
        <v>3788.58</v>
      </c>
      <c r="M230" s="15" t="n">
        <f aca="false">L230-K230</f>
        <v>0</v>
      </c>
      <c r="N230" s="14" t="s">
        <v>51</v>
      </c>
      <c r="O230" s="14" t="s">
        <v>52</v>
      </c>
    </row>
    <row r="231" customFormat="false" ht="15" hidden="false" customHeight="false" outlineLevel="0" collapsed="false">
      <c r="A231" s="3" t="s">
        <v>3024</v>
      </c>
      <c r="B231" s="3" t="s">
        <v>3243</v>
      </c>
      <c r="C231" s="3" t="s">
        <v>89</v>
      </c>
      <c r="D231" s="3" t="s">
        <v>3244</v>
      </c>
      <c r="E231" s="3" t="s">
        <v>50</v>
      </c>
      <c r="F231" s="12" t="n">
        <v>1950000</v>
      </c>
      <c r="G231" s="13" t="n">
        <v>0.8</v>
      </c>
      <c r="H231" s="13" t="n">
        <v>1.35</v>
      </c>
      <c r="I231" s="13" t="n">
        <v>0.8467</v>
      </c>
      <c r="J231" s="13" t="n">
        <v>0.53</v>
      </c>
      <c r="K231" s="12" t="n">
        <f aca="false">ROUND(F231/100*G231*H231*I231/J231,2)</f>
        <v>33644.34</v>
      </c>
      <c r="L231" s="12" t="n">
        <v>33644.34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2969</v>
      </c>
      <c r="B232" s="14" t="s">
        <v>3245</v>
      </c>
      <c r="C232" s="14" t="s">
        <v>48</v>
      </c>
      <c r="D232" s="14" t="s">
        <v>3246</v>
      </c>
      <c r="E232" s="14" t="s">
        <v>74</v>
      </c>
      <c r="F232" s="15" t="n">
        <v>520000</v>
      </c>
      <c r="G232" s="16" t="n">
        <v>0.43</v>
      </c>
      <c r="H232" s="16" t="n">
        <v>1.28</v>
      </c>
      <c r="I232" s="16" t="n">
        <v>0.8467</v>
      </c>
      <c r="J232" s="16" t="n">
        <v>0.53</v>
      </c>
      <c r="K232" s="15" t="n">
        <f aca="false">ROUND(F232/100*G232*H232*I232/J232,2)</f>
        <v>4572.31</v>
      </c>
      <c r="L232" s="15" t="n">
        <v>4572.31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2997</v>
      </c>
      <c r="B233" s="3" t="s">
        <v>3247</v>
      </c>
      <c r="C233" s="3" t="s">
        <v>366</v>
      </c>
      <c r="D233" s="3" t="s">
        <v>2371</v>
      </c>
      <c r="E233" s="3" t="s">
        <v>74</v>
      </c>
      <c r="F233" s="12" t="n">
        <v>220000</v>
      </c>
      <c r="G233" s="13" t="n">
        <v>0.57</v>
      </c>
      <c r="H233" s="13" t="n">
        <v>1.26</v>
      </c>
      <c r="I233" s="13" t="n">
        <v>0.8467</v>
      </c>
      <c r="J233" s="13" t="n">
        <v>0.53</v>
      </c>
      <c r="K233" s="12" t="n">
        <f aca="false">ROUND(F233/100*G233*H233*I233/J233,2)</f>
        <v>2524.19</v>
      </c>
      <c r="L233" s="12" t="n">
        <v>2524.19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3011</v>
      </c>
      <c r="B234" s="14" t="s">
        <v>3248</v>
      </c>
      <c r="C234" s="14" t="s">
        <v>77</v>
      </c>
      <c r="D234" s="14" t="s">
        <v>1877</v>
      </c>
      <c r="E234" s="14" t="s">
        <v>56</v>
      </c>
      <c r="F234" s="15" t="n">
        <v>860000</v>
      </c>
      <c r="G234" s="16" t="n">
        <v>0.65</v>
      </c>
      <c r="H234" s="16" t="n">
        <v>1.42</v>
      </c>
      <c r="I234" s="16" t="n">
        <v>0.8467</v>
      </c>
      <c r="J234" s="16" t="n">
        <v>0.53</v>
      </c>
      <c r="K234" s="15" t="n">
        <f aca="false">ROUND(F234/100*G234*H234*I234/J234,2)</f>
        <v>12681.01</v>
      </c>
      <c r="L234" s="15" t="n">
        <v>12681.01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3001</v>
      </c>
      <c r="B235" s="3" t="s">
        <v>3249</v>
      </c>
      <c r="C235" s="3" t="s">
        <v>462</v>
      </c>
      <c r="D235" s="3" t="s">
        <v>2199</v>
      </c>
      <c r="E235" s="3" t="s">
        <v>56</v>
      </c>
      <c r="F235" s="12" t="n">
        <v>785000</v>
      </c>
      <c r="G235" s="13" t="n">
        <v>0.65</v>
      </c>
      <c r="H235" s="13" t="n">
        <v>1.34</v>
      </c>
      <c r="I235" s="13" t="n">
        <v>0.8467</v>
      </c>
      <c r="J235" s="13" t="n">
        <v>0.53</v>
      </c>
      <c r="K235" s="12" t="n">
        <f aca="false">ROUND(F235/100*G235*H235*I235/J235,2)</f>
        <v>10922.99</v>
      </c>
      <c r="L235" s="12" t="n">
        <v>10922.99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2997</v>
      </c>
      <c r="B236" s="14" t="s">
        <v>3250</v>
      </c>
      <c r="C236" s="14" t="s">
        <v>326</v>
      </c>
      <c r="D236" s="14" t="s">
        <v>3251</v>
      </c>
      <c r="E236" s="14" t="s">
        <v>56</v>
      </c>
      <c r="F236" s="15" t="n">
        <v>280000</v>
      </c>
      <c r="G236" s="16" t="n">
        <v>0.75</v>
      </c>
      <c r="H236" s="16" t="n">
        <v>1.12</v>
      </c>
      <c r="I236" s="16" t="n">
        <v>0.8467</v>
      </c>
      <c r="J236" s="16" t="n">
        <v>0.53</v>
      </c>
      <c r="K236" s="15" t="n">
        <f aca="false">ROUND(F236/100*G236*H236*I236/J236,2)</f>
        <v>3757.43</v>
      </c>
      <c r="L236" s="15" t="n">
        <v>3757.43</v>
      </c>
      <c r="M236" s="15" t="n">
        <f aca="false">L236-K236</f>
        <v>0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2961</v>
      </c>
      <c r="B237" s="3" t="s">
        <v>3252</v>
      </c>
      <c r="C237" s="3" t="s">
        <v>174</v>
      </c>
      <c r="D237" s="3" t="s">
        <v>1998</v>
      </c>
      <c r="E237" s="3" t="s">
        <v>56</v>
      </c>
      <c r="F237" s="12" t="n">
        <v>405000</v>
      </c>
      <c r="G237" s="13" t="n">
        <v>0.75</v>
      </c>
      <c r="H237" s="13" t="n">
        <v>1.55</v>
      </c>
      <c r="I237" s="13" t="n">
        <v>0.8467</v>
      </c>
      <c r="J237" s="13" t="n">
        <v>0.53</v>
      </c>
      <c r="K237" s="12" t="n">
        <f aca="false">ROUND(F237/100*G237*H237*I237/J237,2)</f>
        <v>7521.45</v>
      </c>
      <c r="L237" s="12" t="n">
        <v>7521.45</v>
      </c>
      <c r="M237" s="12" t="n">
        <f aca="false">L237-K237</f>
        <v>0</v>
      </c>
      <c r="N237" s="3" t="s">
        <v>51</v>
      </c>
      <c r="O237" s="3" t="s">
        <v>52</v>
      </c>
    </row>
    <row r="238" customFormat="false" ht="15" hidden="false" customHeight="false" outlineLevel="0" collapsed="false">
      <c r="A238" s="14" t="s">
        <v>2940</v>
      </c>
      <c r="B238" s="14" t="s">
        <v>3253</v>
      </c>
      <c r="C238" s="14" t="s">
        <v>93</v>
      </c>
      <c r="D238" s="14" t="s">
        <v>2708</v>
      </c>
      <c r="E238" s="14" t="s">
        <v>56</v>
      </c>
      <c r="F238" s="15" t="n">
        <v>540000</v>
      </c>
      <c r="G238" s="16" t="n">
        <v>0.65</v>
      </c>
      <c r="H238" s="16" t="n">
        <v>1.39</v>
      </c>
      <c r="I238" s="16" t="n">
        <v>0.8467</v>
      </c>
      <c r="J238" s="16" t="n">
        <v>0.53</v>
      </c>
      <c r="K238" s="15" t="n">
        <f aca="false">ROUND(F238/100*G238*H238*I238/J238,2)</f>
        <v>7794.27</v>
      </c>
      <c r="L238" s="15" t="n">
        <v>7794.27</v>
      </c>
      <c r="M238" s="15" t="n">
        <f aca="false">L238-K238</f>
        <v>0</v>
      </c>
      <c r="N238" s="14" t="s">
        <v>51</v>
      </c>
      <c r="O238" s="14" t="s">
        <v>52</v>
      </c>
    </row>
    <row r="239" customFormat="false" ht="15" hidden="false" customHeight="false" outlineLevel="0" collapsed="false">
      <c r="A239" s="3" t="s">
        <v>2957</v>
      </c>
      <c r="B239" s="3" t="s">
        <v>3254</v>
      </c>
      <c r="C239" s="3" t="s">
        <v>89</v>
      </c>
      <c r="D239" s="3" t="s">
        <v>709</v>
      </c>
      <c r="E239" s="3" t="s">
        <v>56</v>
      </c>
      <c r="F239" s="12" t="n">
        <v>395000</v>
      </c>
      <c r="G239" s="13" t="n">
        <v>0.75</v>
      </c>
      <c r="H239" s="13" t="n">
        <v>1.35</v>
      </c>
      <c r="I239" s="13" t="n">
        <v>0.8467</v>
      </c>
      <c r="J239" s="13" t="n">
        <v>0.53</v>
      </c>
      <c r="K239" s="12" t="n">
        <f aca="false">ROUND(F239/100*G239*H239*I239/J239,2)</f>
        <v>6389.19</v>
      </c>
      <c r="L239" s="12" t="n">
        <v>6389.19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2993</v>
      </c>
      <c r="B240" s="14" t="s">
        <v>3255</v>
      </c>
      <c r="C240" s="14" t="s">
        <v>152</v>
      </c>
      <c r="D240" s="14" t="s">
        <v>480</v>
      </c>
      <c r="E240" s="14" t="s">
        <v>74</v>
      </c>
      <c r="F240" s="15" t="n">
        <v>955000</v>
      </c>
      <c r="G240" s="16" t="n">
        <v>0.43</v>
      </c>
      <c r="H240" s="16" t="n">
        <v>1</v>
      </c>
      <c r="I240" s="16" t="n">
        <v>0.8467</v>
      </c>
      <c r="J240" s="16" t="n">
        <v>0.53</v>
      </c>
      <c r="K240" s="15" t="n">
        <f aca="false">ROUND(F240/100*G240*H240*I240/J240,2)</f>
        <v>6560.33</v>
      </c>
      <c r="L240" s="15" t="n">
        <v>6560.32</v>
      </c>
      <c r="M240" s="15" t="n">
        <f aca="false">L240-K240</f>
        <v>-0.0100000000002183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3024</v>
      </c>
      <c r="B241" s="3" t="s">
        <v>3256</v>
      </c>
      <c r="C241" s="3" t="s">
        <v>89</v>
      </c>
      <c r="D241" s="3" t="s">
        <v>1743</v>
      </c>
      <c r="E241" s="3" t="s">
        <v>56</v>
      </c>
      <c r="F241" s="12" t="n">
        <v>700000</v>
      </c>
      <c r="G241" s="13" t="n">
        <v>0.65</v>
      </c>
      <c r="H241" s="13" t="n">
        <v>1.35</v>
      </c>
      <c r="I241" s="13" t="n">
        <v>0.8467</v>
      </c>
      <c r="J241" s="13" t="n">
        <v>0.53</v>
      </c>
      <c r="K241" s="12" t="n">
        <f aca="false">ROUND(F241/100*G241*H241*I241/J241,2)</f>
        <v>9812.93</v>
      </c>
      <c r="L241" s="12" t="n">
        <v>9812.93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2947</v>
      </c>
      <c r="B242" s="14" t="s">
        <v>3257</v>
      </c>
      <c r="C242" s="14" t="s">
        <v>152</v>
      </c>
      <c r="D242" s="14" t="s">
        <v>473</v>
      </c>
      <c r="E242" s="14" t="s">
        <v>56</v>
      </c>
      <c r="F242" s="15" t="n">
        <v>180000</v>
      </c>
      <c r="G242" s="16" t="n">
        <v>0.92</v>
      </c>
      <c r="H242" s="16" t="n">
        <v>1</v>
      </c>
      <c r="I242" s="16" t="n">
        <v>0.8467</v>
      </c>
      <c r="J242" s="16" t="n">
        <v>0.53</v>
      </c>
      <c r="K242" s="15" t="n">
        <f aca="false">ROUND(F242/100*G242*H242*I242/J242,2)</f>
        <v>2645.54</v>
      </c>
      <c r="L242" s="15" t="n">
        <v>2645.54</v>
      </c>
      <c r="M242" s="15" t="n">
        <f aca="false">L242-K242</f>
        <v>0</v>
      </c>
      <c r="N242" s="14" t="s">
        <v>70</v>
      </c>
      <c r="O242" s="14" t="s">
        <v>52</v>
      </c>
    </row>
    <row r="243" customFormat="false" ht="15" hidden="false" customHeight="false" outlineLevel="0" collapsed="false">
      <c r="A243" s="3" t="s">
        <v>2947</v>
      </c>
      <c r="B243" s="3" t="s">
        <v>3258</v>
      </c>
      <c r="C243" s="3" t="s">
        <v>196</v>
      </c>
      <c r="D243" s="3" t="s">
        <v>3259</v>
      </c>
      <c r="E243" s="3" t="s">
        <v>157</v>
      </c>
      <c r="F243" s="12" t="n">
        <v>150000</v>
      </c>
      <c r="G243" s="13" t="n">
        <v>1.05</v>
      </c>
      <c r="H243" s="13" t="n">
        <v>1.04</v>
      </c>
      <c r="I243" s="13" t="n">
        <v>0.8467</v>
      </c>
      <c r="J243" s="13" t="n">
        <v>0.53</v>
      </c>
      <c r="K243" s="12" t="n">
        <f aca="false">ROUND(F243/100*G243*H243*I243/J243,2)</f>
        <v>2616.78</v>
      </c>
      <c r="L243" s="12" t="n">
        <v>2616.79</v>
      </c>
      <c r="M243" s="12" t="n">
        <f aca="false">L243-K243</f>
        <v>0.00999999999976353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3001</v>
      </c>
      <c r="B244" s="14" t="s">
        <v>3260</v>
      </c>
      <c r="C244" s="14" t="s">
        <v>117</v>
      </c>
      <c r="D244" s="14" t="s">
        <v>846</v>
      </c>
      <c r="E244" s="14" t="s">
        <v>56</v>
      </c>
      <c r="F244" s="15" t="n">
        <v>435000</v>
      </c>
      <c r="G244" s="16" t="n">
        <v>0.75</v>
      </c>
      <c r="H244" s="16" t="n">
        <v>0.91</v>
      </c>
      <c r="I244" s="16" t="n">
        <v>0.8467</v>
      </c>
      <c r="J244" s="16" t="n">
        <v>0.53</v>
      </c>
      <c r="K244" s="15" t="n">
        <f aca="false">ROUND(F244/100*G244*H244*I244/J244,2)</f>
        <v>4742.92</v>
      </c>
      <c r="L244" s="15" t="n">
        <v>4742.92</v>
      </c>
      <c r="M244" s="15" t="n">
        <f aca="false">L244-K244</f>
        <v>0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2965</v>
      </c>
      <c r="B245" s="3" t="s">
        <v>3261</v>
      </c>
      <c r="C245" s="3" t="s">
        <v>435</v>
      </c>
      <c r="D245" s="3" t="s">
        <v>3262</v>
      </c>
      <c r="E245" s="3" t="s">
        <v>74</v>
      </c>
      <c r="F245" s="12" t="n">
        <v>500000</v>
      </c>
      <c r="G245" s="13" t="n">
        <v>0.43</v>
      </c>
      <c r="H245" s="13" t="n">
        <v>1.13</v>
      </c>
      <c r="I245" s="13" t="n">
        <v>0.8467</v>
      </c>
      <c r="J245" s="13" t="n">
        <v>0.53</v>
      </c>
      <c r="K245" s="12" t="n">
        <f aca="false">ROUND(F245/100*G245*H245*I245/J245,2)</f>
        <v>3881.24</v>
      </c>
      <c r="L245" s="12" t="n">
        <v>3881.24</v>
      </c>
      <c r="M245" s="12" t="n">
        <f aca="false">L245-K245</f>
        <v>0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2938</v>
      </c>
      <c r="B246" s="14" t="s">
        <v>3263</v>
      </c>
      <c r="C246" s="14" t="s">
        <v>243</v>
      </c>
      <c r="D246" s="14" t="s">
        <v>3264</v>
      </c>
      <c r="E246" s="14" t="s">
        <v>74</v>
      </c>
      <c r="F246" s="15" t="n">
        <v>485000</v>
      </c>
      <c r="G246" s="16" t="n">
        <v>0.48</v>
      </c>
      <c r="H246" s="16" t="n">
        <v>1.14</v>
      </c>
      <c r="I246" s="16" t="n">
        <v>0.8467</v>
      </c>
      <c r="J246" s="16" t="n">
        <v>0.53</v>
      </c>
      <c r="K246" s="15" t="n">
        <f aca="false">ROUND(F246/100*G246*H246*I246/J246,2)</f>
        <v>4239.76</v>
      </c>
      <c r="L246" s="15" t="n">
        <v>4239.77</v>
      </c>
      <c r="M246" s="15" t="n">
        <f aca="false">L246-K246</f>
        <v>0.0100000000002183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2985</v>
      </c>
      <c r="B247" s="3" t="s">
        <v>3265</v>
      </c>
      <c r="C247" s="3" t="s">
        <v>48</v>
      </c>
      <c r="D247" s="3" t="s">
        <v>933</v>
      </c>
      <c r="E247" s="3" t="s">
        <v>56</v>
      </c>
      <c r="F247" s="12" t="n">
        <v>565000</v>
      </c>
      <c r="G247" s="13" t="n">
        <v>0.65</v>
      </c>
      <c r="H247" s="13" t="n">
        <v>1.28</v>
      </c>
      <c r="I247" s="13" t="n">
        <v>0.8467</v>
      </c>
      <c r="J247" s="13" t="n">
        <v>0.53</v>
      </c>
      <c r="K247" s="12" t="n">
        <f aca="false">ROUND(F247/100*G247*H247*I247/J247,2)</f>
        <v>7509.75</v>
      </c>
      <c r="L247" s="12" t="n">
        <v>7509.75</v>
      </c>
      <c r="M247" s="12" t="n">
        <f aca="false">L247-K247</f>
        <v>0</v>
      </c>
      <c r="N247" s="3" t="s">
        <v>51</v>
      </c>
      <c r="O247" s="3" t="s">
        <v>52</v>
      </c>
    </row>
    <row r="248" customFormat="false" ht="15" hidden="false" customHeight="false" outlineLevel="0" collapsed="false">
      <c r="A248" s="14" t="s">
        <v>2969</v>
      </c>
      <c r="B248" s="14" t="s">
        <v>3266</v>
      </c>
      <c r="C248" s="14" t="s">
        <v>266</v>
      </c>
      <c r="D248" s="14" t="s">
        <v>3060</v>
      </c>
      <c r="E248" s="14" t="s">
        <v>56</v>
      </c>
      <c r="F248" s="15" t="n">
        <v>580000</v>
      </c>
      <c r="G248" s="16" t="n">
        <v>0.65</v>
      </c>
      <c r="H248" s="16" t="n">
        <v>1.1</v>
      </c>
      <c r="I248" s="16" t="n">
        <v>0.8467</v>
      </c>
      <c r="J248" s="16" t="n">
        <v>0.53</v>
      </c>
      <c r="K248" s="15" t="n">
        <f aca="false">ROUND(F248/100*G248*H248*I248/J248,2)</f>
        <v>6625.03</v>
      </c>
      <c r="L248" s="15" t="n">
        <v>6625.03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3049</v>
      </c>
      <c r="B249" s="3" t="s">
        <v>3267</v>
      </c>
      <c r="C249" s="3" t="s">
        <v>77</v>
      </c>
      <c r="D249" s="3" t="s">
        <v>1197</v>
      </c>
      <c r="E249" s="3" t="s">
        <v>56</v>
      </c>
      <c r="F249" s="12" t="n">
        <v>470000</v>
      </c>
      <c r="G249" s="13" t="n">
        <v>0.75</v>
      </c>
      <c r="H249" s="13" t="n">
        <v>1.42</v>
      </c>
      <c r="I249" s="13" t="n">
        <v>0.8467</v>
      </c>
      <c r="J249" s="13" t="n">
        <v>0.53</v>
      </c>
      <c r="K249" s="12" t="n">
        <f aca="false">ROUND(F249/100*G249*H249*I249/J249,2)</f>
        <v>7996.52</v>
      </c>
      <c r="L249" s="12" t="n">
        <v>7996.52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3011</v>
      </c>
      <c r="B250" s="14" t="s">
        <v>3268</v>
      </c>
      <c r="C250" s="14" t="s">
        <v>887</v>
      </c>
      <c r="D250" s="14" t="s">
        <v>751</v>
      </c>
      <c r="E250" s="14" t="s">
        <v>56</v>
      </c>
      <c r="F250" s="15" t="n">
        <v>410000</v>
      </c>
      <c r="G250" s="16" t="n">
        <v>0.75</v>
      </c>
      <c r="H250" s="16" t="n">
        <v>1.37</v>
      </c>
      <c r="I250" s="16" t="n">
        <v>0.8467</v>
      </c>
      <c r="J250" s="16" t="n">
        <v>0.53</v>
      </c>
      <c r="K250" s="15" t="n">
        <f aca="false">ROUND(F250/100*G250*H250*I250/J250,2)</f>
        <v>6730.07</v>
      </c>
      <c r="L250" s="15" t="n">
        <v>6730.06</v>
      </c>
      <c r="M250" s="15" t="n">
        <f aca="false">L250-K250</f>
        <v>-0.00999999999930878</v>
      </c>
      <c r="N250" s="14" t="s">
        <v>51</v>
      </c>
      <c r="O250" s="14" t="s">
        <v>52</v>
      </c>
    </row>
    <row r="251" customFormat="false" ht="15" hidden="false" customHeight="false" outlineLevel="0" collapsed="false">
      <c r="A251" s="3" t="s">
        <v>2955</v>
      </c>
      <c r="B251" s="3" t="s">
        <v>3269</v>
      </c>
      <c r="C251" s="3" t="s">
        <v>145</v>
      </c>
      <c r="D251" s="3" t="s">
        <v>1486</v>
      </c>
      <c r="E251" s="3" t="s">
        <v>50</v>
      </c>
      <c r="F251" s="12" t="n">
        <v>655000</v>
      </c>
      <c r="G251" s="13" t="n">
        <v>0.95</v>
      </c>
      <c r="H251" s="13" t="n">
        <v>0.96</v>
      </c>
      <c r="I251" s="13" t="n">
        <v>0.8467</v>
      </c>
      <c r="J251" s="13" t="n">
        <v>0.53</v>
      </c>
      <c r="K251" s="12" t="n">
        <f aca="false">ROUND(F251/100*G251*H251*I251/J251,2)</f>
        <v>9543.11</v>
      </c>
      <c r="L251" s="12" t="n">
        <v>9543.1</v>
      </c>
      <c r="M251" s="12" t="n">
        <f aca="false">L251-K251</f>
        <v>-0.0100000000002183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2957</v>
      </c>
      <c r="B252" s="14" t="s">
        <v>3270</v>
      </c>
      <c r="C252" s="14" t="s">
        <v>892</v>
      </c>
      <c r="D252" s="14" t="s">
        <v>1854</v>
      </c>
      <c r="E252" s="14" t="s">
        <v>56</v>
      </c>
      <c r="F252" s="15" t="n">
        <v>255000</v>
      </c>
      <c r="G252" s="16" t="n">
        <v>0.75</v>
      </c>
      <c r="H252" s="16" t="n">
        <v>1.08</v>
      </c>
      <c r="I252" s="16" t="n">
        <v>0.8467</v>
      </c>
      <c r="J252" s="16" t="n">
        <v>0.53</v>
      </c>
      <c r="K252" s="15" t="n">
        <f aca="false">ROUND(F252/100*G252*H252*I252/J252,2)</f>
        <v>3299.73</v>
      </c>
      <c r="L252" s="15" t="n">
        <v>3299.73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2997</v>
      </c>
      <c r="B253" s="3" t="s">
        <v>3271</v>
      </c>
      <c r="C253" s="3" t="s">
        <v>887</v>
      </c>
      <c r="D253" s="3" t="s">
        <v>342</v>
      </c>
      <c r="E253" s="3" t="s">
        <v>56</v>
      </c>
      <c r="F253" s="12" t="n">
        <v>1200000</v>
      </c>
      <c r="G253" s="13" t="n">
        <v>0.55</v>
      </c>
      <c r="H253" s="13" t="n">
        <v>1.37</v>
      </c>
      <c r="I253" s="13" t="n">
        <v>0.8467</v>
      </c>
      <c r="J253" s="13" t="n">
        <v>0.53</v>
      </c>
      <c r="K253" s="12" t="n">
        <f aca="false">ROUND(F253/100*G253*H253*I253/J253,2)</f>
        <v>14445.02</v>
      </c>
      <c r="L253" s="12" t="n">
        <v>14445.02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2935</v>
      </c>
      <c r="B254" s="14" t="s">
        <v>3272</v>
      </c>
      <c r="C254" s="14" t="s">
        <v>224</v>
      </c>
      <c r="D254" s="14" t="s">
        <v>2368</v>
      </c>
      <c r="E254" s="14" t="s">
        <v>56</v>
      </c>
      <c r="F254" s="15" t="n">
        <v>215000</v>
      </c>
      <c r="G254" s="16" t="n">
        <v>0.92</v>
      </c>
      <c r="H254" s="16" t="n">
        <v>1.1</v>
      </c>
      <c r="I254" s="16" t="n">
        <v>0.8467</v>
      </c>
      <c r="J254" s="16" t="n">
        <v>0.53</v>
      </c>
      <c r="K254" s="15" t="n">
        <f aca="false">ROUND(F254/100*G254*H254*I254/J254,2)</f>
        <v>3475.94</v>
      </c>
      <c r="L254" s="15" t="n">
        <v>3475.94</v>
      </c>
      <c r="M254" s="15" t="n">
        <f aca="false">L254-K254</f>
        <v>0</v>
      </c>
      <c r="N254" s="14" t="s">
        <v>51</v>
      </c>
      <c r="O254" s="14" t="s">
        <v>52</v>
      </c>
    </row>
    <row r="255" customFormat="false" ht="15" hidden="false" customHeight="false" outlineLevel="0" collapsed="false">
      <c r="A255" s="3" t="s">
        <v>2993</v>
      </c>
      <c r="B255" s="3" t="s">
        <v>3273</v>
      </c>
      <c r="C255" s="3" t="s">
        <v>120</v>
      </c>
      <c r="D255" s="3" t="s">
        <v>492</v>
      </c>
      <c r="E255" s="3" t="s">
        <v>56</v>
      </c>
      <c r="F255" s="12" t="n">
        <v>590000</v>
      </c>
      <c r="G255" s="13" t="n">
        <v>0.65</v>
      </c>
      <c r="H255" s="13" t="n">
        <v>1.15</v>
      </c>
      <c r="I255" s="13" t="n">
        <v>0.8467</v>
      </c>
      <c r="J255" s="13" t="n">
        <v>0.53</v>
      </c>
      <c r="K255" s="12" t="n">
        <f aca="false">ROUND(F255/100*G255*H255*I255/J255,2)</f>
        <v>7045.58</v>
      </c>
      <c r="L255" s="12" t="n">
        <v>7045.59</v>
      </c>
      <c r="M255" s="12" t="n">
        <f aca="false">L255-K255</f>
        <v>0.0100000000002183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3049</v>
      </c>
      <c r="B256" s="14" t="s">
        <v>3274</v>
      </c>
      <c r="C256" s="14" t="s">
        <v>184</v>
      </c>
      <c r="D256" s="14" t="s">
        <v>593</v>
      </c>
      <c r="E256" s="14" t="s">
        <v>56</v>
      </c>
      <c r="F256" s="15" t="n">
        <v>535000</v>
      </c>
      <c r="G256" s="16" t="n">
        <v>0.65</v>
      </c>
      <c r="H256" s="16" t="n">
        <v>1.02</v>
      </c>
      <c r="I256" s="16" t="n">
        <v>0.8467</v>
      </c>
      <c r="J256" s="16" t="n">
        <v>0.53</v>
      </c>
      <c r="K256" s="15" t="n">
        <f aca="false">ROUND(F256/100*G256*H256*I256/J256,2)</f>
        <v>5666.58</v>
      </c>
      <c r="L256" s="15" t="n">
        <v>5666.58</v>
      </c>
      <c r="M256" s="15" t="n">
        <f aca="false">L256-K256</f>
        <v>0</v>
      </c>
      <c r="N256" s="14" t="s">
        <v>61</v>
      </c>
      <c r="O256" s="14" t="s">
        <v>62</v>
      </c>
    </row>
    <row r="257" customFormat="false" ht="15" hidden="false" customHeight="false" outlineLevel="0" collapsed="false">
      <c r="A257" s="3" t="s">
        <v>3049</v>
      </c>
      <c r="B257" s="3" t="s">
        <v>3275</v>
      </c>
      <c r="C257" s="3" t="s">
        <v>81</v>
      </c>
      <c r="D257" s="3" t="s">
        <v>519</v>
      </c>
      <c r="E257" s="3" t="s">
        <v>74</v>
      </c>
      <c r="F257" s="12" t="n">
        <v>895000</v>
      </c>
      <c r="G257" s="13" t="n">
        <v>0.43</v>
      </c>
      <c r="H257" s="13" t="n">
        <v>1.27</v>
      </c>
      <c r="I257" s="13" t="n">
        <v>0.8467</v>
      </c>
      <c r="J257" s="13" t="n">
        <v>0.53</v>
      </c>
      <c r="K257" s="12" t="n">
        <f aca="false">ROUND(F257/100*G257*H257*I257/J257,2)</f>
        <v>7808.16</v>
      </c>
      <c r="L257" s="12" t="n">
        <v>7808.17</v>
      </c>
      <c r="M257" s="12" t="n">
        <f aca="false">L257-K257</f>
        <v>0.0100000000002183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2955</v>
      </c>
      <c r="B258" s="14" t="s">
        <v>3276</v>
      </c>
      <c r="C258" s="14" t="s">
        <v>114</v>
      </c>
      <c r="D258" s="14" t="s">
        <v>876</v>
      </c>
      <c r="E258" s="14" t="s">
        <v>56</v>
      </c>
      <c r="F258" s="15" t="n">
        <v>1050000</v>
      </c>
      <c r="G258" s="16" t="n">
        <v>0.55</v>
      </c>
      <c r="H258" s="16" t="n">
        <v>1.36</v>
      </c>
      <c r="I258" s="16" t="n">
        <v>0.8467</v>
      </c>
      <c r="J258" s="16" t="n">
        <v>0.53</v>
      </c>
      <c r="K258" s="15" t="n">
        <f aca="false">ROUND(F258/100*G258*H258*I258/J258,2)</f>
        <v>12547.14</v>
      </c>
      <c r="L258" s="15" t="n">
        <v>12547.14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2950</v>
      </c>
      <c r="B259" s="3" t="s">
        <v>3277</v>
      </c>
      <c r="C259" s="3" t="s">
        <v>131</v>
      </c>
      <c r="D259" s="3" t="s">
        <v>1945</v>
      </c>
      <c r="E259" s="3" t="s">
        <v>133</v>
      </c>
      <c r="F259" s="12" t="n">
        <v>1660000</v>
      </c>
      <c r="G259" s="13" t="n">
        <v>0.34</v>
      </c>
      <c r="H259" s="13" t="n">
        <v>0.95</v>
      </c>
      <c r="I259" s="13" t="n">
        <v>0.8467</v>
      </c>
      <c r="J259" s="13" t="n">
        <v>0.53</v>
      </c>
      <c r="K259" s="12" t="n">
        <f aca="false">ROUND(F259/100*G259*H259*I259/J259,2)</f>
        <v>8565.73</v>
      </c>
      <c r="L259" s="12" t="n">
        <v>8565.73</v>
      </c>
      <c r="M259" s="12" t="n">
        <f aca="false">L259-K259</f>
        <v>0</v>
      </c>
      <c r="N259" s="3" t="s">
        <v>51</v>
      </c>
      <c r="O259" s="3" t="s">
        <v>52</v>
      </c>
    </row>
    <row r="260" customFormat="false" ht="15" hidden="false" customHeight="false" outlineLevel="0" collapsed="false">
      <c r="A260" s="14" t="s">
        <v>2997</v>
      </c>
      <c r="B260" s="14" t="s">
        <v>3278</v>
      </c>
      <c r="C260" s="14" t="s">
        <v>188</v>
      </c>
      <c r="D260" s="14" t="s">
        <v>1531</v>
      </c>
      <c r="E260" s="14" t="s">
        <v>56</v>
      </c>
      <c r="F260" s="15" t="n">
        <v>605000</v>
      </c>
      <c r="G260" s="16" t="n">
        <v>0.65</v>
      </c>
      <c r="H260" s="16" t="n">
        <v>1.35</v>
      </c>
      <c r="I260" s="16" t="n">
        <v>0.8467</v>
      </c>
      <c r="J260" s="16" t="n">
        <v>0.53</v>
      </c>
      <c r="K260" s="15" t="n">
        <f aca="false">ROUND(F260/100*G260*H260*I260/J260,2)</f>
        <v>8481.18</v>
      </c>
      <c r="L260" s="15" t="n">
        <v>8481.18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2947</v>
      </c>
      <c r="B261" s="3" t="s">
        <v>3279</v>
      </c>
      <c r="C261" s="3" t="s">
        <v>217</v>
      </c>
      <c r="D261" s="3" t="s">
        <v>3280</v>
      </c>
      <c r="E261" s="3" t="s">
        <v>56</v>
      </c>
      <c r="F261" s="12" t="n">
        <v>390000</v>
      </c>
      <c r="G261" s="13" t="n">
        <v>0.75</v>
      </c>
      <c r="H261" s="13" t="n">
        <v>1.3</v>
      </c>
      <c r="I261" s="13" t="n">
        <v>0.8467</v>
      </c>
      <c r="J261" s="13" t="n">
        <v>0.53</v>
      </c>
      <c r="K261" s="12" t="n">
        <f aca="false">ROUND(F261/100*G261*H261*I261/J261,2)</f>
        <v>6074.67</v>
      </c>
      <c r="L261" s="12" t="n">
        <v>6074.67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2935</v>
      </c>
      <c r="B262" s="14" t="s">
        <v>3281</v>
      </c>
      <c r="C262" s="14" t="s">
        <v>462</v>
      </c>
      <c r="D262" s="14" t="s">
        <v>2850</v>
      </c>
      <c r="E262" s="14" t="s">
        <v>50</v>
      </c>
      <c r="F262" s="15" t="n">
        <v>365000</v>
      </c>
      <c r="G262" s="16" t="n">
        <v>1.15</v>
      </c>
      <c r="H262" s="16" t="n">
        <v>1.34</v>
      </c>
      <c r="I262" s="16" t="n">
        <v>0.8467</v>
      </c>
      <c r="J262" s="16" t="n">
        <v>0.53</v>
      </c>
      <c r="K262" s="15" t="n">
        <f aca="false">ROUND(F262/100*G262*H262*I262/J262,2)</f>
        <v>8985.64</v>
      </c>
      <c r="L262" s="15" t="n">
        <v>8985.65</v>
      </c>
      <c r="M262" s="15" t="n">
        <f aca="false">L262-K262</f>
        <v>0.0100000000002183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2972</v>
      </c>
      <c r="B263" s="3" t="s">
        <v>3282</v>
      </c>
      <c r="C263" s="3" t="s">
        <v>64</v>
      </c>
      <c r="D263" s="3" t="s">
        <v>1085</v>
      </c>
      <c r="E263" s="3" t="s">
        <v>56</v>
      </c>
      <c r="F263" s="12" t="n">
        <v>205000</v>
      </c>
      <c r="G263" s="13" t="n">
        <v>0.92</v>
      </c>
      <c r="H263" s="13" t="n">
        <v>1.17</v>
      </c>
      <c r="I263" s="13" t="n">
        <v>0.8467</v>
      </c>
      <c r="J263" s="13" t="n">
        <v>0.53</v>
      </c>
      <c r="K263" s="12" t="n">
        <f aca="false">ROUND(F263/100*G263*H263*I263/J263,2)</f>
        <v>3525.18</v>
      </c>
      <c r="L263" s="12" t="n">
        <v>3525.18</v>
      </c>
      <c r="M263" s="12" t="n">
        <f aca="false">L263-K263</f>
        <v>0</v>
      </c>
      <c r="N263" s="3" t="s">
        <v>61</v>
      </c>
      <c r="O263" s="3" t="s">
        <v>62</v>
      </c>
    </row>
    <row r="264" customFormat="false" ht="15" hidden="false" customHeight="false" outlineLevel="0" collapsed="false">
      <c r="A264" s="14" t="s">
        <v>2976</v>
      </c>
      <c r="B264" s="14" t="s">
        <v>3283</v>
      </c>
      <c r="C264" s="14" t="s">
        <v>193</v>
      </c>
      <c r="D264" s="14" t="s">
        <v>1112</v>
      </c>
      <c r="E264" s="14" t="s">
        <v>50</v>
      </c>
      <c r="F264" s="15" t="n">
        <v>575000</v>
      </c>
      <c r="G264" s="16" t="n">
        <v>0.95</v>
      </c>
      <c r="H264" s="16" t="n">
        <v>1.25</v>
      </c>
      <c r="I264" s="16" t="n">
        <v>0.8467</v>
      </c>
      <c r="J264" s="16" t="n">
        <v>0.53</v>
      </c>
      <c r="K264" s="15" t="n">
        <f aca="false">ROUND(F264/100*G264*H264*I264/J264,2)</f>
        <v>10908.25</v>
      </c>
      <c r="L264" s="15" t="n">
        <v>10908.25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2957</v>
      </c>
      <c r="B265" s="3" t="s">
        <v>3284</v>
      </c>
      <c r="C265" s="3" t="s">
        <v>435</v>
      </c>
      <c r="D265" s="3" t="s">
        <v>2620</v>
      </c>
      <c r="E265" s="3" t="s">
        <v>50</v>
      </c>
      <c r="F265" s="12" t="n">
        <v>1535000</v>
      </c>
      <c r="G265" s="13" t="n">
        <v>0.8</v>
      </c>
      <c r="H265" s="13" t="n">
        <v>1.13</v>
      </c>
      <c r="I265" s="13" t="n">
        <v>0.8467</v>
      </c>
      <c r="J265" s="13" t="n">
        <v>0.53</v>
      </c>
      <c r="K265" s="12" t="n">
        <f aca="false">ROUND(F265/100*G265*H265*I265/J265,2)</f>
        <v>22168.2</v>
      </c>
      <c r="L265" s="12" t="n">
        <v>22168.21</v>
      </c>
      <c r="M265" s="12" t="n">
        <f aca="false">L265-K265</f>
        <v>0.00999999999839929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2972</v>
      </c>
      <c r="B266" s="14" t="s">
        <v>3285</v>
      </c>
      <c r="C266" s="14" t="s">
        <v>64</v>
      </c>
      <c r="D266" s="14" t="s">
        <v>1092</v>
      </c>
      <c r="E266" s="14" t="s">
        <v>50</v>
      </c>
      <c r="F266" s="15" t="n">
        <v>1605000</v>
      </c>
      <c r="G266" s="16" t="n">
        <v>0.8</v>
      </c>
      <c r="H266" s="16" t="n">
        <v>1.17</v>
      </c>
      <c r="I266" s="16" t="n">
        <v>0.8467</v>
      </c>
      <c r="J266" s="16" t="n">
        <v>0.53</v>
      </c>
      <c r="K266" s="15" t="n">
        <f aca="false">ROUND(F266/100*G266*H266*I266/J266,2)</f>
        <v>23999.63</v>
      </c>
      <c r="L266" s="15" t="n">
        <v>23999.64</v>
      </c>
      <c r="M266" s="15" t="n">
        <f aca="false">L266-K266</f>
        <v>0.00999999999839929</v>
      </c>
      <c r="N266" s="14" t="s">
        <v>51</v>
      </c>
      <c r="O266" s="14" t="s">
        <v>52</v>
      </c>
    </row>
    <row r="267" customFormat="false" ht="15" hidden="false" customHeight="false" outlineLevel="0" collapsed="false">
      <c r="A267" s="3" t="s">
        <v>2985</v>
      </c>
      <c r="B267" s="3" t="s">
        <v>3286</v>
      </c>
      <c r="C267" s="3" t="s">
        <v>81</v>
      </c>
      <c r="D267" s="3" t="s">
        <v>238</v>
      </c>
      <c r="E267" s="3" t="s">
        <v>56</v>
      </c>
      <c r="F267" s="12" t="n">
        <v>470000</v>
      </c>
      <c r="G267" s="13" t="n">
        <v>0.75</v>
      </c>
      <c r="H267" s="13" t="n">
        <v>1.27</v>
      </c>
      <c r="I267" s="13" t="n">
        <v>0.8467</v>
      </c>
      <c r="J267" s="13" t="n">
        <v>0.53</v>
      </c>
      <c r="K267" s="12" t="n">
        <f aca="false">ROUND(F267/100*G267*H267*I267/J267,2)</f>
        <v>7151.82</v>
      </c>
      <c r="L267" s="12" t="n">
        <v>7151.82</v>
      </c>
      <c r="M267" s="12" t="n">
        <f aca="false">L267-K267</f>
        <v>0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2974</v>
      </c>
      <c r="B268" s="14" t="s">
        <v>3287</v>
      </c>
      <c r="C268" s="14" t="s">
        <v>77</v>
      </c>
      <c r="D268" s="14" t="s">
        <v>2620</v>
      </c>
      <c r="E268" s="14" t="s">
        <v>50</v>
      </c>
      <c r="F268" s="15" t="n">
        <v>1085000</v>
      </c>
      <c r="G268" s="16" t="n">
        <v>0.8</v>
      </c>
      <c r="H268" s="16" t="n">
        <v>1.42</v>
      </c>
      <c r="I268" s="16" t="n">
        <v>0.8467</v>
      </c>
      <c r="J268" s="16" t="n">
        <v>0.53</v>
      </c>
      <c r="K268" s="15" t="n">
        <f aca="false">ROUND(F268/100*G268*H268*I268/J268,2)</f>
        <v>19690.73</v>
      </c>
      <c r="L268" s="15" t="n">
        <v>19690.73</v>
      </c>
      <c r="M268" s="15" t="n">
        <f aca="false">L268-K268</f>
        <v>0</v>
      </c>
      <c r="N268" s="14" t="s">
        <v>61</v>
      </c>
      <c r="O268" s="14" t="s">
        <v>62</v>
      </c>
    </row>
    <row r="269" customFormat="false" ht="15" hidden="false" customHeight="false" outlineLevel="0" collapsed="false">
      <c r="A269" s="3" t="s">
        <v>2969</v>
      </c>
      <c r="B269" s="3" t="s">
        <v>3288</v>
      </c>
      <c r="C269" s="3" t="s">
        <v>89</v>
      </c>
      <c r="D269" s="3" t="s">
        <v>857</v>
      </c>
      <c r="E269" s="3" t="s">
        <v>56</v>
      </c>
      <c r="F269" s="12" t="n">
        <v>340000</v>
      </c>
      <c r="G269" s="13" t="n">
        <v>0.75</v>
      </c>
      <c r="H269" s="13" t="n">
        <v>1.35</v>
      </c>
      <c r="I269" s="13" t="n">
        <v>0.8467</v>
      </c>
      <c r="J269" s="13" t="n">
        <v>0.53</v>
      </c>
      <c r="K269" s="12" t="n">
        <f aca="false">ROUND(F269/100*G269*H269*I269/J269,2)</f>
        <v>5499.56</v>
      </c>
      <c r="L269" s="12" t="n">
        <v>5499.55</v>
      </c>
      <c r="M269" s="12" t="n">
        <f aca="false">L269-K269</f>
        <v>-0.0100000000002183</v>
      </c>
      <c r="N269" s="3" t="s">
        <v>51</v>
      </c>
      <c r="O269" s="3" t="s">
        <v>52</v>
      </c>
    </row>
    <row r="270" customFormat="false" ht="15" hidden="false" customHeight="false" outlineLevel="0" collapsed="false">
      <c r="A270" s="14" t="s">
        <v>3068</v>
      </c>
      <c r="B270" s="14" t="s">
        <v>3289</v>
      </c>
      <c r="C270" s="14" t="s">
        <v>128</v>
      </c>
      <c r="D270" s="14" t="s">
        <v>502</v>
      </c>
      <c r="E270" s="14" t="s">
        <v>56</v>
      </c>
      <c r="F270" s="15" t="n">
        <v>485000</v>
      </c>
      <c r="G270" s="16" t="n">
        <v>0.75</v>
      </c>
      <c r="H270" s="16" t="n">
        <v>1.25</v>
      </c>
      <c r="I270" s="16" t="n">
        <v>0.8467</v>
      </c>
      <c r="J270" s="16" t="n">
        <v>0.53</v>
      </c>
      <c r="K270" s="15" t="n">
        <f aca="false">ROUND(F270/100*G270*H270*I270/J270,2)</f>
        <v>7263.85</v>
      </c>
      <c r="L270" s="15" t="n">
        <v>7263.85</v>
      </c>
      <c r="M270" s="15" t="n">
        <f aca="false">L270-K270</f>
        <v>0</v>
      </c>
      <c r="N270" s="14" t="s">
        <v>51</v>
      </c>
      <c r="O270" s="14" t="s">
        <v>52</v>
      </c>
    </row>
    <row r="271" customFormat="false" ht="15" hidden="false" customHeight="false" outlineLevel="0" collapsed="false">
      <c r="A271" s="3" t="s">
        <v>3068</v>
      </c>
      <c r="B271" s="3" t="s">
        <v>3290</v>
      </c>
      <c r="C271" s="3" t="s">
        <v>93</v>
      </c>
      <c r="D271" s="3" t="s">
        <v>900</v>
      </c>
      <c r="E271" s="3" t="s">
        <v>56</v>
      </c>
      <c r="F271" s="12" t="n">
        <v>340000</v>
      </c>
      <c r="G271" s="13" t="n">
        <v>0.75</v>
      </c>
      <c r="H271" s="13" t="n">
        <v>1.39</v>
      </c>
      <c r="I271" s="13" t="n">
        <v>0.8467</v>
      </c>
      <c r="J271" s="13" t="n">
        <v>0.53</v>
      </c>
      <c r="K271" s="12" t="n">
        <f aca="false">ROUND(F271/100*G271*H271*I271/J271,2)</f>
        <v>5662.51</v>
      </c>
      <c r="L271" s="12" t="n">
        <v>5662.51</v>
      </c>
      <c r="M271" s="12" t="n">
        <f aca="false">L271-K271</f>
        <v>0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2974</v>
      </c>
      <c r="B272" s="14" t="s">
        <v>3291</v>
      </c>
      <c r="C272" s="14" t="s">
        <v>68</v>
      </c>
      <c r="D272" s="14" t="s">
        <v>367</v>
      </c>
      <c r="E272" s="14" t="s">
        <v>56</v>
      </c>
      <c r="F272" s="15" t="n">
        <v>920000</v>
      </c>
      <c r="G272" s="16" t="n">
        <v>0.65</v>
      </c>
      <c r="H272" s="16" t="n">
        <v>1.38</v>
      </c>
      <c r="I272" s="16" t="n">
        <v>0.8467</v>
      </c>
      <c r="J272" s="16" t="n">
        <v>0.53</v>
      </c>
      <c r="K272" s="15" t="n">
        <f aca="false">ROUND(F272/100*G272*H272*I272/J272,2)</f>
        <v>13183.6</v>
      </c>
      <c r="L272" s="15" t="n">
        <v>13183.6</v>
      </c>
      <c r="M272" s="15" t="n">
        <f aca="false">L272-K272</f>
        <v>0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2952</v>
      </c>
      <c r="B273" s="3" t="s">
        <v>3292</v>
      </c>
      <c r="C273" s="3" t="s">
        <v>174</v>
      </c>
      <c r="D273" s="3" t="s">
        <v>2027</v>
      </c>
      <c r="E273" s="3" t="s">
        <v>56</v>
      </c>
      <c r="F273" s="12" t="n">
        <v>470000</v>
      </c>
      <c r="G273" s="13" t="n">
        <v>0.75</v>
      </c>
      <c r="H273" s="13" t="n">
        <v>1.55</v>
      </c>
      <c r="I273" s="13" t="n">
        <v>0.8467</v>
      </c>
      <c r="J273" s="13" t="n">
        <v>0.53</v>
      </c>
      <c r="K273" s="12" t="n">
        <f aca="false">ROUND(F273/100*G273*H273*I273/J273,2)</f>
        <v>8728.6</v>
      </c>
      <c r="L273" s="12" t="n">
        <v>8728.6</v>
      </c>
      <c r="M273" s="12" t="n">
        <f aca="false">L273-K273</f>
        <v>0</v>
      </c>
      <c r="N273" s="3" t="s">
        <v>61</v>
      </c>
      <c r="O273" s="3" t="s">
        <v>62</v>
      </c>
    </row>
    <row r="274" customFormat="false" ht="15" hidden="false" customHeight="false" outlineLevel="0" collapsed="false">
      <c r="A274" s="14" t="s">
        <v>3001</v>
      </c>
      <c r="B274" s="14" t="s">
        <v>3293</v>
      </c>
      <c r="C274" s="14" t="s">
        <v>131</v>
      </c>
      <c r="D274" s="14" t="s">
        <v>1341</v>
      </c>
      <c r="E274" s="14" t="s">
        <v>56</v>
      </c>
      <c r="F274" s="15" t="n">
        <v>410000</v>
      </c>
      <c r="G274" s="16" t="n">
        <v>0.75</v>
      </c>
      <c r="H274" s="16" t="n">
        <v>0.95</v>
      </c>
      <c r="I274" s="16" t="n">
        <v>0.8467</v>
      </c>
      <c r="J274" s="16" t="n">
        <v>0.53</v>
      </c>
      <c r="K274" s="15" t="n">
        <f aca="false">ROUND(F274/100*G274*H274*I274/J274,2)</f>
        <v>4666.83</v>
      </c>
      <c r="L274" s="15" t="n">
        <v>4666.83</v>
      </c>
      <c r="M274" s="15" t="n">
        <f aca="false">L274-K274</f>
        <v>0</v>
      </c>
      <c r="N274" s="14" t="s">
        <v>61</v>
      </c>
      <c r="O274" s="14" t="s">
        <v>62</v>
      </c>
    </row>
    <row r="275" customFormat="false" ht="15" hidden="false" customHeight="false" outlineLevel="0" collapsed="false">
      <c r="A275" s="3" t="s">
        <v>2957</v>
      </c>
      <c r="B275" s="3" t="s">
        <v>3294</v>
      </c>
      <c r="C275" s="3" t="s">
        <v>326</v>
      </c>
      <c r="D275" s="3" t="s">
        <v>3295</v>
      </c>
      <c r="E275" s="3" t="s">
        <v>157</v>
      </c>
      <c r="F275" s="12" t="n">
        <v>645000</v>
      </c>
      <c r="G275" s="13" t="n">
        <v>0.78</v>
      </c>
      <c r="H275" s="13" t="n">
        <v>1.12</v>
      </c>
      <c r="I275" s="13" t="n">
        <v>0.8467</v>
      </c>
      <c r="J275" s="13" t="n">
        <v>0.53</v>
      </c>
      <c r="K275" s="12" t="n">
        <f aca="false">ROUND(F275/100*G275*H275*I275/J275,2)</f>
        <v>9001.73</v>
      </c>
      <c r="L275" s="12" t="n">
        <v>9001.73</v>
      </c>
      <c r="M275" s="12" t="n">
        <f aca="false">L275-K275</f>
        <v>0</v>
      </c>
      <c r="N275" s="3" t="s">
        <v>51</v>
      </c>
      <c r="O275" s="3" t="s">
        <v>52</v>
      </c>
    </row>
    <row r="276" customFormat="false" ht="15" hidden="false" customHeight="false" outlineLevel="0" collapsed="false">
      <c r="A276" s="14" t="s">
        <v>2955</v>
      </c>
      <c r="B276" s="14" t="s">
        <v>3296</v>
      </c>
      <c r="C276" s="14" t="s">
        <v>48</v>
      </c>
      <c r="D276" s="14" t="s">
        <v>1103</v>
      </c>
      <c r="E276" s="14" t="s">
        <v>56</v>
      </c>
      <c r="F276" s="15" t="n">
        <v>1130000</v>
      </c>
      <c r="G276" s="16" t="n">
        <v>0.55</v>
      </c>
      <c r="H276" s="16" t="n">
        <v>1.28</v>
      </c>
      <c r="I276" s="16" t="n">
        <v>0.8467</v>
      </c>
      <c r="J276" s="16" t="n">
        <v>0.53</v>
      </c>
      <c r="K276" s="15" t="n">
        <f aca="false">ROUND(F276/100*G276*H276*I276/J276,2)</f>
        <v>12708.81</v>
      </c>
      <c r="L276" s="15" t="n">
        <v>12708.81</v>
      </c>
      <c r="M276" s="15" t="n">
        <f aca="false">L276-K276</f>
        <v>0</v>
      </c>
      <c r="N276" s="14" t="s">
        <v>61</v>
      </c>
      <c r="O276" s="14" t="s">
        <v>62</v>
      </c>
    </row>
    <row r="277" customFormat="false" ht="15" hidden="false" customHeight="false" outlineLevel="0" collapsed="false">
      <c r="A277" s="3" t="s">
        <v>2955</v>
      </c>
      <c r="B277" s="3" t="s">
        <v>3297</v>
      </c>
      <c r="C277" s="3" t="s">
        <v>887</v>
      </c>
      <c r="D277" s="3" t="s">
        <v>1812</v>
      </c>
      <c r="E277" s="3" t="s">
        <v>74</v>
      </c>
      <c r="F277" s="12" t="n">
        <v>815000</v>
      </c>
      <c r="G277" s="13" t="n">
        <v>0.43</v>
      </c>
      <c r="H277" s="13" t="n">
        <v>1.37</v>
      </c>
      <c r="I277" s="13" t="n">
        <v>0.8467</v>
      </c>
      <c r="J277" s="13" t="n">
        <v>0.53</v>
      </c>
      <c r="K277" s="12" t="n">
        <f aca="false">ROUND(F277/100*G277*H277*I277/J277,2)</f>
        <v>7670.09</v>
      </c>
      <c r="L277" s="12" t="n">
        <v>7670.09</v>
      </c>
      <c r="M277" s="12" t="n">
        <f aca="false">L277-K277</f>
        <v>0</v>
      </c>
      <c r="N277" s="3" t="s">
        <v>61</v>
      </c>
      <c r="O277" s="3" t="s">
        <v>62</v>
      </c>
    </row>
    <row r="278" customFormat="false" ht="15" hidden="false" customHeight="false" outlineLevel="0" collapsed="false">
      <c r="A278" s="14" t="s">
        <v>3024</v>
      </c>
      <c r="B278" s="14" t="s">
        <v>3298</v>
      </c>
      <c r="C278" s="14" t="s">
        <v>887</v>
      </c>
      <c r="D278" s="14" t="s">
        <v>2878</v>
      </c>
      <c r="E278" s="14" t="s">
        <v>50</v>
      </c>
      <c r="F278" s="15" t="n">
        <v>440000</v>
      </c>
      <c r="G278" s="16" t="n">
        <v>1.15</v>
      </c>
      <c r="H278" s="16" t="n">
        <v>1.37</v>
      </c>
      <c r="I278" s="16" t="n">
        <v>0.8467</v>
      </c>
      <c r="J278" s="16" t="n">
        <v>0.53</v>
      </c>
      <c r="K278" s="15" t="n">
        <f aca="false">ROUND(F278/100*G278*H278*I278/J278,2)</f>
        <v>11074.52</v>
      </c>
      <c r="L278" s="15" t="n">
        <v>11074.51</v>
      </c>
      <c r="M278" s="15" t="n">
        <f aca="false">L278-K278</f>
        <v>-0.0100000000002183</v>
      </c>
      <c r="N278" s="14" t="s">
        <v>61</v>
      </c>
      <c r="O278" s="14" t="s">
        <v>62</v>
      </c>
    </row>
    <row r="279" customFormat="false" ht="15" hidden="false" customHeight="false" outlineLevel="0" collapsed="false">
      <c r="A279" s="3" t="s">
        <v>2959</v>
      </c>
      <c r="B279" s="3" t="s">
        <v>3299</v>
      </c>
      <c r="C279" s="3" t="s">
        <v>435</v>
      </c>
      <c r="D279" s="3" t="s">
        <v>238</v>
      </c>
      <c r="E279" s="3" t="s">
        <v>56</v>
      </c>
      <c r="F279" s="12" t="n">
        <v>475000</v>
      </c>
      <c r="G279" s="13" t="n">
        <v>0.75</v>
      </c>
      <c r="H279" s="13" t="n">
        <v>1.13</v>
      </c>
      <c r="I279" s="13" t="n">
        <v>0.8467</v>
      </c>
      <c r="J279" s="13" t="n">
        <v>0.53</v>
      </c>
      <c r="K279" s="12" t="n">
        <f aca="false">ROUND(F279/100*G279*H279*I279/J279,2)</f>
        <v>6431.13</v>
      </c>
      <c r="L279" s="12" t="n">
        <v>6431.13</v>
      </c>
      <c r="M279" s="12" t="n">
        <f aca="false">L279-K279</f>
        <v>0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2969</v>
      </c>
      <c r="B280" s="14" t="s">
        <v>3300</v>
      </c>
      <c r="C280" s="14" t="s">
        <v>77</v>
      </c>
      <c r="D280" s="14" t="s">
        <v>3301</v>
      </c>
      <c r="E280" s="14" t="s">
        <v>50</v>
      </c>
      <c r="F280" s="15" t="n">
        <v>1950000</v>
      </c>
      <c r="G280" s="16" t="n">
        <v>0.8</v>
      </c>
      <c r="H280" s="16" t="n">
        <v>1.42</v>
      </c>
      <c r="I280" s="16" t="n">
        <v>0.8467</v>
      </c>
      <c r="J280" s="16" t="n">
        <v>0.53</v>
      </c>
      <c r="K280" s="15" t="n">
        <f aca="false">ROUND(F280/100*G280*H280*I280/J280,2)</f>
        <v>35388.86</v>
      </c>
      <c r="L280" s="15" t="n">
        <v>35388.87</v>
      </c>
      <c r="M280" s="15" t="n">
        <f aca="false">L280-K280</f>
        <v>0.0100000000020373</v>
      </c>
      <c r="N280" s="14" t="s">
        <v>61</v>
      </c>
      <c r="O280" s="14" t="s">
        <v>62</v>
      </c>
    </row>
    <row r="281" customFormat="false" ht="15" hidden="false" customHeight="false" outlineLevel="0" collapsed="false">
      <c r="A281" s="3" t="s">
        <v>2976</v>
      </c>
      <c r="B281" s="3" t="s">
        <v>3302</v>
      </c>
      <c r="C281" s="3" t="s">
        <v>409</v>
      </c>
      <c r="D281" s="3" t="s">
        <v>3303</v>
      </c>
      <c r="E281" s="3" t="s">
        <v>50</v>
      </c>
      <c r="F281" s="12" t="n">
        <v>805000</v>
      </c>
      <c r="G281" s="13" t="n">
        <v>0.95</v>
      </c>
      <c r="H281" s="13" t="n">
        <v>1.3</v>
      </c>
      <c r="I281" s="13" t="n">
        <v>0.8467</v>
      </c>
      <c r="J281" s="13" t="n">
        <v>0.53</v>
      </c>
      <c r="K281" s="12" t="n">
        <f aca="false">ROUND(F281/100*G281*H281*I281/J281,2)</f>
        <v>15882.41</v>
      </c>
      <c r="L281" s="12" t="n">
        <v>15882.42</v>
      </c>
      <c r="M281" s="12" t="n">
        <f aca="false">L281-K281</f>
        <v>0.0100000000002183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3068</v>
      </c>
      <c r="B282" s="14" t="s">
        <v>3304</v>
      </c>
      <c r="C282" s="14" t="s">
        <v>77</v>
      </c>
      <c r="D282" s="14" t="s">
        <v>3305</v>
      </c>
      <c r="E282" s="14" t="s">
        <v>50</v>
      </c>
      <c r="F282" s="15" t="n">
        <v>705000</v>
      </c>
      <c r="G282" s="16" t="n">
        <v>0.95</v>
      </c>
      <c r="H282" s="16" t="n">
        <v>1.42</v>
      </c>
      <c r="I282" s="16" t="n">
        <v>0.8467</v>
      </c>
      <c r="J282" s="16" t="n">
        <v>0.53</v>
      </c>
      <c r="K282" s="15" t="n">
        <f aca="false">ROUND(F282/100*G282*H282*I282/J282,2)</f>
        <v>15193.39</v>
      </c>
      <c r="L282" s="15" t="n">
        <v>15193.4</v>
      </c>
      <c r="M282" s="15" t="n">
        <f aca="false">L282-K282</f>
        <v>0.0100000000002183</v>
      </c>
      <c r="N282" s="14" t="s">
        <v>61</v>
      </c>
      <c r="O282" s="14" t="s">
        <v>62</v>
      </c>
    </row>
    <row r="283" customFormat="false" ht="15" hidden="false" customHeight="false" outlineLevel="0" collapsed="false">
      <c r="A283" s="3" t="s">
        <v>2974</v>
      </c>
      <c r="B283" s="3" t="s">
        <v>3306</v>
      </c>
      <c r="C283" s="3" t="s">
        <v>887</v>
      </c>
      <c r="D283" s="3" t="s">
        <v>2727</v>
      </c>
      <c r="E283" s="3" t="s">
        <v>56</v>
      </c>
      <c r="F283" s="12" t="n">
        <v>570000</v>
      </c>
      <c r="G283" s="13" t="n">
        <v>0.65</v>
      </c>
      <c r="H283" s="13" t="n">
        <v>1.37</v>
      </c>
      <c r="I283" s="13" t="n">
        <v>0.8467</v>
      </c>
      <c r="J283" s="13" t="n">
        <v>0.53</v>
      </c>
      <c r="K283" s="12" t="n">
        <f aca="false">ROUND(F283/100*G283*H283*I283/J283,2)</f>
        <v>8108.91</v>
      </c>
      <c r="L283" s="12" t="n">
        <v>8108.91</v>
      </c>
      <c r="M283" s="12" t="n">
        <f aca="false">L283-K283</f>
        <v>0</v>
      </c>
      <c r="N283" s="3" t="s">
        <v>61</v>
      </c>
      <c r="O283" s="3" t="s">
        <v>62</v>
      </c>
    </row>
    <row r="284" customFormat="false" ht="15" hidden="false" customHeight="false" outlineLevel="0" collapsed="false">
      <c r="A284" s="14" t="s">
        <v>2985</v>
      </c>
      <c r="B284" s="14" t="s">
        <v>3307</v>
      </c>
      <c r="C284" s="14" t="s">
        <v>145</v>
      </c>
      <c r="D284" s="14" t="s">
        <v>1290</v>
      </c>
      <c r="E284" s="14" t="s">
        <v>56</v>
      </c>
      <c r="F284" s="15" t="n">
        <v>845000</v>
      </c>
      <c r="G284" s="16" t="n">
        <v>0.65</v>
      </c>
      <c r="H284" s="16" t="n">
        <v>0.96</v>
      </c>
      <c r="I284" s="16" t="n">
        <v>0.8467</v>
      </c>
      <c r="J284" s="16" t="n">
        <v>0.53</v>
      </c>
      <c r="K284" s="15" t="n">
        <f aca="false">ROUND(F284/100*G284*H284*I284/J284,2)</f>
        <v>8423.55</v>
      </c>
      <c r="L284" s="15" t="n">
        <v>8423.55</v>
      </c>
      <c r="M284" s="15" t="n">
        <f aca="false">L284-K284</f>
        <v>0</v>
      </c>
      <c r="N284" s="14" t="s">
        <v>51</v>
      </c>
      <c r="O284" s="14" t="s">
        <v>52</v>
      </c>
    </row>
    <row r="285" customFormat="false" ht="15" hidden="false" customHeight="false" outlineLevel="0" collapsed="false">
      <c r="A285" s="3" t="s">
        <v>2965</v>
      </c>
      <c r="B285" s="3" t="s">
        <v>3308</v>
      </c>
      <c r="C285" s="3" t="s">
        <v>237</v>
      </c>
      <c r="D285" s="3" t="s">
        <v>314</v>
      </c>
      <c r="E285" s="3" t="s">
        <v>56</v>
      </c>
      <c r="F285" s="12" t="n">
        <v>190000</v>
      </c>
      <c r="G285" s="13" t="n">
        <v>0.92</v>
      </c>
      <c r="H285" s="13" t="n">
        <v>1.33</v>
      </c>
      <c r="I285" s="13" t="n">
        <v>0.8467</v>
      </c>
      <c r="J285" s="13" t="n">
        <v>0.53</v>
      </c>
      <c r="K285" s="12" t="n">
        <f aca="false">ROUND(F285/100*G285*H285*I285/J285,2)</f>
        <v>3714.04</v>
      </c>
      <c r="L285" s="12" t="n">
        <v>3714.04</v>
      </c>
      <c r="M285" s="12" t="n">
        <f aca="false">L285-K285</f>
        <v>0</v>
      </c>
      <c r="N285" s="3" t="s">
        <v>70</v>
      </c>
      <c r="O285" s="3" t="s">
        <v>52</v>
      </c>
    </row>
    <row r="286" customFormat="false" ht="15" hidden="false" customHeight="false" outlineLevel="0" collapsed="false">
      <c r="A286" s="14" t="s">
        <v>2985</v>
      </c>
      <c r="B286" s="14" t="s">
        <v>3309</v>
      </c>
      <c r="C286" s="14" t="s">
        <v>152</v>
      </c>
      <c r="D286" s="14" t="s">
        <v>1616</v>
      </c>
      <c r="E286" s="14" t="s">
        <v>74</v>
      </c>
      <c r="F286" s="15" t="n">
        <v>540000</v>
      </c>
      <c r="G286" s="16" t="n">
        <v>0.43</v>
      </c>
      <c r="H286" s="16" t="n">
        <v>1</v>
      </c>
      <c r="I286" s="16" t="n">
        <v>0.8467</v>
      </c>
      <c r="J286" s="16" t="n">
        <v>0.53</v>
      </c>
      <c r="K286" s="15" t="n">
        <f aca="false">ROUND(F286/100*G286*H286*I286/J286,2)</f>
        <v>3709.5</v>
      </c>
      <c r="L286" s="15" t="n">
        <v>3709.5</v>
      </c>
      <c r="M286" s="15" t="n">
        <f aca="false">L286-K286</f>
        <v>0</v>
      </c>
      <c r="N286" s="14" t="s">
        <v>70</v>
      </c>
      <c r="O286" s="14" t="s">
        <v>52</v>
      </c>
    </row>
    <row r="287" customFormat="false" ht="15" hidden="false" customHeight="false" outlineLevel="0" collapsed="false">
      <c r="A287" s="3" t="s">
        <v>2959</v>
      </c>
      <c r="B287" s="3" t="s">
        <v>3310</v>
      </c>
      <c r="C287" s="3" t="s">
        <v>145</v>
      </c>
      <c r="D287" s="3" t="s">
        <v>3311</v>
      </c>
      <c r="E287" s="3" t="s">
        <v>157</v>
      </c>
      <c r="F287" s="12" t="n">
        <v>840000</v>
      </c>
      <c r="G287" s="13" t="n">
        <v>0.78</v>
      </c>
      <c r="H287" s="13" t="n">
        <v>0.96</v>
      </c>
      <c r="I287" s="13" t="n">
        <v>0.8467</v>
      </c>
      <c r="J287" s="13" t="n">
        <v>0.53</v>
      </c>
      <c r="K287" s="12" t="n">
        <f aca="false">ROUND(F287/100*G287*H287*I287/J287,2)</f>
        <v>10048.44</v>
      </c>
      <c r="L287" s="12" t="n">
        <v>10048.44</v>
      </c>
      <c r="M287" s="12" t="n">
        <f aca="false">L287-K287</f>
        <v>0</v>
      </c>
      <c r="N287" s="3" t="s">
        <v>61</v>
      </c>
      <c r="O287" s="3" t="s">
        <v>62</v>
      </c>
    </row>
    <row r="288" customFormat="false" ht="15" hidden="false" customHeight="false" outlineLevel="0" collapsed="false">
      <c r="A288" s="14" t="s">
        <v>2935</v>
      </c>
      <c r="B288" s="14" t="s">
        <v>3312</v>
      </c>
      <c r="C288" s="14" t="s">
        <v>220</v>
      </c>
      <c r="D288" s="14" t="s">
        <v>427</v>
      </c>
      <c r="E288" s="14" t="s">
        <v>56</v>
      </c>
      <c r="F288" s="15" t="n">
        <v>725000</v>
      </c>
      <c r="G288" s="16" t="n">
        <v>0.65</v>
      </c>
      <c r="H288" s="16" t="n">
        <v>1.01</v>
      </c>
      <c r="I288" s="16" t="n">
        <v>0.8467</v>
      </c>
      <c r="J288" s="16" t="n">
        <v>0.53</v>
      </c>
      <c r="K288" s="15" t="n">
        <f aca="false">ROUND(F288/100*G288*H288*I288/J288,2)</f>
        <v>7603.73</v>
      </c>
      <c r="L288" s="15" t="n">
        <v>7603.72</v>
      </c>
      <c r="M288" s="15" t="n">
        <f aca="false">L288-K288</f>
        <v>-0.00999999999930878</v>
      </c>
      <c r="N288" s="14" t="s">
        <v>61</v>
      </c>
      <c r="O288" s="14" t="s">
        <v>62</v>
      </c>
    </row>
    <row r="289" customFormat="false" ht="15" hidden="false" customHeight="false" outlineLevel="0" collapsed="false">
      <c r="A289" s="3" t="s">
        <v>2961</v>
      </c>
      <c r="B289" s="3" t="s">
        <v>3313</v>
      </c>
      <c r="C289" s="3" t="s">
        <v>142</v>
      </c>
      <c r="D289" s="3" t="s">
        <v>90</v>
      </c>
      <c r="E289" s="3" t="s">
        <v>50</v>
      </c>
      <c r="F289" s="12" t="n">
        <v>1105000</v>
      </c>
      <c r="G289" s="13" t="n">
        <v>0.8</v>
      </c>
      <c r="H289" s="13" t="n">
        <v>1.22</v>
      </c>
      <c r="I289" s="13" t="n">
        <v>0.8467</v>
      </c>
      <c r="J289" s="13" t="n">
        <v>0.53</v>
      </c>
      <c r="K289" s="12" t="n">
        <f aca="false">ROUND(F289/100*G289*H289*I289/J289,2)</f>
        <v>17229.23</v>
      </c>
      <c r="L289" s="12" t="n">
        <v>17229.23</v>
      </c>
      <c r="M289" s="12" t="n">
        <f aca="false">L289-K289</f>
        <v>0</v>
      </c>
      <c r="N289" s="3" t="s">
        <v>70</v>
      </c>
      <c r="O289" s="3" t="s">
        <v>52</v>
      </c>
    </row>
    <row r="290" customFormat="false" ht="15" hidden="false" customHeight="false" outlineLevel="0" collapsed="false">
      <c r="A290" s="14" t="s">
        <v>3024</v>
      </c>
      <c r="B290" s="14" t="s">
        <v>3314</v>
      </c>
      <c r="C290" s="14" t="s">
        <v>193</v>
      </c>
      <c r="D290" s="14" t="s">
        <v>1095</v>
      </c>
      <c r="E290" s="14" t="s">
        <v>133</v>
      </c>
      <c r="F290" s="15" t="n">
        <v>490000</v>
      </c>
      <c r="G290" s="16" t="n">
        <v>0.42</v>
      </c>
      <c r="H290" s="16" t="n">
        <v>1.25</v>
      </c>
      <c r="I290" s="16" t="n">
        <v>0.8467</v>
      </c>
      <c r="J290" s="16" t="n">
        <v>0.53</v>
      </c>
      <c r="K290" s="15" t="n">
        <f aca="false">ROUND(F290/100*G290*H290*I290/J290,2)</f>
        <v>4109.69</v>
      </c>
      <c r="L290" s="15" t="n">
        <v>4109.69</v>
      </c>
      <c r="M290" s="15" t="n">
        <f aca="false">L290-K290</f>
        <v>0</v>
      </c>
      <c r="N290" s="14" t="s">
        <v>51</v>
      </c>
      <c r="O290" s="14" t="s">
        <v>52</v>
      </c>
    </row>
    <row r="291" customFormat="false" ht="15" hidden="false" customHeight="false" outlineLevel="0" collapsed="false">
      <c r="A291" s="3" t="s">
        <v>2969</v>
      </c>
      <c r="B291" s="3" t="s">
        <v>3315</v>
      </c>
      <c r="C291" s="3" t="s">
        <v>887</v>
      </c>
      <c r="D291" s="3" t="s">
        <v>267</v>
      </c>
      <c r="E291" s="3" t="s">
        <v>56</v>
      </c>
      <c r="F291" s="12" t="n">
        <v>980000</v>
      </c>
      <c r="G291" s="13" t="n">
        <v>0.65</v>
      </c>
      <c r="H291" s="13" t="n">
        <v>1.37</v>
      </c>
      <c r="I291" s="13" t="n">
        <v>0.8467</v>
      </c>
      <c r="J291" s="13" t="n">
        <v>0.53</v>
      </c>
      <c r="K291" s="12" t="n">
        <f aca="false">ROUND(F291/100*G291*H291*I291/J291,2)</f>
        <v>13941.63</v>
      </c>
      <c r="L291" s="12" t="n">
        <v>13941.64</v>
      </c>
      <c r="M291" s="12" t="n">
        <f aca="false">L291-K291</f>
        <v>0.0100000000002183</v>
      </c>
      <c r="N291" s="3" t="s">
        <v>61</v>
      </c>
      <c r="O291" s="3" t="s">
        <v>62</v>
      </c>
    </row>
    <row r="292" customFormat="false" ht="15" hidden="false" customHeight="false" outlineLevel="0" collapsed="false">
      <c r="A292" s="14" t="s">
        <v>3028</v>
      </c>
      <c r="B292" s="14" t="s">
        <v>3316</v>
      </c>
      <c r="C292" s="14" t="s">
        <v>81</v>
      </c>
      <c r="D292" s="14" t="s">
        <v>2492</v>
      </c>
      <c r="E292" s="14" t="s">
        <v>56</v>
      </c>
      <c r="F292" s="15" t="n">
        <v>435000</v>
      </c>
      <c r="G292" s="16" t="n">
        <v>0.75</v>
      </c>
      <c r="H292" s="16" t="n">
        <v>1.27</v>
      </c>
      <c r="I292" s="16" t="n">
        <v>0.8467</v>
      </c>
      <c r="J292" s="16" t="n">
        <v>0.53</v>
      </c>
      <c r="K292" s="15" t="n">
        <f aca="false">ROUND(F292/100*G292*H292*I292/J292,2)</f>
        <v>6619.24</v>
      </c>
      <c r="L292" s="15" t="n">
        <v>6619.24</v>
      </c>
      <c r="M292" s="15" t="n">
        <f aca="false">L292-K292</f>
        <v>0</v>
      </c>
      <c r="N292" s="14" t="s">
        <v>70</v>
      </c>
      <c r="O292" s="14" t="s">
        <v>52</v>
      </c>
    </row>
    <row r="293" customFormat="false" ht="15" hidden="false" customHeight="false" outlineLevel="0" collapsed="false">
      <c r="A293" s="3" t="s">
        <v>3009</v>
      </c>
      <c r="B293" s="3" t="s">
        <v>3317</v>
      </c>
      <c r="C293" s="3" t="s">
        <v>48</v>
      </c>
      <c r="D293" s="3" t="s">
        <v>1085</v>
      </c>
      <c r="E293" s="3" t="s">
        <v>56</v>
      </c>
      <c r="F293" s="12" t="n">
        <v>335000</v>
      </c>
      <c r="G293" s="13" t="n">
        <v>0.75</v>
      </c>
      <c r="H293" s="13" t="n">
        <v>1.28</v>
      </c>
      <c r="I293" s="13" t="n">
        <v>0.8467</v>
      </c>
      <c r="J293" s="13" t="n">
        <v>0.53</v>
      </c>
      <c r="K293" s="12" t="n">
        <f aca="false">ROUND(F293/100*G293*H293*I293/J293,2)</f>
        <v>5137.71</v>
      </c>
      <c r="L293" s="12" t="n">
        <v>5137.71</v>
      </c>
      <c r="M293" s="12" t="n">
        <f aca="false">L293-K293</f>
        <v>0</v>
      </c>
      <c r="N293" s="3" t="s">
        <v>61</v>
      </c>
      <c r="O293" s="3" t="s">
        <v>62</v>
      </c>
    </row>
    <row r="294" customFormat="false" ht="15" hidden="false" customHeight="false" outlineLevel="0" collapsed="false">
      <c r="A294" s="14" t="s">
        <v>2947</v>
      </c>
      <c r="B294" s="14" t="s">
        <v>3318</v>
      </c>
      <c r="C294" s="14" t="s">
        <v>59</v>
      </c>
      <c r="D294" s="14" t="s">
        <v>694</v>
      </c>
      <c r="E294" s="14" t="s">
        <v>56</v>
      </c>
      <c r="F294" s="15" t="n">
        <v>630000</v>
      </c>
      <c r="G294" s="16" t="n">
        <v>0.65</v>
      </c>
      <c r="H294" s="16" t="n">
        <v>0.97</v>
      </c>
      <c r="I294" s="16" t="n">
        <v>0.8467</v>
      </c>
      <c r="J294" s="16" t="n">
        <v>0.53</v>
      </c>
      <c r="K294" s="15" t="n">
        <f aca="false">ROUND(F294/100*G294*H294*I294/J294,2)</f>
        <v>6345.7</v>
      </c>
      <c r="L294" s="15" t="n">
        <v>6345.69</v>
      </c>
      <c r="M294" s="15" t="n">
        <f aca="false">L294-K294</f>
        <v>-0.0100000000002183</v>
      </c>
      <c r="N294" s="14" t="s">
        <v>61</v>
      </c>
      <c r="O294" s="14" t="s">
        <v>62</v>
      </c>
    </row>
    <row r="295" customFormat="false" ht="15" hidden="false" customHeight="false" outlineLevel="0" collapsed="false">
      <c r="A295" s="3" t="s">
        <v>2967</v>
      </c>
      <c r="B295" s="3" t="s">
        <v>3319</v>
      </c>
      <c r="C295" s="3" t="s">
        <v>224</v>
      </c>
      <c r="D295" s="3" t="s">
        <v>1601</v>
      </c>
      <c r="E295" s="3" t="s">
        <v>56</v>
      </c>
      <c r="F295" s="12" t="n">
        <v>530000</v>
      </c>
      <c r="G295" s="13" t="n">
        <v>0.65</v>
      </c>
      <c r="H295" s="13" t="n">
        <v>1.1</v>
      </c>
      <c r="I295" s="13" t="n">
        <v>0.8467</v>
      </c>
      <c r="J295" s="13" t="n">
        <v>0.53</v>
      </c>
      <c r="K295" s="12" t="n">
        <f aca="false">ROUND(F295/100*G295*H295*I295/J295,2)</f>
        <v>6053.91</v>
      </c>
      <c r="L295" s="12" t="n">
        <v>6053.9</v>
      </c>
      <c r="M295" s="12" t="n">
        <f aca="false">L295-K295</f>
        <v>-0.0100000000002183</v>
      </c>
      <c r="N295" s="3" t="s">
        <v>61</v>
      </c>
      <c r="O295" s="3" t="s">
        <v>62</v>
      </c>
    </row>
    <row r="296" customFormat="false" ht="15" hidden="false" customHeight="false" outlineLevel="0" collapsed="false">
      <c r="A296" s="14" t="s">
        <v>3009</v>
      </c>
      <c r="B296" s="14" t="s">
        <v>3320</v>
      </c>
      <c r="C296" s="14" t="s">
        <v>114</v>
      </c>
      <c r="D296" s="14" t="s">
        <v>2971</v>
      </c>
      <c r="E296" s="14" t="s">
        <v>50</v>
      </c>
      <c r="F296" s="15" t="n">
        <v>840000</v>
      </c>
      <c r="G296" s="16" t="n">
        <v>0.95</v>
      </c>
      <c r="H296" s="16" t="n">
        <v>1.36</v>
      </c>
      <c r="I296" s="16" t="n">
        <v>0.8467</v>
      </c>
      <c r="J296" s="16" t="n">
        <v>0.53</v>
      </c>
      <c r="K296" s="15" t="n">
        <f aca="false">ROUND(F296/100*G296*H296*I296/J296,2)</f>
        <v>17337.86</v>
      </c>
      <c r="L296" s="15" t="n">
        <v>17337.86</v>
      </c>
      <c r="M296" s="15" t="n">
        <f aca="false">L296-K296</f>
        <v>0</v>
      </c>
      <c r="N296" s="14" t="s">
        <v>61</v>
      </c>
      <c r="O296" s="14" t="s">
        <v>62</v>
      </c>
    </row>
    <row r="297" customFormat="false" ht="15" hidden="false" customHeight="false" outlineLevel="0" collapsed="false">
      <c r="A297" s="3" t="s">
        <v>2957</v>
      </c>
      <c r="B297" s="3" t="s">
        <v>3321</v>
      </c>
      <c r="C297" s="3" t="s">
        <v>89</v>
      </c>
      <c r="D297" s="3" t="s">
        <v>1315</v>
      </c>
      <c r="E297" s="3" t="s">
        <v>56</v>
      </c>
      <c r="F297" s="12" t="n">
        <v>720000</v>
      </c>
      <c r="G297" s="13" t="n">
        <v>0.65</v>
      </c>
      <c r="H297" s="13" t="n">
        <v>1.35</v>
      </c>
      <c r="I297" s="13" t="n">
        <v>0.8467</v>
      </c>
      <c r="J297" s="13" t="n">
        <v>0.53</v>
      </c>
      <c r="K297" s="12" t="n">
        <f aca="false">ROUND(F297/100*G297*H297*I297/J297,2)</f>
        <v>10093.3</v>
      </c>
      <c r="L297" s="12" t="n">
        <v>10093.3</v>
      </c>
      <c r="M297" s="12" t="n">
        <f aca="false">L297-K297</f>
        <v>0</v>
      </c>
      <c r="N297" s="3" t="s">
        <v>61</v>
      </c>
      <c r="O297" s="3" t="s">
        <v>62</v>
      </c>
    </row>
    <row r="298" customFormat="false" ht="15" hidden="false" customHeight="false" outlineLevel="0" collapsed="false">
      <c r="A298" s="14" t="s">
        <v>2950</v>
      </c>
      <c r="B298" s="14" t="s">
        <v>3322</v>
      </c>
      <c r="C298" s="14" t="s">
        <v>48</v>
      </c>
      <c r="D298" s="14" t="s">
        <v>1998</v>
      </c>
      <c r="E298" s="14" t="s">
        <v>56</v>
      </c>
      <c r="F298" s="15" t="n">
        <v>360000</v>
      </c>
      <c r="G298" s="16" t="n">
        <v>0.75</v>
      </c>
      <c r="H298" s="16" t="n">
        <v>1.28</v>
      </c>
      <c r="I298" s="16" t="n">
        <v>0.8467</v>
      </c>
      <c r="J298" s="16" t="n">
        <v>0.53</v>
      </c>
      <c r="K298" s="15" t="n">
        <f aca="false">ROUND(F298/100*G298*H298*I298/J298,2)</f>
        <v>5521.12</v>
      </c>
      <c r="L298" s="15" t="n">
        <v>5521.12</v>
      </c>
      <c r="M298" s="15" t="n">
        <f aca="false">L298-K298</f>
        <v>0</v>
      </c>
      <c r="N298" s="14" t="s">
        <v>61</v>
      </c>
      <c r="O298" s="14" t="s">
        <v>62</v>
      </c>
    </row>
    <row r="299" customFormat="false" ht="15" hidden="false" customHeight="false" outlineLevel="0" collapsed="false">
      <c r="A299" s="3" t="s">
        <v>2974</v>
      </c>
      <c r="B299" s="3" t="s">
        <v>3323</v>
      </c>
      <c r="C299" s="3" t="s">
        <v>169</v>
      </c>
      <c r="D299" s="3" t="s">
        <v>1601</v>
      </c>
      <c r="E299" s="3" t="s">
        <v>56</v>
      </c>
      <c r="F299" s="12" t="n">
        <v>305000</v>
      </c>
      <c r="G299" s="13" t="n">
        <v>0.75</v>
      </c>
      <c r="H299" s="13" t="n">
        <v>1.07</v>
      </c>
      <c r="I299" s="13" t="n">
        <v>0.8467</v>
      </c>
      <c r="J299" s="13" t="n">
        <v>0.53</v>
      </c>
      <c r="K299" s="12" t="n">
        <f aca="false">ROUND(F299/100*G299*H299*I299/J299,2)</f>
        <v>3910.2</v>
      </c>
      <c r="L299" s="12" t="n">
        <v>3910.2</v>
      </c>
      <c r="M299" s="12" t="n">
        <f aca="false">L299-K299</f>
        <v>0</v>
      </c>
      <c r="N299" s="3" t="s">
        <v>61</v>
      </c>
      <c r="O299" s="3" t="s">
        <v>62</v>
      </c>
    </row>
    <row r="300" customFormat="false" ht="15" hidden="false" customHeight="false" outlineLevel="0" collapsed="false">
      <c r="A300" s="14" t="s">
        <v>3013</v>
      </c>
      <c r="B300" s="14" t="s">
        <v>3324</v>
      </c>
      <c r="C300" s="14" t="s">
        <v>77</v>
      </c>
      <c r="D300" s="14" t="s">
        <v>2679</v>
      </c>
      <c r="E300" s="14" t="s">
        <v>56</v>
      </c>
      <c r="F300" s="15" t="n">
        <v>565000</v>
      </c>
      <c r="G300" s="16" t="n">
        <v>0.65</v>
      </c>
      <c r="H300" s="16" t="n">
        <v>1.42</v>
      </c>
      <c r="I300" s="16" t="n">
        <v>0.8467</v>
      </c>
      <c r="J300" s="16" t="n">
        <v>0.53</v>
      </c>
      <c r="K300" s="15" t="n">
        <f aca="false">ROUND(F300/100*G300*H300*I300/J300,2)</f>
        <v>8331.13</v>
      </c>
      <c r="L300" s="15" t="n">
        <v>8331.13</v>
      </c>
      <c r="M300" s="15" t="n">
        <f aca="false">L300-K300</f>
        <v>0</v>
      </c>
      <c r="N300" s="14" t="s">
        <v>61</v>
      </c>
      <c r="O300" s="14" t="s">
        <v>62</v>
      </c>
    </row>
    <row r="301" customFormat="false" ht="15" hidden="false" customHeight="false" outlineLevel="0" collapsed="false">
      <c r="A301" s="3" t="s">
        <v>3049</v>
      </c>
      <c r="B301" s="3" t="s">
        <v>3325</v>
      </c>
      <c r="C301" s="3" t="s">
        <v>188</v>
      </c>
      <c r="D301" s="3" t="s">
        <v>747</v>
      </c>
      <c r="E301" s="3" t="s">
        <v>56</v>
      </c>
      <c r="F301" s="12" t="n">
        <v>345000</v>
      </c>
      <c r="G301" s="13" t="n">
        <v>0.75</v>
      </c>
      <c r="H301" s="13" t="n">
        <v>1.35</v>
      </c>
      <c r="I301" s="13" t="n">
        <v>0.8467</v>
      </c>
      <c r="J301" s="13" t="n">
        <v>0.53</v>
      </c>
      <c r="K301" s="12" t="n">
        <f aca="false">ROUND(F301/100*G301*H301*I301/J301,2)</f>
        <v>5580.43</v>
      </c>
      <c r="L301" s="12" t="n">
        <v>5580.43</v>
      </c>
      <c r="M301" s="12" t="n">
        <f aca="false">L301-K301</f>
        <v>0</v>
      </c>
      <c r="N301" s="3" t="s">
        <v>61</v>
      </c>
      <c r="O301" s="3" t="s">
        <v>62</v>
      </c>
    </row>
    <row r="302" customFormat="false" ht="15" hidden="false" customHeight="false" outlineLevel="0" collapsed="false">
      <c r="A302" s="14" t="s">
        <v>2959</v>
      </c>
      <c r="B302" s="14" t="s">
        <v>3326</v>
      </c>
      <c r="C302" s="14" t="s">
        <v>417</v>
      </c>
      <c r="D302" s="14" t="s">
        <v>2539</v>
      </c>
      <c r="E302" s="14" t="s">
        <v>50</v>
      </c>
      <c r="F302" s="15" t="n">
        <v>560000</v>
      </c>
      <c r="G302" s="16" t="n">
        <v>0.95</v>
      </c>
      <c r="H302" s="16" t="n">
        <v>1.24</v>
      </c>
      <c r="I302" s="16" t="n">
        <v>0.8467</v>
      </c>
      <c r="J302" s="16" t="n">
        <v>0.53</v>
      </c>
      <c r="K302" s="15" t="n">
        <f aca="false">ROUND(F302/100*G302*H302*I302/J302,2)</f>
        <v>10538.7</v>
      </c>
      <c r="L302" s="15" t="n">
        <v>10538.7</v>
      </c>
      <c r="M302" s="15" t="n">
        <f aca="false">L302-K302</f>
        <v>0</v>
      </c>
      <c r="N302" s="14" t="s">
        <v>61</v>
      </c>
      <c r="O302" s="14" t="s">
        <v>62</v>
      </c>
    </row>
    <row r="303" customFormat="false" ht="15" hidden="false" customHeight="false" outlineLevel="0" collapsed="false">
      <c r="A303" s="3" t="s">
        <v>2950</v>
      </c>
      <c r="B303" s="3" t="s">
        <v>3327</v>
      </c>
      <c r="C303" s="3" t="s">
        <v>311</v>
      </c>
      <c r="D303" s="3" t="s">
        <v>3328</v>
      </c>
      <c r="E303" s="3" t="s">
        <v>74</v>
      </c>
      <c r="F303" s="12" t="n">
        <v>870000</v>
      </c>
      <c r="G303" s="13" t="n">
        <v>0.43</v>
      </c>
      <c r="H303" s="13" t="n">
        <v>1.06</v>
      </c>
      <c r="I303" s="13" t="n">
        <v>0.8467</v>
      </c>
      <c r="J303" s="13" t="n">
        <v>0.53</v>
      </c>
      <c r="K303" s="12" t="n">
        <f aca="false">ROUND(F303/100*G303*H303*I303/J303,2)</f>
        <v>6335.01</v>
      </c>
      <c r="L303" s="12" t="n">
        <v>6335.01</v>
      </c>
      <c r="M303" s="12" t="n">
        <f aca="false">L303-K303</f>
        <v>0</v>
      </c>
      <c r="N303" s="3" t="s">
        <v>51</v>
      </c>
      <c r="O303" s="3" t="s">
        <v>52</v>
      </c>
    </row>
    <row r="304" customFormat="false" ht="15" hidden="false" customHeight="false" outlineLevel="0" collapsed="false">
      <c r="A304" s="14" t="s">
        <v>3024</v>
      </c>
      <c r="B304" s="14" t="s">
        <v>3329</v>
      </c>
      <c r="C304" s="14" t="s">
        <v>117</v>
      </c>
      <c r="D304" s="14" t="s">
        <v>342</v>
      </c>
      <c r="E304" s="14" t="s">
        <v>56</v>
      </c>
      <c r="F304" s="15" t="n">
        <v>920000</v>
      </c>
      <c r="G304" s="16" t="n">
        <v>0.65</v>
      </c>
      <c r="H304" s="16" t="n">
        <v>0.91</v>
      </c>
      <c r="I304" s="16" t="n">
        <v>0.8467</v>
      </c>
      <c r="J304" s="16" t="n">
        <v>0.53</v>
      </c>
      <c r="K304" s="15" t="n">
        <f aca="false">ROUND(F304/100*G304*H304*I304/J304,2)</f>
        <v>8693.53</v>
      </c>
      <c r="L304" s="15" t="n">
        <v>8693.53</v>
      </c>
      <c r="M304" s="15" t="n">
        <f aca="false">L304-K304</f>
        <v>0</v>
      </c>
      <c r="N304" s="14" t="s">
        <v>70</v>
      </c>
      <c r="O304" s="14" t="s">
        <v>52</v>
      </c>
    </row>
    <row r="305" customFormat="false" ht="15" hidden="false" customHeight="false" outlineLevel="0" collapsed="false">
      <c r="A305" s="3" t="s">
        <v>2961</v>
      </c>
      <c r="B305" s="3" t="s">
        <v>3330</v>
      </c>
      <c r="C305" s="3" t="s">
        <v>105</v>
      </c>
      <c r="D305" s="3" t="s">
        <v>2065</v>
      </c>
      <c r="E305" s="3" t="s">
        <v>56</v>
      </c>
      <c r="F305" s="12" t="n">
        <v>500000</v>
      </c>
      <c r="G305" s="13" t="n">
        <v>0.65</v>
      </c>
      <c r="H305" s="13" t="n">
        <v>0.99</v>
      </c>
      <c r="I305" s="13" t="n">
        <v>0.8467</v>
      </c>
      <c r="J305" s="13" t="n">
        <v>0.53</v>
      </c>
      <c r="K305" s="12" t="n">
        <f aca="false">ROUND(F305/100*G305*H305*I305/J305,2)</f>
        <v>5140.11</v>
      </c>
      <c r="L305" s="12" t="n">
        <v>5140.1</v>
      </c>
      <c r="M305" s="12" t="n">
        <f aca="false">L305-K305</f>
        <v>-0.00999999999930878</v>
      </c>
      <c r="N305" s="3" t="s">
        <v>51</v>
      </c>
      <c r="O305" s="3" t="s">
        <v>52</v>
      </c>
    </row>
    <row r="306" customFormat="false" ht="15" hidden="false" customHeight="false" outlineLevel="0" collapsed="false">
      <c r="A306" s="14" t="s">
        <v>3005</v>
      </c>
      <c r="B306" s="14" t="s">
        <v>3331</v>
      </c>
      <c r="C306" s="14" t="s">
        <v>89</v>
      </c>
      <c r="D306" s="14" t="s">
        <v>3110</v>
      </c>
      <c r="E306" s="14" t="s">
        <v>56</v>
      </c>
      <c r="F306" s="15" t="n">
        <v>1120000</v>
      </c>
      <c r="G306" s="16" t="n">
        <v>0.55</v>
      </c>
      <c r="H306" s="16" t="n">
        <v>1.35</v>
      </c>
      <c r="I306" s="16" t="n">
        <v>0.8467</v>
      </c>
      <c r="J306" s="16" t="n">
        <v>0.53</v>
      </c>
      <c r="K306" s="15" t="n">
        <f aca="false">ROUND(F306/100*G306*H306*I306/J306,2)</f>
        <v>13285.2</v>
      </c>
      <c r="L306" s="15" t="n">
        <v>13285.21</v>
      </c>
      <c r="M306" s="15" t="n">
        <f aca="false">L306-K306</f>
        <v>0.00999999999839929</v>
      </c>
      <c r="N306" s="14" t="s">
        <v>61</v>
      </c>
      <c r="O306" s="14" t="s">
        <v>62</v>
      </c>
    </row>
    <row r="307" customFormat="false" ht="15" hidden="false" customHeight="false" outlineLevel="0" collapsed="false">
      <c r="A307" s="3" t="s">
        <v>2955</v>
      </c>
      <c r="B307" s="3" t="s">
        <v>3332</v>
      </c>
      <c r="C307" s="3" t="s">
        <v>68</v>
      </c>
      <c r="D307" s="3" t="s">
        <v>2105</v>
      </c>
      <c r="E307" s="3" t="s">
        <v>74</v>
      </c>
      <c r="F307" s="12" t="n">
        <v>475000</v>
      </c>
      <c r="G307" s="13" t="n">
        <v>0.48</v>
      </c>
      <c r="H307" s="13" t="n">
        <v>1.38</v>
      </c>
      <c r="I307" s="13" t="n">
        <v>0.8467</v>
      </c>
      <c r="J307" s="13" t="n">
        <v>0.53</v>
      </c>
      <c r="K307" s="12" t="n">
        <f aca="false">ROUND(F307/100*G307*H307*I307/J307,2)</f>
        <v>5026.52</v>
      </c>
      <c r="L307" s="12" t="n">
        <v>5026.52</v>
      </c>
      <c r="M307" s="12" t="n">
        <f aca="false">L307-K307</f>
        <v>0</v>
      </c>
      <c r="N307" s="3" t="s">
        <v>61</v>
      </c>
      <c r="O307" s="3" t="s">
        <v>62</v>
      </c>
    </row>
    <row r="308" customFormat="false" ht="15" hidden="false" customHeight="false" outlineLevel="0" collapsed="false">
      <c r="A308" s="14" t="s">
        <v>2942</v>
      </c>
      <c r="B308" s="14" t="s">
        <v>3333</v>
      </c>
      <c r="C308" s="14" t="s">
        <v>105</v>
      </c>
      <c r="D308" s="14" t="s">
        <v>2824</v>
      </c>
      <c r="E308" s="14" t="s">
        <v>50</v>
      </c>
      <c r="F308" s="15" t="n">
        <v>825000</v>
      </c>
      <c r="G308" s="16" t="n">
        <v>0.95</v>
      </c>
      <c r="H308" s="16" t="n">
        <v>0.99</v>
      </c>
      <c r="I308" s="16" t="n">
        <v>0.8467</v>
      </c>
      <c r="J308" s="16" t="n">
        <v>0.53</v>
      </c>
      <c r="K308" s="15" t="n">
        <f aca="false">ROUND(F308/100*G308*H308*I308/J308,2)</f>
        <v>12395.57</v>
      </c>
      <c r="L308" s="15" t="n">
        <v>12395.57</v>
      </c>
      <c r="M308" s="15" t="n">
        <f aca="false">L308-K308</f>
        <v>0</v>
      </c>
      <c r="N308" s="14" t="s">
        <v>61</v>
      </c>
      <c r="O308" s="14" t="s">
        <v>62</v>
      </c>
    </row>
    <row r="309" customFormat="false" ht="15" hidden="false" customHeight="false" outlineLevel="0" collapsed="false">
      <c r="A309" s="3" t="s">
        <v>3001</v>
      </c>
      <c r="B309" s="3" t="s">
        <v>3334</v>
      </c>
      <c r="C309" s="3" t="s">
        <v>145</v>
      </c>
      <c r="D309" s="3" t="s">
        <v>3335</v>
      </c>
      <c r="E309" s="3" t="s">
        <v>74</v>
      </c>
      <c r="F309" s="12" t="n">
        <v>425000</v>
      </c>
      <c r="G309" s="13" t="n">
        <v>0.48</v>
      </c>
      <c r="H309" s="13" t="n">
        <v>0.96</v>
      </c>
      <c r="I309" s="13" t="n">
        <v>0.8467</v>
      </c>
      <c r="J309" s="13" t="n">
        <v>0.53</v>
      </c>
      <c r="K309" s="12" t="n">
        <f aca="false">ROUND(F309/100*G309*H309*I309/J309,2)</f>
        <v>3128.64</v>
      </c>
      <c r="L309" s="12" t="n">
        <v>3128.63</v>
      </c>
      <c r="M309" s="12" t="n">
        <f aca="false">L309-K309</f>
        <v>-0.00999999999976353</v>
      </c>
      <c r="N309" s="3" t="s">
        <v>61</v>
      </c>
      <c r="O309" s="3" t="s">
        <v>62</v>
      </c>
    </row>
    <row r="310" customFormat="false" ht="15" hidden="false" customHeight="false" outlineLevel="0" collapsed="false">
      <c r="A310" s="14" t="s">
        <v>2961</v>
      </c>
      <c r="B310" s="14" t="s">
        <v>3336</v>
      </c>
      <c r="C310" s="14" t="s">
        <v>85</v>
      </c>
      <c r="D310" s="14" t="s">
        <v>1517</v>
      </c>
      <c r="E310" s="14" t="s">
        <v>56</v>
      </c>
      <c r="F310" s="15" t="n">
        <v>240000</v>
      </c>
      <c r="G310" s="16" t="n">
        <v>0.92</v>
      </c>
      <c r="H310" s="16" t="n">
        <v>1.28</v>
      </c>
      <c r="I310" s="16" t="n">
        <v>0.8467</v>
      </c>
      <c r="J310" s="16" t="n">
        <v>0.53</v>
      </c>
      <c r="K310" s="15" t="n">
        <f aca="false">ROUND(F310/100*G310*H310*I310/J310,2)</f>
        <v>4515.05</v>
      </c>
      <c r="L310" s="15" t="n">
        <v>4515.05</v>
      </c>
      <c r="M310" s="15" t="n">
        <f aca="false">L310-K310</f>
        <v>0</v>
      </c>
      <c r="N310" s="14" t="s">
        <v>70</v>
      </c>
      <c r="O310" s="14" t="s">
        <v>52</v>
      </c>
    </row>
    <row r="311" customFormat="false" ht="15" hidden="false" customHeight="false" outlineLevel="0" collapsed="false">
      <c r="A311" s="3" t="s">
        <v>3013</v>
      </c>
      <c r="B311" s="3" t="s">
        <v>3337</v>
      </c>
      <c r="C311" s="3" t="s">
        <v>108</v>
      </c>
      <c r="D311" s="3" t="s">
        <v>2112</v>
      </c>
      <c r="E311" s="3" t="s">
        <v>56</v>
      </c>
      <c r="F311" s="12" t="n">
        <v>215000</v>
      </c>
      <c r="G311" s="13" t="n">
        <v>0.92</v>
      </c>
      <c r="H311" s="13" t="n">
        <v>0.93</v>
      </c>
      <c r="I311" s="13" t="n">
        <v>0.8467</v>
      </c>
      <c r="J311" s="13" t="n">
        <v>0.53</v>
      </c>
      <c r="K311" s="12" t="n">
        <f aca="false">ROUND(F311/100*G311*H311*I311/J311,2)</f>
        <v>2938.75</v>
      </c>
      <c r="L311" s="12" t="n">
        <v>2938.75</v>
      </c>
      <c r="M311" s="12" t="n">
        <f aca="false">L311-K311</f>
        <v>0</v>
      </c>
      <c r="N311" s="3" t="s">
        <v>61</v>
      </c>
      <c r="O311" s="3" t="s">
        <v>62</v>
      </c>
    </row>
    <row r="312" customFormat="false" ht="15" hidden="false" customHeight="false" outlineLevel="0" collapsed="false">
      <c r="A312" s="14" t="s">
        <v>3024</v>
      </c>
      <c r="B312" s="14" t="s">
        <v>3338</v>
      </c>
      <c r="C312" s="14" t="s">
        <v>230</v>
      </c>
      <c r="D312" s="14" t="s">
        <v>3339</v>
      </c>
      <c r="E312" s="14" t="s">
        <v>74</v>
      </c>
      <c r="F312" s="15" t="n">
        <v>750000</v>
      </c>
      <c r="G312" s="16" t="n">
        <v>0.43</v>
      </c>
      <c r="H312" s="16" t="n">
        <v>1.09</v>
      </c>
      <c r="I312" s="16" t="n">
        <v>0.8467</v>
      </c>
      <c r="J312" s="16" t="n">
        <v>0.53</v>
      </c>
      <c r="K312" s="15" t="n">
        <f aca="false">ROUND(F312/100*G312*H312*I312/J312,2)</f>
        <v>5615.78</v>
      </c>
      <c r="L312" s="15" t="n">
        <v>5615.78</v>
      </c>
      <c r="M312" s="15" t="n">
        <f aca="false">L312-K312</f>
        <v>0</v>
      </c>
      <c r="N312" s="14" t="s">
        <v>61</v>
      </c>
      <c r="O312" s="14" t="s">
        <v>62</v>
      </c>
    </row>
    <row r="313" customFormat="false" ht="15" hidden="false" customHeight="false" outlineLevel="0" collapsed="false">
      <c r="A313" s="3" t="s">
        <v>3013</v>
      </c>
      <c r="B313" s="3" t="s">
        <v>3340</v>
      </c>
      <c r="C313" s="3" t="s">
        <v>887</v>
      </c>
      <c r="D313" s="3" t="s">
        <v>659</v>
      </c>
      <c r="E313" s="3" t="s">
        <v>56</v>
      </c>
      <c r="F313" s="12" t="n">
        <v>625000</v>
      </c>
      <c r="G313" s="13" t="n">
        <v>0.65</v>
      </c>
      <c r="H313" s="13" t="n">
        <v>1.37</v>
      </c>
      <c r="I313" s="13" t="n">
        <v>0.8467</v>
      </c>
      <c r="J313" s="13" t="n">
        <v>0.53</v>
      </c>
      <c r="K313" s="12" t="n">
        <f aca="false">ROUND(F313/100*G313*H313*I313/J313,2)</f>
        <v>8891.35</v>
      </c>
      <c r="L313" s="12" t="n">
        <v>8891.35</v>
      </c>
      <c r="M313" s="12" t="n">
        <f aca="false">L313-K313</f>
        <v>0</v>
      </c>
      <c r="N313" s="3" t="s">
        <v>51</v>
      </c>
      <c r="O313" s="3" t="s">
        <v>52</v>
      </c>
    </row>
    <row r="314" customFormat="false" ht="15" hidden="false" customHeight="false" outlineLevel="0" collapsed="false">
      <c r="A314" s="14" t="s">
        <v>3009</v>
      </c>
      <c r="B314" s="14" t="s">
        <v>3341</v>
      </c>
      <c r="C314" s="14" t="s">
        <v>136</v>
      </c>
      <c r="D314" s="14" t="s">
        <v>3342</v>
      </c>
      <c r="E314" s="14" t="s">
        <v>56</v>
      </c>
      <c r="F314" s="15" t="n">
        <v>380000</v>
      </c>
      <c r="G314" s="16" t="n">
        <v>0.75</v>
      </c>
      <c r="H314" s="16" t="n">
        <v>1.32</v>
      </c>
      <c r="I314" s="16" t="n">
        <v>0.8467</v>
      </c>
      <c r="J314" s="16" t="n">
        <v>0.53</v>
      </c>
      <c r="K314" s="15" t="n">
        <f aca="false">ROUND(F314/100*G314*H314*I314/J314,2)</f>
        <v>6009.97</v>
      </c>
      <c r="L314" s="15" t="n">
        <v>6009.97</v>
      </c>
      <c r="M314" s="15" t="n">
        <f aca="false">L314-K314</f>
        <v>0</v>
      </c>
      <c r="N314" s="14" t="s">
        <v>61</v>
      </c>
      <c r="O314" s="14" t="s">
        <v>62</v>
      </c>
    </row>
    <row r="315" customFormat="false" ht="15" hidden="false" customHeight="false" outlineLevel="0" collapsed="false">
      <c r="A315" s="3" t="s">
        <v>2993</v>
      </c>
      <c r="B315" s="3" t="s">
        <v>3343</v>
      </c>
      <c r="C315" s="3" t="s">
        <v>892</v>
      </c>
      <c r="D315" s="3" t="s">
        <v>3344</v>
      </c>
      <c r="E315" s="3" t="s">
        <v>74</v>
      </c>
      <c r="F315" s="12" t="n">
        <v>890000</v>
      </c>
      <c r="G315" s="13" t="n">
        <v>0.43</v>
      </c>
      <c r="H315" s="13" t="n">
        <v>1.08</v>
      </c>
      <c r="I315" s="13" t="n">
        <v>0.8467</v>
      </c>
      <c r="J315" s="13" t="n">
        <v>0.53</v>
      </c>
      <c r="K315" s="12" t="n">
        <f aca="false">ROUND(F315/100*G315*H315*I315/J315,2)</f>
        <v>6602.92</v>
      </c>
      <c r="L315" s="12" t="n">
        <v>6602.92</v>
      </c>
      <c r="M315" s="12" t="n">
        <f aca="false">L315-K315</f>
        <v>0</v>
      </c>
      <c r="N315" s="3" t="s">
        <v>61</v>
      </c>
      <c r="O315" s="3" t="s">
        <v>62</v>
      </c>
    </row>
    <row r="316" customFormat="false" ht="15" hidden="false" customHeight="false" outlineLevel="0" collapsed="false">
      <c r="A316" s="14" t="s">
        <v>2972</v>
      </c>
      <c r="B316" s="14" t="s">
        <v>3345</v>
      </c>
      <c r="C316" s="14" t="s">
        <v>68</v>
      </c>
      <c r="D316" s="14" t="s">
        <v>1594</v>
      </c>
      <c r="E316" s="14" t="s">
        <v>74</v>
      </c>
      <c r="F316" s="15" t="n">
        <v>705000</v>
      </c>
      <c r="G316" s="16" t="n">
        <v>0.43</v>
      </c>
      <c r="H316" s="16" t="n">
        <v>1.38</v>
      </c>
      <c r="I316" s="16" t="n">
        <v>0.8467</v>
      </c>
      <c r="J316" s="16" t="n">
        <v>0.53</v>
      </c>
      <c r="K316" s="15" t="n">
        <f aca="false">ROUND(F316/100*G316*H316*I316/J316,2)</f>
        <v>6683.29</v>
      </c>
      <c r="L316" s="15" t="n">
        <v>6683.29</v>
      </c>
      <c r="M316" s="15" t="n">
        <f aca="false">L316-K316</f>
        <v>0</v>
      </c>
      <c r="N316" s="14" t="s">
        <v>51</v>
      </c>
      <c r="O316" s="14" t="s">
        <v>52</v>
      </c>
    </row>
    <row r="317" customFormat="false" ht="15" hidden="false" customHeight="false" outlineLevel="0" collapsed="false">
      <c r="A317" s="3" t="s">
        <v>2961</v>
      </c>
      <c r="B317" s="3" t="s">
        <v>3346</v>
      </c>
      <c r="C317" s="3" t="s">
        <v>59</v>
      </c>
      <c r="D317" s="3" t="s">
        <v>1671</v>
      </c>
      <c r="E317" s="3" t="s">
        <v>50</v>
      </c>
      <c r="F317" s="12" t="n">
        <v>1090000</v>
      </c>
      <c r="G317" s="13" t="n">
        <v>0.8</v>
      </c>
      <c r="H317" s="13" t="n">
        <v>0.97</v>
      </c>
      <c r="I317" s="13" t="n">
        <v>0.8467</v>
      </c>
      <c r="J317" s="13" t="n">
        <v>0.53</v>
      </c>
      <c r="K317" s="12" t="n">
        <f aca="false">ROUND(F317/100*G317*H317*I317/J317,2)</f>
        <v>13512.69</v>
      </c>
      <c r="L317" s="12" t="n">
        <v>13512.7</v>
      </c>
      <c r="M317" s="12" t="n">
        <f aca="false">L317-K317</f>
        <v>0.0100000000002183</v>
      </c>
      <c r="N317" s="3" t="s">
        <v>61</v>
      </c>
      <c r="O317" s="3" t="s">
        <v>62</v>
      </c>
    </row>
    <row r="318" customFormat="false" ht="15" hidden="false" customHeight="false" outlineLevel="0" collapsed="false">
      <c r="A318" s="14" t="s">
        <v>3035</v>
      </c>
      <c r="B318" s="14" t="s">
        <v>3347</v>
      </c>
      <c r="C318" s="14" t="s">
        <v>117</v>
      </c>
      <c r="D318" s="14" t="s">
        <v>1434</v>
      </c>
      <c r="E318" s="14" t="s">
        <v>56</v>
      </c>
      <c r="F318" s="15" t="n">
        <v>400000</v>
      </c>
      <c r="G318" s="16" t="n">
        <v>0.75</v>
      </c>
      <c r="H318" s="16" t="n">
        <v>0.91</v>
      </c>
      <c r="I318" s="16" t="n">
        <v>0.8467</v>
      </c>
      <c r="J318" s="16" t="n">
        <v>0.53</v>
      </c>
      <c r="K318" s="15" t="n">
        <f aca="false">ROUND(F318/100*G318*H318*I318/J318,2)</f>
        <v>4361.3</v>
      </c>
      <c r="L318" s="15" t="n">
        <v>4361.3</v>
      </c>
      <c r="M318" s="15" t="n">
        <f aca="false">L318-K318</f>
        <v>0</v>
      </c>
      <c r="N318" s="14" t="s">
        <v>61</v>
      </c>
      <c r="O318" s="14" t="s">
        <v>62</v>
      </c>
    </row>
    <row r="319" customFormat="false" ht="15" hidden="false" customHeight="false" outlineLevel="0" collapsed="false">
      <c r="A319" s="3" t="s">
        <v>2967</v>
      </c>
      <c r="B319" s="3" t="s">
        <v>3348</v>
      </c>
      <c r="C319" s="3" t="s">
        <v>105</v>
      </c>
      <c r="D319" s="3" t="s">
        <v>256</v>
      </c>
      <c r="E319" s="3" t="s">
        <v>56</v>
      </c>
      <c r="F319" s="12" t="n">
        <v>350000</v>
      </c>
      <c r="G319" s="13" t="n">
        <v>0.75</v>
      </c>
      <c r="H319" s="13" t="n">
        <v>0.99</v>
      </c>
      <c r="I319" s="13" t="n">
        <v>0.8467</v>
      </c>
      <c r="J319" s="13" t="n">
        <v>0.53</v>
      </c>
      <c r="K319" s="12" t="n">
        <f aca="false">ROUND(F319/100*G319*H319*I319/J319,2)</f>
        <v>4151.63</v>
      </c>
      <c r="L319" s="12" t="n">
        <v>4151.62</v>
      </c>
      <c r="M319" s="12" t="n">
        <f aca="false">L319-K319</f>
        <v>-0.0100000000002183</v>
      </c>
      <c r="N319" s="3" t="s">
        <v>70</v>
      </c>
      <c r="O319" s="3" t="s">
        <v>52</v>
      </c>
    </row>
    <row r="321" customFormat="false" ht="15" hidden="false" customHeight="false" outlineLevel="0" collapsed="false">
      <c r="A321" s="10" t="s">
        <v>551</v>
      </c>
      <c r="C321" s="17" t="n">
        <f aca="false">COUNTA(B5:B319)</f>
        <v>315</v>
      </c>
    </row>
    <row r="322" customFormat="false" ht="15" hidden="false" customHeight="false" outlineLevel="0" collapsed="false">
      <c r="A322" s="10" t="s">
        <v>552</v>
      </c>
      <c r="C322" s="17" t="n">
        <f aca="false">COUNTIF(O5:O319,"bound")</f>
        <v>241</v>
      </c>
    </row>
    <row r="323" customFormat="false" ht="15" hidden="false" customHeight="false" outlineLevel="0" collapsed="false">
      <c r="A323" s="10" t="s">
        <v>553</v>
      </c>
      <c r="C323" s="18" t="n">
        <f aca="false">AVERAGE(L5:L319)</f>
        <v>9387.88028571429</v>
      </c>
    </row>
    <row r="324" customFormat="false" ht="15" hidden="false" customHeight="false" outlineLevel="0" collapsed="false">
      <c r="A324" s="10" t="s">
        <v>554</v>
      </c>
      <c r="C324" s="18" t="n">
        <f aca="false">AVERAGEIF(O5:O319,"bound",L5:L319)</f>
        <v>9711.51248962656</v>
      </c>
    </row>
    <row r="325" customFormat="false" ht="15" hidden="false" customHeight="false" outlineLevel="0" collapsed="false">
      <c r="A325" s="10" t="s">
        <v>555</v>
      </c>
      <c r="C325" s="18" t="n">
        <f aca="false">SUMIF(O5:O319,"bound",L5:L319)</f>
        <v>2340474.51</v>
      </c>
    </row>
    <row r="326" customFormat="false" ht="15" hidden="false" customHeight="false" outlineLevel="0" collapsed="false">
      <c r="A326" s="10" t="s">
        <v>556</v>
      </c>
      <c r="C326" s="19" t="n">
        <v>0.8467</v>
      </c>
    </row>
  </sheetData>
  <autoFilter ref="A4:O3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3349</v>
      </c>
    </row>
    <row r="2" customFormat="false" ht="15" hidden="false" customHeight="false" outlineLevel="0" collapsed="false">
      <c r="A2" s="4" t="s">
        <v>3350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3351</v>
      </c>
      <c r="B5" s="3" t="s">
        <v>3352</v>
      </c>
      <c r="C5" s="3" t="s">
        <v>311</v>
      </c>
      <c r="D5" s="3" t="s">
        <v>1710</v>
      </c>
      <c r="E5" s="3" t="s">
        <v>74</v>
      </c>
      <c r="F5" s="12" t="n">
        <v>1450000</v>
      </c>
      <c r="G5" s="13" t="n">
        <v>0.38</v>
      </c>
      <c r="H5" s="13" t="n">
        <v>1.06</v>
      </c>
      <c r="I5" s="13" t="n">
        <v>0.8305</v>
      </c>
      <c r="J5" s="13" t="n">
        <v>0.53</v>
      </c>
      <c r="K5" s="12" t="n">
        <f aca="false">ROUND(F5/100*G5*H5*I5/J5,2)</f>
        <v>9152.11</v>
      </c>
      <c r="L5" s="12" t="n">
        <v>9152.11</v>
      </c>
      <c r="M5" s="12" t="n">
        <f aca="false">L5-K5</f>
        <v>0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3353</v>
      </c>
      <c r="B6" s="14" t="s">
        <v>3354</v>
      </c>
      <c r="C6" s="14" t="s">
        <v>275</v>
      </c>
      <c r="D6" s="14" t="s">
        <v>276</v>
      </c>
      <c r="E6" s="14" t="s">
        <v>56</v>
      </c>
      <c r="F6" s="15" t="n">
        <v>430000</v>
      </c>
      <c r="G6" s="16" t="n">
        <v>0.75</v>
      </c>
      <c r="H6" s="16" t="n">
        <v>1.19</v>
      </c>
      <c r="I6" s="16" t="n">
        <v>0.8305</v>
      </c>
      <c r="J6" s="16" t="n">
        <v>0.53</v>
      </c>
      <c r="K6" s="15" t="n">
        <f aca="false">ROUND(F6/100*G6*H6*I6/J6,2)</f>
        <v>6013.68</v>
      </c>
      <c r="L6" s="15" t="n">
        <v>6013.68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3355</v>
      </c>
      <c r="B7" s="3" t="s">
        <v>3356</v>
      </c>
      <c r="C7" s="3" t="s">
        <v>159</v>
      </c>
      <c r="D7" s="3" t="s">
        <v>451</v>
      </c>
      <c r="E7" s="3" t="s">
        <v>50</v>
      </c>
      <c r="F7" s="12" t="n">
        <v>560000</v>
      </c>
      <c r="G7" s="13" t="n">
        <v>0.95</v>
      </c>
      <c r="H7" s="13" t="n">
        <v>1.15</v>
      </c>
      <c r="I7" s="13" t="n">
        <v>0.8305</v>
      </c>
      <c r="J7" s="13" t="n">
        <v>0.53</v>
      </c>
      <c r="K7" s="12" t="n">
        <f aca="false">ROUND(F7/100*G7*H7*I7/J7,2)</f>
        <v>9586.79</v>
      </c>
      <c r="L7" s="12" t="n">
        <v>9586.79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3357</v>
      </c>
      <c r="B8" s="14" t="s">
        <v>3358</v>
      </c>
      <c r="C8" s="14" t="s">
        <v>193</v>
      </c>
      <c r="D8" s="14" t="s">
        <v>1937</v>
      </c>
      <c r="E8" s="14" t="s">
        <v>157</v>
      </c>
      <c r="F8" s="15" t="n">
        <v>505000</v>
      </c>
      <c r="G8" s="16" t="n">
        <v>0.78</v>
      </c>
      <c r="H8" s="16" t="n">
        <v>1.25</v>
      </c>
      <c r="I8" s="16" t="n">
        <v>0.8305</v>
      </c>
      <c r="J8" s="16" t="n">
        <v>0.53</v>
      </c>
      <c r="K8" s="15" t="n">
        <f aca="false">ROUND(F8/100*G8*H8*I8/J8,2)</f>
        <v>7715.42</v>
      </c>
      <c r="L8" s="15" t="n">
        <v>7715.42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3359</v>
      </c>
      <c r="B9" s="3" t="s">
        <v>3360</v>
      </c>
      <c r="C9" s="3" t="s">
        <v>184</v>
      </c>
      <c r="D9" s="3" t="s">
        <v>1213</v>
      </c>
      <c r="E9" s="3" t="s">
        <v>56</v>
      </c>
      <c r="F9" s="12" t="n">
        <v>255000</v>
      </c>
      <c r="G9" s="13" t="n">
        <v>0.75</v>
      </c>
      <c r="H9" s="13" t="n">
        <v>1.02</v>
      </c>
      <c r="I9" s="13" t="n">
        <v>0.8305</v>
      </c>
      <c r="J9" s="13" t="n">
        <v>0.53</v>
      </c>
      <c r="K9" s="12" t="n">
        <f aca="false">ROUND(F9/100*G9*H9*I9/J9,2)</f>
        <v>3056.79</v>
      </c>
      <c r="L9" s="12" t="n">
        <v>3056.79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3361</v>
      </c>
      <c r="B10" s="14" t="s">
        <v>3362</v>
      </c>
      <c r="C10" s="14" t="s">
        <v>85</v>
      </c>
      <c r="D10" s="14" t="s">
        <v>1555</v>
      </c>
      <c r="E10" s="14" t="s">
        <v>56</v>
      </c>
      <c r="F10" s="15" t="n">
        <v>445000</v>
      </c>
      <c r="G10" s="16" t="n">
        <v>0.75</v>
      </c>
      <c r="H10" s="16" t="n">
        <v>1.28</v>
      </c>
      <c r="I10" s="16" t="n">
        <v>0.8305</v>
      </c>
      <c r="J10" s="16" t="n">
        <v>0.53</v>
      </c>
      <c r="K10" s="15" t="n">
        <f aca="false">ROUND(F10/100*G10*H10*I10/J10,2)</f>
        <v>6694.14</v>
      </c>
      <c r="L10" s="15" t="n">
        <v>6694.15</v>
      </c>
      <c r="M10" s="15" t="n">
        <f aca="false">L10-K10</f>
        <v>0.00999999999930878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3363</v>
      </c>
      <c r="B11" s="3" t="s">
        <v>3364</v>
      </c>
      <c r="C11" s="3" t="s">
        <v>77</v>
      </c>
      <c r="D11" s="3" t="s">
        <v>1849</v>
      </c>
      <c r="E11" s="3" t="s">
        <v>56</v>
      </c>
      <c r="F11" s="12" t="n">
        <v>610000</v>
      </c>
      <c r="G11" s="13" t="n">
        <v>0.65</v>
      </c>
      <c r="H11" s="13" t="n">
        <v>1.42</v>
      </c>
      <c r="I11" s="13" t="n">
        <v>0.8305</v>
      </c>
      <c r="J11" s="13" t="n">
        <v>0.53</v>
      </c>
      <c r="K11" s="12" t="n">
        <f aca="false">ROUND(F11/100*G11*H11*I11/J11,2)</f>
        <v>8822.57</v>
      </c>
      <c r="L11" s="12" t="n">
        <v>8822.58</v>
      </c>
      <c r="M11" s="12" t="n">
        <f aca="false">L11-K11</f>
        <v>0.0100000000002183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3365</v>
      </c>
      <c r="B12" s="14" t="s">
        <v>3366</v>
      </c>
      <c r="C12" s="14" t="s">
        <v>230</v>
      </c>
      <c r="D12" s="14" t="s">
        <v>3367</v>
      </c>
      <c r="E12" s="14" t="s">
        <v>74</v>
      </c>
      <c r="F12" s="15" t="n">
        <v>280000</v>
      </c>
      <c r="G12" s="16" t="n">
        <v>0.48</v>
      </c>
      <c r="H12" s="16" t="n">
        <v>1.09</v>
      </c>
      <c r="I12" s="16" t="n">
        <v>0.8305</v>
      </c>
      <c r="J12" s="16" t="n">
        <v>0.53</v>
      </c>
      <c r="K12" s="15" t="n">
        <f aca="false">ROUND(F12/100*G12*H12*I12/J12,2)</f>
        <v>2295.56</v>
      </c>
      <c r="L12" s="15" t="n">
        <v>2295.57</v>
      </c>
      <c r="M12" s="15" t="n">
        <f aca="false">L12-K12</f>
        <v>0.0100000000002183</v>
      </c>
      <c r="N12" s="14" t="s">
        <v>70</v>
      </c>
      <c r="O12" s="14" t="s">
        <v>52</v>
      </c>
    </row>
    <row r="13" customFormat="false" ht="15" hidden="false" customHeight="false" outlineLevel="0" collapsed="false">
      <c r="A13" s="3" t="s">
        <v>3368</v>
      </c>
      <c r="B13" s="3" t="s">
        <v>3369</v>
      </c>
      <c r="C13" s="3" t="s">
        <v>169</v>
      </c>
      <c r="D13" s="3" t="s">
        <v>1806</v>
      </c>
      <c r="E13" s="3" t="s">
        <v>56</v>
      </c>
      <c r="F13" s="12" t="n">
        <v>205000</v>
      </c>
      <c r="G13" s="13" t="n">
        <v>0.92</v>
      </c>
      <c r="H13" s="13" t="n">
        <v>1.07</v>
      </c>
      <c r="I13" s="13" t="n">
        <v>0.8305</v>
      </c>
      <c r="J13" s="13" t="n">
        <v>0.53</v>
      </c>
      <c r="K13" s="12" t="n">
        <f aca="false">ROUND(F13/100*G13*H13*I13/J13,2)</f>
        <v>3162.2</v>
      </c>
      <c r="L13" s="12" t="n">
        <v>3162.2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3370</v>
      </c>
      <c r="B14" s="14" t="s">
        <v>3371</v>
      </c>
      <c r="C14" s="14" t="s">
        <v>93</v>
      </c>
      <c r="D14" s="14" t="s">
        <v>396</v>
      </c>
      <c r="E14" s="14" t="s">
        <v>56</v>
      </c>
      <c r="F14" s="15" t="n">
        <v>805000</v>
      </c>
      <c r="G14" s="16" t="n">
        <v>0.65</v>
      </c>
      <c r="H14" s="16" t="n">
        <v>1.39</v>
      </c>
      <c r="I14" s="16" t="n">
        <v>0.8305</v>
      </c>
      <c r="J14" s="16" t="n">
        <v>0.53</v>
      </c>
      <c r="K14" s="15" t="n">
        <f aca="false">ROUND(F14/100*G14*H14*I14/J14,2)</f>
        <v>11396.93</v>
      </c>
      <c r="L14" s="15" t="n">
        <v>11396.93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3372</v>
      </c>
      <c r="B15" s="3" t="s">
        <v>3373</v>
      </c>
      <c r="C15" s="3" t="s">
        <v>300</v>
      </c>
      <c r="D15" s="3" t="s">
        <v>3374</v>
      </c>
      <c r="E15" s="3" t="s">
        <v>50</v>
      </c>
      <c r="F15" s="12" t="n">
        <v>660000</v>
      </c>
      <c r="G15" s="13" t="n">
        <v>0.95</v>
      </c>
      <c r="H15" s="13" t="n">
        <v>1.11</v>
      </c>
      <c r="I15" s="13" t="n">
        <v>0.8305</v>
      </c>
      <c r="J15" s="13" t="n">
        <v>0.53</v>
      </c>
      <c r="K15" s="12" t="n">
        <f aca="false">ROUND(F15/100*G15*H15*I15/J15,2)</f>
        <v>10905.72</v>
      </c>
      <c r="L15" s="12" t="n">
        <v>10905.72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3372</v>
      </c>
      <c r="B16" s="14" t="s">
        <v>3375</v>
      </c>
      <c r="C16" s="14" t="s">
        <v>120</v>
      </c>
      <c r="D16" s="14" t="s">
        <v>1547</v>
      </c>
      <c r="E16" s="14" t="s">
        <v>56</v>
      </c>
      <c r="F16" s="15" t="n">
        <v>555000</v>
      </c>
      <c r="G16" s="16" t="n">
        <v>0.65</v>
      </c>
      <c r="H16" s="16" t="n">
        <v>1.15</v>
      </c>
      <c r="I16" s="16" t="n">
        <v>0.8305</v>
      </c>
      <c r="J16" s="16" t="n">
        <v>0.53</v>
      </c>
      <c r="K16" s="15" t="n">
        <f aca="false">ROUND(F16/100*G16*H16*I16/J16,2)</f>
        <v>6500.82</v>
      </c>
      <c r="L16" s="15" t="n">
        <v>6500.81</v>
      </c>
      <c r="M16" s="15" t="n">
        <f aca="false">L16-K16</f>
        <v>-0.00999999999930878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3359</v>
      </c>
      <c r="B17" s="3" t="s">
        <v>3376</v>
      </c>
      <c r="C17" s="3" t="s">
        <v>139</v>
      </c>
      <c r="D17" s="3" t="s">
        <v>1565</v>
      </c>
      <c r="E17" s="3" t="s">
        <v>50</v>
      </c>
      <c r="F17" s="12" t="n">
        <v>420000</v>
      </c>
      <c r="G17" s="13" t="n">
        <v>1.15</v>
      </c>
      <c r="H17" s="13" t="n">
        <v>1.23</v>
      </c>
      <c r="I17" s="13" t="n">
        <v>0.8305</v>
      </c>
      <c r="J17" s="13" t="n">
        <v>0.53</v>
      </c>
      <c r="K17" s="12" t="n">
        <f aca="false">ROUND(F17/100*G17*H17*I17/J17,2)</f>
        <v>9309.28</v>
      </c>
      <c r="L17" s="12" t="n">
        <v>9309.28</v>
      </c>
      <c r="M17" s="12" t="n">
        <f aca="false">L17-K17</f>
        <v>0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3363</v>
      </c>
      <c r="B18" s="14" t="s">
        <v>3377</v>
      </c>
      <c r="C18" s="14" t="s">
        <v>230</v>
      </c>
      <c r="D18" s="14" t="s">
        <v>798</v>
      </c>
      <c r="E18" s="14" t="s">
        <v>56</v>
      </c>
      <c r="F18" s="15" t="n">
        <v>590000</v>
      </c>
      <c r="G18" s="16" t="n">
        <v>0.65</v>
      </c>
      <c r="H18" s="16" t="n">
        <v>1.09</v>
      </c>
      <c r="I18" s="16" t="n">
        <v>0.8305</v>
      </c>
      <c r="J18" s="16" t="n">
        <v>0.53</v>
      </c>
      <c r="K18" s="15" t="n">
        <f aca="false">ROUND(F18/100*G18*H18*I18/J18,2)</f>
        <v>6550.22</v>
      </c>
      <c r="L18" s="15" t="n">
        <v>6550.22</v>
      </c>
      <c r="M18" s="15" t="n">
        <f aca="false">L18-K18</f>
        <v>0</v>
      </c>
      <c r="N18" s="14" t="s">
        <v>51</v>
      </c>
      <c r="O18" s="14" t="s">
        <v>52</v>
      </c>
    </row>
    <row r="19" customFormat="false" ht="15" hidden="false" customHeight="false" outlineLevel="0" collapsed="false">
      <c r="A19" s="3" t="s">
        <v>3378</v>
      </c>
      <c r="B19" s="3" t="s">
        <v>3379</v>
      </c>
      <c r="C19" s="3" t="s">
        <v>128</v>
      </c>
      <c r="D19" s="3" t="s">
        <v>2218</v>
      </c>
      <c r="E19" s="3" t="s">
        <v>56</v>
      </c>
      <c r="F19" s="12" t="n">
        <v>315000</v>
      </c>
      <c r="G19" s="13" t="n">
        <v>0.75</v>
      </c>
      <c r="H19" s="13" t="n">
        <v>1.25</v>
      </c>
      <c r="I19" s="13" t="n">
        <v>0.8305</v>
      </c>
      <c r="J19" s="13" t="n">
        <v>0.53</v>
      </c>
      <c r="K19" s="12" t="n">
        <f aca="false">ROUND(F19/100*G19*H19*I19/J19,2)</f>
        <v>4627.49</v>
      </c>
      <c r="L19" s="12" t="n">
        <v>4627.49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3380</v>
      </c>
      <c r="B20" s="14" t="s">
        <v>3381</v>
      </c>
      <c r="C20" s="14" t="s">
        <v>117</v>
      </c>
      <c r="D20" s="14" t="s">
        <v>3382</v>
      </c>
      <c r="E20" s="14" t="s">
        <v>50</v>
      </c>
      <c r="F20" s="15" t="n">
        <v>490000</v>
      </c>
      <c r="G20" s="16" t="n">
        <v>1.15</v>
      </c>
      <c r="H20" s="16" t="n">
        <v>0.91</v>
      </c>
      <c r="I20" s="16" t="n">
        <v>0.8305</v>
      </c>
      <c r="J20" s="16" t="n">
        <v>0.53</v>
      </c>
      <c r="K20" s="15" t="n">
        <f aca="false">ROUND(F20/100*G20*H20*I20/J20,2)</f>
        <v>8035.24</v>
      </c>
      <c r="L20" s="15" t="n">
        <v>8035.25</v>
      </c>
      <c r="M20" s="15" t="n">
        <f aca="false">L20-K20</f>
        <v>0.0100000000002183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3370</v>
      </c>
      <c r="B21" s="3" t="s">
        <v>3383</v>
      </c>
      <c r="C21" s="3" t="s">
        <v>184</v>
      </c>
      <c r="D21" s="3" t="s">
        <v>1007</v>
      </c>
      <c r="E21" s="3" t="s">
        <v>50</v>
      </c>
      <c r="F21" s="12" t="n">
        <v>1950000</v>
      </c>
      <c r="G21" s="13" t="n">
        <v>0.8</v>
      </c>
      <c r="H21" s="13" t="n">
        <v>1.02</v>
      </c>
      <c r="I21" s="13" t="n">
        <v>0.8305</v>
      </c>
      <c r="J21" s="13" t="n">
        <v>0.53</v>
      </c>
      <c r="K21" s="12" t="n">
        <f aca="false">ROUND(F21/100*G21*H21*I21/J21,2)</f>
        <v>24933.8</v>
      </c>
      <c r="L21" s="12" t="n">
        <v>24933.8</v>
      </c>
      <c r="M21" s="12" t="n">
        <f aca="false">L21-K21</f>
        <v>0</v>
      </c>
      <c r="N21" s="3" t="s">
        <v>51</v>
      </c>
      <c r="O21" s="3" t="s">
        <v>52</v>
      </c>
    </row>
    <row r="22" customFormat="false" ht="15" hidden="false" customHeight="false" outlineLevel="0" collapsed="false">
      <c r="A22" s="14" t="s">
        <v>3384</v>
      </c>
      <c r="B22" s="14" t="s">
        <v>3385</v>
      </c>
      <c r="C22" s="14" t="s">
        <v>77</v>
      </c>
      <c r="D22" s="14" t="s">
        <v>1217</v>
      </c>
      <c r="E22" s="14" t="s">
        <v>56</v>
      </c>
      <c r="F22" s="15" t="n">
        <v>1040000</v>
      </c>
      <c r="G22" s="16" t="n">
        <v>0.55</v>
      </c>
      <c r="H22" s="16" t="n">
        <v>1.42</v>
      </c>
      <c r="I22" s="16" t="n">
        <v>0.8305</v>
      </c>
      <c r="J22" s="16" t="n">
        <v>0.53</v>
      </c>
      <c r="K22" s="15" t="n">
        <f aca="false">ROUND(F22/100*G22*H22*I22/J22,2)</f>
        <v>12727.65</v>
      </c>
      <c r="L22" s="15" t="n">
        <v>12727.65</v>
      </c>
      <c r="M22" s="15" t="n">
        <f aca="false">L22-K22</f>
        <v>0</v>
      </c>
      <c r="N22" s="14" t="s">
        <v>51</v>
      </c>
      <c r="O22" s="14" t="s">
        <v>52</v>
      </c>
    </row>
    <row r="23" customFormat="false" ht="15" hidden="false" customHeight="false" outlineLevel="0" collapsed="false">
      <c r="A23" s="3" t="s">
        <v>3359</v>
      </c>
      <c r="B23" s="3" t="s">
        <v>3386</v>
      </c>
      <c r="C23" s="3" t="s">
        <v>131</v>
      </c>
      <c r="D23" s="3" t="s">
        <v>572</v>
      </c>
      <c r="E23" s="3" t="s">
        <v>56</v>
      </c>
      <c r="F23" s="12" t="n">
        <v>1115000</v>
      </c>
      <c r="G23" s="13" t="n">
        <v>0.55</v>
      </c>
      <c r="H23" s="13" t="n">
        <v>0.95</v>
      </c>
      <c r="I23" s="13" t="n">
        <v>0.8305</v>
      </c>
      <c r="J23" s="13" t="n">
        <v>0.53</v>
      </c>
      <c r="K23" s="12" t="n">
        <f aca="false">ROUND(F23/100*G23*H23*I23/J23,2)</f>
        <v>9129.04</v>
      </c>
      <c r="L23" s="12" t="n">
        <v>9129.04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3378</v>
      </c>
      <c r="B24" s="14" t="s">
        <v>3387</v>
      </c>
      <c r="C24" s="14" t="s">
        <v>435</v>
      </c>
      <c r="D24" s="14" t="s">
        <v>364</v>
      </c>
      <c r="E24" s="14" t="s">
        <v>56</v>
      </c>
      <c r="F24" s="15" t="n">
        <v>400000</v>
      </c>
      <c r="G24" s="16" t="n">
        <v>0.75</v>
      </c>
      <c r="H24" s="16" t="n">
        <v>1.13</v>
      </c>
      <c r="I24" s="16" t="n">
        <v>0.8305</v>
      </c>
      <c r="J24" s="16" t="n">
        <v>0.53</v>
      </c>
      <c r="K24" s="15" t="n">
        <f aca="false">ROUND(F24/100*G24*H24*I24/J24,2)</f>
        <v>5312.07</v>
      </c>
      <c r="L24" s="15" t="n">
        <v>5312.07</v>
      </c>
      <c r="M24" s="15" t="n">
        <f aca="false">L24-K24</f>
        <v>0</v>
      </c>
      <c r="N24" s="14" t="s">
        <v>51</v>
      </c>
      <c r="O24" s="14" t="s">
        <v>52</v>
      </c>
    </row>
    <row r="25" customFormat="false" ht="15" hidden="false" customHeight="false" outlineLevel="0" collapsed="false">
      <c r="A25" s="3" t="s">
        <v>3388</v>
      </c>
      <c r="B25" s="3" t="s">
        <v>3389</v>
      </c>
      <c r="C25" s="3" t="s">
        <v>139</v>
      </c>
      <c r="D25" s="3" t="s">
        <v>3390</v>
      </c>
      <c r="E25" s="3" t="s">
        <v>50</v>
      </c>
      <c r="F25" s="12" t="n">
        <v>650000</v>
      </c>
      <c r="G25" s="13" t="n">
        <v>0.95</v>
      </c>
      <c r="H25" s="13" t="n">
        <v>1.23</v>
      </c>
      <c r="I25" s="13" t="n">
        <v>0.8305</v>
      </c>
      <c r="J25" s="13" t="n">
        <v>0.53</v>
      </c>
      <c r="K25" s="12" t="n">
        <f aca="false">ROUND(F25/100*G25*H25*I25/J25,2)</f>
        <v>11901.61</v>
      </c>
      <c r="L25" s="12" t="n">
        <v>11901.61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3391</v>
      </c>
      <c r="B26" s="14" t="s">
        <v>3392</v>
      </c>
      <c r="C26" s="14" t="s">
        <v>48</v>
      </c>
      <c r="D26" s="14" t="s">
        <v>1710</v>
      </c>
      <c r="E26" s="14" t="s">
        <v>74</v>
      </c>
      <c r="F26" s="15" t="n">
        <v>480000</v>
      </c>
      <c r="G26" s="16" t="n">
        <v>0.48</v>
      </c>
      <c r="H26" s="16" t="n">
        <v>1.28</v>
      </c>
      <c r="I26" s="16" t="n">
        <v>0.8305</v>
      </c>
      <c r="J26" s="16" t="n">
        <v>0.53</v>
      </c>
      <c r="K26" s="15" t="n">
        <f aca="false">ROUND(F26/100*G26*H26*I26/J26,2)</f>
        <v>4621.22</v>
      </c>
      <c r="L26" s="15" t="n">
        <v>4621.22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3393</v>
      </c>
      <c r="B27" s="3" t="s">
        <v>3394</v>
      </c>
      <c r="C27" s="3" t="s">
        <v>159</v>
      </c>
      <c r="D27" s="3" t="s">
        <v>1028</v>
      </c>
      <c r="E27" s="3" t="s">
        <v>50</v>
      </c>
      <c r="F27" s="12" t="n">
        <v>1475000</v>
      </c>
      <c r="G27" s="13" t="n">
        <v>0.8</v>
      </c>
      <c r="H27" s="13" t="n">
        <v>1.15</v>
      </c>
      <c r="I27" s="13" t="n">
        <v>0.8305</v>
      </c>
      <c r="J27" s="13" t="n">
        <v>0.53</v>
      </c>
      <c r="K27" s="12" t="n">
        <f aca="false">ROUND(F27/100*G27*H27*I27/J27,2)</f>
        <v>21263.93</v>
      </c>
      <c r="L27" s="12" t="n">
        <v>21263.93</v>
      </c>
      <c r="M27" s="12" t="n">
        <f aca="false">L27-K27</f>
        <v>0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3378</v>
      </c>
      <c r="B28" s="14" t="s">
        <v>3395</v>
      </c>
      <c r="C28" s="14" t="s">
        <v>417</v>
      </c>
      <c r="D28" s="14" t="s">
        <v>3396</v>
      </c>
      <c r="E28" s="14" t="s">
        <v>157</v>
      </c>
      <c r="F28" s="15" t="n">
        <v>1060000</v>
      </c>
      <c r="G28" s="16" t="n">
        <v>0.68</v>
      </c>
      <c r="H28" s="16" t="n">
        <v>1.24</v>
      </c>
      <c r="I28" s="16" t="n">
        <v>0.8305</v>
      </c>
      <c r="J28" s="16" t="n">
        <v>0.53</v>
      </c>
      <c r="K28" s="15" t="n">
        <f aca="false">ROUND(F28/100*G28*H28*I28/J28,2)</f>
        <v>14005.55</v>
      </c>
      <c r="L28" s="15" t="n">
        <v>14005.55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3351</v>
      </c>
      <c r="B29" s="3" t="s">
        <v>3397</v>
      </c>
      <c r="C29" s="3" t="s">
        <v>184</v>
      </c>
      <c r="D29" s="3" t="s">
        <v>3398</v>
      </c>
      <c r="E29" s="3" t="s">
        <v>56</v>
      </c>
      <c r="F29" s="12" t="n">
        <v>535000</v>
      </c>
      <c r="G29" s="13" t="n">
        <v>0.65</v>
      </c>
      <c r="H29" s="13" t="n">
        <v>1.02</v>
      </c>
      <c r="I29" s="13" t="n">
        <v>0.8305</v>
      </c>
      <c r="J29" s="13" t="n">
        <v>0.53</v>
      </c>
      <c r="K29" s="12" t="n">
        <f aca="false">ROUND(F29/100*G29*H29*I29/J29,2)</f>
        <v>5558.16</v>
      </c>
      <c r="L29" s="12" t="n">
        <v>5558.16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3388</v>
      </c>
      <c r="B30" s="14" t="s">
        <v>3399</v>
      </c>
      <c r="C30" s="14" t="s">
        <v>174</v>
      </c>
      <c r="D30" s="14" t="s">
        <v>3382</v>
      </c>
      <c r="E30" s="14" t="s">
        <v>50</v>
      </c>
      <c r="F30" s="15" t="n">
        <v>1950000</v>
      </c>
      <c r="G30" s="16" t="n">
        <v>0.8</v>
      </c>
      <c r="H30" s="16" t="n">
        <v>1.55</v>
      </c>
      <c r="I30" s="16" t="n">
        <v>0.8305</v>
      </c>
      <c r="J30" s="16" t="n">
        <v>0.53</v>
      </c>
      <c r="K30" s="15" t="n">
        <f aca="false">ROUND(F30/100*G30*H30*I30/J30,2)</f>
        <v>37889.6</v>
      </c>
      <c r="L30" s="15" t="n">
        <v>37889.6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3378</v>
      </c>
      <c r="B31" s="3" t="s">
        <v>3400</v>
      </c>
      <c r="C31" s="3" t="s">
        <v>48</v>
      </c>
      <c r="D31" s="3" t="s">
        <v>509</v>
      </c>
      <c r="E31" s="3" t="s">
        <v>74</v>
      </c>
      <c r="F31" s="12" t="n">
        <v>775000</v>
      </c>
      <c r="G31" s="13" t="n">
        <v>0.43</v>
      </c>
      <c r="H31" s="13" t="n">
        <v>1.28</v>
      </c>
      <c r="I31" s="13" t="n">
        <v>0.8305</v>
      </c>
      <c r="J31" s="13" t="n">
        <v>0.53</v>
      </c>
      <c r="K31" s="12" t="n">
        <f aca="false">ROUND(F31/100*G31*H31*I31/J31,2)</f>
        <v>6684.11</v>
      </c>
      <c r="L31" s="12" t="n">
        <v>6684.11</v>
      </c>
      <c r="M31" s="12" t="n">
        <f aca="false">L31-K31</f>
        <v>0</v>
      </c>
      <c r="N31" s="3" t="s">
        <v>70</v>
      </c>
      <c r="O31" s="3" t="s">
        <v>52</v>
      </c>
    </row>
    <row r="32" customFormat="false" ht="15" hidden="false" customHeight="false" outlineLevel="0" collapsed="false">
      <c r="A32" s="14" t="s">
        <v>3401</v>
      </c>
      <c r="B32" s="14" t="s">
        <v>3402</v>
      </c>
      <c r="C32" s="14" t="s">
        <v>224</v>
      </c>
      <c r="D32" s="14" t="s">
        <v>2832</v>
      </c>
      <c r="E32" s="14" t="s">
        <v>50</v>
      </c>
      <c r="F32" s="15" t="n">
        <v>940000</v>
      </c>
      <c r="G32" s="16" t="n">
        <v>0.95</v>
      </c>
      <c r="H32" s="16" t="n">
        <v>1.1</v>
      </c>
      <c r="I32" s="16" t="n">
        <v>0.8305</v>
      </c>
      <c r="J32" s="16" t="n">
        <v>0.53</v>
      </c>
      <c r="K32" s="15" t="n">
        <f aca="false">ROUND(F32/100*G32*H32*I32/J32,2)</f>
        <v>15392.46</v>
      </c>
      <c r="L32" s="15" t="n">
        <v>15392.45</v>
      </c>
      <c r="M32" s="15" t="n">
        <f aca="false">L32-K32</f>
        <v>-0.00999999999839929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3370</v>
      </c>
      <c r="B33" s="3" t="s">
        <v>3403</v>
      </c>
      <c r="C33" s="3" t="s">
        <v>108</v>
      </c>
      <c r="D33" s="3" t="s">
        <v>2204</v>
      </c>
      <c r="E33" s="3" t="s">
        <v>50</v>
      </c>
      <c r="F33" s="12" t="n">
        <v>900000</v>
      </c>
      <c r="G33" s="13" t="n">
        <v>0.95</v>
      </c>
      <c r="H33" s="13" t="n">
        <v>0.93</v>
      </c>
      <c r="I33" s="13" t="n">
        <v>0.8305</v>
      </c>
      <c r="J33" s="13" t="n">
        <v>0.53</v>
      </c>
      <c r="K33" s="12" t="n">
        <f aca="false">ROUND(F33/100*G33*H33*I33/J33,2)</f>
        <v>12459.85</v>
      </c>
      <c r="L33" s="12" t="n">
        <v>12459.85</v>
      </c>
      <c r="M33" s="12" t="n">
        <f aca="false">L33-K33</f>
        <v>0</v>
      </c>
      <c r="N33" s="3" t="s">
        <v>51</v>
      </c>
      <c r="O33" s="3" t="s">
        <v>52</v>
      </c>
    </row>
    <row r="34" customFormat="false" ht="15" hidden="false" customHeight="false" outlineLevel="0" collapsed="false">
      <c r="A34" s="14" t="s">
        <v>3404</v>
      </c>
      <c r="B34" s="14" t="s">
        <v>3405</v>
      </c>
      <c r="C34" s="14" t="s">
        <v>210</v>
      </c>
      <c r="D34" s="14" t="s">
        <v>730</v>
      </c>
      <c r="E34" s="14" t="s">
        <v>56</v>
      </c>
      <c r="F34" s="15" t="n">
        <v>260000</v>
      </c>
      <c r="G34" s="16" t="n">
        <v>0.75</v>
      </c>
      <c r="H34" s="16" t="n">
        <v>1.21</v>
      </c>
      <c r="I34" s="16" t="n">
        <v>0.8305</v>
      </c>
      <c r="J34" s="16" t="n">
        <v>0.53</v>
      </c>
      <c r="K34" s="15" t="n">
        <f aca="false">ROUND(F34/100*G34*H34*I34/J34,2)</f>
        <v>3697.29</v>
      </c>
      <c r="L34" s="15" t="n">
        <v>3697.29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3406</v>
      </c>
      <c r="B35" s="3" t="s">
        <v>3407</v>
      </c>
      <c r="C35" s="3" t="s">
        <v>136</v>
      </c>
      <c r="D35" s="3" t="s">
        <v>231</v>
      </c>
      <c r="E35" s="3" t="s">
        <v>56</v>
      </c>
      <c r="F35" s="12" t="n">
        <v>715000</v>
      </c>
      <c r="G35" s="13" t="n">
        <v>0.65</v>
      </c>
      <c r="H35" s="13" t="n">
        <v>1.32</v>
      </c>
      <c r="I35" s="13" t="n">
        <v>0.8305</v>
      </c>
      <c r="J35" s="13" t="n">
        <v>0.53</v>
      </c>
      <c r="K35" s="12" t="n">
        <f aca="false">ROUND(F35/100*G35*H35*I35/J35,2)</f>
        <v>9612.96</v>
      </c>
      <c r="L35" s="12" t="n">
        <v>9612.96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3408</v>
      </c>
      <c r="B36" s="14" t="s">
        <v>3409</v>
      </c>
      <c r="C36" s="14" t="s">
        <v>108</v>
      </c>
      <c r="D36" s="14" t="s">
        <v>1618</v>
      </c>
      <c r="E36" s="14" t="s">
        <v>56</v>
      </c>
      <c r="F36" s="15" t="n">
        <v>1120000</v>
      </c>
      <c r="G36" s="16" t="n">
        <v>0.55</v>
      </c>
      <c r="H36" s="16" t="n">
        <v>0.93</v>
      </c>
      <c r="I36" s="16" t="n">
        <v>0.8305</v>
      </c>
      <c r="J36" s="16" t="n">
        <v>0.53</v>
      </c>
      <c r="K36" s="15" t="n">
        <f aca="false">ROUND(F36/100*G36*H36*I36/J36,2)</f>
        <v>8976.92</v>
      </c>
      <c r="L36" s="15" t="n">
        <v>8976.92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3368</v>
      </c>
      <c r="B37" s="3" t="s">
        <v>3410</v>
      </c>
      <c r="C37" s="3" t="s">
        <v>89</v>
      </c>
      <c r="D37" s="3" t="s">
        <v>1762</v>
      </c>
      <c r="E37" s="3" t="s">
        <v>50</v>
      </c>
      <c r="F37" s="12" t="n">
        <v>1055000</v>
      </c>
      <c r="G37" s="13" t="n">
        <v>0.8</v>
      </c>
      <c r="H37" s="13" t="n">
        <v>1.35</v>
      </c>
      <c r="I37" s="13" t="n">
        <v>0.8305</v>
      </c>
      <c r="J37" s="13" t="n">
        <v>0.53</v>
      </c>
      <c r="K37" s="12" t="n">
        <f aca="false">ROUND(F37/100*G37*H37*I37/J37,2)</f>
        <v>17854.18</v>
      </c>
      <c r="L37" s="12" t="n">
        <v>17854.18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3411</v>
      </c>
      <c r="B38" s="14" t="s">
        <v>3412</v>
      </c>
      <c r="C38" s="14" t="s">
        <v>305</v>
      </c>
      <c r="D38" s="14" t="s">
        <v>3413</v>
      </c>
      <c r="E38" s="14" t="s">
        <v>133</v>
      </c>
      <c r="F38" s="15" t="n">
        <v>805000</v>
      </c>
      <c r="G38" s="16" t="n">
        <v>0.38</v>
      </c>
      <c r="H38" s="16" t="n">
        <v>1.12</v>
      </c>
      <c r="I38" s="16" t="n">
        <v>0.8305</v>
      </c>
      <c r="J38" s="16" t="n">
        <v>0.53</v>
      </c>
      <c r="K38" s="15" t="n">
        <f aca="false">ROUND(F38/100*G38*H38*I38/J38,2)</f>
        <v>5368.6</v>
      </c>
      <c r="L38" s="15" t="n">
        <v>5368.6</v>
      </c>
      <c r="M38" s="15" t="n">
        <f aca="false">L38-K38</f>
        <v>0</v>
      </c>
      <c r="N38" s="14" t="s">
        <v>70</v>
      </c>
      <c r="O38" s="14" t="s">
        <v>52</v>
      </c>
    </row>
    <row r="39" customFormat="false" ht="15" hidden="false" customHeight="false" outlineLevel="0" collapsed="false">
      <c r="A39" s="3" t="s">
        <v>3368</v>
      </c>
      <c r="B39" s="3" t="s">
        <v>3414</v>
      </c>
      <c r="C39" s="3" t="s">
        <v>89</v>
      </c>
      <c r="D39" s="3" t="s">
        <v>1547</v>
      </c>
      <c r="E39" s="3" t="s">
        <v>56</v>
      </c>
      <c r="F39" s="12" t="n">
        <v>775000</v>
      </c>
      <c r="G39" s="13" t="n">
        <v>0.65</v>
      </c>
      <c r="H39" s="13" t="n">
        <v>1.35</v>
      </c>
      <c r="I39" s="13" t="n">
        <v>0.8305</v>
      </c>
      <c r="J39" s="13" t="n">
        <v>0.53</v>
      </c>
      <c r="K39" s="12" t="n">
        <f aca="false">ROUND(F39/100*G39*H39*I39/J39,2)</f>
        <v>10656.45</v>
      </c>
      <c r="L39" s="12" t="n">
        <v>10656.45</v>
      </c>
      <c r="M39" s="12" t="n">
        <f aca="false">L39-K39</f>
        <v>0</v>
      </c>
      <c r="N39" s="3" t="s">
        <v>51</v>
      </c>
      <c r="O39" s="3" t="s">
        <v>52</v>
      </c>
    </row>
    <row r="40" customFormat="false" ht="15" hidden="false" customHeight="false" outlineLevel="0" collapsed="false">
      <c r="A40" s="14" t="s">
        <v>3391</v>
      </c>
      <c r="B40" s="14" t="s">
        <v>3415</v>
      </c>
      <c r="C40" s="14" t="s">
        <v>159</v>
      </c>
      <c r="D40" s="14" t="s">
        <v>2245</v>
      </c>
      <c r="E40" s="14" t="s">
        <v>50</v>
      </c>
      <c r="F40" s="15" t="n">
        <v>640000</v>
      </c>
      <c r="G40" s="16" t="n">
        <v>0.95</v>
      </c>
      <c r="H40" s="16" t="n">
        <v>1.15</v>
      </c>
      <c r="I40" s="16" t="n">
        <v>0.8305</v>
      </c>
      <c r="J40" s="16" t="n">
        <v>0.53</v>
      </c>
      <c r="K40" s="15" t="n">
        <f aca="false">ROUND(F40/100*G40*H40*I40/J40,2)</f>
        <v>10956.33</v>
      </c>
      <c r="L40" s="15" t="n">
        <v>10956.33</v>
      </c>
      <c r="M40" s="15" t="n">
        <f aca="false">L40-K40</f>
        <v>0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3416</v>
      </c>
      <c r="B41" s="3" t="s">
        <v>3417</v>
      </c>
      <c r="C41" s="3" t="s">
        <v>85</v>
      </c>
      <c r="D41" s="3" t="s">
        <v>527</v>
      </c>
      <c r="E41" s="3" t="s">
        <v>56</v>
      </c>
      <c r="F41" s="12" t="n">
        <v>650000</v>
      </c>
      <c r="G41" s="13" t="n">
        <v>0.65</v>
      </c>
      <c r="H41" s="13" t="n">
        <v>1.28</v>
      </c>
      <c r="I41" s="13" t="n">
        <v>0.8305</v>
      </c>
      <c r="J41" s="13" t="n">
        <v>0.53</v>
      </c>
      <c r="K41" s="12" t="n">
        <f aca="false">ROUND(F41/100*G41*H41*I41/J41,2)</f>
        <v>8474.23</v>
      </c>
      <c r="L41" s="12" t="n">
        <v>8474.23</v>
      </c>
      <c r="M41" s="12" t="n">
        <f aca="false">L41-K41</f>
        <v>0</v>
      </c>
      <c r="N41" s="3" t="s">
        <v>51</v>
      </c>
      <c r="O41" s="3" t="s">
        <v>52</v>
      </c>
    </row>
    <row r="42" customFormat="false" ht="15" hidden="false" customHeight="false" outlineLevel="0" collapsed="false">
      <c r="A42" s="14" t="s">
        <v>3361</v>
      </c>
      <c r="B42" s="14" t="s">
        <v>3418</v>
      </c>
      <c r="C42" s="14" t="s">
        <v>887</v>
      </c>
      <c r="D42" s="14" t="s">
        <v>3216</v>
      </c>
      <c r="E42" s="14" t="s">
        <v>50</v>
      </c>
      <c r="F42" s="15" t="n">
        <v>1950000</v>
      </c>
      <c r="G42" s="16" t="n">
        <v>0.8</v>
      </c>
      <c r="H42" s="16" t="n">
        <v>1.37</v>
      </c>
      <c r="I42" s="16" t="n">
        <v>0.8305</v>
      </c>
      <c r="J42" s="16" t="n">
        <v>0.53</v>
      </c>
      <c r="K42" s="15" t="n">
        <f aca="false">ROUND(F42/100*G42*H42*I42/J42,2)</f>
        <v>33489.52</v>
      </c>
      <c r="L42" s="15" t="n">
        <v>33489.52</v>
      </c>
      <c r="M42" s="15" t="n">
        <f aca="false">L42-K42</f>
        <v>0</v>
      </c>
      <c r="N42" s="14" t="s">
        <v>70</v>
      </c>
      <c r="O42" s="14" t="s">
        <v>52</v>
      </c>
    </row>
    <row r="43" customFormat="false" ht="15" hidden="false" customHeight="false" outlineLevel="0" collapsed="false">
      <c r="A43" s="3" t="s">
        <v>3404</v>
      </c>
      <c r="B43" s="3" t="s">
        <v>3419</v>
      </c>
      <c r="C43" s="3" t="s">
        <v>48</v>
      </c>
      <c r="D43" s="3" t="s">
        <v>3420</v>
      </c>
      <c r="E43" s="3" t="s">
        <v>157</v>
      </c>
      <c r="F43" s="12" t="n">
        <v>1605000</v>
      </c>
      <c r="G43" s="13" t="n">
        <v>0.68</v>
      </c>
      <c r="H43" s="13" t="n">
        <v>1.28</v>
      </c>
      <c r="I43" s="13" t="n">
        <v>0.8305</v>
      </c>
      <c r="J43" s="13" t="n">
        <v>0.53</v>
      </c>
      <c r="K43" s="12" t="n">
        <f aca="false">ROUND(F43/100*G43*H43*I43/J43,2)</f>
        <v>21890.6</v>
      </c>
      <c r="L43" s="12" t="n">
        <v>21890.6</v>
      </c>
      <c r="M43" s="12" t="n">
        <f aca="false">L43-K43</f>
        <v>0</v>
      </c>
      <c r="N43" s="3" t="s">
        <v>51</v>
      </c>
      <c r="O43" s="3" t="s">
        <v>52</v>
      </c>
    </row>
    <row r="44" customFormat="false" ht="15" hidden="false" customHeight="false" outlineLevel="0" collapsed="false">
      <c r="A44" s="14" t="s">
        <v>3421</v>
      </c>
      <c r="B44" s="14" t="s">
        <v>3422</v>
      </c>
      <c r="C44" s="14" t="s">
        <v>93</v>
      </c>
      <c r="D44" s="14" t="s">
        <v>1922</v>
      </c>
      <c r="E44" s="14" t="s">
        <v>56</v>
      </c>
      <c r="F44" s="15" t="n">
        <v>310000</v>
      </c>
      <c r="G44" s="16" t="n">
        <v>0.75</v>
      </c>
      <c r="H44" s="16" t="n">
        <v>1.39</v>
      </c>
      <c r="I44" s="16" t="n">
        <v>0.8305</v>
      </c>
      <c r="J44" s="16" t="n">
        <v>0.53</v>
      </c>
      <c r="K44" s="15" t="n">
        <f aca="false">ROUND(F44/100*G44*H44*I44/J44,2)</f>
        <v>5064.09</v>
      </c>
      <c r="L44" s="15" t="n">
        <v>5064.09</v>
      </c>
      <c r="M44" s="15" t="n">
        <f aca="false">L44-K44</f>
        <v>0</v>
      </c>
      <c r="N44" s="14" t="s">
        <v>51</v>
      </c>
      <c r="O44" s="14" t="s">
        <v>52</v>
      </c>
    </row>
    <row r="45" customFormat="false" ht="15" hidden="false" customHeight="false" outlineLevel="0" collapsed="false">
      <c r="A45" s="3" t="s">
        <v>3423</v>
      </c>
      <c r="B45" s="3" t="s">
        <v>3424</v>
      </c>
      <c r="C45" s="3" t="s">
        <v>77</v>
      </c>
      <c r="D45" s="3" t="s">
        <v>511</v>
      </c>
      <c r="E45" s="3" t="s">
        <v>56</v>
      </c>
      <c r="F45" s="12" t="n">
        <v>595000</v>
      </c>
      <c r="G45" s="13" t="n">
        <v>0.65</v>
      </c>
      <c r="H45" s="13" t="n">
        <v>1.42</v>
      </c>
      <c r="I45" s="13" t="n">
        <v>0.8305</v>
      </c>
      <c r="J45" s="13" t="n">
        <v>0.53</v>
      </c>
      <c r="K45" s="12" t="n">
        <f aca="false">ROUND(F45/100*G45*H45*I45/J45,2)</f>
        <v>8605.63</v>
      </c>
      <c r="L45" s="12" t="n">
        <v>8605.62</v>
      </c>
      <c r="M45" s="12" t="n">
        <f aca="false">L45-K45</f>
        <v>-0.00999999999839929</v>
      </c>
      <c r="N45" s="3" t="s">
        <v>70</v>
      </c>
      <c r="O45" s="3" t="s">
        <v>52</v>
      </c>
    </row>
    <row r="46" customFormat="false" ht="15" hidden="false" customHeight="false" outlineLevel="0" collapsed="false">
      <c r="A46" s="14" t="s">
        <v>3425</v>
      </c>
      <c r="B46" s="14" t="s">
        <v>3426</v>
      </c>
      <c r="C46" s="14" t="s">
        <v>152</v>
      </c>
      <c r="D46" s="14" t="s">
        <v>3427</v>
      </c>
      <c r="E46" s="14" t="s">
        <v>133</v>
      </c>
      <c r="F46" s="15" t="n">
        <v>385000</v>
      </c>
      <c r="G46" s="16" t="n">
        <v>0.42</v>
      </c>
      <c r="H46" s="16" t="n">
        <v>1</v>
      </c>
      <c r="I46" s="16" t="n">
        <v>0.8305</v>
      </c>
      <c r="J46" s="16" t="n">
        <v>0.53</v>
      </c>
      <c r="K46" s="15" t="n">
        <f aca="false">ROUND(F46/100*G46*H46*I46/J46,2)</f>
        <v>2533.81</v>
      </c>
      <c r="L46" s="15" t="n">
        <v>2533.81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3353</v>
      </c>
      <c r="B47" s="3" t="s">
        <v>3428</v>
      </c>
      <c r="C47" s="3" t="s">
        <v>145</v>
      </c>
      <c r="D47" s="3" t="s">
        <v>1414</v>
      </c>
      <c r="E47" s="3" t="s">
        <v>56</v>
      </c>
      <c r="F47" s="12" t="n">
        <v>460000</v>
      </c>
      <c r="G47" s="13" t="n">
        <v>0.75</v>
      </c>
      <c r="H47" s="13" t="n">
        <v>0.96</v>
      </c>
      <c r="I47" s="13" t="n">
        <v>0.8305</v>
      </c>
      <c r="J47" s="13" t="n">
        <v>0.53</v>
      </c>
      <c r="K47" s="12" t="n">
        <f aca="false">ROUND(F47/100*G47*H47*I47/J47,2)</f>
        <v>5189.84</v>
      </c>
      <c r="L47" s="12" t="n">
        <v>5189.84</v>
      </c>
      <c r="M47" s="12" t="n">
        <f aca="false">L47-K47</f>
        <v>0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3351</v>
      </c>
      <c r="B48" s="14" t="s">
        <v>3429</v>
      </c>
      <c r="C48" s="14" t="s">
        <v>68</v>
      </c>
      <c r="D48" s="14" t="s">
        <v>1700</v>
      </c>
      <c r="E48" s="14" t="s">
        <v>56</v>
      </c>
      <c r="F48" s="15" t="n">
        <v>645000</v>
      </c>
      <c r="G48" s="16" t="n">
        <v>0.65</v>
      </c>
      <c r="H48" s="16" t="n">
        <v>1.38</v>
      </c>
      <c r="I48" s="16" t="n">
        <v>0.8305</v>
      </c>
      <c r="J48" s="16" t="n">
        <v>0.53</v>
      </c>
      <c r="K48" s="15" t="n">
        <f aca="false">ROUND(F48/100*G48*H48*I48/J48,2)</f>
        <v>9066</v>
      </c>
      <c r="L48" s="15" t="n">
        <v>9066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3355</v>
      </c>
      <c r="B49" s="3" t="s">
        <v>3430</v>
      </c>
      <c r="C49" s="3" t="s">
        <v>243</v>
      </c>
      <c r="D49" s="3" t="s">
        <v>2700</v>
      </c>
      <c r="E49" s="3" t="s">
        <v>56</v>
      </c>
      <c r="F49" s="12" t="n">
        <v>995000</v>
      </c>
      <c r="G49" s="13" t="n">
        <v>0.65</v>
      </c>
      <c r="H49" s="13" t="n">
        <v>1.14</v>
      </c>
      <c r="I49" s="13" t="n">
        <v>0.8305</v>
      </c>
      <c r="J49" s="13" t="n">
        <v>0.53</v>
      </c>
      <c r="K49" s="12" t="n">
        <f aca="false">ROUND(F49/100*G49*H49*I49/J49,2)</f>
        <v>11553.27</v>
      </c>
      <c r="L49" s="12" t="n">
        <v>11553.28</v>
      </c>
      <c r="M49" s="12" t="n">
        <f aca="false">L49-K49</f>
        <v>0.0100000000002183</v>
      </c>
      <c r="N49" s="3" t="s">
        <v>51</v>
      </c>
      <c r="O49" s="3" t="s">
        <v>52</v>
      </c>
    </row>
    <row r="50" customFormat="false" ht="15" hidden="false" customHeight="false" outlineLevel="0" collapsed="false">
      <c r="A50" s="14" t="s">
        <v>3361</v>
      </c>
      <c r="B50" s="14" t="s">
        <v>3431</v>
      </c>
      <c r="C50" s="14" t="s">
        <v>145</v>
      </c>
      <c r="D50" s="14" t="s">
        <v>1442</v>
      </c>
      <c r="E50" s="14" t="s">
        <v>50</v>
      </c>
      <c r="F50" s="15" t="n">
        <v>1205000</v>
      </c>
      <c r="G50" s="16" t="n">
        <v>0.8</v>
      </c>
      <c r="H50" s="16" t="n">
        <v>0.96</v>
      </c>
      <c r="I50" s="16" t="n">
        <v>0.8305</v>
      </c>
      <c r="J50" s="16" t="n">
        <v>0.53</v>
      </c>
      <c r="K50" s="15" t="n">
        <f aca="false">ROUND(F50/100*G50*H50*I50/J50,2)</f>
        <v>14501.47</v>
      </c>
      <c r="L50" s="15" t="n">
        <v>14501.47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3432</v>
      </c>
      <c r="B51" s="3" t="s">
        <v>3433</v>
      </c>
      <c r="C51" s="3" t="s">
        <v>77</v>
      </c>
      <c r="D51" s="3" t="s">
        <v>137</v>
      </c>
      <c r="E51" s="3" t="s">
        <v>56</v>
      </c>
      <c r="F51" s="12" t="n">
        <v>345000</v>
      </c>
      <c r="G51" s="13" t="n">
        <v>0.75</v>
      </c>
      <c r="H51" s="13" t="n">
        <v>1.42</v>
      </c>
      <c r="I51" s="13" t="n">
        <v>0.8305</v>
      </c>
      <c r="J51" s="13" t="n">
        <v>0.53</v>
      </c>
      <c r="K51" s="12" t="n">
        <f aca="false">ROUND(F51/100*G51*H51*I51/J51,2)</f>
        <v>5757.48</v>
      </c>
      <c r="L51" s="12" t="n">
        <v>5757.48</v>
      </c>
      <c r="M51" s="12" t="n">
        <f aca="false">L51-K51</f>
        <v>0</v>
      </c>
      <c r="N51" s="3" t="s">
        <v>51</v>
      </c>
      <c r="O51" s="3" t="s">
        <v>52</v>
      </c>
    </row>
    <row r="52" customFormat="false" ht="15" hidden="false" customHeight="false" outlineLevel="0" collapsed="false">
      <c r="A52" s="14" t="s">
        <v>3411</v>
      </c>
      <c r="B52" s="14" t="s">
        <v>3434</v>
      </c>
      <c r="C52" s="14" t="s">
        <v>81</v>
      </c>
      <c r="D52" s="14" t="s">
        <v>3435</v>
      </c>
      <c r="E52" s="14" t="s">
        <v>74</v>
      </c>
      <c r="F52" s="15" t="n">
        <v>500000</v>
      </c>
      <c r="G52" s="16" t="n">
        <v>0.43</v>
      </c>
      <c r="H52" s="16" t="n">
        <v>1.27</v>
      </c>
      <c r="I52" s="16" t="n">
        <v>0.8305</v>
      </c>
      <c r="J52" s="16" t="n">
        <v>0.53</v>
      </c>
      <c r="K52" s="15" t="n">
        <f aca="false">ROUND(F52/100*G52*H52*I52/J52,2)</f>
        <v>4278.64</v>
      </c>
      <c r="L52" s="15" t="n">
        <v>4278.64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3355</v>
      </c>
      <c r="B53" s="3" t="s">
        <v>3436</v>
      </c>
      <c r="C53" s="3" t="s">
        <v>300</v>
      </c>
      <c r="D53" s="3" t="s">
        <v>834</v>
      </c>
      <c r="E53" s="3" t="s">
        <v>56</v>
      </c>
      <c r="F53" s="12" t="n">
        <v>635000</v>
      </c>
      <c r="G53" s="13" t="n">
        <v>0.65</v>
      </c>
      <c r="H53" s="13" t="n">
        <v>1.11</v>
      </c>
      <c r="I53" s="13" t="n">
        <v>0.8305</v>
      </c>
      <c r="J53" s="13" t="n">
        <v>0.53</v>
      </c>
      <c r="K53" s="12" t="n">
        <f aca="false">ROUND(F53/100*G53*H53*I53/J53,2)</f>
        <v>7179.16</v>
      </c>
      <c r="L53" s="12" t="n">
        <v>7179.17</v>
      </c>
      <c r="M53" s="12" t="n">
        <f aca="false">L53-K53</f>
        <v>0.0100000000002183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3437</v>
      </c>
      <c r="B54" s="14" t="s">
        <v>3438</v>
      </c>
      <c r="C54" s="14" t="s">
        <v>77</v>
      </c>
      <c r="D54" s="14" t="s">
        <v>3439</v>
      </c>
      <c r="E54" s="14" t="s">
        <v>74</v>
      </c>
      <c r="F54" s="15" t="n">
        <v>600000</v>
      </c>
      <c r="G54" s="16" t="n">
        <v>0.43</v>
      </c>
      <c r="H54" s="16" t="n">
        <v>1.42</v>
      </c>
      <c r="I54" s="16" t="n">
        <v>0.8305</v>
      </c>
      <c r="J54" s="16" t="n">
        <v>0.53</v>
      </c>
      <c r="K54" s="15" t="n">
        <f aca="false">ROUND(F54/100*G54*H54*I54/J54,2)</f>
        <v>5740.79</v>
      </c>
      <c r="L54" s="15" t="n">
        <v>5740.79</v>
      </c>
      <c r="M54" s="15" t="n">
        <f aca="false">L54-K54</f>
        <v>0</v>
      </c>
      <c r="N54" s="14" t="s">
        <v>70</v>
      </c>
      <c r="O54" s="14" t="s">
        <v>52</v>
      </c>
    </row>
    <row r="55" customFormat="false" ht="15" hidden="false" customHeight="false" outlineLevel="0" collapsed="false">
      <c r="A55" s="3" t="s">
        <v>3384</v>
      </c>
      <c r="B55" s="3" t="s">
        <v>3440</v>
      </c>
      <c r="C55" s="3" t="s">
        <v>120</v>
      </c>
      <c r="D55" s="3" t="s">
        <v>3441</v>
      </c>
      <c r="E55" s="3" t="s">
        <v>157</v>
      </c>
      <c r="F55" s="12" t="n">
        <v>590000</v>
      </c>
      <c r="G55" s="13" t="n">
        <v>0.78</v>
      </c>
      <c r="H55" s="13" t="n">
        <v>1.15</v>
      </c>
      <c r="I55" s="13" t="n">
        <v>0.8305</v>
      </c>
      <c r="J55" s="13" t="n">
        <v>0.53</v>
      </c>
      <c r="K55" s="12" t="n">
        <f aca="false">ROUND(F55/100*G55*H55*I55/J55,2)</f>
        <v>8292.93</v>
      </c>
      <c r="L55" s="12" t="n">
        <v>8292.93</v>
      </c>
      <c r="M55" s="12" t="n">
        <f aca="false">L55-K55</f>
        <v>0</v>
      </c>
      <c r="N55" s="3" t="s">
        <v>70</v>
      </c>
      <c r="O55" s="3" t="s">
        <v>52</v>
      </c>
    </row>
    <row r="56" customFormat="false" ht="15" hidden="false" customHeight="false" outlineLevel="0" collapsed="false">
      <c r="A56" s="14" t="s">
        <v>3355</v>
      </c>
      <c r="B56" s="14" t="s">
        <v>3442</v>
      </c>
      <c r="C56" s="14" t="s">
        <v>237</v>
      </c>
      <c r="D56" s="14" t="s">
        <v>628</v>
      </c>
      <c r="E56" s="14" t="s">
        <v>56</v>
      </c>
      <c r="F56" s="15" t="n">
        <v>255000</v>
      </c>
      <c r="G56" s="16" t="n">
        <v>0.75</v>
      </c>
      <c r="H56" s="16" t="n">
        <v>1.33</v>
      </c>
      <c r="I56" s="16" t="n">
        <v>0.8305</v>
      </c>
      <c r="J56" s="16" t="n">
        <v>0.53</v>
      </c>
      <c r="K56" s="15" t="n">
        <f aca="false">ROUND(F56/100*G56*H56*I56/J56,2)</f>
        <v>3985.81</v>
      </c>
      <c r="L56" s="15" t="n">
        <v>3985.81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3361</v>
      </c>
      <c r="B57" s="3" t="s">
        <v>3443</v>
      </c>
      <c r="C57" s="3" t="s">
        <v>224</v>
      </c>
      <c r="D57" s="3" t="s">
        <v>296</v>
      </c>
      <c r="E57" s="3" t="s">
        <v>74</v>
      </c>
      <c r="F57" s="12" t="n">
        <v>1170000</v>
      </c>
      <c r="G57" s="13" t="n">
        <v>0.38</v>
      </c>
      <c r="H57" s="13" t="n">
        <v>1.1</v>
      </c>
      <c r="I57" s="13" t="n">
        <v>0.8305</v>
      </c>
      <c r="J57" s="13" t="n">
        <v>0.53</v>
      </c>
      <c r="K57" s="12" t="n">
        <f aca="false">ROUND(F57/100*G57*H57*I57/J57,2)</f>
        <v>7663.48</v>
      </c>
      <c r="L57" s="12" t="n">
        <v>7663.48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3391</v>
      </c>
      <c r="B58" s="14" t="s">
        <v>3444</v>
      </c>
      <c r="C58" s="14" t="s">
        <v>77</v>
      </c>
      <c r="D58" s="14" t="s">
        <v>3445</v>
      </c>
      <c r="E58" s="14" t="s">
        <v>50</v>
      </c>
      <c r="F58" s="15" t="n">
        <v>850000</v>
      </c>
      <c r="G58" s="16" t="n">
        <v>0.95</v>
      </c>
      <c r="H58" s="16" t="n">
        <v>1.42</v>
      </c>
      <c r="I58" s="16" t="n">
        <v>0.8305</v>
      </c>
      <c r="J58" s="16" t="n">
        <v>0.53</v>
      </c>
      <c r="K58" s="15" t="n">
        <f aca="false">ROUND(F58/100*G58*H58*I58/J58,2)</f>
        <v>17967.79</v>
      </c>
      <c r="L58" s="15" t="n">
        <v>17967.79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3378</v>
      </c>
      <c r="B59" s="3" t="s">
        <v>3446</v>
      </c>
      <c r="C59" s="3" t="s">
        <v>114</v>
      </c>
      <c r="D59" s="3" t="s">
        <v>1255</v>
      </c>
      <c r="E59" s="3" t="s">
        <v>50</v>
      </c>
      <c r="F59" s="12" t="n">
        <v>495000</v>
      </c>
      <c r="G59" s="13" t="n">
        <v>1.15</v>
      </c>
      <c r="H59" s="13" t="n">
        <v>1.36</v>
      </c>
      <c r="I59" s="13" t="n">
        <v>0.8305</v>
      </c>
      <c r="J59" s="13" t="n">
        <v>0.53</v>
      </c>
      <c r="K59" s="12" t="n">
        <f aca="false">ROUND(F59/100*G59*H59*I59/J59,2)</f>
        <v>12131.25</v>
      </c>
      <c r="L59" s="12" t="n">
        <v>12131.25</v>
      </c>
      <c r="M59" s="12" t="n">
        <f aca="false">L59-K59</f>
        <v>0</v>
      </c>
      <c r="N59" s="3" t="s">
        <v>51</v>
      </c>
      <c r="O59" s="3" t="s">
        <v>52</v>
      </c>
    </row>
    <row r="60" customFormat="false" ht="15" hidden="false" customHeight="false" outlineLevel="0" collapsed="false">
      <c r="A60" s="14" t="s">
        <v>3372</v>
      </c>
      <c r="B60" s="14" t="s">
        <v>3447</v>
      </c>
      <c r="C60" s="14" t="s">
        <v>93</v>
      </c>
      <c r="D60" s="14" t="s">
        <v>206</v>
      </c>
      <c r="E60" s="14" t="s">
        <v>74</v>
      </c>
      <c r="F60" s="15" t="n">
        <v>645000</v>
      </c>
      <c r="G60" s="16" t="n">
        <v>0.43</v>
      </c>
      <c r="H60" s="16" t="n">
        <v>1.39</v>
      </c>
      <c r="I60" s="16" t="n">
        <v>0.8305</v>
      </c>
      <c r="J60" s="16" t="n">
        <v>0.53</v>
      </c>
      <c r="K60" s="15" t="n">
        <f aca="false">ROUND(F60/100*G60*H60*I60/J60,2)</f>
        <v>6040.97</v>
      </c>
      <c r="L60" s="15" t="n">
        <v>6040.97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3401</v>
      </c>
      <c r="B61" s="3" t="s">
        <v>3448</v>
      </c>
      <c r="C61" s="3" t="s">
        <v>409</v>
      </c>
      <c r="D61" s="3" t="s">
        <v>250</v>
      </c>
      <c r="E61" s="3" t="s">
        <v>56</v>
      </c>
      <c r="F61" s="12" t="n">
        <v>335000</v>
      </c>
      <c r="G61" s="13" t="n">
        <v>0.75</v>
      </c>
      <c r="H61" s="13" t="n">
        <v>1.3</v>
      </c>
      <c r="I61" s="13" t="n">
        <v>0.8305</v>
      </c>
      <c r="J61" s="13" t="n">
        <v>0.53</v>
      </c>
      <c r="K61" s="12" t="n">
        <f aca="false">ROUND(F61/100*G61*H61*I61/J61,2)</f>
        <v>5118.15</v>
      </c>
      <c r="L61" s="12" t="n">
        <v>5118.16</v>
      </c>
      <c r="M61" s="12" t="n">
        <f aca="false">L61-K61</f>
        <v>0.0100000000002183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3432</v>
      </c>
      <c r="B62" s="14" t="s">
        <v>3449</v>
      </c>
      <c r="C62" s="14" t="s">
        <v>136</v>
      </c>
      <c r="D62" s="14" t="s">
        <v>350</v>
      </c>
      <c r="E62" s="14" t="s">
        <v>56</v>
      </c>
      <c r="F62" s="15" t="n">
        <v>425000</v>
      </c>
      <c r="G62" s="16" t="n">
        <v>0.75</v>
      </c>
      <c r="H62" s="16" t="n">
        <v>1.32</v>
      </c>
      <c r="I62" s="16" t="n">
        <v>0.8305</v>
      </c>
      <c r="J62" s="16" t="n">
        <v>0.53</v>
      </c>
      <c r="K62" s="15" t="n">
        <f aca="false">ROUND(F62/100*G62*H62*I62/J62,2)</f>
        <v>6593.07</v>
      </c>
      <c r="L62" s="15" t="n">
        <v>6593.07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3408</v>
      </c>
      <c r="B63" s="3" t="s">
        <v>3450</v>
      </c>
      <c r="C63" s="3" t="s">
        <v>462</v>
      </c>
      <c r="D63" s="3" t="s">
        <v>287</v>
      </c>
      <c r="E63" s="3" t="s">
        <v>56</v>
      </c>
      <c r="F63" s="12" t="n">
        <v>535000</v>
      </c>
      <c r="G63" s="13" t="n">
        <v>0.65</v>
      </c>
      <c r="H63" s="13" t="n">
        <v>1.34</v>
      </c>
      <c r="I63" s="13" t="n">
        <v>0.8305</v>
      </c>
      <c r="J63" s="13" t="n">
        <v>0.53</v>
      </c>
      <c r="K63" s="12" t="n">
        <f aca="false">ROUND(F63/100*G63*H63*I63/J63,2)</f>
        <v>7301.9</v>
      </c>
      <c r="L63" s="12" t="n">
        <v>7301.9</v>
      </c>
      <c r="M63" s="12" t="n">
        <f aca="false">L63-K63</f>
        <v>0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3421</v>
      </c>
      <c r="B64" s="14" t="s">
        <v>3451</v>
      </c>
      <c r="C64" s="14" t="s">
        <v>409</v>
      </c>
      <c r="D64" s="14" t="s">
        <v>1922</v>
      </c>
      <c r="E64" s="14" t="s">
        <v>56</v>
      </c>
      <c r="F64" s="15" t="n">
        <v>480000</v>
      </c>
      <c r="G64" s="16" t="n">
        <v>0.75</v>
      </c>
      <c r="H64" s="16" t="n">
        <v>1.3</v>
      </c>
      <c r="I64" s="16" t="n">
        <v>0.8305</v>
      </c>
      <c r="J64" s="16" t="n">
        <v>0.53</v>
      </c>
      <c r="K64" s="15" t="n">
        <f aca="false">ROUND(F64/100*G64*H64*I64/J64,2)</f>
        <v>7333.47</v>
      </c>
      <c r="L64" s="15" t="n">
        <v>7333.47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3411</v>
      </c>
      <c r="B65" s="3" t="s">
        <v>3452</v>
      </c>
      <c r="C65" s="3" t="s">
        <v>295</v>
      </c>
      <c r="D65" s="3" t="s">
        <v>2897</v>
      </c>
      <c r="E65" s="3" t="s">
        <v>133</v>
      </c>
      <c r="F65" s="12" t="n">
        <v>1950000</v>
      </c>
      <c r="G65" s="13" t="n">
        <v>0.34</v>
      </c>
      <c r="H65" s="13" t="n">
        <v>1.2</v>
      </c>
      <c r="I65" s="13" t="n">
        <v>0.8305</v>
      </c>
      <c r="J65" s="13" t="n">
        <v>0.53</v>
      </c>
      <c r="K65" s="12" t="n">
        <f aca="false">ROUND(F65/100*G65*H65*I65/J65,2)</f>
        <v>12466.9</v>
      </c>
      <c r="L65" s="12" t="n">
        <v>12466.9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3361</v>
      </c>
      <c r="B66" s="14" t="s">
        <v>3453</v>
      </c>
      <c r="C66" s="14" t="s">
        <v>196</v>
      </c>
      <c r="D66" s="14" t="s">
        <v>2653</v>
      </c>
      <c r="E66" s="14" t="s">
        <v>56</v>
      </c>
      <c r="F66" s="15" t="n">
        <v>240000</v>
      </c>
      <c r="G66" s="16" t="n">
        <v>0.92</v>
      </c>
      <c r="H66" s="16" t="n">
        <v>1.04</v>
      </c>
      <c r="I66" s="16" t="n">
        <v>0.8305</v>
      </c>
      <c r="J66" s="16" t="n">
        <v>0.53</v>
      </c>
      <c r="K66" s="15" t="n">
        <f aca="false">ROUND(F66/100*G66*H66*I66/J66,2)</f>
        <v>3598.29</v>
      </c>
      <c r="L66" s="15" t="n">
        <v>3598.29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3421</v>
      </c>
      <c r="B67" s="3" t="s">
        <v>3454</v>
      </c>
      <c r="C67" s="3" t="s">
        <v>93</v>
      </c>
      <c r="D67" s="3" t="s">
        <v>606</v>
      </c>
      <c r="E67" s="3" t="s">
        <v>56</v>
      </c>
      <c r="F67" s="12" t="n">
        <v>815000</v>
      </c>
      <c r="G67" s="13" t="n">
        <v>0.65</v>
      </c>
      <c r="H67" s="13" t="n">
        <v>1.39</v>
      </c>
      <c r="I67" s="13" t="n">
        <v>0.8305</v>
      </c>
      <c r="J67" s="13" t="n">
        <v>0.53</v>
      </c>
      <c r="K67" s="12" t="n">
        <f aca="false">ROUND(F67/100*G67*H67*I67/J67,2)</f>
        <v>11538.5</v>
      </c>
      <c r="L67" s="12" t="n">
        <v>11538.5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3455</v>
      </c>
      <c r="B68" s="14" t="s">
        <v>3456</v>
      </c>
      <c r="C68" s="14" t="s">
        <v>220</v>
      </c>
      <c r="D68" s="14" t="s">
        <v>342</v>
      </c>
      <c r="E68" s="14" t="s">
        <v>56</v>
      </c>
      <c r="F68" s="15" t="n">
        <v>480000</v>
      </c>
      <c r="G68" s="16" t="n">
        <v>0.75</v>
      </c>
      <c r="H68" s="16" t="n">
        <v>1.01</v>
      </c>
      <c r="I68" s="16" t="n">
        <v>0.8305</v>
      </c>
      <c r="J68" s="16" t="n">
        <v>0.53</v>
      </c>
      <c r="K68" s="15" t="n">
        <f aca="false">ROUND(F68/100*G68*H68*I68/J68,2)</f>
        <v>5697.54</v>
      </c>
      <c r="L68" s="15" t="n">
        <v>5697.55</v>
      </c>
      <c r="M68" s="15" t="n">
        <f aca="false">L68-K68</f>
        <v>0.0100000000002183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3411</v>
      </c>
      <c r="B69" s="3" t="s">
        <v>3457</v>
      </c>
      <c r="C69" s="3" t="s">
        <v>81</v>
      </c>
      <c r="D69" s="3" t="s">
        <v>3458</v>
      </c>
      <c r="E69" s="3" t="s">
        <v>74</v>
      </c>
      <c r="F69" s="12" t="n">
        <v>325000</v>
      </c>
      <c r="G69" s="13" t="n">
        <v>0.48</v>
      </c>
      <c r="H69" s="13" t="n">
        <v>1.27</v>
      </c>
      <c r="I69" s="13" t="n">
        <v>0.8305</v>
      </c>
      <c r="J69" s="13" t="n">
        <v>0.53</v>
      </c>
      <c r="K69" s="12" t="n">
        <f aca="false">ROUND(F69/100*G69*H69*I69/J69,2)</f>
        <v>3104.5</v>
      </c>
      <c r="L69" s="12" t="n">
        <v>3104.5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3357</v>
      </c>
      <c r="B70" s="14" t="s">
        <v>3459</v>
      </c>
      <c r="C70" s="14" t="s">
        <v>105</v>
      </c>
      <c r="D70" s="14" t="s">
        <v>2819</v>
      </c>
      <c r="E70" s="14" t="s">
        <v>74</v>
      </c>
      <c r="F70" s="15" t="n">
        <v>355000</v>
      </c>
      <c r="G70" s="16" t="n">
        <v>0.48</v>
      </c>
      <c r="H70" s="16" t="n">
        <v>0.99</v>
      </c>
      <c r="I70" s="16" t="n">
        <v>0.8305</v>
      </c>
      <c r="J70" s="16" t="n">
        <v>0.53</v>
      </c>
      <c r="K70" s="15" t="n">
        <f aca="false">ROUND(F70/100*G70*H70*I70/J70,2)</f>
        <v>2643.43</v>
      </c>
      <c r="L70" s="15" t="n">
        <v>2643.43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3455</v>
      </c>
      <c r="B71" s="3" t="s">
        <v>3460</v>
      </c>
      <c r="C71" s="3" t="s">
        <v>93</v>
      </c>
      <c r="D71" s="3" t="s">
        <v>194</v>
      </c>
      <c r="E71" s="3" t="s">
        <v>56</v>
      </c>
      <c r="F71" s="12" t="n">
        <v>350000</v>
      </c>
      <c r="G71" s="13" t="n">
        <v>0.75</v>
      </c>
      <c r="H71" s="13" t="n">
        <v>1.39</v>
      </c>
      <c r="I71" s="13" t="n">
        <v>0.8305</v>
      </c>
      <c r="J71" s="13" t="n">
        <v>0.53</v>
      </c>
      <c r="K71" s="12" t="n">
        <f aca="false">ROUND(F71/100*G71*H71*I71/J71,2)</f>
        <v>5717.52</v>
      </c>
      <c r="L71" s="12" t="n">
        <v>5717.52</v>
      </c>
      <c r="M71" s="12" t="n">
        <f aca="false">L71-K71</f>
        <v>0</v>
      </c>
      <c r="N71" s="3" t="s">
        <v>61</v>
      </c>
      <c r="O71" s="3" t="s">
        <v>62</v>
      </c>
    </row>
    <row r="72" customFormat="false" ht="15" hidden="false" customHeight="false" outlineLevel="0" collapsed="false">
      <c r="A72" s="14" t="s">
        <v>3388</v>
      </c>
      <c r="B72" s="14" t="s">
        <v>3461</v>
      </c>
      <c r="C72" s="14" t="s">
        <v>114</v>
      </c>
      <c r="D72" s="14" t="s">
        <v>819</v>
      </c>
      <c r="E72" s="14" t="s">
        <v>56</v>
      </c>
      <c r="F72" s="15" t="n">
        <v>415000</v>
      </c>
      <c r="G72" s="16" t="n">
        <v>0.75</v>
      </c>
      <c r="H72" s="16" t="n">
        <v>1.36</v>
      </c>
      <c r="I72" s="16" t="n">
        <v>0.8305</v>
      </c>
      <c r="J72" s="16" t="n">
        <v>0.53</v>
      </c>
      <c r="K72" s="15" t="n">
        <f aca="false">ROUND(F72/100*G72*H72*I72/J72,2)</f>
        <v>6633.03</v>
      </c>
      <c r="L72" s="15" t="n">
        <v>6633.03</v>
      </c>
      <c r="M72" s="15" t="n">
        <f aca="false">L72-K72</f>
        <v>0</v>
      </c>
      <c r="N72" s="14" t="s">
        <v>51</v>
      </c>
      <c r="O72" s="14" t="s">
        <v>52</v>
      </c>
    </row>
    <row r="73" customFormat="false" ht="15" hidden="false" customHeight="false" outlineLevel="0" collapsed="false">
      <c r="A73" s="3" t="s">
        <v>3393</v>
      </c>
      <c r="B73" s="3" t="s">
        <v>3462</v>
      </c>
      <c r="C73" s="3" t="s">
        <v>295</v>
      </c>
      <c r="D73" s="3" t="s">
        <v>1555</v>
      </c>
      <c r="E73" s="3" t="s">
        <v>56</v>
      </c>
      <c r="F73" s="12" t="n">
        <v>535000</v>
      </c>
      <c r="G73" s="13" t="n">
        <v>0.65</v>
      </c>
      <c r="H73" s="13" t="n">
        <v>1.2</v>
      </c>
      <c r="I73" s="13" t="n">
        <v>0.8305</v>
      </c>
      <c r="J73" s="13" t="n">
        <v>0.53</v>
      </c>
      <c r="K73" s="12" t="n">
        <f aca="false">ROUND(F73/100*G73*H73*I73/J73,2)</f>
        <v>6539.01</v>
      </c>
      <c r="L73" s="12" t="n">
        <v>6539.01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3353</v>
      </c>
      <c r="B74" s="14" t="s">
        <v>3463</v>
      </c>
      <c r="C74" s="14" t="s">
        <v>243</v>
      </c>
      <c r="D74" s="14" t="s">
        <v>2987</v>
      </c>
      <c r="E74" s="14" t="s">
        <v>50</v>
      </c>
      <c r="F74" s="15" t="n">
        <v>440000</v>
      </c>
      <c r="G74" s="16" t="n">
        <v>1.15</v>
      </c>
      <c r="H74" s="16" t="n">
        <v>1.14</v>
      </c>
      <c r="I74" s="16" t="n">
        <v>0.8305</v>
      </c>
      <c r="J74" s="16" t="n">
        <v>0.53</v>
      </c>
      <c r="K74" s="15" t="n">
        <f aca="false">ROUND(F74/100*G74*H74*I74/J74,2)</f>
        <v>9038.97</v>
      </c>
      <c r="L74" s="15" t="n">
        <v>9038.97</v>
      </c>
      <c r="M74" s="15" t="n">
        <f aca="false">L74-K74</f>
        <v>0</v>
      </c>
      <c r="N74" s="14" t="s">
        <v>51</v>
      </c>
      <c r="O74" s="14" t="s">
        <v>52</v>
      </c>
    </row>
    <row r="75" customFormat="false" ht="15" hidden="false" customHeight="false" outlineLevel="0" collapsed="false">
      <c r="A75" s="3" t="s">
        <v>3357</v>
      </c>
      <c r="B75" s="3" t="s">
        <v>3464</v>
      </c>
      <c r="C75" s="3" t="s">
        <v>93</v>
      </c>
      <c r="D75" s="3" t="s">
        <v>97</v>
      </c>
      <c r="E75" s="3" t="s">
        <v>56</v>
      </c>
      <c r="F75" s="12" t="n">
        <v>765000</v>
      </c>
      <c r="G75" s="13" t="n">
        <v>0.65</v>
      </c>
      <c r="H75" s="13" t="n">
        <v>1.39</v>
      </c>
      <c r="I75" s="13" t="n">
        <v>0.8305</v>
      </c>
      <c r="J75" s="13" t="n">
        <v>0.53</v>
      </c>
      <c r="K75" s="12" t="n">
        <f aca="false">ROUND(F75/100*G75*H75*I75/J75,2)</f>
        <v>10830.62</v>
      </c>
      <c r="L75" s="12" t="n">
        <v>10830.62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3421</v>
      </c>
      <c r="B76" s="14" t="s">
        <v>3465</v>
      </c>
      <c r="C76" s="14" t="s">
        <v>131</v>
      </c>
      <c r="D76" s="14" t="s">
        <v>405</v>
      </c>
      <c r="E76" s="14" t="s">
        <v>56</v>
      </c>
      <c r="F76" s="15" t="n">
        <v>535000</v>
      </c>
      <c r="G76" s="16" t="n">
        <v>0.65</v>
      </c>
      <c r="H76" s="16" t="n">
        <v>0.95</v>
      </c>
      <c r="I76" s="16" t="n">
        <v>0.8305</v>
      </c>
      <c r="J76" s="16" t="n">
        <v>0.53</v>
      </c>
      <c r="K76" s="15" t="n">
        <f aca="false">ROUND(F76/100*G76*H76*I76/J76,2)</f>
        <v>5176.72</v>
      </c>
      <c r="L76" s="15" t="n">
        <v>5176.71</v>
      </c>
      <c r="M76" s="15" t="n">
        <f aca="false">L76-K76</f>
        <v>-0.0100000000002183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3361</v>
      </c>
      <c r="B77" s="3" t="s">
        <v>3466</v>
      </c>
      <c r="C77" s="3" t="s">
        <v>184</v>
      </c>
      <c r="D77" s="3" t="s">
        <v>78</v>
      </c>
      <c r="E77" s="3" t="s">
        <v>56</v>
      </c>
      <c r="F77" s="12" t="n">
        <v>1090000</v>
      </c>
      <c r="G77" s="13" t="n">
        <v>0.55</v>
      </c>
      <c r="H77" s="13" t="n">
        <v>1.02</v>
      </c>
      <c r="I77" s="13" t="n">
        <v>0.8305</v>
      </c>
      <c r="J77" s="13" t="n">
        <v>0.53</v>
      </c>
      <c r="K77" s="12" t="n">
        <f aca="false">ROUND(F77/100*G77*H77*I77/J77,2)</f>
        <v>9581.93</v>
      </c>
      <c r="L77" s="12" t="n">
        <v>9581.94</v>
      </c>
      <c r="M77" s="12" t="n">
        <f aca="false">L77-K77</f>
        <v>0.0100000000002183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3355</v>
      </c>
      <c r="B78" s="14" t="s">
        <v>3467</v>
      </c>
      <c r="C78" s="14" t="s">
        <v>295</v>
      </c>
      <c r="D78" s="14" t="s">
        <v>596</v>
      </c>
      <c r="E78" s="14" t="s">
        <v>56</v>
      </c>
      <c r="F78" s="15" t="n">
        <v>590000</v>
      </c>
      <c r="G78" s="16" t="n">
        <v>0.65</v>
      </c>
      <c r="H78" s="16" t="n">
        <v>1.2</v>
      </c>
      <c r="I78" s="16" t="n">
        <v>0.8305</v>
      </c>
      <c r="J78" s="16" t="n">
        <v>0.53</v>
      </c>
      <c r="K78" s="15" t="n">
        <f aca="false">ROUND(F78/100*G78*H78*I78/J78,2)</f>
        <v>7211.25</v>
      </c>
      <c r="L78" s="15" t="n">
        <v>7211.25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3363</v>
      </c>
      <c r="B79" s="3" t="s">
        <v>3468</v>
      </c>
      <c r="C79" s="3" t="s">
        <v>89</v>
      </c>
      <c r="D79" s="3" t="s">
        <v>761</v>
      </c>
      <c r="E79" s="3" t="s">
        <v>56</v>
      </c>
      <c r="F79" s="12" t="n">
        <v>915000</v>
      </c>
      <c r="G79" s="13" t="n">
        <v>0.65</v>
      </c>
      <c r="H79" s="13" t="n">
        <v>1.35</v>
      </c>
      <c r="I79" s="13" t="n">
        <v>0.8305</v>
      </c>
      <c r="J79" s="13" t="n">
        <v>0.53</v>
      </c>
      <c r="K79" s="12" t="n">
        <f aca="false">ROUND(F79/100*G79*H79*I79/J79,2)</f>
        <v>12581.49</v>
      </c>
      <c r="L79" s="12" t="n">
        <v>12581.49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3372</v>
      </c>
      <c r="B80" s="14" t="s">
        <v>3469</v>
      </c>
      <c r="C80" s="14" t="s">
        <v>89</v>
      </c>
      <c r="D80" s="14" t="s">
        <v>652</v>
      </c>
      <c r="E80" s="14" t="s">
        <v>56</v>
      </c>
      <c r="F80" s="15" t="n">
        <v>270000</v>
      </c>
      <c r="G80" s="16" t="n">
        <v>0.75</v>
      </c>
      <c r="H80" s="16" t="n">
        <v>1.35</v>
      </c>
      <c r="I80" s="16" t="n">
        <v>0.8305</v>
      </c>
      <c r="J80" s="16" t="n">
        <v>0.53</v>
      </c>
      <c r="K80" s="15" t="n">
        <f aca="false">ROUND(F80/100*G80*H80*I80/J80,2)</f>
        <v>4283.73</v>
      </c>
      <c r="L80" s="15" t="n">
        <v>4283.74</v>
      </c>
      <c r="M80" s="15" t="n">
        <f aca="false">L80-K80</f>
        <v>0.0100000000002183</v>
      </c>
      <c r="N80" s="14" t="s">
        <v>70</v>
      </c>
      <c r="O80" s="14" t="s">
        <v>52</v>
      </c>
    </row>
    <row r="81" customFormat="false" ht="15" hidden="false" customHeight="false" outlineLevel="0" collapsed="false">
      <c r="A81" s="3" t="s">
        <v>3425</v>
      </c>
      <c r="B81" s="3" t="s">
        <v>3470</v>
      </c>
      <c r="C81" s="3" t="s">
        <v>305</v>
      </c>
      <c r="D81" s="3" t="s">
        <v>3471</v>
      </c>
      <c r="E81" s="3" t="s">
        <v>56</v>
      </c>
      <c r="F81" s="12" t="n">
        <v>245000</v>
      </c>
      <c r="G81" s="13" t="n">
        <v>0.92</v>
      </c>
      <c r="H81" s="13" t="n">
        <v>1.12</v>
      </c>
      <c r="I81" s="13" t="n">
        <v>0.8305</v>
      </c>
      <c r="J81" s="13" t="n">
        <v>0.53</v>
      </c>
      <c r="K81" s="12" t="n">
        <f aca="false">ROUND(F81/100*G81*H81*I81/J81,2)</f>
        <v>3955.81</v>
      </c>
      <c r="L81" s="12" t="n">
        <v>3955.81</v>
      </c>
      <c r="M81" s="12" t="n">
        <f aca="false">L81-K81</f>
        <v>0</v>
      </c>
      <c r="N81" s="3" t="s">
        <v>51</v>
      </c>
      <c r="O81" s="3" t="s">
        <v>52</v>
      </c>
    </row>
    <row r="82" customFormat="false" ht="15" hidden="false" customHeight="false" outlineLevel="0" collapsed="false">
      <c r="A82" s="14" t="s">
        <v>3388</v>
      </c>
      <c r="B82" s="14" t="s">
        <v>3472</v>
      </c>
      <c r="C82" s="14" t="s">
        <v>81</v>
      </c>
      <c r="D82" s="14" t="s">
        <v>1301</v>
      </c>
      <c r="E82" s="14" t="s">
        <v>56</v>
      </c>
      <c r="F82" s="15" t="n">
        <v>250000</v>
      </c>
      <c r="G82" s="16" t="n">
        <v>0.75</v>
      </c>
      <c r="H82" s="16" t="n">
        <v>1.27</v>
      </c>
      <c r="I82" s="16" t="n">
        <v>0.8305</v>
      </c>
      <c r="J82" s="16" t="n">
        <v>0.53</v>
      </c>
      <c r="K82" s="15" t="n">
        <f aca="false">ROUND(F82/100*G82*H82*I82/J82,2)</f>
        <v>3731.37</v>
      </c>
      <c r="L82" s="15" t="n">
        <v>3731.37</v>
      </c>
      <c r="M82" s="15" t="n">
        <f aca="false">L82-K82</f>
        <v>0</v>
      </c>
      <c r="N82" s="14" t="s">
        <v>51</v>
      </c>
      <c r="O82" s="14" t="s">
        <v>52</v>
      </c>
    </row>
    <row r="83" customFormat="false" ht="15" hidden="false" customHeight="false" outlineLevel="0" collapsed="false">
      <c r="A83" s="3" t="s">
        <v>3455</v>
      </c>
      <c r="B83" s="3" t="s">
        <v>3473</v>
      </c>
      <c r="C83" s="3" t="s">
        <v>174</v>
      </c>
      <c r="D83" s="3" t="s">
        <v>3474</v>
      </c>
      <c r="E83" s="3" t="s">
        <v>74</v>
      </c>
      <c r="F83" s="12" t="n">
        <v>1040000</v>
      </c>
      <c r="G83" s="13" t="n">
        <v>0.38</v>
      </c>
      <c r="H83" s="13" t="n">
        <v>1.55</v>
      </c>
      <c r="I83" s="13" t="n">
        <v>0.8305</v>
      </c>
      <c r="J83" s="13" t="n">
        <v>0.53</v>
      </c>
      <c r="K83" s="12" t="n">
        <f aca="false">ROUND(F83/100*G83*H83*I83/J83,2)</f>
        <v>9598.7</v>
      </c>
      <c r="L83" s="12" t="n">
        <v>9598.7</v>
      </c>
      <c r="M83" s="12" t="n">
        <f aca="false">L83-K83</f>
        <v>0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3388</v>
      </c>
      <c r="B84" s="14" t="s">
        <v>3475</v>
      </c>
      <c r="C84" s="14" t="s">
        <v>892</v>
      </c>
      <c r="D84" s="14" t="s">
        <v>1201</v>
      </c>
      <c r="E84" s="14" t="s">
        <v>56</v>
      </c>
      <c r="F84" s="15" t="n">
        <v>525000</v>
      </c>
      <c r="G84" s="16" t="n">
        <v>0.65</v>
      </c>
      <c r="H84" s="16" t="n">
        <v>1.08</v>
      </c>
      <c r="I84" s="16" t="n">
        <v>0.8305</v>
      </c>
      <c r="J84" s="16" t="n">
        <v>0.53</v>
      </c>
      <c r="K84" s="15" t="n">
        <f aca="false">ROUND(F84/100*G84*H84*I84/J84,2)</f>
        <v>5775.11</v>
      </c>
      <c r="L84" s="15" t="n">
        <v>5775.11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3423</v>
      </c>
      <c r="B85" s="3" t="s">
        <v>3476</v>
      </c>
      <c r="C85" s="3" t="s">
        <v>409</v>
      </c>
      <c r="D85" s="3" t="s">
        <v>3477</v>
      </c>
      <c r="E85" s="3" t="s">
        <v>157</v>
      </c>
      <c r="F85" s="12" t="n">
        <v>670000</v>
      </c>
      <c r="G85" s="13" t="n">
        <v>0.78</v>
      </c>
      <c r="H85" s="13" t="n">
        <v>1.3</v>
      </c>
      <c r="I85" s="13" t="n">
        <v>0.8305</v>
      </c>
      <c r="J85" s="13" t="n">
        <v>0.53</v>
      </c>
      <c r="K85" s="12" t="n">
        <f aca="false">ROUND(F85/100*G85*H85*I85/J85,2)</f>
        <v>10645.76</v>
      </c>
      <c r="L85" s="12" t="n">
        <v>10645.76</v>
      </c>
      <c r="M85" s="12" t="n">
        <f aca="false">L85-K85</f>
        <v>0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3388</v>
      </c>
      <c r="B86" s="14" t="s">
        <v>3478</v>
      </c>
      <c r="C86" s="14" t="s">
        <v>217</v>
      </c>
      <c r="D86" s="14" t="s">
        <v>1224</v>
      </c>
      <c r="E86" s="14" t="s">
        <v>74</v>
      </c>
      <c r="F86" s="15" t="n">
        <v>425000</v>
      </c>
      <c r="G86" s="16" t="n">
        <v>0.48</v>
      </c>
      <c r="H86" s="16" t="n">
        <v>1.3</v>
      </c>
      <c r="I86" s="16" t="n">
        <v>0.8305</v>
      </c>
      <c r="J86" s="16" t="n">
        <v>0.53</v>
      </c>
      <c r="K86" s="15" t="n">
        <f aca="false">ROUND(F86/100*G86*H86*I86/J86,2)</f>
        <v>4155.63</v>
      </c>
      <c r="L86" s="15" t="n">
        <v>4155.63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3372</v>
      </c>
      <c r="B87" s="3" t="s">
        <v>3479</v>
      </c>
      <c r="C87" s="3" t="s">
        <v>93</v>
      </c>
      <c r="D87" s="3" t="s">
        <v>2725</v>
      </c>
      <c r="E87" s="3" t="s">
        <v>50</v>
      </c>
      <c r="F87" s="12" t="n">
        <v>835000</v>
      </c>
      <c r="G87" s="13" t="n">
        <v>0.95</v>
      </c>
      <c r="H87" s="13" t="n">
        <v>1.39</v>
      </c>
      <c r="I87" s="13" t="n">
        <v>0.8305</v>
      </c>
      <c r="J87" s="13" t="n">
        <v>0.53</v>
      </c>
      <c r="K87" s="12" t="n">
        <f aca="false">ROUND(F87/100*G87*H87*I87/J87,2)</f>
        <v>17277.81</v>
      </c>
      <c r="L87" s="12" t="n">
        <v>17277.81</v>
      </c>
      <c r="M87" s="12" t="n">
        <f aca="false">L87-K87</f>
        <v>0</v>
      </c>
      <c r="N87" s="3" t="s">
        <v>51</v>
      </c>
      <c r="O87" s="3" t="s">
        <v>52</v>
      </c>
    </row>
    <row r="88" customFormat="false" ht="15" hidden="false" customHeight="false" outlineLevel="0" collapsed="false">
      <c r="A88" s="14" t="s">
        <v>3361</v>
      </c>
      <c r="B88" s="14" t="s">
        <v>3480</v>
      </c>
      <c r="C88" s="14" t="s">
        <v>266</v>
      </c>
      <c r="D88" s="14" t="s">
        <v>3481</v>
      </c>
      <c r="E88" s="14" t="s">
        <v>50</v>
      </c>
      <c r="F88" s="15" t="n">
        <v>545000</v>
      </c>
      <c r="G88" s="16" t="n">
        <v>0.95</v>
      </c>
      <c r="H88" s="16" t="n">
        <v>1.1</v>
      </c>
      <c r="I88" s="16" t="n">
        <v>0.8305</v>
      </c>
      <c r="J88" s="16" t="n">
        <v>0.53</v>
      </c>
      <c r="K88" s="15" t="n">
        <f aca="false">ROUND(F88/100*G88*H88*I88/J88,2)</f>
        <v>8924.35</v>
      </c>
      <c r="L88" s="15" t="n">
        <v>8924.35</v>
      </c>
      <c r="M88" s="15" t="n">
        <f aca="false">L88-K88</f>
        <v>0</v>
      </c>
      <c r="N88" s="14" t="s">
        <v>51</v>
      </c>
      <c r="O88" s="14" t="s">
        <v>52</v>
      </c>
    </row>
    <row r="89" customFormat="false" ht="15" hidden="false" customHeight="false" outlineLevel="0" collapsed="false">
      <c r="A89" s="3" t="s">
        <v>3359</v>
      </c>
      <c r="B89" s="3" t="s">
        <v>3482</v>
      </c>
      <c r="C89" s="3" t="s">
        <v>193</v>
      </c>
      <c r="D89" s="3" t="s">
        <v>1563</v>
      </c>
      <c r="E89" s="3" t="s">
        <v>56</v>
      </c>
      <c r="F89" s="12" t="n">
        <v>300000</v>
      </c>
      <c r="G89" s="13" t="n">
        <v>0.75</v>
      </c>
      <c r="H89" s="13" t="n">
        <v>1.25</v>
      </c>
      <c r="I89" s="13" t="n">
        <v>0.8305</v>
      </c>
      <c r="J89" s="13" t="n">
        <v>0.53</v>
      </c>
      <c r="K89" s="12" t="n">
        <f aca="false">ROUND(F89/100*G89*H89*I89/J89,2)</f>
        <v>4407.13</v>
      </c>
      <c r="L89" s="12" t="n">
        <v>4407.13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3370</v>
      </c>
      <c r="B90" s="14" t="s">
        <v>3483</v>
      </c>
      <c r="C90" s="14" t="s">
        <v>131</v>
      </c>
      <c r="D90" s="14" t="s">
        <v>49</v>
      </c>
      <c r="E90" s="14" t="s">
        <v>50</v>
      </c>
      <c r="F90" s="15" t="n">
        <v>1380000</v>
      </c>
      <c r="G90" s="16" t="n">
        <v>0.8</v>
      </c>
      <c r="H90" s="16" t="n">
        <v>0.95</v>
      </c>
      <c r="I90" s="16" t="n">
        <v>0.8305</v>
      </c>
      <c r="J90" s="16" t="n">
        <v>0.53</v>
      </c>
      <c r="K90" s="15" t="n">
        <f aca="false">ROUND(F90/100*G90*H90*I90/J90,2)</f>
        <v>16434.5</v>
      </c>
      <c r="L90" s="15" t="n">
        <v>16434.5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3361</v>
      </c>
      <c r="B91" s="3" t="s">
        <v>3484</v>
      </c>
      <c r="C91" s="3" t="s">
        <v>64</v>
      </c>
      <c r="D91" s="3" t="s">
        <v>250</v>
      </c>
      <c r="E91" s="3" t="s">
        <v>56</v>
      </c>
      <c r="F91" s="12" t="n">
        <v>515000</v>
      </c>
      <c r="G91" s="13" t="n">
        <v>0.65</v>
      </c>
      <c r="H91" s="13" t="n">
        <v>1.17</v>
      </c>
      <c r="I91" s="13" t="n">
        <v>0.8305</v>
      </c>
      <c r="J91" s="13" t="n">
        <v>0.53</v>
      </c>
      <c r="K91" s="12" t="n">
        <f aca="false">ROUND(F91/100*G91*H91*I91/J91,2)</f>
        <v>6137.2</v>
      </c>
      <c r="L91" s="12" t="n">
        <v>6137.2</v>
      </c>
      <c r="M91" s="12" t="n">
        <f aca="false">L91-K91</f>
        <v>0</v>
      </c>
      <c r="N91" s="3" t="s">
        <v>70</v>
      </c>
      <c r="O91" s="3" t="s">
        <v>52</v>
      </c>
    </row>
    <row r="92" customFormat="false" ht="15" hidden="false" customHeight="false" outlineLevel="0" collapsed="false">
      <c r="A92" s="14" t="s">
        <v>3353</v>
      </c>
      <c r="B92" s="14" t="s">
        <v>3485</v>
      </c>
      <c r="C92" s="14" t="s">
        <v>59</v>
      </c>
      <c r="D92" s="14" t="s">
        <v>1045</v>
      </c>
      <c r="E92" s="14" t="s">
        <v>50</v>
      </c>
      <c r="F92" s="15" t="n">
        <v>1075000</v>
      </c>
      <c r="G92" s="16" t="n">
        <v>0.8</v>
      </c>
      <c r="H92" s="16" t="n">
        <v>0.97</v>
      </c>
      <c r="I92" s="16" t="n">
        <v>0.8305</v>
      </c>
      <c r="J92" s="16" t="n">
        <v>0.53</v>
      </c>
      <c r="K92" s="15" t="n">
        <f aca="false">ROUND(F92/100*G92*H92*I92/J92,2)</f>
        <v>13071.76</v>
      </c>
      <c r="L92" s="15" t="n">
        <v>13071.75</v>
      </c>
      <c r="M92" s="15" t="n">
        <f aca="false">L92-K92</f>
        <v>-0.0100000000002183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3368</v>
      </c>
      <c r="B93" s="3" t="s">
        <v>3486</v>
      </c>
      <c r="C93" s="3" t="s">
        <v>295</v>
      </c>
      <c r="D93" s="3" t="s">
        <v>876</v>
      </c>
      <c r="E93" s="3" t="s">
        <v>56</v>
      </c>
      <c r="F93" s="12" t="n">
        <v>885000</v>
      </c>
      <c r="G93" s="13" t="n">
        <v>0.65</v>
      </c>
      <c r="H93" s="13" t="n">
        <v>1.2</v>
      </c>
      <c r="I93" s="13" t="n">
        <v>0.8305</v>
      </c>
      <c r="J93" s="13" t="n">
        <v>0.53</v>
      </c>
      <c r="K93" s="12" t="n">
        <f aca="false">ROUND(F93/100*G93*H93*I93/J93,2)</f>
        <v>10816.87</v>
      </c>
      <c r="L93" s="12" t="n">
        <v>10816.87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3416</v>
      </c>
      <c r="B94" s="14" t="s">
        <v>3487</v>
      </c>
      <c r="C94" s="14" t="s">
        <v>193</v>
      </c>
      <c r="D94" s="14" t="s">
        <v>457</v>
      </c>
      <c r="E94" s="14" t="s">
        <v>56</v>
      </c>
      <c r="F94" s="15" t="n">
        <v>810000</v>
      </c>
      <c r="G94" s="16" t="n">
        <v>0.65</v>
      </c>
      <c r="H94" s="16" t="n">
        <v>1.25</v>
      </c>
      <c r="I94" s="16" t="n">
        <v>0.8305</v>
      </c>
      <c r="J94" s="16" t="n">
        <v>0.53</v>
      </c>
      <c r="K94" s="15" t="n">
        <f aca="false">ROUND(F94/100*G94*H94*I94/J94,2)</f>
        <v>10312.69</v>
      </c>
      <c r="L94" s="15" t="n">
        <v>10312.69</v>
      </c>
      <c r="M94" s="15" t="n">
        <f aca="false">L94-K94</f>
        <v>0</v>
      </c>
      <c r="N94" s="14" t="s">
        <v>51</v>
      </c>
      <c r="O94" s="14" t="s">
        <v>52</v>
      </c>
    </row>
    <row r="95" customFormat="false" ht="15" hidden="false" customHeight="false" outlineLevel="0" collapsed="false">
      <c r="A95" s="3" t="s">
        <v>3425</v>
      </c>
      <c r="B95" s="3" t="s">
        <v>3488</v>
      </c>
      <c r="C95" s="3" t="s">
        <v>295</v>
      </c>
      <c r="D95" s="3" t="s">
        <v>433</v>
      </c>
      <c r="E95" s="3" t="s">
        <v>56</v>
      </c>
      <c r="F95" s="12" t="n">
        <v>340000</v>
      </c>
      <c r="G95" s="13" t="n">
        <v>0.75</v>
      </c>
      <c r="H95" s="13" t="n">
        <v>1.2</v>
      </c>
      <c r="I95" s="13" t="n">
        <v>0.8305</v>
      </c>
      <c r="J95" s="13" t="n">
        <v>0.53</v>
      </c>
      <c r="K95" s="12" t="n">
        <f aca="false">ROUND(F95/100*G95*H95*I95/J95,2)</f>
        <v>4794.96</v>
      </c>
      <c r="L95" s="12" t="n">
        <v>4794.96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3489</v>
      </c>
      <c r="B96" s="14" t="s">
        <v>3490</v>
      </c>
      <c r="C96" s="14" t="s">
        <v>89</v>
      </c>
      <c r="D96" s="14" t="s">
        <v>2017</v>
      </c>
      <c r="E96" s="14" t="s">
        <v>50</v>
      </c>
      <c r="F96" s="15" t="n">
        <v>680000</v>
      </c>
      <c r="G96" s="16" t="n">
        <v>0.95</v>
      </c>
      <c r="H96" s="16" t="n">
        <v>1.35</v>
      </c>
      <c r="I96" s="16" t="n">
        <v>0.8305</v>
      </c>
      <c r="J96" s="16" t="n">
        <v>0.53</v>
      </c>
      <c r="K96" s="15" t="n">
        <f aca="false">ROUND(F96/100*G96*H96*I96/J96,2)</f>
        <v>13665.64</v>
      </c>
      <c r="L96" s="15" t="n">
        <v>13665.64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3404</v>
      </c>
      <c r="B97" s="3" t="s">
        <v>3491</v>
      </c>
      <c r="C97" s="3" t="s">
        <v>142</v>
      </c>
      <c r="D97" s="3" t="s">
        <v>447</v>
      </c>
      <c r="E97" s="3" t="s">
        <v>56</v>
      </c>
      <c r="F97" s="12" t="n">
        <v>345000</v>
      </c>
      <c r="G97" s="13" t="n">
        <v>0.75</v>
      </c>
      <c r="H97" s="13" t="n">
        <v>1.22</v>
      </c>
      <c r="I97" s="13" t="n">
        <v>0.8305</v>
      </c>
      <c r="J97" s="13" t="n">
        <v>0.53</v>
      </c>
      <c r="K97" s="12" t="n">
        <f aca="false">ROUND(F97/100*G97*H97*I97/J97,2)</f>
        <v>4946.57</v>
      </c>
      <c r="L97" s="12" t="n">
        <v>4946.57</v>
      </c>
      <c r="M97" s="12" t="n">
        <f aca="false">L97-K97</f>
        <v>0</v>
      </c>
      <c r="N97" s="3" t="s">
        <v>51</v>
      </c>
      <c r="O97" s="3" t="s">
        <v>52</v>
      </c>
    </row>
    <row r="98" customFormat="false" ht="15" hidden="false" customHeight="false" outlineLevel="0" collapsed="false">
      <c r="A98" s="14" t="s">
        <v>3351</v>
      </c>
      <c r="B98" s="14" t="s">
        <v>3492</v>
      </c>
      <c r="C98" s="14" t="s">
        <v>120</v>
      </c>
      <c r="D98" s="14" t="s">
        <v>3374</v>
      </c>
      <c r="E98" s="14" t="s">
        <v>50</v>
      </c>
      <c r="F98" s="15" t="n">
        <v>1040000</v>
      </c>
      <c r="G98" s="16" t="n">
        <v>0.8</v>
      </c>
      <c r="H98" s="16" t="n">
        <v>1.15</v>
      </c>
      <c r="I98" s="16" t="n">
        <v>0.8305</v>
      </c>
      <c r="J98" s="16" t="n">
        <v>0.53</v>
      </c>
      <c r="K98" s="15" t="n">
        <f aca="false">ROUND(F98/100*G98*H98*I98/J98,2)</f>
        <v>14992.88</v>
      </c>
      <c r="L98" s="15" t="n">
        <v>14992.88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3378</v>
      </c>
      <c r="B99" s="3" t="s">
        <v>3493</v>
      </c>
      <c r="C99" s="3" t="s">
        <v>68</v>
      </c>
      <c r="D99" s="3" t="s">
        <v>118</v>
      </c>
      <c r="E99" s="3" t="s">
        <v>56</v>
      </c>
      <c r="F99" s="12" t="n">
        <v>1785000</v>
      </c>
      <c r="G99" s="13" t="n">
        <v>0.55</v>
      </c>
      <c r="H99" s="13" t="n">
        <v>1.38</v>
      </c>
      <c r="I99" s="13" t="n">
        <v>0.8305</v>
      </c>
      <c r="J99" s="13" t="n">
        <v>0.53</v>
      </c>
      <c r="K99" s="12" t="n">
        <f aca="false">ROUND(F99/100*G99*H99*I99/J99,2)</f>
        <v>21229.7</v>
      </c>
      <c r="L99" s="12" t="n">
        <v>21229.7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3425</v>
      </c>
      <c r="B100" s="14" t="s">
        <v>3494</v>
      </c>
      <c r="C100" s="14" t="s">
        <v>139</v>
      </c>
      <c r="D100" s="14" t="s">
        <v>2096</v>
      </c>
      <c r="E100" s="14" t="s">
        <v>50</v>
      </c>
      <c r="F100" s="15" t="n">
        <v>1855000</v>
      </c>
      <c r="G100" s="16" t="n">
        <v>0.8</v>
      </c>
      <c r="H100" s="16" t="n">
        <v>1.23</v>
      </c>
      <c r="I100" s="16" t="n">
        <v>0.8305</v>
      </c>
      <c r="J100" s="16" t="n">
        <v>0.53</v>
      </c>
      <c r="K100" s="15" t="n">
        <f aca="false">ROUND(F100/100*G100*H100*I100/J100,2)</f>
        <v>28602.42</v>
      </c>
      <c r="L100" s="15" t="n">
        <v>28602.42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3421</v>
      </c>
      <c r="B101" s="3" t="s">
        <v>3495</v>
      </c>
      <c r="C101" s="3" t="s">
        <v>142</v>
      </c>
      <c r="D101" s="3" t="s">
        <v>542</v>
      </c>
      <c r="E101" s="3" t="s">
        <v>50</v>
      </c>
      <c r="F101" s="12" t="n">
        <v>1655000</v>
      </c>
      <c r="G101" s="13" t="n">
        <v>0.8</v>
      </c>
      <c r="H101" s="13" t="n">
        <v>1.22</v>
      </c>
      <c r="I101" s="13" t="n">
        <v>0.8305</v>
      </c>
      <c r="J101" s="13" t="n">
        <v>0.53</v>
      </c>
      <c r="K101" s="12" t="n">
        <f aca="false">ROUND(F101/100*G101*H101*I101/J101,2)</f>
        <v>25311.13</v>
      </c>
      <c r="L101" s="12" t="n">
        <v>25311.13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3370</v>
      </c>
      <c r="B102" s="14" t="s">
        <v>3496</v>
      </c>
      <c r="C102" s="14" t="s">
        <v>89</v>
      </c>
      <c r="D102" s="14" t="s">
        <v>258</v>
      </c>
      <c r="E102" s="14" t="s">
        <v>56</v>
      </c>
      <c r="F102" s="15" t="n">
        <v>1185000</v>
      </c>
      <c r="G102" s="16" t="n">
        <v>0.55</v>
      </c>
      <c r="H102" s="16" t="n">
        <v>1.35</v>
      </c>
      <c r="I102" s="16" t="n">
        <v>0.8305</v>
      </c>
      <c r="J102" s="16" t="n">
        <v>0.53</v>
      </c>
      <c r="K102" s="15" t="n">
        <f aca="false">ROUND(F102/100*G102*H102*I102/J102,2)</f>
        <v>13787.28</v>
      </c>
      <c r="L102" s="15" t="n">
        <v>13787.28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3353</v>
      </c>
      <c r="B103" s="3" t="s">
        <v>3497</v>
      </c>
      <c r="C103" s="3" t="s">
        <v>462</v>
      </c>
      <c r="D103" s="3" t="s">
        <v>2069</v>
      </c>
      <c r="E103" s="3" t="s">
        <v>56</v>
      </c>
      <c r="F103" s="12" t="n">
        <v>405000</v>
      </c>
      <c r="G103" s="13" t="n">
        <v>0.75</v>
      </c>
      <c r="H103" s="13" t="n">
        <v>1.34</v>
      </c>
      <c r="I103" s="13" t="n">
        <v>0.8305</v>
      </c>
      <c r="J103" s="13" t="n">
        <v>0.53</v>
      </c>
      <c r="K103" s="12" t="n">
        <f aca="false">ROUND(F103/100*G103*H103*I103/J103,2)</f>
        <v>6378</v>
      </c>
      <c r="L103" s="12" t="n">
        <v>6378.01</v>
      </c>
      <c r="M103" s="12" t="n">
        <f aca="false">L103-K103</f>
        <v>0.0100000000002183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3388</v>
      </c>
      <c r="B104" s="14" t="s">
        <v>3498</v>
      </c>
      <c r="C104" s="14" t="s">
        <v>159</v>
      </c>
      <c r="D104" s="14" t="s">
        <v>634</v>
      </c>
      <c r="E104" s="14" t="s">
        <v>56</v>
      </c>
      <c r="F104" s="15" t="n">
        <v>1070000</v>
      </c>
      <c r="G104" s="16" t="n">
        <v>0.55</v>
      </c>
      <c r="H104" s="16" t="n">
        <v>1.15</v>
      </c>
      <c r="I104" s="16" t="n">
        <v>0.8305</v>
      </c>
      <c r="J104" s="16" t="n">
        <v>0.53</v>
      </c>
      <c r="K104" s="15" t="n">
        <f aca="false">ROUND(F104/100*G104*H104*I104/J104,2)</f>
        <v>10604.94</v>
      </c>
      <c r="L104" s="15" t="n">
        <v>10604.94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3432</v>
      </c>
      <c r="B105" s="3" t="s">
        <v>3499</v>
      </c>
      <c r="C105" s="3" t="s">
        <v>266</v>
      </c>
      <c r="D105" s="3" t="s">
        <v>3500</v>
      </c>
      <c r="E105" s="3" t="s">
        <v>133</v>
      </c>
      <c r="F105" s="12" t="n">
        <v>560000</v>
      </c>
      <c r="G105" s="13" t="n">
        <v>0.38</v>
      </c>
      <c r="H105" s="13" t="n">
        <v>1.1</v>
      </c>
      <c r="I105" s="13" t="n">
        <v>0.8305</v>
      </c>
      <c r="J105" s="13" t="n">
        <v>0.53</v>
      </c>
      <c r="K105" s="12" t="n">
        <f aca="false">ROUND(F105/100*G105*H105*I105/J105,2)</f>
        <v>3667.99</v>
      </c>
      <c r="L105" s="12" t="n">
        <v>3667.99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3355</v>
      </c>
      <c r="B106" s="14" t="s">
        <v>3501</v>
      </c>
      <c r="C106" s="14" t="s">
        <v>159</v>
      </c>
      <c r="D106" s="14" t="s">
        <v>318</v>
      </c>
      <c r="E106" s="14" t="s">
        <v>56</v>
      </c>
      <c r="F106" s="15" t="n">
        <v>715000</v>
      </c>
      <c r="G106" s="16" t="n">
        <v>0.65</v>
      </c>
      <c r="H106" s="16" t="n">
        <v>1.15</v>
      </c>
      <c r="I106" s="16" t="n">
        <v>0.8305</v>
      </c>
      <c r="J106" s="16" t="n">
        <v>0.53</v>
      </c>
      <c r="K106" s="15" t="n">
        <f aca="false">ROUND(F106/100*G106*H106*I106/J106,2)</f>
        <v>8374.93</v>
      </c>
      <c r="L106" s="15" t="n">
        <v>8374.93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3408</v>
      </c>
      <c r="B107" s="3" t="s">
        <v>3502</v>
      </c>
      <c r="C107" s="3" t="s">
        <v>108</v>
      </c>
      <c r="D107" s="3" t="s">
        <v>3435</v>
      </c>
      <c r="E107" s="3" t="s">
        <v>74</v>
      </c>
      <c r="F107" s="12" t="n">
        <v>895000</v>
      </c>
      <c r="G107" s="13" t="n">
        <v>0.43</v>
      </c>
      <c r="H107" s="13" t="n">
        <v>0.93</v>
      </c>
      <c r="I107" s="13" t="n">
        <v>0.8305</v>
      </c>
      <c r="J107" s="13" t="n">
        <v>0.53</v>
      </c>
      <c r="K107" s="12" t="n">
        <f aca="false">ROUND(F107/100*G107*H107*I107/J107,2)</f>
        <v>5608.39</v>
      </c>
      <c r="L107" s="12" t="n">
        <v>5608.39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3355</v>
      </c>
      <c r="B108" s="14" t="s">
        <v>3503</v>
      </c>
      <c r="C108" s="14" t="s">
        <v>89</v>
      </c>
      <c r="D108" s="14" t="s">
        <v>3504</v>
      </c>
      <c r="E108" s="14" t="s">
        <v>74</v>
      </c>
      <c r="F108" s="15" t="n">
        <v>540000</v>
      </c>
      <c r="G108" s="16" t="n">
        <v>0.43</v>
      </c>
      <c r="H108" s="16" t="n">
        <v>1.35</v>
      </c>
      <c r="I108" s="16" t="n">
        <v>0.8305</v>
      </c>
      <c r="J108" s="16" t="n">
        <v>0.53</v>
      </c>
      <c r="K108" s="15" t="n">
        <f aca="false">ROUND(F108/100*G108*H108*I108/J108,2)</f>
        <v>4912.02</v>
      </c>
      <c r="L108" s="15" t="n">
        <v>4912.02</v>
      </c>
      <c r="M108" s="15" t="n">
        <f aca="false">L108-K108</f>
        <v>0</v>
      </c>
      <c r="N108" s="14" t="s">
        <v>51</v>
      </c>
      <c r="O108" s="14" t="s">
        <v>52</v>
      </c>
    </row>
    <row r="109" customFormat="false" ht="15" hidden="false" customHeight="false" outlineLevel="0" collapsed="false">
      <c r="A109" s="3" t="s">
        <v>3416</v>
      </c>
      <c r="B109" s="3" t="s">
        <v>3505</v>
      </c>
      <c r="C109" s="3" t="s">
        <v>210</v>
      </c>
      <c r="D109" s="3" t="s">
        <v>2620</v>
      </c>
      <c r="E109" s="3" t="s">
        <v>50</v>
      </c>
      <c r="F109" s="12" t="n">
        <v>1125000</v>
      </c>
      <c r="G109" s="13" t="n">
        <v>0.8</v>
      </c>
      <c r="H109" s="13" t="n">
        <v>1.21</v>
      </c>
      <c r="I109" s="13" t="n">
        <v>0.8305</v>
      </c>
      <c r="J109" s="13" t="n">
        <v>0.53</v>
      </c>
      <c r="K109" s="12" t="n">
        <f aca="false">ROUND(F109/100*G109*H109*I109/J109,2)</f>
        <v>17064.42</v>
      </c>
      <c r="L109" s="12" t="n">
        <v>17064.42</v>
      </c>
      <c r="M109" s="12" t="n">
        <f aca="false">L109-K109</f>
        <v>0</v>
      </c>
      <c r="N109" s="3" t="s">
        <v>70</v>
      </c>
      <c r="O109" s="3" t="s">
        <v>52</v>
      </c>
    </row>
    <row r="110" customFormat="false" ht="15" hidden="false" customHeight="false" outlineLevel="0" collapsed="false">
      <c r="A110" s="14" t="s">
        <v>3455</v>
      </c>
      <c r="B110" s="14" t="s">
        <v>3506</v>
      </c>
      <c r="C110" s="14" t="s">
        <v>77</v>
      </c>
      <c r="D110" s="14" t="s">
        <v>2492</v>
      </c>
      <c r="E110" s="14" t="s">
        <v>56</v>
      </c>
      <c r="F110" s="15" t="n">
        <v>690000</v>
      </c>
      <c r="G110" s="16" t="n">
        <v>0.65</v>
      </c>
      <c r="H110" s="16" t="n">
        <v>1.42</v>
      </c>
      <c r="I110" s="16" t="n">
        <v>0.8305</v>
      </c>
      <c r="J110" s="16" t="n">
        <v>0.53</v>
      </c>
      <c r="K110" s="15" t="n">
        <f aca="false">ROUND(F110/100*G110*H110*I110/J110,2)</f>
        <v>9979.63</v>
      </c>
      <c r="L110" s="15" t="n">
        <v>9979.64</v>
      </c>
      <c r="M110" s="15" t="n">
        <f aca="false">L110-K110</f>
        <v>0.0100000000002183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3489</v>
      </c>
      <c r="B111" s="3" t="s">
        <v>3507</v>
      </c>
      <c r="C111" s="3" t="s">
        <v>188</v>
      </c>
      <c r="D111" s="3" t="s">
        <v>978</v>
      </c>
      <c r="E111" s="3" t="s">
        <v>56</v>
      </c>
      <c r="F111" s="12" t="n">
        <v>510000</v>
      </c>
      <c r="G111" s="13" t="n">
        <v>0.65</v>
      </c>
      <c r="H111" s="13" t="n">
        <v>1.35</v>
      </c>
      <c r="I111" s="13" t="n">
        <v>0.8305</v>
      </c>
      <c r="J111" s="13" t="n">
        <v>0.53</v>
      </c>
      <c r="K111" s="12" t="n">
        <f aca="false">ROUND(F111/100*G111*H111*I111/J111,2)</f>
        <v>7012.63</v>
      </c>
      <c r="L111" s="12" t="n">
        <v>7012.63</v>
      </c>
      <c r="M111" s="12" t="n">
        <f aca="false">L111-K111</f>
        <v>0</v>
      </c>
      <c r="N111" s="3" t="s">
        <v>51</v>
      </c>
      <c r="O111" s="3" t="s">
        <v>52</v>
      </c>
    </row>
    <row r="112" customFormat="false" ht="15" hidden="false" customHeight="false" outlineLevel="0" collapsed="false">
      <c r="A112" s="14" t="s">
        <v>3404</v>
      </c>
      <c r="B112" s="14" t="s">
        <v>3508</v>
      </c>
      <c r="C112" s="14" t="s">
        <v>93</v>
      </c>
      <c r="D112" s="14" t="s">
        <v>842</v>
      </c>
      <c r="E112" s="14" t="s">
        <v>56</v>
      </c>
      <c r="F112" s="15" t="n">
        <v>285000</v>
      </c>
      <c r="G112" s="16" t="n">
        <v>0.75</v>
      </c>
      <c r="H112" s="16" t="n">
        <v>1.39</v>
      </c>
      <c r="I112" s="16" t="n">
        <v>0.8305</v>
      </c>
      <c r="J112" s="16" t="n">
        <v>0.53</v>
      </c>
      <c r="K112" s="15" t="n">
        <f aca="false">ROUND(F112/100*G112*H112*I112/J112,2)</f>
        <v>4655.7</v>
      </c>
      <c r="L112" s="15" t="n">
        <v>4655.7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3393</v>
      </c>
      <c r="B113" s="3" t="s">
        <v>3509</v>
      </c>
      <c r="C113" s="3" t="s">
        <v>237</v>
      </c>
      <c r="D113" s="3" t="s">
        <v>1063</v>
      </c>
      <c r="E113" s="3" t="s">
        <v>56</v>
      </c>
      <c r="F113" s="12" t="n">
        <v>385000</v>
      </c>
      <c r="G113" s="13" t="n">
        <v>0.75</v>
      </c>
      <c r="H113" s="13" t="n">
        <v>1.33</v>
      </c>
      <c r="I113" s="13" t="n">
        <v>0.8305</v>
      </c>
      <c r="J113" s="13" t="n">
        <v>0.53</v>
      </c>
      <c r="K113" s="12" t="n">
        <f aca="false">ROUND(F113/100*G113*H113*I113/J113,2)</f>
        <v>6017.8</v>
      </c>
      <c r="L113" s="12" t="n">
        <v>6017.79</v>
      </c>
      <c r="M113" s="12" t="n">
        <f aca="false">L113-K113</f>
        <v>-0.0100000000002183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3355</v>
      </c>
      <c r="B114" s="14" t="s">
        <v>3510</v>
      </c>
      <c r="C114" s="14" t="s">
        <v>217</v>
      </c>
      <c r="D114" s="14" t="s">
        <v>1159</v>
      </c>
      <c r="E114" s="14" t="s">
        <v>50</v>
      </c>
      <c r="F114" s="15" t="n">
        <v>415000</v>
      </c>
      <c r="G114" s="16" t="n">
        <v>1.15</v>
      </c>
      <c r="H114" s="16" t="n">
        <v>1.3</v>
      </c>
      <c r="I114" s="16" t="n">
        <v>0.8305</v>
      </c>
      <c r="J114" s="16" t="n">
        <v>0.53</v>
      </c>
      <c r="K114" s="15" t="n">
        <f aca="false">ROUND(F114/100*G114*H114*I114/J114,2)</f>
        <v>9721.94</v>
      </c>
      <c r="L114" s="15" t="n">
        <v>9721.94</v>
      </c>
      <c r="M114" s="15" t="n">
        <f aca="false">L114-K114</f>
        <v>0</v>
      </c>
      <c r="N114" s="14" t="s">
        <v>70</v>
      </c>
      <c r="O114" s="14" t="s">
        <v>52</v>
      </c>
    </row>
    <row r="115" customFormat="false" ht="15" hidden="false" customHeight="false" outlineLevel="0" collapsed="false">
      <c r="A115" s="3" t="s">
        <v>3353</v>
      </c>
      <c r="B115" s="3" t="s">
        <v>3511</v>
      </c>
      <c r="C115" s="3" t="s">
        <v>136</v>
      </c>
      <c r="D115" s="3" t="s">
        <v>3512</v>
      </c>
      <c r="E115" s="3" t="s">
        <v>74</v>
      </c>
      <c r="F115" s="12" t="n">
        <v>760000</v>
      </c>
      <c r="G115" s="13" t="n">
        <v>0.43</v>
      </c>
      <c r="H115" s="13" t="n">
        <v>1.32</v>
      </c>
      <c r="I115" s="13" t="n">
        <v>0.8305</v>
      </c>
      <c r="J115" s="13" t="n">
        <v>0.53</v>
      </c>
      <c r="K115" s="12" t="n">
        <f aca="false">ROUND(F115/100*G115*H115*I115/J115,2)</f>
        <v>6759.58</v>
      </c>
      <c r="L115" s="12" t="n">
        <v>6759.58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3489</v>
      </c>
      <c r="B116" s="14" t="s">
        <v>3513</v>
      </c>
      <c r="C116" s="14" t="s">
        <v>311</v>
      </c>
      <c r="D116" s="14" t="s">
        <v>447</v>
      </c>
      <c r="E116" s="14" t="s">
        <v>56</v>
      </c>
      <c r="F116" s="15" t="n">
        <v>155000</v>
      </c>
      <c r="G116" s="16" t="n">
        <v>0.92</v>
      </c>
      <c r="H116" s="16" t="n">
        <v>1.06</v>
      </c>
      <c r="I116" s="16" t="n">
        <v>0.8305</v>
      </c>
      <c r="J116" s="16" t="n">
        <v>0.53</v>
      </c>
      <c r="K116" s="15" t="n">
        <f aca="false">ROUND(F116/100*G116*H116*I116/J116,2)</f>
        <v>2368.59</v>
      </c>
      <c r="L116" s="15" t="n">
        <v>2368.59</v>
      </c>
      <c r="M116" s="15" t="n">
        <f aca="false">L116-K116</f>
        <v>0</v>
      </c>
      <c r="N116" s="14" t="s">
        <v>51</v>
      </c>
      <c r="O116" s="14" t="s">
        <v>52</v>
      </c>
    </row>
    <row r="117" customFormat="false" ht="15" hidden="false" customHeight="false" outlineLevel="0" collapsed="false">
      <c r="A117" s="3" t="s">
        <v>3384</v>
      </c>
      <c r="B117" s="3" t="s">
        <v>3514</v>
      </c>
      <c r="C117" s="3" t="s">
        <v>120</v>
      </c>
      <c r="D117" s="3" t="s">
        <v>617</v>
      </c>
      <c r="E117" s="3" t="s">
        <v>56</v>
      </c>
      <c r="F117" s="12" t="n">
        <v>705000</v>
      </c>
      <c r="G117" s="13" t="n">
        <v>0.65</v>
      </c>
      <c r="H117" s="13" t="n">
        <v>1.15</v>
      </c>
      <c r="I117" s="13" t="n">
        <v>0.8305</v>
      </c>
      <c r="J117" s="13" t="n">
        <v>0.53</v>
      </c>
      <c r="K117" s="12" t="n">
        <f aca="false">ROUND(F117/100*G117*H117*I117/J117,2)</f>
        <v>8257.79</v>
      </c>
      <c r="L117" s="12" t="n">
        <v>8257.79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3357</v>
      </c>
      <c r="B118" s="14" t="s">
        <v>3515</v>
      </c>
      <c r="C118" s="14" t="s">
        <v>311</v>
      </c>
      <c r="D118" s="14" t="s">
        <v>3516</v>
      </c>
      <c r="E118" s="14" t="s">
        <v>50</v>
      </c>
      <c r="F118" s="15" t="n">
        <v>835000</v>
      </c>
      <c r="G118" s="16" t="n">
        <v>0.95</v>
      </c>
      <c r="H118" s="16" t="n">
        <v>1.06</v>
      </c>
      <c r="I118" s="16" t="n">
        <v>0.8305</v>
      </c>
      <c r="J118" s="16" t="n">
        <v>0.53</v>
      </c>
      <c r="K118" s="15" t="n">
        <f aca="false">ROUND(F118/100*G118*H118*I118/J118,2)</f>
        <v>13175.88</v>
      </c>
      <c r="L118" s="15" t="n">
        <v>13175.88</v>
      </c>
      <c r="M118" s="15" t="n">
        <f aca="false">L118-K118</f>
        <v>0</v>
      </c>
      <c r="N118" s="14" t="s">
        <v>51</v>
      </c>
      <c r="O118" s="14" t="s">
        <v>52</v>
      </c>
    </row>
    <row r="119" customFormat="false" ht="15" hidden="false" customHeight="false" outlineLevel="0" collapsed="false">
      <c r="A119" s="3" t="s">
        <v>3406</v>
      </c>
      <c r="B119" s="3" t="s">
        <v>3517</v>
      </c>
      <c r="C119" s="3" t="s">
        <v>93</v>
      </c>
      <c r="D119" s="3" t="s">
        <v>3518</v>
      </c>
      <c r="E119" s="3" t="s">
        <v>56</v>
      </c>
      <c r="F119" s="12" t="n">
        <v>1190000</v>
      </c>
      <c r="G119" s="13" t="n">
        <v>0.55</v>
      </c>
      <c r="H119" s="13" t="n">
        <v>1.39</v>
      </c>
      <c r="I119" s="13" t="n">
        <v>0.8305</v>
      </c>
      <c r="J119" s="13" t="n">
        <v>0.53</v>
      </c>
      <c r="K119" s="12" t="n">
        <f aca="false">ROUND(F119/100*G119*H119*I119/J119,2)</f>
        <v>14255.69</v>
      </c>
      <c r="L119" s="12" t="n">
        <v>14255.69</v>
      </c>
      <c r="M119" s="12" t="n">
        <f aca="false">L119-K119</f>
        <v>0</v>
      </c>
      <c r="N119" s="3" t="s">
        <v>51</v>
      </c>
      <c r="O119" s="3" t="s">
        <v>52</v>
      </c>
    </row>
    <row r="120" customFormat="false" ht="15" hidden="false" customHeight="false" outlineLevel="0" collapsed="false">
      <c r="A120" s="14" t="s">
        <v>3384</v>
      </c>
      <c r="B120" s="14" t="s">
        <v>3519</v>
      </c>
      <c r="C120" s="14" t="s">
        <v>892</v>
      </c>
      <c r="D120" s="14" t="s">
        <v>1912</v>
      </c>
      <c r="E120" s="14" t="s">
        <v>50</v>
      </c>
      <c r="F120" s="15" t="n">
        <v>505000</v>
      </c>
      <c r="G120" s="16" t="n">
        <v>0.95</v>
      </c>
      <c r="H120" s="16" t="n">
        <v>1.08</v>
      </c>
      <c r="I120" s="16" t="n">
        <v>0.8305</v>
      </c>
      <c r="J120" s="16" t="n">
        <v>0.53</v>
      </c>
      <c r="K120" s="15" t="n">
        <f aca="false">ROUND(F120/100*G120*H120*I120/J120,2)</f>
        <v>8119</v>
      </c>
      <c r="L120" s="15" t="n">
        <v>8119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3421</v>
      </c>
      <c r="B121" s="3" t="s">
        <v>3520</v>
      </c>
      <c r="C121" s="3" t="s">
        <v>93</v>
      </c>
      <c r="D121" s="3" t="s">
        <v>340</v>
      </c>
      <c r="E121" s="3" t="s">
        <v>50</v>
      </c>
      <c r="F121" s="12" t="n">
        <v>905000</v>
      </c>
      <c r="G121" s="13" t="n">
        <v>0.95</v>
      </c>
      <c r="H121" s="13" t="n">
        <v>1.39</v>
      </c>
      <c r="I121" s="13" t="n">
        <v>0.8305</v>
      </c>
      <c r="J121" s="13" t="n">
        <v>0.53</v>
      </c>
      <c r="K121" s="12" t="n">
        <f aca="false">ROUND(F121/100*G121*H121*I121/J121,2)</f>
        <v>18726.25</v>
      </c>
      <c r="L121" s="12" t="n">
        <v>18726.25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3361</v>
      </c>
      <c r="B122" s="14" t="s">
        <v>3521</v>
      </c>
      <c r="C122" s="14" t="s">
        <v>892</v>
      </c>
      <c r="D122" s="14" t="s">
        <v>1702</v>
      </c>
      <c r="E122" s="14" t="s">
        <v>74</v>
      </c>
      <c r="F122" s="15" t="n">
        <v>1950000</v>
      </c>
      <c r="G122" s="16" t="n">
        <v>0.38</v>
      </c>
      <c r="H122" s="16" t="n">
        <v>1.08</v>
      </c>
      <c r="I122" s="16" t="n">
        <v>0.8305</v>
      </c>
      <c r="J122" s="16" t="n">
        <v>0.53</v>
      </c>
      <c r="K122" s="15" t="n">
        <f aca="false">ROUND(F122/100*G122*H122*I122/J122,2)</f>
        <v>12540.24</v>
      </c>
      <c r="L122" s="15" t="n">
        <v>12540.23</v>
      </c>
      <c r="M122" s="15" t="n">
        <f aca="false">L122-K122</f>
        <v>-0.0100000000002183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3421</v>
      </c>
      <c r="B123" s="3" t="s">
        <v>3522</v>
      </c>
      <c r="C123" s="3" t="s">
        <v>59</v>
      </c>
      <c r="D123" s="3" t="s">
        <v>888</v>
      </c>
      <c r="E123" s="3" t="s">
        <v>56</v>
      </c>
      <c r="F123" s="12" t="n">
        <v>330000</v>
      </c>
      <c r="G123" s="13" t="n">
        <v>0.75</v>
      </c>
      <c r="H123" s="13" t="n">
        <v>0.97</v>
      </c>
      <c r="I123" s="13" t="n">
        <v>0.8305</v>
      </c>
      <c r="J123" s="13" t="n">
        <v>0.53</v>
      </c>
      <c r="K123" s="12" t="n">
        <f aca="false">ROUND(F123/100*G123*H123*I123/J123,2)</f>
        <v>3761.93</v>
      </c>
      <c r="L123" s="12" t="n">
        <v>3761.93</v>
      </c>
      <c r="M123" s="12" t="n">
        <f aca="false">L123-K123</f>
        <v>0</v>
      </c>
      <c r="N123" s="3" t="s">
        <v>70</v>
      </c>
      <c r="O123" s="3" t="s">
        <v>52</v>
      </c>
    </row>
    <row r="124" customFormat="false" ht="15" hidden="false" customHeight="false" outlineLevel="0" collapsed="false">
      <c r="A124" s="14" t="s">
        <v>3357</v>
      </c>
      <c r="B124" s="14" t="s">
        <v>3523</v>
      </c>
      <c r="C124" s="14" t="s">
        <v>224</v>
      </c>
      <c r="D124" s="14" t="s">
        <v>507</v>
      </c>
      <c r="E124" s="14" t="s">
        <v>50</v>
      </c>
      <c r="F124" s="15" t="n">
        <v>380000</v>
      </c>
      <c r="G124" s="16" t="n">
        <v>1.15</v>
      </c>
      <c r="H124" s="16" t="n">
        <v>1.1</v>
      </c>
      <c r="I124" s="16" t="n">
        <v>0.8305</v>
      </c>
      <c r="J124" s="16" t="n">
        <v>0.53</v>
      </c>
      <c r="K124" s="15" t="n">
        <f aca="false">ROUND(F124/100*G124*H124*I124/J124,2)</f>
        <v>7532.48</v>
      </c>
      <c r="L124" s="15" t="n">
        <v>7532.48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3365</v>
      </c>
      <c r="B125" s="3" t="s">
        <v>3524</v>
      </c>
      <c r="C125" s="3" t="s">
        <v>210</v>
      </c>
      <c r="D125" s="3" t="s">
        <v>1268</v>
      </c>
      <c r="E125" s="3" t="s">
        <v>50</v>
      </c>
      <c r="F125" s="12" t="n">
        <v>830000</v>
      </c>
      <c r="G125" s="13" t="n">
        <v>0.95</v>
      </c>
      <c r="H125" s="13" t="n">
        <v>1.21</v>
      </c>
      <c r="I125" s="13" t="n">
        <v>0.8305</v>
      </c>
      <c r="J125" s="13" t="n">
        <v>0.53</v>
      </c>
      <c r="K125" s="12" t="n">
        <f aca="false">ROUND(F125/100*G125*H125*I125/J125,2)</f>
        <v>14950.33</v>
      </c>
      <c r="L125" s="12" t="n">
        <v>14950.33</v>
      </c>
      <c r="M125" s="12" t="n">
        <f aca="false">L125-K125</f>
        <v>0</v>
      </c>
      <c r="N125" s="3" t="s">
        <v>70</v>
      </c>
      <c r="O125" s="3" t="s">
        <v>52</v>
      </c>
    </row>
    <row r="126" customFormat="false" ht="15" hidden="false" customHeight="false" outlineLevel="0" collapsed="false">
      <c r="A126" s="14" t="s">
        <v>3421</v>
      </c>
      <c r="B126" s="14" t="s">
        <v>3525</v>
      </c>
      <c r="C126" s="14" t="s">
        <v>64</v>
      </c>
      <c r="D126" s="14" t="s">
        <v>730</v>
      </c>
      <c r="E126" s="14" t="s">
        <v>56</v>
      </c>
      <c r="F126" s="15" t="n">
        <v>950000</v>
      </c>
      <c r="G126" s="16" t="n">
        <v>0.65</v>
      </c>
      <c r="H126" s="16" t="n">
        <v>1.17</v>
      </c>
      <c r="I126" s="16" t="n">
        <v>0.8305</v>
      </c>
      <c r="J126" s="16" t="n">
        <v>0.53</v>
      </c>
      <c r="K126" s="15" t="n">
        <f aca="false">ROUND(F126/100*G126*H126*I126/J126,2)</f>
        <v>11321.05</v>
      </c>
      <c r="L126" s="15" t="n">
        <v>11321.04</v>
      </c>
      <c r="M126" s="15" t="n">
        <f aca="false">L126-K126</f>
        <v>-0.00999999999839929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3489</v>
      </c>
      <c r="B127" s="3" t="s">
        <v>3526</v>
      </c>
      <c r="C127" s="3" t="s">
        <v>409</v>
      </c>
      <c r="D127" s="3" t="s">
        <v>2059</v>
      </c>
      <c r="E127" s="3" t="s">
        <v>56</v>
      </c>
      <c r="F127" s="12" t="n">
        <v>485000</v>
      </c>
      <c r="G127" s="13" t="n">
        <v>0.75</v>
      </c>
      <c r="H127" s="13" t="n">
        <v>1.3</v>
      </c>
      <c r="I127" s="13" t="n">
        <v>0.8305</v>
      </c>
      <c r="J127" s="13" t="n">
        <v>0.53</v>
      </c>
      <c r="K127" s="12" t="n">
        <f aca="false">ROUND(F127/100*G127*H127*I127/J127,2)</f>
        <v>7409.86</v>
      </c>
      <c r="L127" s="12" t="n">
        <v>7409.86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3489</v>
      </c>
      <c r="B128" s="14" t="s">
        <v>3527</v>
      </c>
      <c r="C128" s="14" t="s">
        <v>409</v>
      </c>
      <c r="D128" s="14" t="s">
        <v>3528</v>
      </c>
      <c r="E128" s="14" t="s">
        <v>56</v>
      </c>
      <c r="F128" s="15" t="n">
        <v>640000</v>
      </c>
      <c r="G128" s="16" t="n">
        <v>0.65</v>
      </c>
      <c r="H128" s="16" t="n">
        <v>1.3</v>
      </c>
      <c r="I128" s="16" t="n">
        <v>0.8305</v>
      </c>
      <c r="J128" s="16" t="n">
        <v>0.53</v>
      </c>
      <c r="K128" s="15" t="n">
        <f aca="false">ROUND(F128/100*G128*H128*I128/J128,2)</f>
        <v>8474.23</v>
      </c>
      <c r="L128" s="15" t="n">
        <v>8474.23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3384</v>
      </c>
      <c r="B129" s="3" t="s">
        <v>3529</v>
      </c>
      <c r="C129" s="3" t="s">
        <v>174</v>
      </c>
      <c r="D129" s="3" t="s">
        <v>1213</v>
      </c>
      <c r="E129" s="3" t="s">
        <v>56</v>
      </c>
      <c r="F129" s="12" t="n">
        <v>890000</v>
      </c>
      <c r="G129" s="13" t="n">
        <v>0.65</v>
      </c>
      <c r="H129" s="13" t="n">
        <v>1.55</v>
      </c>
      <c r="I129" s="13" t="n">
        <v>0.8305</v>
      </c>
      <c r="J129" s="13" t="n">
        <v>0.53</v>
      </c>
      <c r="K129" s="12" t="n">
        <f aca="false">ROUND(F129/100*G129*H129*I129/J129,2)</f>
        <v>14050.73</v>
      </c>
      <c r="L129" s="12" t="n">
        <v>14050.73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3363</v>
      </c>
      <c r="B130" s="14" t="s">
        <v>3530</v>
      </c>
      <c r="C130" s="14" t="s">
        <v>159</v>
      </c>
      <c r="D130" s="14" t="s">
        <v>682</v>
      </c>
      <c r="E130" s="14" t="s">
        <v>56</v>
      </c>
      <c r="F130" s="15" t="n">
        <v>500000</v>
      </c>
      <c r="G130" s="16" t="n">
        <v>0.65</v>
      </c>
      <c r="H130" s="16" t="n">
        <v>1.15</v>
      </c>
      <c r="I130" s="16" t="n">
        <v>0.8305</v>
      </c>
      <c r="J130" s="16" t="n">
        <v>0.53</v>
      </c>
      <c r="K130" s="15" t="n">
        <f aca="false">ROUND(F130/100*G130*H130*I130/J130,2)</f>
        <v>5856.59</v>
      </c>
      <c r="L130" s="15" t="n">
        <v>5856.59</v>
      </c>
      <c r="M130" s="15" t="n">
        <f aca="false">L130-K130</f>
        <v>0</v>
      </c>
      <c r="N130" s="14" t="s">
        <v>70</v>
      </c>
      <c r="O130" s="14" t="s">
        <v>52</v>
      </c>
    </row>
    <row r="131" customFormat="false" ht="15" hidden="false" customHeight="false" outlineLevel="0" collapsed="false">
      <c r="A131" s="3" t="s">
        <v>3421</v>
      </c>
      <c r="B131" s="3" t="s">
        <v>3531</v>
      </c>
      <c r="C131" s="3" t="s">
        <v>326</v>
      </c>
      <c r="D131" s="3" t="s">
        <v>1292</v>
      </c>
      <c r="E131" s="3" t="s">
        <v>56</v>
      </c>
      <c r="F131" s="12" t="n">
        <v>710000</v>
      </c>
      <c r="G131" s="13" t="n">
        <v>0.65</v>
      </c>
      <c r="H131" s="13" t="n">
        <v>1.12</v>
      </c>
      <c r="I131" s="13" t="n">
        <v>0.8305</v>
      </c>
      <c r="J131" s="13" t="n">
        <v>0.53</v>
      </c>
      <c r="K131" s="12" t="n">
        <f aca="false">ROUND(F131/100*G131*H131*I131/J131,2)</f>
        <v>8099.41</v>
      </c>
      <c r="L131" s="12" t="n">
        <v>8099.41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3355</v>
      </c>
      <c r="B132" s="14" t="s">
        <v>3532</v>
      </c>
      <c r="C132" s="14" t="s">
        <v>210</v>
      </c>
      <c r="D132" s="14" t="s">
        <v>2910</v>
      </c>
      <c r="E132" s="14" t="s">
        <v>56</v>
      </c>
      <c r="F132" s="15" t="n">
        <v>875000</v>
      </c>
      <c r="G132" s="16" t="n">
        <v>0.65</v>
      </c>
      <c r="H132" s="16" t="n">
        <v>1.21</v>
      </c>
      <c r="I132" s="16" t="n">
        <v>0.8305</v>
      </c>
      <c r="J132" s="16" t="n">
        <v>0.53</v>
      </c>
      <c r="K132" s="15" t="n">
        <f aca="false">ROUND(F132/100*G132*H132*I132/J132,2)</f>
        <v>10783.77</v>
      </c>
      <c r="L132" s="15" t="n">
        <v>10783.77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3351</v>
      </c>
      <c r="B133" s="3" t="s">
        <v>3533</v>
      </c>
      <c r="C133" s="3" t="s">
        <v>210</v>
      </c>
      <c r="D133" s="3" t="s">
        <v>3344</v>
      </c>
      <c r="E133" s="3" t="s">
        <v>74</v>
      </c>
      <c r="F133" s="12" t="n">
        <v>1015000</v>
      </c>
      <c r="G133" s="13" t="n">
        <v>0.38</v>
      </c>
      <c r="H133" s="13" t="n">
        <v>1.21</v>
      </c>
      <c r="I133" s="13" t="n">
        <v>0.8305</v>
      </c>
      <c r="J133" s="13" t="n">
        <v>0.53</v>
      </c>
      <c r="K133" s="12" t="n">
        <f aca="false">ROUND(F133/100*G133*H133*I133/J133,2)</f>
        <v>7313.05</v>
      </c>
      <c r="L133" s="12" t="n">
        <v>7313.05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3455</v>
      </c>
      <c r="B134" s="14" t="s">
        <v>3534</v>
      </c>
      <c r="C134" s="14" t="s">
        <v>117</v>
      </c>
      <c r="D134" s="14" t="s">
        <v>1335</v>
      </c>
      <c r="E134" s="14" t="s">
        <v>56</v>
      </c>
      <c r="F134" s="15" t="n">
        <v>805000</v>
      </c>
      <c r="G134" s="16" t="n">
        <v>0.65</v>
      </c>
      <c r="H134" s="16" t="n">
        <v>0.91</v>
      </c>
      <c r="I134" s="16" t="n">
        <v>0.8305</v>
      </c>
      <c r="J134" s="16" t="n">
        <v>0.53</v>
      </c>
      <c r="K134" s="15" t="n">
        <f aca="false">ROUND(F134/100*G134*H134*I134/J134,2)</f>
        <v>7461.3</v>
      </c>
      <c r="L134" s="15" t="n">
        <v>7461.3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3411</v>
      </c>
      <c r="B135" s="3" t="s">
        <v>3535</v>
      </c>
      <c r="C135" s="3" t="s">
        <v>184</v>
      </c>
      <c r="D135" s="3" t="s">
        <v>2354</v>
      </c>
      <c r="E135" s="3" t="s">
        <v>56</v>
      </c>
      <c r="F135" s="12" t="n">
        <v>805000</v>
      </c>
      <c r="G135" s="13" t="n">
        <v>0.65</v>
      </c>
      <c r="H135" s="13" t="n">
        <v>1.02</v>
      </c>
      <c r="I135" s="13" t="n">
        <v>0.8305</v>
      </c>
      <c r="J135" s="13" t="n">
        <v>0.53</v>
      </c>
      <c r="K135" s="12" t="n">
        <f aca="false">ROUND(F135/100*G135*H135*I135/J135,2)</f>
        <v>8363.21</v>
      </c>
      <c r="L135" s="12" t="n">
        <v>8363.21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3408</v>
      </c>
      <c r="B136" s="14" t="s">
        <v>3536</v>
      </c>
      <c r="C136" s="14" t="s">
        <v>159</v>
      </c>
      <c r="D136" s="14" t="s">
        <v>283</v>
      </c>
      <c r="E136" s="14" t="s">
        <v>56</v>
      </c>
      <c r="F136" s="15" t="n">
        <v>850000</v>
      </c>
      <c r="G136" s="16" t="n">
        <v>0.65</v>
      </c>
      <c r="H136" s="16" t="n">
        <v>1.15</v>
      </c>
      <c r="I136" s="16" t="n">
        <v>0.8305</v>
      </c>
      <c r="J136" s="16" t="n">
        <v>0.53</v>
      </c>
      <c r="K136" s="15" t="n">
        <f aca="false">ROUND(F136/100*G136*H136*I136/J136,2)</f>
        <v>9956.21</v>
      </c>
      <c r="L136" s="15" t="n">
        <v>9956.21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3401</v>
      </c>
      <c r="B137" s="3" t="s">
        <v>3537</v>
      </c>
      <c r="C137" s="3" t="s">
        <v>159</v>
      </c>
      <c r="D137" s="3" t="s">
        <v>747</v>
      </c>
      <c r="E137" s="3" t="s">
        <v>56</v>
      </c>
      <c r="F137" s="12" t="n">
        <v>340000</v>
      </c>
      <c r="G137" s="13" t="n">
        <v>0.75</v>
      </c>
      <c r="H137" s="13" t="n">
        <v>1.15</v>
      </c>
      <c r="I137" s="13" t="n">
        <v>0.8305</v>
      </c>
      <c r="J137" s="13" t="n">
        <v>0.53</v>
      </c>
      <c r="K137" s="12" t="n">
        <f aca="false">ROUND(F137/100*G137*H137*I137/J137,2)</f>
        <v>4595.17</v>
      </c>
      <c r="L137" s="12" t="n">
        <v>4595.17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3489</v>
      </c>
      <c r="B138" s="14" t="s">
        <v>3538</v>
      </c>
      <c r="C138" s="14" t="s">
        <v>892</v>
      </c>
      <c r="D138" s="14" t="s">
        <v>1352</v>
      </c>
      <c r="E138" s="14" t="s">
        <v>50</v>
      </c>
      <c r="F138" s="15" t="n">
        <v>1210000</v>
      </c>
      <c r="G138" s="16" t="n">
        <v>0.8</v>
      </c>
      <c r="H138" s="16" t="n">
        <v>1.08</v>
      </c>
      <c r="I138" s="16" t="n">
        <v>0.8305</v>
      </c>
      <c r="J138" s="16" t="n">
        <v>0.53</v>
      </c>
      <c r="K138" s="15" t="n">
        <f aca="false">ROUND(F138/100*G138*H138*I138/J138,2)</f>
        <v>16381.85</v>
      </c>
      <c r="L138" s="15" t="n">
        <v>16381.85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3489</v>
      </c>
      <c r="B139" s="3" t="s">
        <v>3539</v>
      </c>
      <c r="C139" s="3" t="s">
        <v>139</v>
      </c>
      <c r="D139" s="3" t="s">
        <v>1754</v>
      </c>
      <c r="E139" s="3" t="s">
        <v>56</v>
      </c>
      <c r="F139" s="12" t="n">
        <v>305000</v>
      </c>
      <c r="G139" s="13" t="n">
        <v>0.75</v>
      </c>
      <c r="H139" s="13" t="n">
        <v>1.23</v>
      </c>
      <c r="I139" s="13" t="n">
        <v>0.8305</v>
      </c>
      <c r="J139" s="13" t="n">
        <v>0.53</v>
      </c>
      <c r="K139" s="12" t="n">
        <f aca="false">ROUND(F139/100*G139*H139*I139/J139,2)</f>
        <v>4408.9</v>
      </c>
      <c r="L139" s="12" t="n">
        <v>4408.9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3365</v>
      </c>
      <c r="B140" s="14" t="s">
        <v>3540</v>
      </c>
      <c r="C140" s="14" t="s">
        <v>224</v>
      </c>
      <c r="D140" s="14" t="s">
        <v>3541</v>
      </c>
      <c r="E140" s="14" t="s">
        <v>56</v>
      </c>
      <c r="F140" s="15" t="n">
        <v>195000</v>
      </c>
      <c r="G140" s="16" t="n">
        <v>0.92</v>
      </c>
      <c r="H140" s="16" t="n">
        <v>1.1</v>
      </c>
      <c r="I140" s="16" t="n">
        <v>0.8305</v>
      </c>
      <c r="J140" s="16" t="n">
        <v>0.53</v>
      </c>
      <c r="K140" s="15" t="n">
        <f aca="false">ROUND(F140/100*G140*H140*I140/J140,2)</f>
        <v>3092.28</v>
      </c>
      <c r="L140" s="15" t="n">
        <v>3092.28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3401</v>
      </c>
      <c r="B141" s="3" t="s">
        <v>3542</v>
      </c>
      <c r="C141" s="3" t="s">
        <v>266</v>
      </c>
      <c r="D141" s="3" t="s">
        <v>798</v>
      </c>
      <c r="E141" s="3" t="s">
        <v>56</v>
      </c>
      <c r="F141" s="12" t="n">
        <v>310000</v>
      </c>
      <c r="G141" s="13" t="n">
        <v>0.75</v>
      </c>
      <c r="H141" s="13" t="n">
        <v>1.1</v>
      </c>
      <c r="I141" s="13" t="n">
        <v>0.8305</v>
      </c>
      <c r="J141" s="13" t="n">
        <v>0.53</v>
      </c>
      <c r="K141" s="12" t="n">
        <f aca="false">ROUND(F141/100*G141*H141*I141/J141,2)</f>
        <v>4007.55</v>
      </c>
      <c r="L141" s="12" t="n">
        <v>4007.55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3423</v>
      </c>
      <c r="B142" s="14" t="s">
        <v>3543</v>
      </c>
      <c r="C142" s="14" t="s">
        <v>159</v>
      </c>
      <c r="D142" s="14" t="s">
        <v>1527</v>
      </c>
      <c r="E142" s="14" t="s">
        <v>56</v>
      </c>
      <c r="F142" s="15" t="n">
        <v>1025000</v>
      </c>
      <c r="G142" s="16" t="n">
        <v>0.55</v>
      </c>
      <c r="H142" s="16" t="n">
        <v>1.15</v>
      </c>
      <c r="I142" s="16" t="n">
        <v>0.8305</v>
      </c>
      <c r="J142" s="16" t="n">
        <v>0.53</v>
      </c>
      <c r="K142" s="15" t="n">
        <f aca="false">ROUND(F142/100*G142*H142*I142/J142,2)</f>
        <v>10158.93</v>
      </c>
      <c r="L142" s="15" t="n">
        <v>10158.93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3393</v>
      </c>
      <c r="B143" s="3" t="s">
        <v>3544</v>
      </c>
      <c r="C143" s="3" t="s">
        <v>89</v>
      </c>
      <c r="D143" s="3" t="s">
        <v>276</v>
      </c>
      <c r="E143" s="3" t="s">
        <v>56</v>
      </c>
      <c r="F143" s="12" t="n">
        <v>720000</v>
      </c>
      <c r="G143" s="13" t="n">
        <v>0.65</v>
      </c>
      <c r="H143" s="13" t="n">
        <v>1.35</v>
      </c>
      <c r="I143" s="13" t="n">
        <v>0.8305</v>
      </c>
      <c r="J143" s="13" t="n">
        <v>0.53</v>
      </c>
      <c r="K143" s="12" t="n">
        <f aca="false">ROUND(F143/100*G143*H143*I143/J143,2)</f>
        <v>9900.19</v>
      </c>
      <c r="L143" s="12" t="n">
        <v>9900.18</v>
      </c>
      <c r="M143" s="12" t="n">
        <f aca="false">L143-K143</f>
        <v>-0.0100000000002183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3391</v>
      </c>
      <c r="B144" s="14" t="s">
        <v>3545</v>
      </c>
      <c r="C144" s="14" t="s">
        <v>85</v>
      </c>
      <c r="D144" s="14" t="s">
        <v>1935</v>
      </c>
      <c r="E144" s="14" t="s">
        <v>56</v>
      </c>
      <c r="F144" s="15" t="n">
        <v>615000</v>
      </c>
      <c r="G144" s="16" t="n">
        <v>0.65</v>
      </c>
      <c r="H144" s="16" t="n">
        <v>1.28</v>
      </c>
      <c r="I144" s="16" t="n">
        <v>0.8305</v>
      </c>
      <c r="J144" s="16" t="n">
        <v>0.53</v>
      </c>
      <c r="K144" s="15" t="n">
        <f aca="false">ROUND(F144/100*G144*H144*I144/J144,2)</f>
        <v>8017.93</v>
      </c>
      <c r="L144" s="15" t="n">
        <v>8017.93</v>
      </c>
      <c r="M144" s="15" t="n">
        <f aca="false">L144-K144</f>
        <v>0</v>
      </c>
      <c r="N144" s="14" t="s">
        <v>51</v>
      </c>
      <c r="O144" s="14" t="s">
        <v>52</v>
      </c>
    </row>
    <row r="145" customFormat="false" ht="15" hidden="false" customHeight="false" outlineLevel="0" collapsed="false">
      <c r="A145" s="3" t="s">
        <v>3351</v>
      </c>
      <c r="B145" s="3" t="s">
        <v>3546</v>
      </c>
      <c r="C145" s="3" t="s">
        <v>237</v>
      </c>
      <c r="D145" s="3" t="s">
        <v>1186</v>
      </c>
      <c r="E145" s="3" t="s">
        <v>56</v>
      </c>
      <c r="F145" s="12" t="n">
        <v>1000000</v>
      </c>
      <c r="G145" s="13" t="n">
        <v>0.55</v>
      </c>
      <c r="H145" s="13" t="n">
        <v>1.33</v>
      </c>
      <c r="I145" s="13" t="n">
        <v>0.8305</v>
      </c>
      <c r="J145" s="13" t="n">
        <v>0.53</v>
      </c>
      <c r="K145" s="12" t="n">
        <f aca="false">ROUND(F145/100*G145*H145*I145/J145,2)</f>
        <v>11462.47</v>
      </c>
      <c r="L145" s="12" t="n">
        <v>11462.47</v>
      </c>
      <c r="M145" s="12" t="n">
        <f aca="false">L145-K145</f>
        <v>0</v>
      </c>
      <c r="N145" s="3" t="s">
        <v>51</v>
      </c>
      <c r="O145" s="3" t="s">
        <v>52</v>
      </c>
    </row>
    <row r="146" customFormat="false" ht="15" hidden="false" customHeight="false" outlineLevel="0" collapsed="false">
      <c r="A146" s="14" t="s">
        <v>3437</v>
      </c>
      <c r="B146" s="14" t="s">
        <v>3547</v>
      </c>
      <c r="C146" s="14" t="s">
        <v>326</v>
      </c>
      <c r="D146" s="14" t="s">
        <v>1016</v>
      </c>
      <c r="E146" s="14" t="s">
        <v>56</v>
      </c>
      <c r="F146" s="15" t="n">
        <v>530000</v>
      </c>
      <c r="G146" s="16" t="n">
        <v>0.65</v>
      </c>
      <c r="H146" s="16" t="n">
        <v>1.12</v>
      </c>
      <c r="I146" s="16" t="n">
        <v>0.8305</v>
      </c>
      <c r="J146" s="16" t="n">
        <v>0.53</v>
      </c>
      <c r="K146" s="15" t="n">
        <f aca="false">ROUND(F146/100*G146*H146*I146/J146,2)</f>
        <v>6046.04</v>
      </c>
      <c r="L146" s="15" t="n">
        <v>6046.04</v>
      </c>
      <c r="M146" s="15" t="n">
        <f aca="false">L146-K146</f>
        <v>0</v>
      </c>
      <c r="N146" s="14" t="s">
        <v>51</v>
      </c>
      <c r="O146" s="14" t="s">
        <v>52</v>
      </c>
    </row>
    <row r="147" customFormat="false" ht="15" hidden="false" customHeight="false" outlineLevel="0" collapsed="false">
      <c r="A147" s="3" t="s">
        <v>3370</v>
      </c>
      <c r="B147" s="3" t="s">
        <v>3548</v>
      </c>
      <c r="C147" s="3" t="s">
        <v>326</v>
      </c>
      <c r="D147" s="3" t="s">
        <v>1422</v>
      </c>
      <c r="E147" s="3" t="s">
        <v>56</v>
      </c>
      <c r="F147" s="12" t="n">
        <v>350000</v>
      </c>
      <c r="G147" s="13" t="n">
        <v>0.75</v>
      </c>
      <c r="H147" s="13" t="n">
        <v>1.12</v>
      </c>
      <c r="I147" s="13" t="n">
        <v>0.8305</v>
      </c>
      <c r="J147" s="13" t="n">
        <v>0.53</v>
      </c>
      <c r="K147" s="12" t="n">
        <f aca="false">ROUND(F147/100*G147*H147*I147/J147,2)</f>
        <v>4606.92</v>
      </c>
      <c r="L147" s="12" t="n">
        <v>4606.92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3425</v>
      </c>
      <c r="B148" s="14" t="s">
        <v>3549</v>
      </c>
      <c r="C148" s="14" t="s">
        <v>89</v>
      </c>
      <c r="D148" s="14" t="s">
        <v>3550</v>
      </c>
      <c r="E148" s="14" t="s">
        <v>74</v>
      </c>
      <c r="F148" s="15" t="n">
        <v>390000</v>
      </c>
      <c r="G148" s="16" t="n">
        <v>0.48</v>
      </c>
      <c r="H148" s="16" t="n">
        <v>1.35</v>
      </c>
      <c r="I148" s="16" t="n">
        <v>0.8305</v>
      </c>
      <c r="J148" s="16" t="n">
        <v>0.53</v>
      </c>
      <c r="K148" s="15" t="n">
        <f aca="false">ROUND(F148/100*G148*H148*I148/J148,2)</f>
        <v>3960.07</v>
      </c>
      <c r="L148" s="15" t="n">
        <v>3960.07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3393</v>
      </c>
      <c r="B149" s="3" t="s">
        <v>3551</v>
      </c>
      <c r="C149" s="3" t="s">
        <v>48</v>
      </c>
      <c r="D149" s="3" t="s">
        <v>3552</v>
      </c>
      <c r="E149" s="3" t="s">
        <v>56</v>
      </c>
      <c r="F149" s="12" t="n">
        <v>1500000</v>
      </c>
      <c r="G149" s="13" t="n">
        <v>0.55</v>
      </c>
      <c r="H149" s="13" t="n">
        <v>1.28</v>
      </c>
      <c r="I149" s="13" t="n">
        <v>0.8305</v>
      </c>
      <c r="J149" s="13" t="n">
        <v>0.53</v>
      </c>
      <c r="K149" s="12" t="n">
        <f aca="false">ROUND(F149/100*G149*H149*I149/J149,2)</f>
        <v>16547.32</v>
      </c>
      <c r="L149" s="12" t="n">
        <v>16547.32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3401</v>
      </c>
      <c r="B150" s="14" t="s">
        <v>3553</v>
      </c>
      <c r="C150" s="14" t="s">
        <v>300</v>
      </c>
      <c r="D150" s="14" t="s">
        <v>1587</v>
      </c>
      <c r="E150" s="14" t="s">
        <v>74</v>
      </c>
      <c r="F150" s="15" t="n">
        <v>560000</v>
      </c>
      <c r="G150" s="16" t="n">
        <v>0.43</v>
      </c>
      <c r="H150" s="16" t="n">
        <v>1.11</v>
      </c>
      <c r="I150" s="16" t="n">
        <v>0.8305</v>
      </c>
      <c r="J150" s="16" t="n">
        <v>0.53</v>
      </c>
      <c r="K150" s="15" t="n">
        <f aca="false">ROUND(F150/100*G150*H150*I150/J150,2)</f>
        <v>4188.35</v>
      </c>
      <c r="L150" s="15" t="n">
        <v>4188.35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3355</v>
      </c>
      <c r="B151" s="3" t="s">
        <v>3554</v>
      </c>
      <c r="C151" s="3" t="s">
        <v>59</v>
      </c>
      <c r="D151" s="3" t="s">
        <v>1000</v>
      </c>
      <c r="E151" s="3" t="s">
        <v>56</v>
      </c>
      <c r="F151" s="12" t="n">
        <v>445000</v>
      </c>
      <c r="G151" s="13" t="n">
        <v>0.75</v>
      </c>
      <c r="H151" s="13" t="n">
        <v>0.97</v>
      </c>
      <c r="I151" s="13" t="n">
        <v>0.8305</v>
      </c>
      <c r="J151" s="13" t="n">
        <v>0.53</v>
      </c>
      <c r="K151" s="12" t="n">
        <f aca="false">ROUND(F151/100*G151*H151*I151/J151,2)</f>
        <v>5072.91</v>
      </c>
      <c r="L151" s="12" t="n">
        <v>5072.9</v>
      </c>
      <c r="M151" s="12" t="n">
        <f aca="false">L151-K151</f>
        <v>-0.0100000000002183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3432</v>
      </c>
      <c r="B152" s="14" t="s">
        <v>3555</v>
      </c>
      <c r="C152" s="14" t="s">
        <v>300</v>
      </c>
      <c r="D152" s="14" t="s">
        <v>3556</v>
      </c>
      <c r="E152" s="14" t="s">
        <v>50</v>
      </c>
      <c r="F152" s="15" t="n">
        <v>1045000</v>
      </c>
      <c r="G152" s="16" t="n">
        <v>0.8</v>
      </c>
      <c r="H152" s="16" t="n">
        <v>1.11</v>
      </c>
      <c r="I152" s="16" t="n">
        <v>0.8305</v>
      </c>
      <c r="J152" s="16" t="n">
        <v>0.53</v>
      </c>
      <c r="K152" s="15" t="n">
        <f aca="false">ROUND(F152/100*G152*H152*I152/J152,2)</f>
        <v>14540.96</v>
      </c>
      <c r="L152" s="15" t="n">
        <v>14540.96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3393</v>
      </c>
      <c r="B153" s="3" t="s">
        <v>3557</v>
      </c>
      <c r="C153" s="3" t="s">
        <v>117</v>
      </c>
      <c r="D153" s="3" t="s">
        <v>1154</v>
      </c>
      <c r="E153" s="3" t="s">
        <v>50</v>
      </c>
      <c r="F153" s="12" t="n">
        <v>585000</v>
      </c>
      <c r="G153" s="13" t="n">
        <v>0.95</v>
      </c>
      <c r="H153" s="13" t="n">
        <v>0.91</v>
      </c>
      <c r="I153" s="13" t="n">
        <v>0.8305</v>
      </c>
      <c r="J153" s="13" t="n">
        <v>0.53</v>
      </c>
      <c r="K153" s="12" t="n">
        <f aca="false">ROUND(F153/100*G153*H153*I153/J153,2)</f>
        <v>7924.73</v>
      </c>
      <c r="L153" s="12" t="n">
        <v>7924.73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3357</v>
      </c>
      <c r="B154" s="14" t="s">
        <v>3558</v>
      </c>
      <c r="C154" s="14" t="s">
        <v>278</v>
      </c>
      <c r="D154" s="14" t="s">
        <v>256</v>
      </c>
      <c r="E154" s="14" t="s">
        <v>56</v>
      </c>
      <c r="F154" s="15" t="n">
        <v>455000</v>
      </c>
      <c r="G154" s="16" t="n">
        <v>0.75</v>
      </c>
      <c r="H154" s="16" t="n">
        <v>0.98</v>
      </c>
      <c r="I154" s="16" t="n">
        <v>0.8305</v>
      </c>
      <c r="J154" s="16" t="n">
        <v>0.53</v>
      </c>
      <c r="K154" s="15" t="n">
        <f aca="false">ROUND(F154/100*G154*H154*I154/J154,2)</f>
        <v>5240.38</v>
      </c>
      <c r="L154" s="15" t="n">
        <v>5240.38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3388</v>
      </c>
      <c r="B155" s="3" t="s">
        <v>3559</v>
      </c>
      <c r="C155" s="3" t="s">
        <v>275</v>
      </c>
      <c r="D155" s="3" t="s">
        <v>1341</v>
      </c>
      <c r="E155" s="3" t="s">
        <v>56</v>
      </c>
      <c r="F155" s="12" t="n">
        <v>545000</v>
      </c>
      <c r="G155" s="13" t="n">
        <v>0.65</v>
      </c>
      <c r="H155" s="13" t="n">
        <v>1.19</v>
      </c>
      <c r="I155" s="13" t="n">
        <v>0.8305</v>
      </c>
      <c r="J155" s="13" t="n">
        <v>0.53</v>
      </c>
      <c r="K155" s="12" t="n">
        <f aca="false">ROUND(F155/100*G155*H155*I155/J155,2)</f>
        <v>6605.73</v>
      </c>
      <c r="L155" s="12" t="n">
        <v>6605.73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3404</v>
      </c>
      <c r="B156" s="14" t="s">
        <v>3560</v>
      </c>
      <c r="C156" s="14" t="s">
        <v>300</v>
      </c>
      <c r="D156" s="14" t="s">
        <v>1684</v>
      </c>
      <c r="E156" s="14" t="s">
        <v>50</v>
      </c>
      <c r="F156" s="15" t="n">
        <v>925000</v>
      </c>
      <c r="G156" s="16" t="n">
        <v>0.95</v>
      </c>
      <c r="H156" s="16" t="n">
        <v>1.11</v>
      </c>
      <c r="I156" s="16" t="n">
        <v>0.8305</v>
      </c>
      <c r="J156" s="16" t="n">
        <v>0.53</v>
      </c>
      <c r="K156" s="15" t="n">
        <f aca="false">ROUND(F156/100*G156*H156*I156/J156,2)</f>
        <v>15284.53</v>
      </c>
      <c r="L156" s="15" t="n">
        <v>15284.53</v>
      </c>
      <c r="M156" s="15" t="n">
        <f aca="false">L156-K156</f>
        <v>0</v>
      </c>
      <c r="N156" s="14" t="s">
        <v>51</v>
      </c>
      <c r="O156" s="14" t="s">
        <v>52</v>
      </c>
    </row>
    <row r="157" customFormat="false" ht="15" hidden="false" customHeight="false" outlineLevel="0" collapsed="false">
      <c r="A157" s="3" t="s">
        <v>3378</v>
      </c>
      <c r="B157" s="3" t="s">
        <v>3561</v>
      </c>
      <c r="C157" s="3" t="s">
        <v>295</v>
      </c>
      <c r="D157" s="3" t="s">
        <v>745</v>
      </c>
      <c r="E157" s="3" t="s">
        <v>56</v>
      </c>
      <c r="F157" s="12" t="n">
        <v>355000</v>
      </c>
      <c r="G157" s="13" t="n">
        <v>0.75</v>
      </c>
      <c r="H157" s="13" t="n">
        <v>1.2</v>
      </c>
      <c r="I157" s="13" t="n">
        <v>0.8305</v>
      </c>
      <c r="J157" s="13" t="n">
        <v>0.53</v>
      </c>
      <c r="K157" s="12" t="n">
        <f aca="false">ROUND(F157/100*G157*H157*I157/J157,2)</f>
        <v>5006.5</v>
      </c>
      <c r="L157" s="12" t="n">
        <v>5006.5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3370</v>
      </c>
      <c r="B158" s="14" t="s">
        <v>3562</v>
      </c>
      <c r="C158" s="14" t="s">
        <v>108</v>
      </c>
      <c r="D158" s="14" t="s">
        <v>1301</v>
      </c>
      <c r="E158" s="14" t="s">
        <v>56</v>
      </c>
      <c r="F158" s="15" t="n">
        <v>610000</v>
      </c>
      <c r="G158" s="16" t="n">
        <v>0.65</v>
      </c>
      <c r="H158" s="16" t="n">
        <v>0.93</v>
      </c>
      <c r="I158" s="16" t="n">
        <v>0.8305</v>
      </c>
      <c r="J158" s="16" t="n">
        <v>0.53</v>
      </c>
      <c r="K158" s="15" t="n">
        <f aca="false">ROUND(F158/100*G158*H158*I158/J158,2)</f>
        <v>5778.16</v>
      </c>
      <c r="L158" s="15" t="n">
        <v>5778.16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3393</v>
      </c>
      <c r="B159" s="3" t="s">
        <v>3563</v>
      </c>
      <c r="C159" s="3" t="s">
        <v>59</v>
      </c>
      <c r="D159" s="3" t="s">
        <v>1043</v>
      </c>
      <c r="E159" s="3" t="s">
        <v>50</v>
      </c>
      <c r="F159" s="12" t="n">
        <v>1305000</v>
      </c>
      <c r="G159" s="13" t="n">
        <v>0.8</v>
      </c>
      <c r="H159" s="13" t="n">
        <v>0.97</v>
      </c>
      <c r="I159" s="13" t="n">
        <v>0.8305</v>
      </c>
      <c r="J159" s="13" t="n">
        <v>0.53</v>
      </c>
      <c r="K159" s="12" t="n">
        <f aca="false">ROUND(F159/100*G159*H159*I159/J159,2)</f>
        <v>15868.5</v>
      </c>
      <c r="L159" s="12" t="n">
        <v>15868.5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3437</v>
      </c>
      <c r="B160" s="14" t="s">
        <v>3564</v>
      </c>
      <c r="C160" s="14" t="s">
        <v>142</v>
      </c>
      <c r="D160" s="14" t="s">
        <v>2509</v>
      </c>
      <c r="E160" s="14" t="s">
        <v>50</v>
      </c>
      <c r="F160" s="15" t="n">
        <v>520000</v>
      </c>
      <c r="G160" s="16" t="n">
        <v>0.95</v>
      </c>
      <c r="H160" s="16" t="n">
        <v>1.22</v>
      </c>
      <c r="I160" s="16" t="n">
        <v>0.8305</v>
      </c>
      <c r="J160" s="16" t="n">
        <v>0.53</v>
      </c>
      <c r="K160" s="15" t="n">
        <f aca="false">ROUND(F160/100*G160*H160*I160/J160,2)</f>
        <v>9443.88</v>
      </c>
      <c r="L160" s="15" t="n">
        <v>9443.88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3372</v>
      </c>
      <c r="B161" s="3" t="s">
        <v>3565</v>
      </c>
      <c r="C161" s="3" t="s">
        <v>220</v>
      </c>
      <c r="D161" s="3" t="s">
        <v>2764</v>
      </c>
      <c r="E161" s="3" t="s">
        <v>56</v>
      </c>
      <c r="F161" s="12" t="n">
        <v>350000</v>
      </c>
      <c r="G161" s="13" t="n">
        <v>0.75</v>
      </c>
      <c r="H161" s="13" t="n">
        <v>1.01</v>
      </c>
      <c r="I161" s="13" t="n">
        <v>0.8305</v>
      </c>
      <c r="J161" s="13" t="n">
        <v>0.53</v>
      </c>
      <c r="K161" s="12" t="n">
        <f aca="false">ROUND(F161/100*G161*H161*I161/J161,2)</f>
        <v>4154.46</v>
      </c>
      <c r="L161" s="12" t="n">
        <v>4154.46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3365</v>
      </c>
      <c r="B162" s="14" t="s">
        <v>3566</v>
      </c>
      <c r="C162" s="14" t="s">
        <v>89</v>
      </c>
      <c r="D162" s="14" t="s">
        <v>800</v>
      </c>
      <c r="E162" s="14" t="s">
        <v>56</v>
      </c>
      <c r="F162" s="15" t="n">
        <v>410000</v>
      </c>
      <c r="G162" s="16" t="n">
        <v>0.75</v>
      </c>
      <c r="H162" s="16" t="n">
        <v>1.35</v>
      </c>
      <c r="I162" s="16" t="n">
        <v>0.8305</v>
      </c>
      <c r="J162" s="16" t="n">
        <v>0.53</v>
      </c>
      <c r="K162" s="15" t="n">
        <f aca="false">ROUND(F162/100*G162*H162*I162/J162,2)</f>
        <v>6504.93</v>
      </c>
      <c r="L162" s="15" t="n">
        <v>6504.93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3404</v>
      </c>
      <c r="B163" s="3" t="s">
        <v>3567</v>
      </c>
      <c r="C163" s="3" t="s">
        <v>169</v>
      </c>
      <c r="D163" s="3" t="s">
        <v>396</v>
      </c>
      <c r="E163" s="3" t="s">
        <v>56</v>
      </c>
      <c r="F163" s="12" t="n">
        <v>255000</v>
      </c>
      <c r="G163" s="13" t="n">
        <v>0.75</v>
      </c>
      <c r="H163" s="13" t="n">
        <v>1.07</v>
      </c>
      <c r="I163" s="13" t="n">
        <v>0.8305</v>
      </c>
      <c r="J163" s="13" t="n">
        <v>0.53</v>
      </c>
      <c r="K163" s="12" t="n">
        <f aca="false">ROUND(F163/100*G163*H163*I163/J163,2)</f>
        <v>3206.63</v>
      </c>
      <c r="L163" s="12" t="n">
        <v>3206.63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3361</v>
      </c>
      <c r="B164" s="14" t="s">
        <v>3568</v>
      </c>
      <c r="C164" s="14" t="s">
        <v>224</v>
      </c>
      <c r="D164" s="14" t="s">
        <v>231</v>
      </c>
      <c r="E164" s="14" t="s">
        <v>56</v>
      </c>
      <c r="F164" s="15" t="n">
        <v>485000</v>
      </c>
      <c r="G164" s="16" t="n">
        <v>0.75</v>
      </c>
      <c r="H164" s="16" t="n">
        <v>1.1</v>
      </c>
      <c r="I164" s="16" t="n">
        <v>0.8305</v>
      </c>
      <c r="J164" s="16" t="n">
        <v>0.53</v>
      </c>
      <c r="K164" s="15" t="n">
        <f aca="false">ROUND(F164/100*G164*H164*I164/J164,2)</f>
        <v>6269.88</v>
      </c>
      <c r="L164" s="15" t="n">
        <v>6269.88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3404</v>
      </c>
      <c r="B165" s="3" t="s">
        <v>3569</v>
      </c>
      <c r="C165" s="3" t="s">
        <v>278</v>
      </c>
      <c r="D165" s="3" t="s">
        <v>800</v>
      </c>
      <c r="E165" s="3" t="s">
        <v>56</v>
      </c>
      <c r="F165" s="12" t="n">
        <v>1950000</v>
      </c>
      <c r="G165" s="13" t="n">
        <v>0.55</v>
      </c>
      <c r="H165" s="13" t="n">
        <v>0.98</v>
      </c>
      <c r="I165" s="13" t="n">
        <v>0.8305</v>
      </c>
      <c r="J165" s="13" t="n">
        <v>0.53</v>
      </c>
      <c r="K165" s="12" t="n">
        <f aca="false">ROUND(F165/100*G165*H165*I165/J165,2)</f>
        <v>16469.76</v>
      </c>
      <c r="L165" s="12" t="n">
        <v>16469.75</v>
      </c>
      <c r="M165" s="12" t="n">
        <f aca="false">L165-K165</f>
        <v>-0.00999999999839929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3408</v>
      </c>
      <c r="B166" s="14" t="s">
        <v>3570</v>
      </c>
      <c r="C166" s="14" t="s">
        <v>435</v>
      </c>
      <c r="D166" s="14" t="s">
        <v>3571</v>
      </c>
      <c r="E166" s="14" t="s">
        <v>74</v>
      </c>
      <c r="F166" s="15" t="n">
        <v>1120000</v>
      </c>
      <c r="G166" s="16" t="n">
        <v>0.38</v>
      </c>
      <c r="H166" s="16" t="n">
        <v>1.13</v>
      </c>
      <c r="I166" s="16" t="n">
        <v>0.8305</v>
      </c>
      <c r="J166" s="16" t="n">
        <v>0.53</v>
      </c>
      <c r="K166" s="15" t="n">
        <f aca="false">ROUND(F166/100*G166*H166*I166/J166,2)</f>
        <v>7536.05</v>
      </c>
      <c r="L166" s="15" t="n">
        <v>7536.05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3361</v>
      </c>
      <c r="B167" s="3" t="s">
        <v>3572</v>
      </c>
      <c r="C167" s="3" t="s">
        <v>300</v>
      </c>
      <c r="D167" s="3" t="s">
        <v>537</v>
      </c>
      <c r="E167" s="3" t="s">
        <v>74</v>
      </c>
      <c r="F167" s="12" t="n">
        <v>350000</v>
      </c>
      <c r="G167" s="13" t="n">
        <v>0.48</v>
      </c>
      <c r="H167" s="13" t="n">
        <v>1.11</v>
      </c>
      <c r="I167" s="13" t="n">
        <v>0.8305</v>
      </c>
      <c r="J167" s="13" t="n">
        <v>0.53</v>
      </c>
      <c r="K167" s="12" t="n">
        <f aca="false">ROUND(F167/100*G167*H167*I167/J167,2)</f>
        <v>2922.11</v>
      </c>
      <c r="L167" s="12" t="n">
        <v>2922.11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3408</v>
      </c>
      <c r="B168" s="14" t="s">
        <v>3573</v>
      </c>
      <c r="C168" s="14" t="s">
        <v>152</v>
      </c>
      <c r="D168" s="14" t="s">
        <v>476</v>
      </c>
      <c r="E168" s="14" t="s">
        <v>56</v>
      </c>
      <c r="F168" s="15" t="n">
        <v>460000</v>
      </c>
      <c r="G168" s="16" t="n">
        <v>0.75</v>
      </c>
      <c r="H168" s="16" t="n">
        <v>1</v>
      </c>
      <c r="I168" s="16" t="n">
        <v>0.8305</v>
      </c>
      <c r="J168" s="16" t="n">
        <v>0.53</v>
      </c>
      <c r="K168" s="15" t="n">
        <f aca="false">ROUND(F168/100*G168*H168*I168/J168,2)</f>
        <v>5406.08</v>
      </c>
      <c r="L168" s="15" t="n">
        <v>5406.08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3380</v>
      </c>
      <c r="B169" s="3" t="s">
        <v>3574</v>
      </c>
      <c r="C169" s="3" t="s">
        <v>184</v>
      </c>
      <c r="D169" s="3" t="s">
        <v>709</v>
      </c>
      <c r="E169" s="3" t="s">
        <v>56</v>
      </c>
      <c r="F169" s="12" t="n">
        <v>330000</v>
      </c>
      <c r="G169" s="13" t="n">
        <v>0.75</v>
      </c>
      <c r="H169" s="13" t="n">
        <v>1.02</v>
      </c>
      <c r="I169" s="13" t="n">
        <v>0.8305</v>
      </c>
      <c r="J169" s="13" t="n">
        <v>0.53</v>
      </c>
      <c r="K169" s="12" t="n">
        <f aca="false">ROUND(F169/100*G169*H169*I169/J169,2)</f>
        <v>3955.84</v>
      </c>
      <c r="L169" s="12" t="n">
        <v>3955.85</v>
      </c>
      <c r="M169" s="12" t="n">
        <f aca="false">L169-K169</f>
        <v>0.00999999999976353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3404</v>
      </c>
      <c r="B170" s="14" t="s">
        <v>3575</v>
      </c>
      <c r="C170" s="14" t="s">
        <v>81</v>
      </c>
      <c r="D170" s="14" t="s">
        <v>338</v>
      </c>
      <c r="E170" s="14" t="s">
        <v>56</v>
      </c>
      <c r="F170" s="15" t="n">
        <v>720000</v>
      </c>
      <c r="G170" s="16" t="n">
        <v>0.65</v>
      </c>
      <c r="H170" s="16" t="n">
        <v>1.27</v>
      </c>
      <c r="I170" s="16" t="n">
        <v>0.8305</v>
      </c>
      <c r="J170" s="16" t="n">
        <v>0.53</v>
      </c>
      <c r="K170" s="15" t="n">
        <f aca="false">ROUND(F170/100*G170*H170*I170/J170,2)</f>
        <v>9313.51</v>
      </c>
      <c r="L170" s="15" t="n">
        <v>9313.51</v>
      </c>
      <c r="M170" s="15" t="n">
        <f aca="false">L170-K170</f>
        <v>0</v>
      </c>
      <c r="N170" s="14" t="s">
        <v>51</v>
      </c>
      <c r="O170" s="14" t="s">
        <v>52</v>
      </c>
    </row>
    <row r="171" customFormat="false" ht="15" hidden="false" customHeight="false" outlineLevel="0" collapsed="false">
      <c r="A171" s="3" t="s">
        <v>3406</v>
      </c>
      <c r="B171" s="3" t="s">
        <v>3576</v>
      </c>
      <c r="C171" s="3" t="s">
        <v>117</v>
      </c>
      <c r="D171" s="3" t="s">
        <v>3577</v>
      </c>
      <c r="E171" s="3" t="s">
        <v>74</v>
      </c>
      <c r="F171" s="12" t="n">
        <v>470000</v>
      </c>
      <c r="G171" s="13" t="n">
        <v>0.48</v>
      </c>
      <c r="H171" s="13" t="n">
        <v>0.91</v>
      </c>
      <c r="I171" s="13" t="n">
        <v>0.8305</v>
      </c>
      <c r="J171" s="13" t="n">
        <v>0.53</v>
      </c>
      <c r="K171" s="12" t="n">
        <f aca="false">ROUND(F171/100*G171*H171*I171/J171,2)</f>
        <v>3216.95</v>
      </c>
      <c r="L171" s="12" t="n">
        <v>3216.95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3370</v>
      </c>
      <c r="B172" s="14" t="s">
        <v>3578</v>
      </c>
      <c r="C172" s="14" t="s">
        <v>159</v>
      </c>
      <c r="D172" s="14" t="s">
        <v>1883</v>
      </c>
      <c r="E172" s="14" t="s">
        <v>56</v>
      </c>
      <c r="F172" s="15" t="n">
        <v>670000</v>
      </c>
      <c r="G172" s="16" t="n">
        <v>0.65</v>
      </c>
      <c r="H172" s="16" t="n">
        <v>1.15</v>
      </c>
      <c r="I172" s="16" t="n">
        <v>0.8305</v>
      </c>
      <c r="J172" s="16" t="n">
        <v>0.53</v>
      </c>
      <c r="K172" s="15" t="n">
        <f aca="false">ROUND(F172/100*G172*H172*I172/J172,2)</f>
        <v>7847.83</v>
      </c>
      <c r="L172" s="15" t="n">
        <v>7847.83</v>
      </c>
      <c r="M172" s="15" t="n">
        <f aca="false">L172-K172</f>
        <v>0</v>
      </c>
      <c r="N172" s="14" t="s">
        <v>51</v>
      </c>
      <c r="O172" s="14" t="s">
        <v>52</v>
      </c>
    </row>
    <row r="173" customFormat="false" ht="15" hidden="false" customHeight="false" outlineLevel="0" collapsed="false">
      <c r="A173" s="3" t="s">
        <v>3388</v>
      </c>
      <c r="B173" s="3" t="s">
        <v>3579</v>
      </c>
      <c r="C173" s="3" t="s">
        <v>159</v>
      </c>
      <c r="D173" s="3" t="s">
        <v>1498</v>
      </c>
      <c r="E173" s="3" t="s">
        <v>56</v>
      </c>
      <c r="F173" s="12" t="n">
        <v>710000</v>
      </c>
      <c r="G173" s="13" t="n">
        <v>0.65</v>
      </c>
      <c r="H173" s="13" t="n">
        <v>1.15</v>
      </c>
      <c r="I173" s="13" t="n">
        <v>0.8305</v>
      </c>
      <c r="J173" s="13" t="n">
        <v>0.53</v>
      </c>
      <c r="K173" s="12" t="n">
        <f aca="false">ROUND(F173/100*G173*H173*I173/J173,2)</f>
        <v>8316.36</v>
      </c>
      <c r="L173" s="12" t="n">
        <v>8316.36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3361</v>
      </c>
      <c r="B174" s="14" t="s">
        <v>3580</v>
      </c>
      <c r="C174" s="14" t="s">
        <v>117</v>
      </c>
      <c r="D174" s="14" t="s">
        <v>791</v>
      </c>
      <c r="E174" s="14" t="s">
        <v>56</v>
      </c>
      <c r="F174" s="15" t="n">
        <v>195000</v>
      </c>
      <c r="G174" s="16" t="n">
        <v>0.92</v>
      </c>
      <c r="H174" s="16" t="n">
        <v>0.91</v>
      </c>
      <c r="I174" s="16" t="n">
        <v>0.8305</v>
      </c>
      <c r="J174" s="16" t="n">
        <v>0.53</v>
      </c>
      <c r="K174" s="15" t="n">
        <f aca="false">ROUND(F174/100*G174*H174*I174/J174,2)</f>
        <v>2558.16</v>
      </c>
      <c r="L174" s="15" t="n">
        <v>2558.16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3372</v>
      </c>
      <c r="B175" s="3" t="s">
        <v>3581</v>
      </c>
      <c r="C175" s="3" t="s">
        <v>366</v>
      </c>
      <c r="D175" s="3" t="s">
        <v>3051</v>
      </c>
      <c r="E175" s="3" t="s">
        <v>56</v>
      </c>
      <c r="F175" s="12" t="n">
        <v>230000</v>
      </c>
      <c r="G175" s="13" t="n">
        <v>0.92</v>
      </c>
      <c r="H175" s="13" t="n">
        <v>1.26</v>
      </c>
      <c r="I175" s="13" t="n">
        <v>0.8305</v>
      </c>
      <c r="J175" s="13" t="n">
        <v>0.53</v>
      </c>
      <c r="K175" s="12" t="n">
        <f aca="false">ROUND(F175/100*G175*H175*I175/J175,2)</f>
        <v>4177.82</v>
      </c>
      <c r="L175" s="12" t="n">
        <v>4177.82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3437</v>
      </c>
      <c r="B176" s="14" t="s">
        <v>3582</v>
      </c>
      <c r="C176" s="14" t="s">
        <v>409</v>
      </c>
      <c r="D176" s="14" t="s">
        <v>634</v>
      </c>
      <c r="E176" s="14" t="s">
        <v>56</v>
      </c>
      <c r="F176" s="15" t="n">
        <v>555000</v>
      </c>
      <c r="G176" s="16" t="n">
        <v>0.65</v>
      </c>
      <c r="H176" s="16" t="n">
        <v>1.3</v>
      </c>
      <c r="I176" s="16" t="n">
        <v>0.8305</v>
      </c>
      <c r="J176" s="16" t="n">
        <v>0.53</v>
      </c>
      <c r="K176" s="15" t="n">
        <f aca="false">ROUND(F176/100*G176*H176*I176/J176,2)</f>
        <v>7348.75</v>
      </c>
      <c r="L176" s="15" t="n">
        <v>7348.75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3411</v>
      </c>
      <c r="B177" s="3" t="s">
        <v>3583</v>
      </c>
      <c r="C177" s="3" t="s">
        <v>77</v>
      </c>
      <c r="D177" s="3" t="s">
        <v>2757</v>
      </c>
      <c r="E177" s="3" t="s">
        <v>56</v>
      </c>
      <c r="F177" s="12" t="n">
        <v>860000</v>
      </c>
      <c r="G177" s="13" t="n">
        <v>0.65</v>
      </c>
      <c r="H177" s="13" t="n">
        <v>1.42</v>
      </c>
      <c r="I177" s="13" t="n">
        <v>0.8305</v>
      </c>
      <c r="J177" s="13" t="n">
        <v>0.53</v>
      </c>
      <c r="K177" s="12" t="n">
        <f aca="false">ROUND(F177/100*G177*H177*I177/J177,2)</f>
        <v>12438.38</v>
      </c>
      <c r="L177" s="12" t="n">
        <v>12438.38</v>
      </c>
      <c r="M177" s="12" t="n">
        <f aca="false">L177-K177</f>
        <v>0</v>
      </c>
      <c r="N177" s="3" t="s">
        <v>51</v>
      </c>
      <c r="O177" s="3" t="s">
        <v>52</v>
      </c>
    </row>
    <row r="178" customFormat="false" ht="15" hidden="false" customHeight="false" outlineLevel="0" collapsed="false">
      <c r="A178" s="14" t="s">
        <v>3351</v>
      </c>
      <c r="B178" s="14" t="s">
        <v>3584</v>
      </c>
      <c r="C178" s="14" t="s">
        <v>184</v>
      </c>
      <c r="D178" s="14" t="s">
        <v>3585</v>
      </c>
      <c r="E178" s="14" t="s">
        <v>56</v>
      </c>
      <c r="F178" s="15" t="n">
        <v>470000</v>
      </c>
      <c r="G178" s="16" t="n">
        <v>0.75</v>
      </c>
      <c r="H178" s="16" t="n">
        <v>1.02</v>
      </c>
      <c r="I178" s="16" t="n">
        <v>0.8305</v>
      </c>
      <c r="J178" s="16" t="n">
        <v>0.53</v>
      </c>
      <c r="K178" s="15" t="n">
        <f aca="false">ROUND(F178/100*G178*H178*I178/J178,2)</f>
        <v>5634.08</v>
      </c>
      <c r="L178" s="15" t="n">
        <v>5634.08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3437</v>
      </c>
      <c r="B179" s="3" t="s">
        <v>3586</v>
      </c>
      <c r="C179" s="3" t="s">
        <v>210</v>
      </c>
      <c r="D179" s="3" t="s">
        <v>3587</v>
      </c>
      <c r="E179" s="3" t="s">
        <v>74</v>
      </c>
      <c r="F179" s="12" t="n">
        <v>450000</v>
      </c>
      <c r="G179" s="13" t="n">
        <v>0.48</v>
      </c>
      <c r="H179" s="13" t="n">
        <v>1.21</v>
      </c>
      <c r="I179" s="13" t="n">
        <v>0.8305</v>
      </c>
      <c r="J179" s="13" t="n">
        <v>0.53</v>
      </c>
      <c r="K179" s="12" t="n">
        <f aca="false">ROUND(F179/100*G179*H179*I179/J179,2)</f>
        <v>4095.46</v>
      </c>
      <c r="L179" s="12" t="n">
        <v>4095.46</v>
      </c>
      <c r="M179" s="12" t="n">
        <f aca="false">L179-K179</f>
        <v>0</v>
      </c>
      <c r="N179" s="3" t="s">
        <v>70</v>
      </c>
      <c r="O179" s="3" t="s">
        <v>52</v>
      </c>
    </row>
    <row r="180" customFormat="false" ht="15" hidden="false" customHeight="false" outlineLevel="0" collapsed="false">
      <c r="A180" s="14" t="s">
        <v>3393</v>
      </c>
      <c r="B180" s="14" t="s">
        <v>3588</v>
      </c>
      <c r="C180" s="14" t="s">
        <v>210</v>
      </c>
      <c r="D180" s="14" t="s">
        <v>146</v>
      </c>
      <c r="E180" s="14" t="s">
        <v>56</v>
      </c>
      <c r="F180" s="15" t="n">
        <v>840000</v>
      </c>
      <c r="G180" s="16" t="n">
        <v>0.65</v>
      </c>
      <c r="H180" s="16" t="n">
        <v>1.21</v>
      </c>
      <c r="I180" s="16" t="n">
        <v>0.8305</v>
      </c>
      <c r="J180" s="16" t="n">
        <v>0.53</v>
      </c>
      <c r="K180" s="15" t="n">
        <f aca="false">ROUND(F180/100*G180*H180*I180/J180,2)</f>
        <v>10352.42</v>
      </c>
      <c r="L180" s="15" t="n">
        <v>10352.42</v>
      </c>
      <c r="M180" s="15" t="n">
        <f aca="false">L180-K180</f>
        <v>0</v>
      </c>
      <c r="N180" s="14" t="s">
        <v>51</v>
      </c>
      <c r="O180" s="14" t="s">
        <v>52</v>
      </c>
    </row>
    <row r="181" customFormat="false" ht="15" hidden="false" customHeight="false" outlineLevel="0" collapsed="false">
      <c r="A181" s="3" t="s">
        <v>3384</v>
      </c>
      <c r="B181" s="3" t="s">
        <v>3589</v>
      </c>
      <c r="C181" s="3" t="s">
        <v>48</v>
      </c>
      <c r="D181" s="3" t="s">
        <v>3590</v>
      </c>
      <c r="E181" s="3" t="s">
        <v>133</v>
      </c>
      <c r="F181" s="12" t="n">
        <v>415000</v>
      </c>
      <c r="G181" s="13" t="n">
        <v>0.42</v>
      </c>
      <c r="H181" s="13" t="n">
        <v>1.28</v>
      </c>
      <c r="I181" s="13" t="n">
        <v>0.8305</v>
      </c>
      <c r="J181" s="13" t="n">
        <v>0.53</v>
      </c>
      <c r="K181" s="12" t="n">
        <f aca="false">ROUND(F181/100*G181*H181*I181/J181,2)</f>
        <v>3496</v>
      </c>
      <c r="L181" s="12" t="n">
        <v>3496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3359</v>
      </c>
      <c r="B182" s="14" t="s">
        <v>3591</v>
      </c>
      <c r="C182" s="14" t="s">
        <v>48</v>
      </c>
      <c r="D182" s="14" t="s">
        <v>1702</v>
      </c>
      <c r="E182" s="14" t="s">
        <v>74</v>
      </c>
      <c r="F182" s="15" t="n">
        <v>515000</v>
      </c>
      <c r="G182" s="16" t="n">
        <v>0.43</v>
      </c>
      <c r="H182" s="16" t="n">
        <v>1.28</v>
      </c>
      <c r="I182" s="16" t="n">
        <v>0.8305</v>
      </c>
      <c r="J182" s="16" t="n">
        <v>0.53</v>
      </c>
      <c r="K182" s="15" t="n">
        <f aca="false">ROUND(F182/100*G182*H182*I182/J182,2)</f>
        <v>4441.7</v>
      </c>
      <c r="L182" s="15" t="n">
        <v>4441.71</v>
      </c>
      <c r="M182" s="15" t="n">
        <f aca="false">L182-K182</f>
        <v>0.0100000000002183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3372</v>
      </c>
      <c r="B183" s="3" t="s">
        <v>3592</v>
      </c>
      <c r="C183" s="3" t="s">
        <v>266</v>
      </c>
      <c r="D183" s="3" t="s">
        <v>2383</v>
      </c>
      <c r="E183" s="3" t="s">
        <v>56</v>
      </c>
      <c r="F183" s="12" t="n">
        <v>715000</v>
      </c>
      <c r="G183" s="13" t="n">
        <v>0.65</v>
      </c>
      <c r="H183" s="13" t="n">
        <v>1.1</v>
      </c>
      <c r="I183" s="13" t="n">
        <v>0.8305</v>
      </c>
      <c r="J183" s="13" t="n">
        <v>0.53</v>
      </c>
      <c r="K183" s="12" t="n">
        <f aca="false">ROUND(F183/100*G183*H183*I183/J183,2)</f>
        <v>8010.8</v>
      </c>
      <c r="L183" s="12" t="n">
        <v>8010.8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3353</v>
      </c>
      <c r="B184" s="14" t="s">
        <v>3593</v>
      </c>
      <c r="C184" s="14" t="s">
        <v>224</v>
      </c>
      <c r="D184" s="14" t="s">
        <v>3594</v>
      </c>
      <c r="E184" s="14" t="s">
        <v>50</v>
      </c>
      <c r="F184" s="15" t="n">
        <v>520000</v>
      </c>
      <c r="G184" s="16" t="n">
        <v>0.95</v>
      </c>
      <c r="H184" s="16" t="n">
        <v>1.1</v>
      </c>
      <c r="I184" s="16" t="n">
        <v>0.8305</v>
      </c>
      <c r="J184" s="16" t="n">
        <v>0.53</v>
      </c>
      <c r="K184" s="15" t="n">
        <f aca="false">ROUND(F184/100*G184*H184*I184/J184,2)</f>
        <v>8514.98</v>
      </c>
      <c r="L184" s="15" t="n">
        <v>8514.98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3384</v>
      </c>
      <c r="B185" s="3" t="s">
        <v>3595</v>
      </c>
      <c r="C185" s="3" t="s">
        <v>224</v>
      </c>
      <c r="D185" s="3" t="s">
        <v>2199</v>
      </c>
      <c r="E185" s="3" t="s">
        <v>56</v>
      </c>
      <c r="F185" s="12" t="n">
        <v>300000</v>
      </c>
      <c r="G185" s="13" t="n">
        <v>0.75</v>
      </c>
      <c r="H185" s="13" t="n">
        <v>1.1</v>
      </c>
      <c r="I185" s="13" t="n">
        <v>0.8305</v>
      </c>
      <c r="J185" s="13" t="n">
        <v>0.53</v>
      </c>
      <c r="K185" s="12" t="n">
        <f aca="false">ROUND(F185/100*G185*H185*I185/J185,2)</f>
        <v>3878.28</v>
      </c>
      <c r="L185" s="12" t="n">
        <v>3878.28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3425</v>
      </c>
      <c r="B186" s="14" t="s">
        <v>3596</v>
      </c>
      <c r="C186" s="14" t="s">
        <v>89</v>
      </c>
      <c r="D186" s="14" t="s">
        <v>666</v>
      </c>
      <c r="E186" s="14" t="s">
        <v>50</v>
      </c>
      <c r="F186" s="15" t="n">
        <v>230000</v>
      </c>
      <c r="G186" s="16" t="n">
        <v>1.42</v>
      </c>
      <c r="H186" s="16" t="n">
        <v>1.35</v>
      </c>
      <c r="I186" s="16" t="n">
        <v>0.8305</v>
      </c>
      <c r="J186" s="16" t="n">
        <v>0.53</v>
      </c>
      <c r="K186" s="15" t="n">
        <f aca="false">ROUND(F186/100*G186*H186*I186/J186,2)</f>
        <v>6908.98</v>
      </c>
      <c r="L186" s="15" t="n">
        <v>6908.98</v>
      </c>
      <c r="M186" s="15" t="n">
        <f aca="false">L186-K186</f>
        <v>0</v>
      </c>
      <c r="N186" s="14" t="s">
        <v>70</v>
      </c>
      <c r="O186" s="14" t="s">
        <v>52</v>
      </c>
    </row>
    <row r="187" customFormat="false" ht="15" hidden="false" customHeight="false" outlineLevel="0" collapsed="false">
      <c r="A187" s="3" t="s">
        <v>3432</v>
      </c>
      <c r="B187" s="3" t="s">
        <v>3597</v>
      </c>
      <c r="C187" s="3" t="s">
        <v>224</v>
      </c>
      <c r="D187" s="3" t="s">
        <v>373</v>
      </c>
      <c r="E187" s="3" t="s">
        <v>56</v>
      </c>
      <c r="F187" s="12" t="n">
        <v>555000</v>
      </c>
      <c r="G187" s="13" t="n">
        <v>0.65</v>
      </c>
      <c r="H187" s="13" t="n">
        <v>1.1</v>
      </c>
      <c r="I187" s="13" t="n">
        <v>0.8305</v>
      </c>
      <c r="J187" s="13" t="n">
        <v>0.53</v>
      </c>
      <c r="K187" s="12" t="n">
        <f aca="false">ROUND(F187/100*G187*H187*I187/J187,2)</f>
        <v>6218.17</v>
      </c>
      <c r="L187" s="12" t="n">
        <v>6218.17</v>
      </c>
      <c r="M187" s="12" t="n">
        <f aca="false">L187-K187</f>
        <v>0</v>
      </c>
      <c r="N187" s="3" t="s">
        <v>51</v>
      </c>
      <c r="O187" s="3" t="s">
        <v>52</v>
      </c>
    </row>
    <row r="188" customFormat="false" ht="15" hidden="false" customHeight="false" outlineLevel="0" collapsed="false">
      <c r="A188" s="14" t="s">
        <v>3411</v>
      </c>
      <c r="B188" s="14" t="s">
        <v>3598</v>
      </c>
      <c r="C188" s="14" t="s">
        <v>266</v>
      </c>
      <c r="D188" s="14" t="s">
        <v>1990</v>
      </c>
      <c r="E188" s="14" t="s">
        <v>74</v>
      </c>
      <c r="F188" s="15" t="n">
        <v>295000</v>
      </c>
      <c r="G188" s="16" t="n">
        <v>0.48</v>
      </c>
      <c r="H188" s="16" t="n">
        <v>1.1</v>
      </c>
      <c r="I188" s="16" t="n">
        <v>0.8305</v>
      </c>
      <c r="J188" s="16" t="n">
        <v>0.53</v>
      </c>
      <c r="K188" s="15" t="n">
        <f aca="false">ROUND(F188/100*G188*H188*I188/J188,2)</f>
        <v>2440.73</v>
      </c>
      <c r="L188" s="15" t="n">
        <v>2440.73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3370</v>
      </c>
      <c r="B189" s="3" t="s">
        <v>3599</v>
      </c>
      <c r="C189" s="3" t="s">
        <v>159</v>
      </c>
      <c r="D189" s="3" t="s">
        <v>826</v>
      </c>
      <c r="E189" s="3" t="s">
        <v>56</v>
      </c>
      <c r="F189" s="12" t="n">
        <v>265000</v>
      </c>
      <c r="G189" s="13" t="n">
        <v>0.75</v>
      </c>
      <c r="H189" s="13" t="n">
        <v>1.15</v>
      </c>
      <c r="I189" s="13" t="n">
        <v>0.8305</v>
      </c>
      <c r="J189" s="13" t="n">
        <v>0.53</v>
      </c>
      <c r="K189" s="12" t="n">
        <f aca="false">ROUND(F189/100*G189*H189*I189/J189,2)</f>
        <v>3581.53</v>
      </c>
      <c r="L189" s="12" t="n">
        <v>3581.53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3437</v>
      </c>
      <c r="B190" s="14" t="s">
        <v>3600</v>
      </c>
      <c r="C190" s="14" t="s">
        <v>128</v>
      </c>
      <c r="D190" s="14" t="s">
        <v>1238</v>
      </c>
      <c r="E190" s="14" t="s">
        <v>56</v>
      </c>
      <c r="F190" s="15" t="n">
        <v>540000</v>
      </c>
      <c r="G190" s="16" t="n">
        <v>0.65</v>
      </c>
      <c r="H190" s="16" t="n">
        <v>1.25</v>
      </c>
      <c r="I190" s="16" t="n">
        <v>0.8305</v>
      </c>
      <c r="J190" s="16" t="n">
        <v>0.53</v>
      </c>
      <c r="K190" s="15" t="n">
        <f aca="false">ROUND(F190/100*G190*H190*I190/J190,2)</f>
        <v>6875.13</v>
      </c>
      <c r="L190" s="15" t="n">
        <v>6875.13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3404</v>
      </c>
      <c r="B191" s="3" t="s">
        <v>3601</v>
      </c>
      <c r="C191" s="3" t="s">
        <v>409</v>
      </c>
      <c r="D191" s="3" t="s">
        <v>2115</v>
      </c>
      <c r="E191" s="3" t="s">
        <v>50</v>
      </c>
      <c r="F191" s="12" t="n">
        <v>415000</v>
      </c>
      <c r="G191" s="13" t="n">
        <v>1.15</v>
      </c>
      <c r="H191" s="13" t="n">
        <v>1.3</v>
      </c>
      <c r="I191" s="13" t="n">
        <v>0.8305</v>
      </c>
      <c r="J191" s="13" t="n">
        <v>0.53</v>
      </c>
      <c r="K191" s="12" t="n">
        <f aca="false">ROUND(F191/100*G191*H191*I191/J191,2)</f>
        <v>9721.94</v>
      </c>
      <c r="L191" s="12" t="n">
        <v>9721.94</v>
      </c>
      <c r="M191" s="12" t="n">
        <f aca="false">L191-K191</f>
        <v>0</v>
      </c>
      <c r="N191" s="3" t="s">
        <v>70</v>
      </c>
      <c r="O191" s="3" t="s">
        <v>52</v>
      </c>
    </row>
    <row r="192" customFormat="false" ht="15" hidden="false" customHeight="false" outlineLevel="0" collapsed="false">
      <c r="A192" s="14" t="s">
        <v>3416</v>
      </c>
      <c r="B192" s="14" t="s">
        <v>3602</v>
      </c>
      <c r="C192" s="14" t="s">
        <v>159</v>
      </c>
      <c r="D192" s="14" t="s">
        <v>449</v>
      </c>
      <c r="E192" s="14" t="s">
        <v>50</v>
      </c>
      <c r="F192" s="15" t="n">
        <v>720000</v>
      </c>
      <c r="G192" s="16" t="n">
        <v>0.95</v>
      </c>
      <c r="H192" s="16" t="n">
        <v>1.15</v>
      </c>
      <c r="I192" s="16" t="n">
        <v>0.8305</v>
      </c>
      <c r="J192" s="16" t="n">
        <v>0.53</v>
      </c>
      <c r="K192" s="15" t="n">
        <f aca="false">ROUND(F192/100*G192*H192*I192/J192,2)</f>
        <v>12325.87</v>
      </c>
      <c r="L192" s="15" t="n">
        <v>12325.87</v>
      </c>
      <c r="M192" s="15" t="n">
        <f aca="false">L192-K192</f>
        <v>0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3432</v>
      </c>
      <c r="B193" s="3" t="s">
        <v>3603</v>
      </c>
      <c r="C193" s="3" t="s">
        <v>217</v>
      </c>
      <c r="D193" s="3" t="s">
        <v>199</v>
      </c>
      <c r="E193" s="3" t="s">
        <v>56</v>
      </c>
      <c r="F193" s="12" t="n">
        <v>925000</v>
      </c>
      <c r="G193" s="13" t="n">
        <v>0.65</v>
      </c>
      <c r="H193" s="13" t="n">
        <v>1.3</v>
      </c>
      <c r="I193" s="13" t="n">
        <v>0.8305</v>
      </c>
      <c r="J193" s="13" t="n">
        <v>0.53</v>
      </c>
      <c r="K193" s="12" t="n">
        <f aca="false">ROUND(F193/100*G193*H193*I193/J193,2)</f>
        <v>12247.92</v>
      </c>
      <c r="L193" s="12" t="n">
        <v>12247.92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3353</v>
      </c>
      <c r="B194" s="14" t="s">
        <v>3604</v>
      </c>
      <c r="C194" s="14" t="s">
        <v>230</v>
      </c>
      <c r="D194" s="14" t="s">
        <v>1156</v>
      </c>
      <c r="E194" s="14" t="s">
        <v>56</v>
      </c>
      <c r="F194" s="15" t="n">
        <v>250000</v>
      </c>
      <c r="G194" s="16" t="n">
        <v>0.75</v>
      </c>
      <c r="H194" s="16" t="n">
        <v>1.09</v>
      </c>
      <c r="I194" s="16" t="n">
        <v>0.8305</v>
      </c>
      <c r="J194" s="16" t="n">
        <v>0.53</v>
      </c>
      <c r="K194" s="15" t="n">
        <f aca="false">ROUND(F194/100*G194*H194*I194/J194,2)</f>
        <v>3202.52</v>
      </c>
      <c r="L194" s="15" t="n">
        <v>3202.52</v>
      </c>
      <c r="M194" s="15" t="n">
        <f aca="false">L194-K194</f>
        <v>0</v>
      </c>
      <c r="N194" s="14" t="s">
        <v>51</v>
      </c>
      <c r="O194" s="14" t="s">
        <v>52</v>
      </c>
    </row>
    <row r="195" customFormat="false" ht="15" hidden="false" customHeight="false" outlineLevel="0" collapsed="false">
      <c r="A195" s="3" t="s">
        <v>3368</v>
      </c>
      <c r="B195" s="3" t="s">
        <v>3605</v>
      </c>
      <c r="C195" s="3" t="s">
        <v>89</v>
      </c>
      <c r="D195" s="3" t="s">
        <v>2045</v>
      </c>
      <c r="E195" s="3" t="s">
        <v>56</v>
      </c>
      <c r="F195" s="12" t="n">
        <v>895000</v>
      </c>
      <c r="G195" s="13" t="n">
        <v>0.65</v>
      </c>
      <c r="H195" s="13" t="n">
        <v>1.35</v>
      </c>
      <c r="I195" s="13" t="n">
        <v>0.8305</v>
      </c>
      <c r="J195" s="13" t="n">
        <v>0.53</v>
      </c>
      <c r="K195" s="12" t="n">
        <f aca="false">ROUND(F195/100*G195*H195*I195/J195,2)</f>
        <v>12306.48</v>
      </c>
      <c r="L195" s="12" t="n">
        <v>12306.48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3380</v>
      </c>
      <c r="B196" s="14" t="s">
        <v>3606</v>
      </c>
      <c r="C196" s="14" t="s">
        <v>892</v>
      </c>
      <c r="D196" s="14" t="s">
        <v>546</v>
      </c>
      <c r="E196" s="14" t="s">
        <v>133</v>
      </c>
      <c r="F196" s="15" t="n">
        <v>525000</v>
      </c>
      <c r="G196" s="16" t="n">
        <v>0.38</v>
      </c>
      <c r="H196" s="16" t="n">
        <v>1.08</v>
      </c>
      <c r="I196" s="16" t="n">
        <v>0.8305</v>
      </c>
      <c r="J196" s="16" t="n">
        <v>0.53</v>
      </c>
      <c r="K196" s="15" t="n">
        <f aca="false">ROUND(F196/100*G196*H196*I196/J196,2)</f>
        <v>3376.22</v>
      </c>
      <c r="L196" s="15" t="n">
        <v>3376.22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3421</v>
      </c>
      <c r="B197" s="3" t="s">
        <v>3607</v>
      </c>
      <c r="C197" s="3" t="s">
        <v>105</v>
      </c>
      <c r="D197" s="3" t="s">
        <v>1457</v>
      </c>
      <c r="E197" s="3" t="s">
        <v>157</v>
      </c>
      <c r="F197" s="12" t="n">
        <v>560000</v>
      </c>
      <c r="G197" s="13" t="n">
        <v>0.78</v>
      </c>
      <c r="H197" s="13" t="n">
        <v>0.99</v>
      </c>
      <c r="I197" s="13" t="n">
        <v>0.8305</v>
      </c>
      <c r="J197" s="13" t="n">
        <v>0.53</v>
      </c>
      <c r="K197" s="12" t="n">
        <f aca="false">ROUND(F197/100*G197*H197*I197/J197,2)</f>
        <v>6776.13</v>
      </c>
      <c r="L197" s="12" t="n">
        <v>6776.12</v>
      </c>
      <c r="M197" s="12" t="n">
        <f aca="false">L197-K197</f>
        <v>-0.0100000000002183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3355</v>
      </c>
      <c r="B198" s="14" t="s">
        <v>3608</v>
      </c>
      <c r="C198" s="14" t="s">
        <v>409</v>
      </c>
      <c r="D198" s="14" t="s">
        <v>1892</v>
      </c>
      <c r="E198" s="14" t="s">
        <v>74</v>
      </c>
      <c r="F198" s="15" t="n">
        <v>730000</v>
      </c>
      <c r="G198" s="16" t="n">
        <v>0.43</v>
      </c>
      <c r="H198" s="16" t="n">
        <v>1.3</v>
      </c>
      <c r="I198" s="16" t="n">
        <v>0.8305</v>
      </c>
      <c r="J198" s="16" t="n">
        <v>0.53</v>
      </c>
      <c r="K198" s="15" t="n">
        <f aca="false">ROUND(F198/100*G198*H198*I198/J198,2)</f>
        <v>6394.38</v>
      </c>
      <c r="L198" s="15" t="n">
        <v>6394.38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3455</v>
      </c>
      <c r="B199" s="3" t="s">
        <v>3609</v>
      </c>
      <c r="C199" s="3" t="s">
        <v>188</v>
      </c>
      <c r="D199" s="3" t="s">
        <v>82</v>
      </c>
      <c r="E199" s="3" t="s">
        <v>50</v>
      </c>
      <c r="F199" s="12" t="n">
        <v>730000</v>
      </c>
      <c r="G199" s="13" t="n">
        <v>0.95</v>
      </c>
      <c r="H199" s="13" t="n">
        <v>1.35</v>
      </c>
      <c r="I199" s="13" t="n">
        <v>0.8305</v>
      </c>
      <c r="J199" s="13" t="n">
        <v>0.53</v>
      </c>
      <c r="K199" s="12" t="n">
        <f aca="false">ROUND(F199/100*G199*H199*I199/J199,2)</f>
        <v>14670.47</v>
      </c>
      <c r="L199" s="12" t="n">
        <v>14670.47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3384</v>
      </c>
      <c r="B200" s="14" t="s">
        <v>3610</v>
      </c>
      <c r="C200" s="14" t="s">
        <v>93</v>
      </c>
      <c r="D200" s="14" t="s">
        <v>1589</v>
      </c>
      <c r="E200" s="14" t="s">
        <v>74</v>
      </c>
      <c r="F200" s="15" t="n">
        <v>705000</v>
      </c>
      <c r="G200" s="16" t="n">
        <v>0.43</v>
      </c>
      <c r="H200" s="16" t="n">
        <v>1.39</v>
      </c>
      <c r="I200" s="16" t="n">
        <v>0.8305</v>
      </c>
      <c r="J200" s="16" t="n">
        <v>0.53</v>
      </c>
      <c r="K200" s="15" t="n">
        <f aca="false">ROUND(F200/100*G200*H200*I200/J200,2)</f>
        <v>6602.92</v>
      </c>
      <c r="L200" s="15" t="n">
        <v>6602.92</v>
      </c>
      <c r="M200" s="15" t="n">
        <f aca="false">L200-K200</f>
        <v>0</v>
      </c>
      <c r="N200" s="14" t="s">
        <v>51</v>
      </c>
      <c r="O200" s="14" t="s">
        <v>52</v>
      </c>
    </row>
    <row r="201" customFormat="false" ht="15" hidden="false" customHeight="false" outlineLevel="0" collapsed="false">
      <c r="A201" s="3" t="s">
        <v>3432</v>
      </c>
      <c r="B201" s="3" t="s">
        <v>3611</v>
      </c>
      <c r="C201" s="3" t="s">
        <v>142</v>
      </c>
      <c r="D201" s="3" t="s">
        <v>2580</v>
      </c>
      <c r="E201" s="3" t="s">
        <v>50</v>
      </c>
      <c r="F201" s="12" t="n">
        <v>540000</v>
      </c>
      <c r="G201" s="13" t="n">
        <v>0.95</v>
      </c>
      <c r="H201" s="13" t="n">
        <v>1.22</v>
      </c>
      <c r="I201" s="13" t="n">
        <v>0.8305</v>
      </c>
      <c r="J201" s="13" t="n">
        <v>0.53</v>
      </c>
      <c r="K201" s="12" t="n">
        <f aca="false">ROUND(F201/100*G201*H201*I201/J201,2)</f>
        <v>9807.11</v>
      </c>
      <c r="L201" s="12" t="n">
        <v>9807.11</v>
      </c>
      <c r="M201" s="12" t="n">
        <f aca="false">L201-K201</f>
        <v>0</v>
      </c>
      <c r="N201" s="3" t="s">
        <v>51</v>
      </c>
      <c r="O201" s="3" t="s">
        <v>52</v>
      </c>
    </row>
    <row r="202" customFormat="false" ht="15" hidden="false" customHeight="false" outlineLevel="0" collapsed="false">
      <c r="A202" s="14" t="s">
        <v>3489</v>
      </c>
      <c r="B202" s="14" t="s">
        <v>3612</v>
      </c>
      <c r="C202" s="14" t="s">
        <v>120</v>
      </c>
      <c r="D202" s="14" t="s">
        <v>1919</v>
      </c>
      <c r="E202" s="14" t="s">
        <v>56</v>
      </c>
      <c r="F202" s="15" t="n">
        <v>245000</v>
      </c>
      <c r="G202" s="16" t="n">
        <v>0.92</v>
      </c>
      <c r="H202" s="16" t="n">
        <v>1.15</v>
      </c>
      <c r="I202" s="16" t="n">
        <v>0.8305</v>
      </c>
      <c r="J202" s="16" t="n">
        <v>0.53</v>
      </c>
      <c r="K202" s="15" t="n">
        <f aca="false">ROUND(F202/100*G202*H202*I202/J202,2)</f>
        <v>4061.77</v>
      </c>
      <c r="L202" s="15" t="n">
        <v>4061.77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3408</v>
      </c>
      <c r="B203" s="3" t="s">
        <v>3613</v>
      </c>
      <c r="C203" s="3" t="s">
        <v>89</v>
      </c>
      <c r="D203" s="3" t="s">
        <v>880</v>
      </c>
      <c r="E203" s="3" t="s">
        <v>56</v>
      </c>
      <c r="F203" s="12" t="n">
        <v>330000</v>
      </c>
      <c r="G203" s="13" t="n">
        <v>0.75</v>
      </c>
      <c r="H203" s="13" t="n">
        <v>1.35</v>
      </c>
      <c r="I203" s="13" t="n">
        <v>0.8305</v>
      </c>
      <c r="J203" s="13" t="n">
        <v>0.53</v>
      </c>
      <c r="K203" s="12" t="n">
        <f aca="false">ROUND(F203/100*G203*H203*I203/J203,2)</f>
        <v>5235.68</v>
      </c>
      <c r="L203" s="12" t="n">
        <v>5235.68</v>
      </c>
      <c r="M203" s="12" t="n">
        <f aca="false">L203-K203</f>
        <v>0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3404</v>
      </c>
      <c r="B204" s="14" t="s">
        <v>3614</v>
      </c>
      <c r="C204" s="14" t="s">
        <v>64</v>
      </c>
      <c r="D204" s="14" t="s">
        <v>648</v>
      </c>
      <c r="E204" s="14" t="s">
        <v>56</v>
      </c>
      <c r="F204" s="15" t="n">
        <v>600000</v>
      </c>
      <c r="G204" s="16" t="n">
        <v>0.65</v>
      </c>
      <c r="H204" s="16" t="n">
        <v>1.17</v>
      </c>
      <c r="I204" s="16" t="n">
        <v>0.8305</v>
      </c>
      <c r="J204" s="16" t="n">
        <v>0.53</v>
      </c>
      <c r="K204" s="15" t="n">
        <f aca="false">ROUND(F204/100*G204*H204*I204/J204,2)</f>
        <v>7150.13</v>
      </c>
      <c r="L204" s="15" t="n">
        <v>7150.13</v>
      </c>
      <c r="M204" s="15" t="n">
        <f aca="false">L204-K204</f>
        <v>0</v>
      </c>
      <c r="N204" s="14" t="s">
        <v>70</v>
      </c>
      <c r="O204" s="14" t="s">
        <v>52</v>
      </c>
    </row>
    <row r="205" customFormat="false" ht="15" hidden="false" customHeight="false" outlineLevel="0" collapsed="false">
      <c r="A205" s="3" t="s">
        <v>3432</v>
      </c>
      <c r="B205" s="3" t="s">
        <v>3615</v>
      </c>
      <c r="C205" s="3" t="s">
        <v>275</v>
      </c>
      <c r="D205" s="3" t="s">
        <v>2311</v>
      </c>
      <c r="E205" s="3" t="s">
        <v>56</v>
      </c>
      <c r="F205" s="12" t="n">
        <v>485000</v>
      </c>
      <c r="G205" s="13" t="n">
        <v>0.75</v>
      </c>
      <c r="H205" s="13" t="n">
        <v>1.19</v>
      </c>
      <c r="I205" s="13" t="n">
        <v>0.8305</v>
      </c>
      <c r="J205" s="13" t="n">
        <v>0.53</v>
      </c>
      <c r="K205" s="12" t="n">
        <f aca="false">ROUND(F205/100*G205*H205*I205/J205,2)</f>
        <v>6782.87</v>
      </c>
      <c r="L205" s="12" t="n">
        <v>6782.88</v>
      </c>
      <c r="M205" s="12" t="n">
        <f aca="false">L205-K205</f>
        <v>0.0100000000002183</v>
      </c>
      <c r="N205" s="3" t="s">
        <v>70</v>
      </c>
      <c r="O205" s="3" t="s">
        <v>52</v>
      </c>
    </row>
    <row r="206" customFormat="false" ht="15" hidden="false" customHeight="false" outlineLevel="0" collapsed="false">
      <c r="A206" s="14" t="s">
        <v>3368</v>
      </c>
      <c r="B206" s="14" t="s">
        <v>3616</v>
      </c>
      <c r="C206" s="14" t="s">
        <v>305</v>
      </c>
      <c r="D206" s="14" t="s">
        <v>3301</v>
      </c>
      <c r="E206" s="14" t="s">
        <v>50</v>
      </c>
      <c r="F206" s="15" t="n">
        <v>1040000</v>
      </c>
      <c r="G206" s="16" t="n">
        <v>0.8</v>
      </c>
      <c r="H206" s="16" t="n">
        <v>1.12</v>
      </c>
      <c r="I206" s="16" t="n">
        <v>0.8305</v>
      </c>
      <c r="J206" s="16" t="n">
        <v>0.53</v>
      </c>
      <c r="K206" s="15" t="n">
        <f aca="false">ROUND(F206/100*G206*H206*I206/J206,2)</f>
        <v>14601.76</v>
      </c>
      <c r="L206" s="15" t="n">
        <v>14601.76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3406</v>
      </c>
      <c r="B207" s="3" t="s">
        <v>3617</v>
      </c>
      <c r="C207" s="3" t="s">
        <v>117</v>
      </c>
      <c r="D207" s="3" t="s">
        <v>1601</v>
      </c>
      <c r="E207" s="3" t="s">
        <v>56</v>
      </c>
      <c r="F207" s="12" t="n">
        <v>360000</v>
      </c>
      <c r="G207" s="13" t="n">
        <v>0.75</v>
      </c>
      <c r="H207" s="13" t="n">
        <v>0.91</v>
      </c>
      <c r="I207" s="13" t="n">
        <v>0.8305</v>
      </c>
      <c r="J207" s="13" t="n">
        <v>0.53</v>
      </c>
      <c r="K207" s="12" t="n">
        <f aca="false">ROUND(F207/100*G207*H207*I207/J207,2)</f>
        <v>3850.07</v>
      </c>
      <c r="L207" s="12" t="n">
        <v>3850.07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3355</v>
      </c>
      <c r="B208" s="14" t="s">
        <v>3618</v>
      </c>
      <c r="C208" s="14" t="s">
        <v>114</v>
      </c>
      <c r="D208" s="14" t="s">
        <v>3516</v>
      </c>
      <c r="E208" s="14" t="s">
        <v>50</v>
      </c>
      <c r="F208" s="15" t="n">
        <v>305000</v>
      </c>
      <c r="G208" s="16" t="n">
        <v>1.15</v>
      </c>
      <c r="H208" s="16" t="n">
        <v>1.36</v>
      </c>
      <c r="I208" s="16" t="n">
        <v>0.8305</v>
      </c>
      <c r="J208" s="16" t="n">
        <v>0.53</v>
      </c>
      <c r="K208" s="15" t="n">
        <f aca="false">ROUND(F208/100*G208*H208*I208/J208,2)</f>
        <v>7474.81</v>
      </c>
      <c r="L208" s="15" t="n">
        <v>7474.82</v>
      </c>
      <c r="M208" s="15" t="n">
        <f aca="false">L208-K208</f>
        <v>0.00999999999930878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3406</v>
      </c>
      <c r="B209" s="3" t="s">
        <v>3619</v>
      </c>
      <c r="C209" s="3" t="s">
        <v>435</v>
      </c>
      <c r="D209" s="3" t="s">
        <v>2260</v>
      </c>
      <c r="E209" s="3" t="s">
        <v>56</v>
      </c>
      <c r="F209" s="12" t="n">
        <v>1120000</v>
      </c>
      <c r="G209" s="13" t="n">
        <v>0.55</v>
      </c>
      <c r="H209" s="13" t="n">
        <v>1.13</v>
      </c>
      <c r="I209" s="13" t="n">
        <v>0.8305</v>
      </c>
      <c r="J209" s="13" t="n">
        <v>0.53</v>
      </c>
      <c r="K209" s="12" t="n">
        <f aca="false">ROUND(F209/100*G209*H209*I209/J209,2)</f>
        <v>10907.44</v>
      </c>
      <c r="L209" s="12" t="n">
        <v>10907.44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3380</v>
      </c>
      <c r="B210" s="14" t="s">
        <v>3620</v>
      </c>
      <c r="C210" s="14" t="s">
        <v>237</v>
      </c>
      <c r="D210" s="14" t="s">
        <v>717</v>
      </c>
      <c r="E210" s="14" t="s">
        <v>56</v>
      </c>
      <c r="F210" s="15" t="n">
        <v>895000</v>
      </c>
      <c r="G210" s="16" t="n">
        <v>0.65</v>
      </c>
      <c r="H210" s="16" t="n">
        <v>1.33</v>
      </c>
      <c r="I210" s="16" t="n">
        <v>0.8305</v>
      </c>
      <c r="J210" s="16" t="n">
        <v>0.53</v>
      </c>
      <c r="K210" s="15" t="n">
        <f aca="false">ROUND(F210/100*G210*H210*I210/J210,2)</f>
        <v>12124.16</v>
      </c>
      <c r="L210" s="15" t="n">
        <v>12124.16</v>
      </c>
      <c r="M210" s="15" t="n">
        <f aca="false">L210-K210</f>
        <v>0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3384</v>
      </c>
      <c r="B211" s="3" t="s">
        <v>3621</v>
      </c>
      <c r="C211" s="3" t="s">
        <v>174</v>
      </c>
      <c r="D211" s="3" t="s">
        <v>531</v>
      </c>
      <c r="E211" s="3" t="s">
        <v>56</v>
      </c>
      <c r="F211" s="12" t="n">
        <v>175000</v>
      </c>
      <c r="G211" s="13" t="n">
        <v>0.92</v>
      </c>
      <c r="H211" s="13" t="n">
        <v>1.55</v>
      </c>
      <c r="I211" s="13" t="n">
        <v>0.8305</v>
      </c>
      <c r="J211" s="13" t="n">
        <v>0.53</v>
      </c>
      <c r="K211" s="12" t="n">
        <f aca="false">ROUND(F211/100*G211*H211*I211/J211,2)</f>
        <v>3910.4</v>
      </c>
      <c r="L211" s="12" t="n">
        <v>3910.4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3406</v>
      </c>
      <c r="B212" s="14" t="s">
        <v>3622</v>
      </c>
      <c r="C212" s="14" t="s">
        <v>174</v>
      </c>
      <c r="D212" s="14" t="s">
        <v>1234</v>
      </c>
      <c r="E212" s="14" t="s">
        <v>56</v>
      </c>
      <c r="F212" s="15" t="n">
        <v>1635000</v>
      </c>
      <c r="G212" s="16" t="n">
        <v>0.55</v>
      </c>
      <c r="H212" s="16" t="n">
        <v>1.55</v>
      </c>
      <c r="I212" s="16" t="n">
        <v>0.8305</v>
      </c>
      <c r="J212" s="16" t="n">
        <v>0.53</v>
      </c>
      <c r="K212" s="15" t="n">
        <f aca="false">ROUND(F212/100*G212*H212*I212/J212,2)</f>
        <v>21841.17</v>
      </c>
      <c r="L212" s="15" t="n">
        <v>21841.17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3406</v>
      </c>
      <c r="B213" s="3" t="s">
        <v>3623</v>
      </c>
      <c r="C213" s="3" t="s">
        <v>117</v>
      </c>
      <c r="D213" s="3" t="s">
        <v>3624</v>
      </c>
      <c r="E213" s="3" t="s">
        <v>50</v>
      </c>
      <c r="F213" s="12" t="n">
        <v>430000</v>
      </c>
      <c r="G213" s="13" t="n">
        <v>1.15</v>
      </c>
      <c r="H213" s="13" t="n">
        <v>0.91</v>
      </c>
      <c r="I213" s="13" t="n">
        <v>0.8305</v>
      </c>
      <c r="J213" s="13" t="n">
        <v>0.53</v>
      </c>
      <c r="K213" s="12" t="n">
        <f aca="false">ROUND(F213/100*G213*H213*I213/J213,2)</f>
        <v>7051.34</v>
      </c>
      <c r="L213" s="12" t="n">
        <v>7051.34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3363</v>
      </c>
      <c r="B214" s="14" t="s">
        <v>3625</v>
      </c>
      <c r="C214" s="14" t="s">
        <v>184</v>
      </c>
      <c r="D214" s="14" t="s">
        <v>1182</v>
      </c>
      <c r="E214" s="14" t="s">
        <v>50</v>
      </c>
      <c r="F214" s="15" t="n">
        <v>1205000</v>
      </c>
      <c r="G214" s="16" t="n">
        <v>0.8</v>
      </c>
      <c r="H214" s="16" t="n">
        <v>1.02</v>
      </c>
      <c r="I214" s="16" t="n">
        <v>0.8305</v>
      </c>
      <c r="J214" s="16" t="n">
        <v>0.53</v>
      </c>
      <c r="K214" s="15" t="n">
        <f aca="false">ROUND(F214/100*G214*H214*I214/J214,2)</f>
        <v>15407.81</v>
      </c>
      <c r="L214" s="15" t="n">
        <v>15407.81</v>
      </c>
      <c r="M214" s="15" t="n">
        <f aca="false">L214-K214</f>
        <v>0</v>
      </c>
      <c r="N214" s="14" t="s">
        <v>61</v>
      </c>
      <c r="O214" s="14" t="s">
        <v>62</v>
      </c>
    </row>
    <row r="215" customFormat="false" ht="15" hidden="false" customHeight="false" outlineLevel="0" collapsed="false">
      <c r="A215" s="3" t="s">
        <v>3361</v>
      </c>
      <c r="B215" s="3" t="s">
        <v>3626</v>
      </c>
      <c r="C215" s="3" t="s">
        <v>89</v>
      </c>
      <c r="D215" s="3" t="s">
        <v>1710</v>
      </c>
      <c r="E215" s="3" t="s">
        <v>74</v>
      </c>
      <c r="F215" s="12" t="n">
        <v>730000</v>
      </c>
      <c r="G215" s="13" t="n">
        <v>0.43</v>
      </c>
      <c r="H215" s="13" t="n">
        <v>1.35</v>
      </c>
      <c r="I215" s="13" t="n">
        <v>0.8305</v>
      </c>
      <c r="J215" s="13" t="n">
        <v>0.53</v>
      </c>
      <c r="K215" s="12" t="n">
        <f aca="false">ROUND(F215/100*G215*H215*I215/J215,2)</f>
        <v>6640.32</v>
      </c>
      <c r="L215" s="12" t="n">
        <v>6640.32</v>
      </c>
      <c r="M215" s="12" t="n">
        <f aca="false">L215-K215</f>
        <v>0</v>
      </c>
      <c r="N215" s="3" t="s">
        <v>51</v>
      </c>
      <c r="O215" s="3" t="s">
        <v>52</v>
      </c>
    </row>
    <row r="216" customFormat="false" ht="15" hidden="false" customHeight="false" outlineLevel="0" collapsed="false">
      <c r="A216" s="14" t="s">
        <v>3355</v>
      </c>
      <c r="B216" s="14" t="s">
        <v>3627</v>
      </c>
      <c r="C216" s="14" t="s">
        <v>68</v>
      </c>
      <c r="D216" s="14" t="s">
        <v>923</v>
      </c>
      <c r="E216" s="14" t="s">
        <v>56</v>
      </c>
      <c r="F216" s="15" t="n">
        <v>875000</v>
      </c>
      <c r="G216" s="16" t="n">
        <v>0.65</v>
      </c>
      <c r="H216" s="16" t="n">
        <v>1.38</v>
      </c>
      <c r="I216" s="16" t="n">
        <v>0.8305</v>
      </c>
      <c r="J216" s="16" t="n">
        <v>0.53</v>
      </c>
      <c r="K216" s="15" t="n">
        <f aca="false">ROUND(F216/100*G216*H216*I216/J216,2)</f>
        <v>12298.84</v>
      </c>
      <c r="L216" s="15" t="n">
        <v>12298.84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3401</v>
      </c>
      <c r="B217" s="3" t="s">
        <v>3628</v>
      </c>
      <c r="C217" s="3" t="s">
        <v>295</v>
      </c>
      <c r="D217" s="3" t="s">
        <v>463</v>
      </c>
      <c r="E217" s="3" t="s">
        <v>56</v>
      </c>
      <c r="F217" s="12" t="n">
        <v>620000</v>
      </c>
      <c r="G217" s="13" t="n">
        <v>0.65</v>
      </c>
      <c r="H217" s="13" t="n">
        <v>1.2</v>
      </c>
      <c r="I217" s="13" t="n">
        <v>0.8305</v>
      </c>
      <c r="J217" s="13" t="n">
        <v>0.53</v>
      </c>
      <c r="K217" s="12" t="n">
        <f aca="false">ROUND(F217/100*G217*H217*I217/J217,2)</f>
        <v>7577.92</v>
      </c>
      <c r="L217" s="12" t="n">
        <v>7577.92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3355</v>
      </c>
      <c r="B218" s="14" t="s">
        <v>3629</v>
      </c>
      <c r="C218" s="14" t="s">
        <v>210</v>
      </c>
      <c r="D218" s="14" t="s">
        <v>3630</v>
      </c>
      <c r="E218" s="14" t="s">
        <v>157</v>
      </c>
      <c r="F218" s="15" t="n">
        <v>1120000</v>
      </c>
      <c r="G218" s="16" t="n">
        <v>0.68</v>
      </c>
      <c r="H218" s="16" t="n">
        <v>1.21</v>
      </c>
      <c r="I218" s="16" t="n">
        <v>0.8305</v>
      </c>
      <c r="J218" s="16" t="n">
        <v>0.53</v>
      </c>
      <c r="K218" s="15" t="n">
        <f aca="false">ROUND(F218/100*G218*H218*I218/J218,2)</f>
        <v>14440.3</v>
      </c>
      <c r="L218" s="15" t="n">
        <v>14440.29</v>
      </c>
      <c r="M218" s="15" t="n">
        <f aca="false">L218-K218</f>
        <v>-0.00999999999839929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3359</v>
      </c>
      <c r="B219" s="3" t="s">
        <v>3631</v>
      </c>
      <c r="C219" s="3" t="s">
        <v>210</v>
      </c>
      <c r="D219" s="3" t="s">
        <v>3632</v>
      </c>
      <c r="E219" s="3" t="s">
        <v>157</v>
      </c>
      <c r="F219" s="12" t="n">
        <v>220000</v>
      </c>
      <c r="G219" s="13" t="n">
        <v>1.05</v>
      </c>
      <c r="H219" s="13" t="n">
        <v>1.21</v>
      </c>
      <c r="I219" s="13" t="n">
        <v>0.8305</v>
      </c>
      <c r="J219" s="13" t="n">
        <v>0.53</v>
      </c>
      <c r="K219" s="12" t="n">
        <f aca="false">ROUND(F219/100*G219*H219*I219/J219,2)</f>
        <v>4379.87</v>
      </c>
      <c r="L219" s="12" t="n">
        <v>4379.87</v>
      </c>
      <c r="M219" s="12" t="n">
        <f aca="false">L219-K219</f>
        <v>0</v>
      </c>
      <c r="N219" s="3" t="s">
        <v>51</v>
      </c>
      <c r="O219" s="3" t="s">
        <v>52</v>
      </c>
    </row>
    <row r="220" customFormat="false" ht="15" hidden="false" customHeight="false" outlineLevel="0" collapsed="false">
      <c r="A220" s="14" t="s">
        <v>3406</v>
      </c>
      <c r="B220" s="14" t="s">
        <v>3633</v>
      </c>
      <c r="C220" s="14" t="s">
        <v>184</v>
      </c>
      <c r="D220" s="14" t="s">
        <v>2009</v>
      </c>
      <c r="E220" s="14" t="s">
        <v>56</v>
      </c>
      <c r="F220" s="15" t="n">
        <v>1345000</v>
      </c>
      <c r="G220" s="16" t="n">
        <v>0.55</v>
      </c>
      <c r="H220" s="16" t="n">
        <v>1.02</v>
      </c>
      <c r="I220" s="16" t="n">
        <v>0.8305</v>
      </c>
      <c r="J220" s="16" t="n">
        <v>0.53</v>
      </c>
      <c r="K220" s="15" t="n">
        <f aca="false">ROUND(F220/100*G220*H220*I220/J220,2)</f>
        <v>11823.58</v>
      </c>
      <c r="L220" s="15" t="n">
        <v>11823.58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3378</v>
      </c>
      <c r="B221" s="3" t="s">
        <v>3634</v>
      </c>
      <c r="C221" s="3" t="s">
        <v>366</v>
      </c>
      <c r="D221" s="3" t="s">
        <v>3635</v>
      </c>
      <c r="E221" s="3" t="s">
        <v>133</v>
      </c>
      <c r="F221" s="12" t="n">
        <v>645000</v>
      </c>
      <c r="G221" s="13" t="n">
        <v>0.38</v>
      </c>
      <c r="H221" s="13" t="n">
        <v>1.26</v>
      </c>
      <c r="I221" s="13" t="n">
        <v>0.8305</v>
      </c>
      <c r="J221" s="13" t="n">
        <v>0.53</v>
      </c>
      <c r="K221" s="12" t="n">
        <f aca="false">ROUND(F221/100*G221*H221*I221/J221,2)</f>
        <v>4839.25</v>
      </c>
      <c r="L221" s="12" t="n">
        <v>4839.25</v>
      </c>
      <c r="M221" s="12" t="n">
        <f aca="false">L221-K221</f>
        <v>0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3432</v>
      </c>
      <c r="B222" s="14" t="s">
        <v>3636</v>
      </c>
      <c r="C222" s="14" t="s">
        <v>128</v>
      </c>
      <c r="D222" s="14" t="s">
        <v>598</v>
      </c>
      <c r="E222" s="14" t="s">
        <v>56</v>
      </c>
      <c r="F222" s="15" t="n">
        <v>260000</v>
      </c>
      <c r="G222" s="16" t="n">
        <v>0.75</v>
      </c>
      <c r="H222" s="16" t="n">
        <v>1.25</v>
      </c>
      <c r="I222" s="16" t="n">
        <v>0.8305</v>
      </c>
      <c r="J222" s="16" t="n">
        <v>0.53</v>
      </c>
      <c r="K222" s="15" t="n">
        <f aca="false">ROUND(F222/100*G222*H222*I222/J222,2)</f>
        <v>3819.52</v>
      </c>
      <c r="L222" s="15" t="n">
        <v>3819.52</v>
      </c>
      <c r="M222" s="15" t="n">
        <f aca="false">L222-K222</f>
        <v>0</v>
      </c>
      <c r="N222" s="14" t="s">
        <v>51</v>
      </c>
      <c r="O222" s="14" t="s">
        <v>52</v>
      </c>
    </row>
    <row r="223" customFormat="false" ht="15" hidden="false" customHeight="false" outlineLevel="0" collapsed="false">
      <c r="A223" s="3" t="s">
        <v>3361</v>
      </c>
      <c r="B223" s="3" t="s">
        <v>3637</v>
      </c>
      <c r="C223" s="3" t="s">
        <v>117</v>
      </c>
      <c r="D223" s="3" t="s">
        <v>2308</v>
      </c>
      <c r="E223" s="3" t="s">
        <v>74</v>
      </c>
      <c r="F223" s="12" t="n">
        <v>665000</v>
      </c>
      <c r="G223" s="13" t="n">
        <v>0.43</v>
      </c>
      <c r="H223" s="13" t="n">
        <v>0.91</v>
      </c>
      <c r="I223" s="13" t="n">
        <v>0.8305</v>
      </c>
      <c r="J223" s="13" t="n">
        <v>0.53</v>
      </c>
      <c r="K223" s="12" t="n">
        <f aca="false">ROUND(F223/100*G223*H223*I223/J223,2)</f>
        <v>4077.51</v>
      </c>
      <c r="L223" s="12" t="n">
        <v>4077.51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3404</v>
      </c>
      <c r="B224" s="14" t="s">
        <v>3638</v>
      </c>
      <c r="C224" s="14" t="s">
        <v>81</v>
      </c>
      <c r="D224" s="14" t="s">
        <v>146</v>
      </c>
      <c r="E224" s="14" t="s">
        <v>56</v>
      </c>
      <c r="F224" s="15" t="n">
        <v>300000</v>
      </c>
      <c r="G224" s="16" t="n">
        <v>0.75</v>
      </c>
      <c r="H224" s="16" t="n">
        <v>1.27</v>
      </c>
      <c r="I224" s="16" t="n">
        <v>0.8305</v>
      </c>
      <c r="J224" s="16" t="n">
        <v>0.53</v>
      </c>
      <c r="K224" s="15" t="n">
        <f aca="false">ROUND(F224/100*G224*H224*I224/J224,2)</f>
        <v>4477.65</v>
      </c>
      <c r="L224" s="15" t="n">
        <v>4477.65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3423</v>
      </c>
      <c r="B225" s="3" t="s">
        <v>3639</v>
      </c>
      <c r="C225" s="3" t="s">
        <v>193</v>
      </c>
      <c r="D225" s="3" t="s">
        <v>933</v>
      </c>
      <c r="E225" s="3" t="s">
        <v>56</v>
      </c>
      <c r="F225" s="12" t="n">
        <v>385000</v>
      </c>
      <c r="G225" s="13" t="n">
        <v>0.75</v>
      </c>
      <c r="H225" s="13" t="n">
        <v>1.25</v>
      </c>
      <c r="I225" s="13" t="n">
        <v>0.8305</v>
      </c>
      <c r="J225" s="13" t="n">
        <v>0.53</v>
      </c>
      <c r="K225" s="12" t="n">
        <f aca="false">ROUND(F225/100*G225*H225*I225/J225,2)</f>
        <v>5655.82</v>
      </c>
      <c r="L225" s="12" t="n">
        <v>5655.82</v>
      </c>
      <c r="M225" s="12" t="n">
        <f aca="false">L225-K225</f>
        <v>0</v>
      </c>
      <c r="N225" s="3" t="s">
        <v>61</v>
      </c>
      <c r="O225" s="3" t="s">
        <v>62</v>
      </c>
    </row>
    <row r="226" customFormat="false" ht="15" hidden="false" customHeight="false" outlineLevel="0" collapsed="false">
      <c r="A226" s="14" t="s">
        <v>3455</v>
      </c>
      <c r="B226" s="14" t="s">
        <v>3640</v>
      </c>
      <c r="C226" s="14" t="s">
        <v>93</v>
      </c>
      <c r="D226" s="14" t="s">
        <v>1984</v>
      </c>
      <c r="E226" s="14" t="s">
        <v>56</v>
      </c>
      <c r="F226" s="15" t="n">
        <v>205000</v>
      </c>
      <c r="G226" s="16" t="n">
        <v>0.92</v>
      </c>
      <c r="H226" s="16" t="n">
        <v>1.39</v>
      </c>
      <c r="I226" s="16" t="n">
        <v>0.8305</v>
      </c>
      <c r="J226" s="16" t="n">
        <v>0.53</v>
      </c>
      <c r="K226" s="15" t="n">
        <f aca="false">ROUND(F226/100*G226*H226*I226/J226,2)</f>
        <v>4107.9</v>
      </c>
      <c r="L226" s="15" t="n">
        <v>4107.9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3372</v>
      </c>
      <c r="B227" s="3" t="s">
        <v>3641</v>
      </c>
      <c r="C227" s="3" t="s">
        <v>174</v>
      </c>
      <c r="D227" s="3" t="s">
        <v>1285</v>
      </c>
      <c r="E227" s="3" t="s">
        <v>50</v>
      </c>
      <c r="F227" s="12" t="n">
        <v>640000</v>
      </c>
      <c r="G227" s="13" t="n">
        <v>0.95</v>
      </c>
      <c r="H227" s="13" t="n">
        <v>1.55</v>
      </c>
      <c r="I227" s="13" t="n">
        <v>0.8305</v>
      </c>
      <c r="J227" s="13" t="n">
        <v>0.53</v>
      </c>
      <c r="K227" s="12" t="n">
        <f aca="false">ROUND(F227/100*G227*H227*I227/J227,2)</f>
        <v>14767.23</v>
      </c>
      <c r="L227" s="12" t="n">
        <v>14767.23</v>
      </c>
      <c r="M227" s="12" t="n">
        <f aca="false">L227-K227</f>
        <v>0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3425</v>
      </c>
      <c r="B228" s="14" t="s">
        <v>3642</v>
      </c>
      <c r="C228" s="14" t="s">
        <v>77</v>
      </c>
      <c r="D228" s="14" t="s">
        <v>1933</v>
      </c>
      <c r="E228" s="14" t="s">
        <v>74</v>
      </c>
      <c r="F228" s="15" t="n">
        <v>215000</v>
      </c>
      <c r="G228" s="16" t="n">
        <v>0.57</v>
      </c>
      <c r="H228" s="16" t="n">
        <v>1.42</v>
      </c>
      <c r="I228" s="16" t="n">
        <v>0.8305</v>
      </c>
      <c r="J228" s="16" t="n">
        <v>0.53</v>
      </c>
      <c r="K228" s="15" t="n">
        <f aca="false">ROUND(F228/100*G228*H228*I228/J228,2)</f>
        <v>2726.88</v>
      </c>
      <c r="L228" s="15" t="n">
        <v>2726.88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3421</v>
      </c>
      <c r="B229" s="3" t="s">
        <v>3643</v>
      </c>
      <c r="C229" s="3" t="s">
        <v>117</v>
      </c>
      <c r="D229" s="3" t="s">
        <v>3644</v>
      </c>
      <c r="E229" s="3" t="s">
        <v>133</v>
      </c>
      <c r="F229" s="12" t="n">
        <v>1010000</v>
      </c>
      <c r="G229" s="13" t="n">
        <v>0.34</v>
      </c>
      <c r="H229" s="13" t="n">
        <v>0.91</v>
      </c>
      <c r="I229" s="13" t="n">
        <v>0.8305</v>
      </c>
      <c r="J229" s="13" t="n">
        <v>0.53</v>
      </c>
      <c r="K229" s="12" t="n">
        <f aca="false">ROUND(F229/100*G229*H229*I229/J229,2)</f>
        <v>4896.72</v>
      </c>
      <c r="L229" s="12" t="n">
        <v>4896.72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3355</v>
      </c>
      <c r="B230" s="14" t="s">
        <v>3645</v>
      </c>
      <c r="C230" s="14" t="s">
        <v>59</v>
      </c>
      <c r="D230" s="14" t="s">
        <v>1188</v>
      </c>
      <c r="E230" s="14" t="s">
        <v>56</v>
      </c>
      <c r="F230" s="15" t="n">
        <v>655000</v>
      </c>
      <c r="G230" s="16" t="n">
        <v>0.65</v>
      </c>
      <c r="H230" s="16" t="n">
        <v>0.97</v>
      </c>
      <c r="I230" s="16" t="n">
        <v>0.8305</v>
      </c>
      <c r="J230" s="16" t="n">
        <v>0.53</v>
      </c>
      <c r="K230" s="15" t="n">
        <f aca="false">ROUND(F230/100*G230*H230*I230/J230,2)</f>
        <v>6471.28</v>
      </c>
      <c r="L230" s="15" t="n">
        <v>6471.28</v>
      </c>
      <c r="M230" s="15" t="n">
        <f aca="false">L230-K230</f>
        <v>0</v>
      </c>
      <c r="N230" s="14" t="s">
        <v>51</v>
      </c>
      <c r="O230" s="14" t="s">
        <v>52</v>
      </c>
    </row>
    <row r="231" customFormat="false" ht="15" hidden="false" customHeight="false" outlineLevel="0" collapsed="false">
      <c r="A231" s="3" t="s">
        <v>3372</v>
      </c>
      <c r="B231" s="3" t="s">
        <v>3646</v>
      </c>
      <c r="C231" s="3" t="s">
        <v>237</v>
      </c>
      <c r="D231" s="3" t="s">
        <v>3095</v>
      </c>
      <c r="E231" s="3" t="s">
        <v>157</v>
      </c>
      <c r="F231" s="12" t="n">
        <v>1045000</v>
      </c>
      <c r="G231" s="13" t="n">
        <v>0.68</v>
      </c>
      <c r="H231" s="13" t="n">
        <v>1.33</v>
      </c>
      <c r="I231" s="13" t="n">
        <v>0.8305</v>
      </c>
      <c r="J231" s="13" t="n">
        <v>0.53</v>
      </c>
      <c r="K231" s="12" t="n">
        <f aca="false">ROUND(F231/100*G231*H231*I231/J231,2)</f>
        <v>14809.51</v>
      </c>
      <c r="L231" s="12" t="n">
        <v>14809.51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3363</v>
      </c>
      <c r="B232" s="14" t="s">
        <v>3647</v>
      </c>
      <c r="C232" s="14" t="s">
        <v>300</v>
      </c>
      <c r="D232" s="14" t="s">
        <v>527</v>
      </c>
      <c r="E232" s="14" t="s">
        <v>56</v>
      </c>
      <c r="F232" s="15" t="n">
        <v>860000</v>
      </c>
      <c r="G232" s="16" t="n">
        <v>0.65</v>
      </c>
      <c r="H232" s="16" t="n">
        <v>1.11</v>
      </c>
      <c r="I232" s="16" t="n">
        <v>0.8305</v>
      </c>
      <c r="J232" s="16" t="n">
        <v>0.53</v>
      </c>
      <c r="K232" s="15" t="n">
        <f aca="false">ROUND(F232/100*G232*H232*I232/J232,2)</f>
        <v>9722.96</v>
      </c>
      <c r="L232" s="15" t="n">
        <v>9722.96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3406</v>
      </c>
      <c r="B233" s="3" t="s">
        <v>3648</v>
      </c>
      <c r="C233" s="3" t="s">
        <v>300</v>
      </c>
      <c r="D233" s="3" t="s">
        <v>389</v>
      </c>
      <c r="E233" s="3" t="s">
        <v>50</v>
      </c>
      <c r="F233" s="12" t="n">
        <v>1440000</v>
      </c>
      <c r="G233" s="13" t="n">
        <v>0.8</v>
      </c>
      <c r="H233" s="13" t="n">
        <v>1.11</v>
      </c>
      <c r="I233" s="13" t="n">
        <v>0.8305</v>
      </c>
      <c r="J233" s="13" t="n">
        <v>0.53</v>
      </c>
      <c r="K233" s="12" t="n">
        <f aca="false">ROUND(F233/100*G233*H233*I233/J233,2)</f>
        <v>20037.3</v>
      </c>
      <c r="L233" s="12" t="n">
        <v>20037.3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3423</v>
      </c>
      <c r="B234" s="14" t="s">
        <v>3649</v>
      </c>
      <c r="C234" s="14" t="s">
        <v>120</v>
      </c>
      <c r="D234" s="14" t="s">
        <v>86</v>
      </c>
      <c r="E234" s="14" t="s">
        <v>50</v>
      </c>
      <c r="F234" s="15" t="n">
        <v>375000</v>
      </c>
      <c r="G234" s="16" t="n">
        <v>1.15</v>
      </c>
      <c r="H234" s="16" t="n">
        <v>1.15</v>
      </c>
      <c r="I234" s="16" t="n">
        <v>0.8305</v>
      </c>
      <c r="J234" s="16" t="n">
        <v>0.53</v>
      </c>
      <c r="K234" s="15" t="n">
        <f aca="false">ROUND(F234/100*G234*H234*I234/J234,2)</f>
        <v>7771.25</v>
      </c>
      <c r="L234" s="15" t="n">
        <v>7771.25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3411</v>
      </c>
      <c r="B235" s="3" t="s">
        <v>3650</v>
      </c>
      <c r="C235" s="3" t="s">
        <v>114</v>
      </c>
      <c r="D235" s="3" t="s">
        <v>1432</v>
      </c>
      <c r="E235" s="3" t="s">
        <v>56</v>
      </c>
      <c r="F235" s="12" t="n">
        <v>505000</v>
      </c>
      <c r="G235" s="13" t="n">
        <v>0.65</v>
      </c>
      <c r="H235" s="13" t="n">
        <v>1.36</v>
      </c>
      <c r="I235" s="13" t="n">
        <v>0.8305</v>
      </c>
      <c r="J235" s="13" t="n">
        <v>0.53</v>
      </c>
      <c r="K235" s="12" t="n">
        <f aca="false">ROUND(F235/100*G235*H235*I235/J235,2)</f>
        <v>6995.32</v>
      </c>
      <c r="L235" s="12" t="n">
        <v>6995.32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3353</v>
      </c>
      <c r="B236" s="14" t="s">
        <v>3651</v>
      </c>
      <c r="C236" s="14" t="s">
        <v>169</v>
      </c>
      <c r="D236" s="14" t="s">
        <v>771</v>
      </c>
      <c r="E236" s="14" t="s">
        <v>56</v>
      </c>
      <c r="F236" s="15" t="n">
        <v>445000</v>
      </c>
      <c r="G236" s="16" t="n">
        <v>0.75</v>
      </c>
      <c r="H236" s="16" t="n">
        <v>1.07</v>
      </c>
      <c r="I236" s="16" t="n">
        <v>0.8305</v>
      </c>
      <c r="J236" s="16" t="n">
        <v>0.53</v>
      </c>
      <c r="K236" s="15" t="n">
        <f aca="false">ROUND(F236/100*G236*H236*I236/J236,2)</f>
        <v>5595.89</v>
      </c>
      <c r="L236" s="15" t="n">
        <v>5595.88</v>
      </c>
      <c r="M236" s="15" t="n">
        <f aca="false">L236-K236</f>
        <v>-0.0100000000002183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3365</v>
      </c>
      <c r="B237" s="3" t="s">
        <v>3652</v>
      </c>
      <c r="C237" s="3" t="s">
        <v>193</v>
      </c>
      <c r="D237" s="3" t="s">
        <v>2128</v>
      </c>
      <c r="E237" s="3" t="s">
        <v>56</v>
      </c>
      <c r="F237" s="12" t="n">
        <v>625000</v>
      </c>
      <c r="G237" s="13" t="n">
        <v>0.65</v>
      </c>
      <c r="H237" s="13" t="n">
        <v>1.25</v>
      </c>
      <c r="I237" s="13" t="n">
        <v>0.8305</v>
      </c>
      <c r="J237" s="13" t="n">
        <v>0.53</v>
      </c>
      <c r="K237" s="12" t="n">
        <f aca="false">ROUND(F237/100*G237*H237*I237/J237,2)</f>
        <v>7957.33</v>
      </c>
      <c r="L237" s="12" t="n">
        <v>7957.33</v>
      </c>
      <c r="M237" s="12" t="n">
        <f aca="false">L237-K237</f>
        <v>0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3372</v>
      </c>
      <c r="B238" s="14" t="s">
        <v>3653</v>
      </c>
      <c r="C238" s="14" t="s">
        <v>48</v>
      </c>
      <c r="D238" s="14" t="s">
        <v>3654</v>
      </c>
      <c r="E238" s="14" t="s">
        <v>157</v>
      </c>
      <c r="F238" s="15" t="n">
        <v>1200000</v>
      </c>
      <c r="G238" s="16" t="n">
        <v>0.68</v>
      </c>
      <c r="H238" s="16" t="n">
        <v>1.28</v>
      </c>
      <c r="I238" s="16" t="n">
        <v>0.8305</v>
      </c>
      <c r="J238" s="16" t="n">
        <v>0.53</v>
      </c>
      <c r="K238" s="15" t="n">
        <f aca="false">ROUND(F238/100*G238*H238*I238/J238,2)</f>
        <v>16366.8</v>
      </c>
      <c r="L238" s="15" t="n">
        <v>16366.8</v>
      </c>
      <c r="M238" s="15" t="n">
        <f aca="false">L238-K238</f>
        <v>0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3372</v>
      </c>
      <c r="B239" s="3" t="s">
        <v>3655</v>
      </c>
      <c r="C239" s="3" t="s">
        <v>311</v>
      </c>
      <c r="D239" s="3" t="s">
        <v>3656</v>
      </c>
      <c r="E239" s="3" t="s">
        <v>157</v>
      </c>
      <c r="F239" s="12" t="n">
        <v>465000</v>
      </c>
      <c r="G239" s="13" t="n">
        <v>0.88</v>
      </c>
      <c r="H239" s="13" t="n">
        <v>1.06</v>
      </c>
      <c r="I239" s="13" t="n">
        <v>0.8305</v>
      </c>
      <c r="J239" s="13" t="n">
        <v>0.53</v>
      </c>
      <c r="K239" s="12" t="n">
        <f aca="false">ROUND(F239/100*G239*H239*I239/J239,2)</f>
        <v>6796.81</v>
      </c>
      <c r="L239" s="12" t="n">
        <v>6796.81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3401</v>
      </c>
      <c r="B240" s="14" t="s">
        <v>3657</v>
      </c>
      <c r="C240" s="14" t="s">
        <v>266</v>
      </c>
      <c r="D240" s="14" t="s">
        <v>3658</v>
      </c>
      <c r="E240" s="14" t="s">
        <v>56</v>
      </c>
      <c r="F240" s="15" t="n">
        <v>550000</v>
      </c>
      <c r="G240" s="16" t="n">
        <v>0.65</v>
      </c>
      <c r="H240" s="16" t="n">
        <v>1.1</v>
      </c>
      <c r="I240" s="16" t="n">
        <v>0.8305</v>
      </c>
      <c r="J240" s="16" t="n">
        <v>0.53</v>
      </c>
      <c r="K240" s="15" t="n">
        <f aca="false">ROUND(F240/100*G240*H240*I240/J240,2)</f>
        <v>6162.15</v>
      </c>
      <c r="L240" s="15" t="n">
        <v>6162.15</v>
      </c>
      <c r="M240" s="15" t="n">
        <f aca="false">L240-K240</f>
        <v>0</v>
      </c>
      <c r="N240" s="14" t="s">
        <v>51</v>
      </c>
      <c r="O240" s="14" t="s">
        <v>52</v>
      </c>
    </row>
    <row r="241" customFormat="false" ht="15" hidden="false" customHeight="false" outlineLevel="0" collapsed="false">
      <c r="A241" s="3" t="s">
        <v>3378</v>
      </c>
      <c r="B241" s="3" t="s">
        <v>3659</v>
      </c>
      <c r="C241" s="3" t="s">
        <v>145</v>
      </c>
      <c r="D241" s="3" t="s">
        <v>3552</v>
      </c>
      <c r="E241" s="3" t="s">
        <v>56</v>
      </c>
      <c r="F241" s="12" t="n">
        <v>235000</v>
      </c>
      <c r="G241" s="13" t="n">
        <v>0.92</v>
      </c>
      <c r="H241" s="13" t="n">
        <v>0.96</v>
      </c>
      <c r="I241" s="13" t="n">
        <v>0.8305</v>
      </c>
      <c r="J241" s="13" t="n">
        <v>0.53</v>
      </c>
      <c r="K241" s="12" t="n">
        <f aca="false">ROUND(F241/100*G241*H241*I241/J241,2)</f>
        <v>3252.3</v>
      </c>
      <c r="L241" s="12" t="n">
        <v>3252.3</v>
      </c>
      <c r="M241" s="12" t="n">
        <f aca="false">L241-K241</f>
        <v>0</v>
      </c>
      <c r="N241" s="3" t="s">
        <v>51</v>
      </c>
      <c r="O241" s="3" t="s">
        <v>52</v>
      </c>
    </row>
    <row r="242" customFormat="false" ht="15" hidden="false" customHeight="false" outlineLevel="0" collapsed="false">
      <c r="A242" s="14" t="s">
        <v>3455</v>
      </c>
      <c r="B242" s="14" t="s">
        <v>3660</v>
      </c>
      <c r="C242" s="14" t="s">
        <v>120</v>
      </c>
      <c r="D242" s="14" t="s">
        <v>761</v>
      </c>
      <c r="E242" s="14" t="s">
        <v>56</v>
      </c>
      <c r="F242" s="15" t="n">
        <v>560000</v>
      </c>
      <c r="G242" s="16" t="n">
        <v>0.65</v>
      </c>
      <c r="H242" s="16" t="n">
        <v>1.15</v>
      </c>
      <c r="I242" s="16" t="n">
        <v>0.8305</v>
      </c>
      <c r="J242" s="16" t="n">
        <v>0.53</v>
      </c>
      <c r="K242" s="15" t="n">
        <f aca="false">ROUND(F242/100*G242*H242*I242/J242,2)</f>
        <v>6559.38</v>
      </c>
      <c r="L242" s="15" t="n">
        <v>6559.38</v>
      </c>
      <c r="M242" s="15" t="n">
        <f aca="false">L242-K242</f>
        <v>0</v>
      </c>
      <c r="N242" s="14" t="s">
        <v>51</v>
      </c>
      <c r="O242" s="14" t="s">
        <v>52</v>
      </c>
    </row>
    <row r="243" customFormat="false" ht="15" hidden="false" customHeight="false" outlineLevel="0" collapsed="false">
      <c r="A243" s="3" t="s">
        <v>3423</v>
      </c>
      <c r="B243" s="3" t="s">
        <v>3661</v>
      </c>
      <c r="C243" s="3" t="s">
        <v>210</v>
      </c>
      <c r="D243" s="3" t="s">
        <v>2385</v>
      </c>
      <c r="E243" s="3" t="s">
        <v>50</v>
      </c>
      <c r="F243" s="12" t="n">
        <v>1445000</v>
      </c>
      <c r="G243" s="13" t="n">
        <v>0.8</v>
      </c>
      <c r="H243" s="13" t="n">
        <v>1.21</v>
      </c>
      <c r="I243" s="13" t="n">
        <v>0.8305</v>
      </c>
      <c r="J243" s="13" t="n">
        <v>0.53</v>
      </c>
      <c r="K243" s="12" t="n">
        <f aca="false">ROUND(F243/100*G243*H243*I243/J243,2)</f>
        <v>21918.31</v>
      </c>
      <c r="L243" s="12" t="n">
        <v>21918.31</v>
      </c>
      <c r="M243" s="12" t="n">
        <f aca="false">L243-K243</f>
        <v>0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3408</v>
      </c>
      <c r="B244" s="14" t="s">
        <v>3662</v>
      </c>
      <c r="C244" s="14" t="s">
        <v>409</v>
      </c>
      <c r="D244" s="14" t="s">
        <v>1076</v>
      </c>
      <c r="E244" s="14" t="s">
        <v>56</v>
      </c>
      <c r="F244" s="15" t="n">
        <v>645000</v>
      </c>
      <c r="G244" s="16" t="n">
        <v>0.65</v>
      </c>
      <c r="H244" s="16" t="n">
        <v>1.3</v>
      </c>
      <c r="I244" s="16" t="n">
        <v>0.8305</v>
      </c>
      <c r="J244" s="16" t="n">
        <v>0.53</v>
      </c>
      <c r="K244" s="15" t="n">
        <f aca="false">ROUND(F244/100*G244*H244*I244/J244,2)</f>
        <v>8540.44</v>
      </c>
      <c r="L244" s="15" t="n">
        <v>8540.44</v>
      </c>
      <c r="M244" s="15" t="n">
        <f aca="false">L244-K244</f>
        <v>0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3357</v>
      </c>
      <c r="B245" s="3" t="s">
        <v>3663</v>
      </c>
      <c r="C245" s="3" t="s">
        <v>305</v>
      </c>
      <c r="D245" s="3" t="s">
        <v>2492</v>
      </c>
      <c r="E245" s="3" t="s">
        <v>56</v>
      </c>
      <c r="F245" s="12" t="n">
        <v>600000</v>
      </c>
      <c r="G245" s="13" t="n">
        <v>0.65</v>
      </c>
      <c r="H245" s="13" t="n">
        <v>1.12</v>
      </c>
      <c r="I245" s="13" t="n">
        <v>0.8305</v>
      </c>
      <c r="J245" s="13" t="n">
        <v>0.53</v>
      </c>
      <c r="K245" s="12" t="n">
        <f aca="false">ROUND(F245/100*G245*H245*I245/J245,2)</f>
        <v>6844.57</v>
      </c>
      <c r="L245" s="12" t="n">
        <v>6844.57</v>
      </c>
      <c r="M245" s="12" t="n">
        <f aca="false">L245-K245</f>
        <v>0</v>
      </c>
      <c r="N245" s="3" t="s">
        <v>70</v>
      </c>
      <c r="O245" s="3" t="s">
        <v>52</v>
      </c>
    </row>
    <row r="246" customFormat="false" ht="15" hidden="false" customHeight="false" outlineLevel="0" collapsed="false">
      <c r="A246" s="14" t="s">
        <v>3404</v>
      </c>
      <c r="B246" s="14" t="s">
        <v>3664</v>
      </c>
      <c r="C246" s="14" t="s">
        <v>68</v>
      </c>
      <c r="D246" s="14" t="s">
        <v>1527</v>
      </c>
      <c r="E246" s="14" t="s">
        <v>56</v>
      </c>
      <c r="F246" s="15" t="n">
        <v>410000</v>
      </c>
      <c r="G246" s="16" t="n">
        <v>0.75</v>
      </c>
      <c r="H246" s="16" t="n">
        <v>1.38</v>
      </c>
      <c r="I246" s="16" t="n">
        <v>0.8305</v>
      </c>
      <c r="J246" s="16" t="n">
        <v>0.53</v>
      </c>
      <c r="K246" s="15" t="n">
        <f aca="false">ROUND(F246/100*G246*H246*I246/J246,2)</f>
        <v>6649.48</v>
      </c>
      <c r="L246" s="15" t="n">
        <v>6649.48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3388</v>
      </c>
      <c r="B247" s="3" t="s">
        <v>3665</v>
      </c>
      <c r="C247" s="3" t="s">
        <v>108</v>
      </c>
      <c r="D247" s="3" t="s">
        <v>874</v>
      </c>
      <c r="E247" s="3" t="s">
        <v>56</v>
      </c>
      <c r="F247" s="12" t="n">
        <v>810000</v>
      </c>
      <c r="G247" s="13" t="n">
        <v>0.65</v>
      </c>
      <c r="H247" s="13" t="n">
        <v>0.93</v>
      </c>
      <c r="I247" s="13" t="n">
        <v>0.8305</v>
      </c>
      <c r="J247" s="13" t="n">
        <v>0.53</v>
      </c>
      <c r="K247" s="12" t="n">
        <f aca="false">ROUND(F247/100*G247*H247*I247/J247,2)</f>
        <v>7672.64</v>
      </c>
      <c r="L247" s="12" t="n">
        <v>7672.64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3357</v>
      </c>
      <c r="B248" s="14" t="s">
        <v>3666</v>
      </c>
      <c r="C248" s="14" t="s">
        <v>184</v>
      </c>
      <c r="D248" s="14" t="s">
        <v>189</v>
      </c>
      <c r="E248" s="14" t="s">
        <v>50</v>
      </c>
      <c r="F248" s="15" t="n">
        <v>1000000</v>
      </c>
      <c r="G248" s="16" t="n">
        <v>0.8</v>
      </c>
      <c r="H248" s="16" t="n">
        <v>1.02</v>
      </c>
      <c r="I248" s="16" t="n">
        <v>0.8305</v>
      </c>
      <c r="J248" s="16" t="n">
        <v>0.53</v>
      </c>
      <c r="K248" s="15" t="n">
        <f aca="false">ROUND(F248/100*G248*H248*I248/J248,2)</f>
        <v>12786.57</v>
      </c>
      <c r="L248" s="15" t="n">
        <v>12786.57</v>
      </c>
      <c r="M248" s="15" t="n">
        <f aca="false">L248-K248</f>
        <v>0</v>
      </c>
      <c r="N248" s="14" t="s">
        <v>51</v>
      </c>
      <c r="O248" s="14" t="s">
        <v>52</v>
      </c>
    </row>
    <row r="249" customFormat="false" ht="15" hidden="false" customHeight="false" outlineLevel="0" collapsed="false">
      <c r="A249" s="3" t="s">
        <v>3489</v>
      </c>
      <c r="B249" s="3" t="s">
        <v>3667</v>
      </c>
      <c r="C249" s="3" t="s">
        <v>117</v>
      </c>
      <c r="D249" s="3" t="s">
        <v>1537</v>
      </c>
      <c r="E249" s="3" t="s">
        <v>50</v>
      </c>
      <c r="F249" s="12" t="n">
        <v>1950000</v>
      </c>
      <c r="G249" s="13" t="n">
        <v>0.8</v>
      </c>
      <c r="H249" s="13" t="n">
        <v>0.91</v>
      </c>
      <c r="I249" s="13" t="n">
        <v>0.8305</v>
      </c>
      <c r="J249" s="13" t="n">
        <v>0.53</v>
      </c>
      <c r="K249" s="12" t="n">
        <f aca="false">ROUND(F249/100*G249*H249*I249/J249,2)</f>
        <v>22244.86</v>
      </c>
      <c r="L249" s="12" t="n">
        <v>22244.87</v>
      </c>
      <c r="M249" s="12" t="n">
        <f aca="false">L249-K249</f>
        <v>0.00999999999839929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3363</v>
      </c>
      <c r="B250" s="14" t="s">
        <v>3668</v>
      </c>
      <c r="C250" s="14" t="s">
        <v>152</v>
      </c>
      <c r="D250" s="14" t="s">
        <v>3177</v>
      </c>
      <c r="E250" s="14" t="s">
        <v>74</v>
      </c>
      <c r="F250" s="15" t="n">
        <v>885000</v>
      </c>
      <c r="G250" s="16" t="n">
        <v>0.43</v>
      </c>
      <c r="H250" s="16" t="n">
        <v>1</v>
      </c>
      <c r="I250" s="16" t="n">
        <v>0.8305</v>
      </c>
      <c r="J250" s="16" t="n">
        <v>0.53</v>
      </c>
      <c r="K250" s="15" t="n">
        <f aca="false">ROUND(F250/100*G250*H250*I250/J250,2)</f>
        <v>5963.15</v>
      </c>
      <c r="L250" s="15" t="n">
        <v>5963.15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3378</v>
      </c>
      <c r="B251" s="3" t="s">
        <v>3669</v>
      </c>
      <c r="C251" s="3" t="s">
        <v>300</v>
      </c>
      <c r="D251" s="3" t="s">
        <v>3107</v>
      </c>
      <c r="E251" s="3" t="s">
        <v>56</v>
      </c>
      <c r="F251" s="12" t="n">
        <v>1195000</v>
      </c>
      <c r="G251" s="13" t="n">
        <v>0.55</v>
      </c>
      <c r="H251" s="13" t="n">
        <v>1.11</v>
      </c>
      <c r="I251" s="13" t="n">
        <v>0.8305</v>
      </c>
      <c r="J251" s="13" t="n">
        <v>0.53</v>
      </c>
      <c r="K251" s="12" t="n">
        <f aca="false">ROUND(F251/100*G251*H251*I251/J251,2)</f>
        <v>11431.87</v>
      </c>
      <c r="L251" s="12" t="n">
        <v>11431.87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3355</v>
      </c>
      <c r="B252" s="14" t="s">
        <v>3670</v>
      </c>
      <c r="C252" s="14" t="s">
        <v>114</v>
      </c>
      <c r="D252" s="14" t="s">
        <v>656</v>
      </c>
      <c r="E252" s="14" t="s">
        <v>50</v>
      </c>
      <c r="F252" s="15" t="n">
        <v>1025000</v>
      </c>
      <c r="G252" s="16" t="n">
        <v>0.8</v>
      </c>
      <c r="H252" s="16" t="n">
        <v>1.36</v>
      </c>
      <c r="I252" s="16" t="n">
        <v>0.8305</v>
      </c>
      <c r="J252" s="16" t="n">
        <v>0.53</v>
      </c>
      <c r="K252" s="15" t="n">
        <f aca="false">ROUND(F252/100*G252*H252*I252/J252,2)</f>
        <v>17474.97</v>
      </c>
      <c r="L252" s="15" t="n">
        <v>17474.97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3378</v>
      </c>
      <c r="B253" s="3" t="s">
        <v>3671</v>
      </c>
      <c r="C253" s="3" t="s">
        <v>237</v>
      </c>
      <c r="D253" s="3" t="s">
        <v>2050</v>
      </c>
      <c r="E253" s="3" t="s">
        <v>56</v>
      </c>
      <c r="F253" s="12" t="n">
        <v>350000</v>
      </c>
      <c r="G253" s="13" t="n">
        <v>0.75</v>
      </c>
      <c r="H253" s="13" t="n">
        <v>1.33</v>
      </c>
      <c r="I253" s="13" t="n">
        <v>0.8305</v>
      </c>
      <c r="J253" s="13" t="n">
        <v>0.53</v>
      </c>
      <c r="K253" s="12" t="n">
        <f aca="false">ROUND(F253/100*G253*H253*I253/J253,2)</f>
        <v>5470.72</v>
      </c>
      <c r="L253" s="12" t="n">
        <v>5470.72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3406</v>
      </c>
      <c r="B254" s="14" t="s">
        <v>3672</v>
      </c>
      <c r="C254" s="14" t="s">
        <v>295</v>
      </c>
      <c r="D254" s="14" t="s">
        <v>492</v>
      </c>
      <c r="E254" s="14" t="s">
        <v>56</v>
      </c>
      <c r="F254" s="15" t="n">
        <v>410000</v>
      </c>
      <c r="G254" s="16" t="n">
        <v>0.75</v>
      </c>
      <c r="H254" s="16" t="n">
        <v>1.2</v>
      </c>
      <c r="I254" s="16" t="n">
        <v>0.8305</v>
      </c>
      <c r="J254" s="16" t="n">
        <v>0.53</v>
      </c>
      <c r="K254" s="15" t="n">
        <f aca="false">ROUND(F254/100*G254*H254*I254/J254,2)</f>
        <v>5782.16</v>
      </c>
      <c r="L254" s="15" t="n">
        <v>5782.16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3437</v>
      </c>
      <c r="B255" s="3" t="s">
        <v>3673</v>
      </c>
      <c r="C255" s="3" t="s">
        <v>295</v>
      </c>
      <c r="D255" s="3" t="s">
        <v>652</v>
      </c>
      <c r="E255" s="3" t="s">
        <v>56</v>
      </c>
      <c r="F255" s="12" t="n">
        <v>1950000</v>
      </c>
      <c r="G255" s="13" t="n">
        <v>0.55</v>
      </c>
      <c r="H255" s="13" t="n">
        <v>1.2</v>
      </c>
      <c r="I255" s="13" t="n">
        <v>0.8305</v>
      </c>
      <c r="J255" s="13" t="n">
        <v>0.53</v>
      </c>
      <c r="K255" s="12" t="n">
        <f aca="false">ROUND(F255/100*G255*H255*I255/J255,2)</f>
        <v>20167.05</v>
      </c>
      <c r="L255" s="12" t="n">
        <v>20167.05</v>
      </c>
      <c r="M255" s="12" t="n">
        <f aca="false">L255-K255</f>
        <v>0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3391</v>
      </c>
      <c r="B256" s="14" t="s">
        <v>3674</v>
      </c>
      <c r="C256" s="14" t="s">
        <v>184</v>
      </c>
      <c r="D256" s="14" t="s">
        <v>3420</v>
      </c>
      <c r="E256" s="14" t="s">
        <v>157</v>
      </c>
      <c r="F256" s="15" t="n">
        <v>435000</v>
      </c>
      <c r="G256" s="16" t="n">
        <v>0.88</v>
      </c>
      <c r="H256" s="16" t="n">
        <v>1.02</v>
      </c>
      <c r="I256" s="16" t="n">
        <v>0.8305</v>
      </c>
      <c r="J256" s="16" t="n">
        <v>0.53</v>
      </c>
      <c r="K256" s="15" t="n">
        <f aca="false">ROUND(F256/100*G256*H256*I256/J256,2)</f>
        <v>6118.37</v>
      </c>
      <c r="L256" s="15" t="n">
        <v>6118.37</v>
      </c>
      <c r="M256" s="15" t="n">
        <f aca="false">L256-K256</f>
        <v>0</v>
      </c>
      <c r="N256" s="14" t="s">
        <v>51</v>
      </c>
      <c r="O256" s="14" t="s">
        <v>52</v>
      </c>
    </row>
    <row r="257" customFormat="false" ht="15" hidden="false" customHeight="false" outlineLevel="0" collapsed="false">
      <c r="A257" s="3" t="s">
        <v>3388</v>
      </c>
      <c r="B257" s="3" t="s">
        <v>3675</v>
      </c>
      <c r="C257" s="3" t="s">
        <v>224</v>
      </c>
      <c r="D257" s="3" t="s">
        <v>2199</v>
      </c>
      <c r="E257" s="3" t="s">
        <v>56</v>
      </c>
      <c r="F257" s="12" t="n">
        <v>1405000</v>
      </c>
      <c r="G257" s="13" t="n">
        <v>0.55</v>
      </c>
      <c r="H257" s="13" t="n">
        <v>1.1</v>
      </c>
      <c r="I257" s="13" t="n">
        <v>0.8305</v>
      </c>
      <c r="J257" s="13" t="n">
        <v>0.53</v>
      </c>
      <c r="K257" s="12" t="n">
        <f aca="false">ROUND(F257/100*G257*H257*I257/J257,2)</f>
        <v>13319.73</v>
      </c>
      <c r="L257" s="12" t="n">
        <v>13319.73</v>
      </c>
      <c r="M257" s="12" t="n">
        <f aca="false">L257-K257</f>
        <v>0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3363</v>
      </c>
      <c r="B258" s="14" t="s">
        <v>3676</v>
      </c>
      <c r="C258" s="14" t="s">
        <v>145</v>
      </c>
      <c r="D258" s="14" t="s">
        <v>1301</v>
      </c>
      <c r="E258" s="14" t="s">
        <v>56</v>
      </c>
      <c r="F258" s="15" t="n">
        <v>1675000</v>
      </c>
      <c r="G258" s="16" t="n">
        <v>0.55</v>
      </c>
      <c r="H258" s="16" t="n">
        <v>0.96</v>
      </c>
      <c r="I258" s="16" t="n">
        <v>0.8305</v>
      </c>
      <c r="J258" s="16" t="n">
        <v>0.53</v>
      </c>
      <c r="K258" s="15" t="n">
        <f aca="false">ROUND(F258/100*G258*H258*I258/J258,2)</f>
        <v>13858.38</v>
      </c>
      <c r="L258" s="15" t="n">
        <v>13858.38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3359</v>
      </c>
      <c r="B259" s="3" t="s">
        <v>3677</v>
      </c>
      <c r="C259" s="3" t="s">
        <v>114</v>
      </c>
      <c r="D259" s="3" t="s">
        <v>878</v>
      </c>
      <c r="E259" s="3" t="s">
        <v>56</v>
      </c>
      <c r="F259" s="12" t="n">
        <v>450000</v>
      </c>
      <c r="G259" s="13" t="n">
        <v>0.75</v>
      </c>
      <c r="H259" s="13" t="n">
        <v>1.36</v>
      </c>
      <c r="I259" s="13" t="n">
        <v>0.8305</v>
      </c>
      <c r="J259" s="13" t="n">
        <v>0.53</v>
      </c>
      <c r="K259" s="12" t="n">
        <f aca="false">ROUND(F259/100*G259*H259*I259/J259,2)</f>
        <v>7192.44</v>
      </c>
      <c r="L259" s="12" t="n">
        <v>7192.45</v>
      </c>
      <c r="M259" s="12" t="n">
        <f aca="false">L259-K259</f>
        <v>0.0100000000002183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3363</v>
      </c>
      <c r="B260" s="14" t="s">
        <v>3678</v>
      </c>
      <c r="C260" s="14" t="s">
        <v>68</v>
      </c>
      <c r="D260" s="14" t="s">
        <v>737</v>
      </c>
      <c r="E260" s="14" t="s">
        <v>74</v>
      </c>
      <c r="F260" s="15" t="n">
        <v>660000</v>
      </c>
      <c r="G260" s="16" t="n">
        <v>0.43</v>
      </c>
      <c r="H260" s="16" t="n">
        <v>1.38</v>
      </c>
      <c r="I260" s="16" t="n">
        <v>0.8305</v>
      </c>
      <c r="J260" s="16" t="n">
        <v>0.53</v>
      </c>
      <c r="K260" s="15" t="n">
        <f aca="false">ROUND(F260/100*G260*H260*I260/J260,2)</f>
        <v>6136.99</v>
      </c>
      <c r="L260" s="15" t="n">
        <v>6136.99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3416</v>
      </c>
      <c r="B261" s="3" t="s">
        <v>3679</v>
      </c>
      <c r="C261" s="3" t="s">
        <v>77</v>
      </c>
      <c r="D261" s="3" t="s">
        <v>1447</v>
      </c>
      <c r="E261" s="3" t="s">
        <v>56</v>
      </c>
      <c r="F261" s="12" t="n">
        <v>620000</v>
      </c>
      <c r="G261" s="13" t="n">
        <v>0.65</v>
      </c>
      <c r="H261" s="13" t="n">
        <v>1.42</v>
      </c>
      <c r="I261" s="13" t="n">
        <v>0.8305</v>
      </c>
      <c r="J261" s="13" t="n">
        <v>0.53</v>
      </c>
      <c r="K261" s="12" t="n">
        <f aca="false">ROUND(F261/100*G261*H261*I261/J261,2)</f>
        <v>8967.21</v>
      </c>
      <c r="L261" s="12" t="n">
        <v>8967.21</v>
      </c>
      <c r="M261" s="12" t="n">
        <f aca="false">L261-K261</f>
        <v>0</v>
      </c>
      <c r="N261" s="3" t="s">
        <v>51</v>
      </c>
      <c r="O261" s="3" t="s">
        <v>52</v>
      </c>
    </row>
    <row r="262" customFormat="false" ht="15" hidden="false" customHeight="false" outlineLevel="0" collapsed="false">
      <c r="A262" s="14" t="s">
        <v>3404</v>
      </c>
      <c r="B262" s="14" t="s">
        <v>3680</v>
      </c>
      <c r="C262" s="14" t="s">
        <v>169</v>
      </c>
      <c r="D262" s="14" t="s">
        <v>1414</v>
      </c>
      <c r="E262" s="14" t="s">
        <v>56</v>
      </c>
      <c r="F262" s="15" t="n">
        <v>400000</v>
      </c>
      <c r="G262" s="16" t="n">
        <v>0.75</v>
      </c>
      <c r="H262" s="16" t="n">
        <v>1.07</v>
      </c>
      <c r="I262" s="16" t="n">
        <v>0.8305</v>
      </c>
      <c r="J262" s="16" t="n">
        <v>0.53</v>
      </c>
      <c r="K262" s="15" t="n">
        <f aca="false">ROUND(F262/100*G262*H262*I262/J262,2)</f>
        <v>5030.01</v>
      </c>
      <c r="L262" s="15" t="n">
        <v>5030.01</v>
      </c>
      <c r="M262" s="15" t="n">
        <f aca="false">L262-K262</f>
        <v>0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3406</v>
      </c>
      <c r="B263" s="3" t="s">
        <v>3681</v>
      </c>
      <c r="C263" s="3" t="s">
        <v>77</v>
      </c>
      <c r="D263" s="3" t="s">
        <v>1182</v>
      </c>
      <c r="E263" s="3" t="s">
        <v>50</v>
      </c>
      <c r="F263" s="12" t="n">
        <v>780000</v>
      </c>
      <c r="G263" s="13" t="n">
        <v>0.95</v>
      </c>
      <c r="H263" s="13" t="n">
        <v>1.42</v>
      </c>
      <c r="I263" s="13" t="n">
        <v>0.8305</v>
      </c>
      <c r="J263" s="13" t="n">
        <v>0.53</v>
      </c>
      <c r="K263" s="12" t="n">
        <f aca="false">ROUND(F263/100*G263*H263*I263/J263,2)</f>
        <v>16488.09</v>
      </c>
      <c r="L263" s="12" t="n">
        <v>16488.09</v>
      </c>
      <c r="M263" s="12" t="n">
        <f aca="false">L263-K263</f>
        <v>0</v>
      </c>
      <c r="N263" s="3" t="s">
        <v>61</v>
      </c>
      <c r="O263" s="3" t="s">
        <v>62</v>
      </c>
    </row>
    <row r="264" customFormat="false" ht="15" hidden="false" customHeight="false" outlineLevel="0" collapsed="false">
      <c r="A264" s="14" t="s">
        <v>3355</v>
      </c>
      <c r="B264" s="14" t="s">
        <v>3682</v>
      </c>
      <c r="C264" s="14" t="s">
        <v>435</v>
      </c>
      <c r="D264" s="14" t="s">
        <v>2077</v>
      </c>
      <c r="E264" s="14" t="s">
        <v>56</v>
      </c>
      <c r="F264" s="15" t="n">
        <v>370000</v>
      </c>
      <c r="G264" s="16" t="n">
        <v>0.75</v>
      </c>
      <c r="H264" s="16" t="n">
        <v>1.13</v>
      </c>
      <c r="I264" s="16" t="n">
        <v>0.8305</v>
      </c>
      <c r="J264" s="16" t="n">
        <v>0.53</v>
      </c>
      <c r="K264" s="15" t="n">
        <f aca="false">ROUND(F264/100*G264*H264*I264/J264,2)</f>
        <v>4913.66</v>
      </c>
      <c r="L264" s="15" t="n">
        <v>4913.66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3351</v>
      </c>
      <c r="B265" s="3" t="s">
        <v>3683</v>
      </c>
      <c r="C265" s="3" t="s">
        <v>184</v>
      </c>
      <c r="D265" s="3" t="s">
        <v>2380</v>
      </c>
      <c r="E265" s="3" t="s">
        <v>56</v>
      </c>
      <c r="F265" s="12" t="n">
        <v>620000</v>
      </c>
      <c r="G265" s="13" t="n">
        <v>0.65</v>
      </c>
      <c r="H265" s="13" t="n">
        <v>1.02</v>
      </c>
      <c r="I265" s="13" t="n">
        <v>0.8305</v>
      </c>
      <c r="J265" s="13" t="n">
        <v>0.53</v>
      </c>
      <c r="K265" s="12" t="n">
        <f aca="false">ROUND(F265/100*G265*H265*I265/J265,2)</f>
        <v>6441.23</v>
      </c>
      <c r="L265" s="12" t="n">
        <v>6441.23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3388</v>
      </c>
      <c r="B266" s="14" t="s">
        <v>3684</v>
      </c>
      <c r="C266" s="14" t="s">
        <v>68</v>
      </c>
      <c r="D266" s="14" t="s">
        <v>1905</v>
      </c>
      <c r="E266" s="14" t="s">
        <v>56</v>
      </c>
      <c r="F266" s="15" t="n">
        <v>1200000</v>
      </c>
      <c r="G266" s="16" t="n">
        <v>0.55</v>
      </c>
      <c r="H266" s="16" t="n">
        <v>1.38</v>
      </c>
      <c r="I266" s="16" t="n">
        <v>0.8305</v>
      </c>
      <c r="J266" s="16" t="n">
        <v>0.53</v>
      </c>
      <c r="K266" s="15" t="n">
        <f aca="false">ROUND(F266/100*G266*H266*I266/J266,2)</f>
        <v>14272.06</v>
      </c>
      <c r="L266" s="15" t="n">
        <v>14272.07</v>
      </c>
      <c r="M266" s="15" t="n">
        <f aca="false">L266-K266</f>
        <v>0.0100000000002183</v>
      </c>
      <c r="N266" s="14" t="s">
        <v>61</v>
      </c>
      <c r="O266" s="14" t="s">
        <v>62</v>
      </c>
    </row>
    <row r="267" customFormat="false" ht="15" hidden="false" customHeight="false" outlineLevel="0" collapsed="false">
      <c r="A267" s="3" t="s">
        <v>3406</v>
      </c>
      <c r="B267" s="3" t="s">
        <v>3685</v>
      </c>
      <c r="C267" s="3" t="s">
        <v>220</v>
      </c>
      <c r="D267" s="3" t="s">
        <v>542</v>
      </c>
      <c r="E267" s="3" t="s">
        <v>50</v>
      </c>
      <c r="F267" s="12" t="n">
        <v>455000</v>
      </c>
      <c r="G267" s="13" t="n">
        <v>1.15</v>
      </c>
      <c r="H267" s="13" t="n">
        <v>1.01</v>
      </c>
      <c r="I267" s="13" t="n">
        <v>0.8305</v>
      </c>
      <c r="J267" s="13" t="n">
        <v>0.53</v>
      </c>
      <c r="K267" s="12" t="n">
        <f aca="false">ROUND(F267/100*G267*H267*I267/J267,2)</f>
        <v>8281.22</v>
      </c>
      <c r="L267" s="12" t="n">
        <v>8281.22</v>
      </c>
      <c r="M267" s="12" t="n">
        <f aca="false">L267-K267</f>
        <v>0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3401</v>
      </c>
      <c r="B268" s="14" t="s">
        <v>3686</v>
      </c>
      <c r="C268" s="14" t="s">
        <v>89</v>
      </c>
      <c r="D268" s="14" t="s">
        <v>2368</v>
      </c>
      <c r="E268" s="14" t="s">
        <v>56</v>
      </c>
      <c r="F268" s="15" t="n">
        <v>360000</v>
      </c>
      <c r="G268" s="16" t="n">
        <v>0.75</v>
      </c>
      <c r="H268" s="16" t="n">
        <v>1.35</v>
      </c>
      <c r="I268" s="16" t="n">
        <v>0.8305</v>
      </c>
      <c r="J268" s="16" t="n">
        <v>0.53</v>
      </c>
      <c r="K268" s="15" t="n">
        <f aca="false">ROUND(F268/100*G268*H268*I268/J268,2)</f>
        <v>5711.65</v>
      </c>
      <c r="L268" s="15" t="n">
        <v>5711.65</v>
      </c>
      <c r="M268" s="15" t="n">
        <f aca="false">L268-K268</f>
        <v>0</v>
      </c>
      <c r="N268" s="14" t="s">
        <v>51</v>
      </c>
      <c r="O268" s="14" t="s">
        <v>52</v>
      </c>
    </row>
    <row r="269" customFormat="false" ht="15" hidden="false" customHeight="false" outlineLevel="0" collapsed="false">
      <c r="A269" s="3" t="s">
        <v>3425</v>
      </c>
      <c r="B269" s="3" t="s">
        <v>3687</v>
      </c>
      <c r="C269" s="3" t="s">
        <v>210</v>
      </c>
      <c r="D269" s="3" t="s">
        <v>140</v>
      </c>
      <c r="E269" s="3" t="s">
        <v>74</v>
      </c>
      <c r="F269" s="12" t="n">
        <v>1180000</v>
      </c>
      <c r="G269" s="13" t="n">
        <v>0.38</v>
      </c>
      <c r="H269" s="13" t="n">
        <v>1.21</v>
      </c>
      <c r="I269" s="13" t="n">
        <v>0.8305</v>
      </c>
      <c r="J269" s="13" t="n">
        <v>0.53</v>
      </c>
      <c r="K269" s="12" t="n">
        <f aca="false">ROUND(F269/100*G269*H269*I269/J269,2)</f>
        <v>8501.88</v>
      </c>
      <c r="L269" s="12" t="n">
        <v>8501.88</v>
      </c>
      <c r="M269" s="12" t="n">
        <f aca="false">L269-K269</f>
        <v>0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3425</v>
      </c>
      <c r="B270" s="14" t="s">
        <v>3688</v>
      </c>
      <c r="C270" s="14" t="s">
        <v>120</v>
      </c>
      <c r="D270" s="14" t="s">
        <v>256</v>
      </c>
      <c r="E270" s="14" t="s">
        <v>56</v>
      </c>
      <c r="F270" s="15" t="n">
        <v>940000</v>
      </c>
      <c r="G270" s="16" t="n">
        <v>0.65</v>
      </c>
      <c r="H270" s="16" t="n">
        <v>1.15</v>
      </c>
      <c r="I270" s="16" t="n">
        <v>0.8305</v>
      </c>
      <c r="J270" s="16" t="n">
        <v>0.53</v>
      </c>
      <c r="K270" s="15" t="n">
        <f aca="false">ROUND(F270/100*G270*H270*I270/J270,2)</f>
        <v>11010.39</v>
      </c>
      <c r="L270" s="15" t="n">
        <v>11010.4</v>
      </c>
      <c r="M270" s="15" t="n">
        <f aca="false">L270-K270</f>
        <v>0.0100000000002183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3408</v>
      </c>
      <c r="B271" s="3" t="s">
        <v>3689</v>
      </c>
      <c r="C271" s="3" t="s">
        <v>114</v>
      </c>
      <c r="D271" s="3" t="s">
        <v>3690</v>
      </c>
      <c r="E271" s="3" t="s">
        <v>74</v>
      </c>
      <c r="F271" s="12" t="n">
        <v>440000</v>
      </c>
      <c r="G271" s="13" t="n">
        <v>0.48</v>
      </c>
      <c r="H271" s="13" t="n">
        <v>1.36</v>
      </c>
      <c r="I271" s="13" t="n">
        <v>0.8305</v>
      </c>
      <c r="J271" s="13" t="n">
        <v>0.53</v>
      </c>
      <c r="K271" s="12" t="n">
        <f aca="false">ROUND(F271/100*G271*H271*I271/J271,2)</f>
        <v>4500.87</v>
      </c>
      <c r="L271" s="12" t="n">
        <v>4500.87</v>
      </c>
      <c r="M271" s="12" t="n">
        <f aca="false">L271-K271</f>
        <v>0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3411</v>
      </c>
      <c r="B272" s="14" t="s">
        <v>3691</v>
      </c>
      <c r="C272" s="14" t="s">
        <v>184</v>
      </c>
      <c r="D272" s="14" t="s">
        <v>1599</v>
      </c>
      <c r="E272" s="14" t="s">
        <v>56</v>
      </c>
      <c r="F272" s="15" t="n">
        <v>885000</v>
      </c>
      <c r="G272" s="16" t="n">
        <v>0.65</v>
      </c>
      <c r="H272" s="16" t="n">
        <v>1.02</v>
      </c>
      <c r="I272" s="16" t="n">
        <v>0.8305</v>
      </c>
      <c r="J272" s="16" t="n">
        <v>0.53</v>
      </c>
      <c r="K272" s="15" t="n">
        <f aca="false">ROUND(F272/100*G272*H272*I272/J272,2)</f>
        <v>9194.34</v>
      </c>
      <c r="L272" s="15" t="n">
        <v>9194.34</v>
      </c>
      <c r="M272" s="15" t="n">
        <f aca="false">L272-K272</f>
        <v>0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3401</v>
      </c>
      <c r="B273" s="3" t="s">
        <v>3692</v>
      </c>
      <c r="C273" s="3" t="s">
        <v>85</v>
      </c>
      <c r="D273" s="3" t="s">
        <v>946</v>
      </c>
      <c r="E273" s="3" t="s">
        <v>56</v>
      </c>
      <c r="F273" s="12" t="n">
        <v>520000</v>
      </c>
      <c r="G273" s="13" t="n">
        <v>0.65</v>
      </c>
      <c r="H273" s="13" t="n">
        <v>1.28</v>
      </c>
      <c r="I273" s="13" t="n">
        <v>0.8305</v>
      </c>
      <c r="J273" s="13" t="n">
        <v>0.53</v>
      </c>
      <c r="K273" s="12" t="n">
        <f aca="false">ROUND(F273/100*G273*H273*I273/J273,2)</f>
        <v>6779.39</v>
      </c>
      <c r="L273" s="12" t="n">
        <v>6779.39</v>
      </c>
      <c r="M273" s="12" t="n">
        <f aca="false">L273-K273</f>
        <v>0</v>
      </c>
      <c r="N273" s="3" t="s">
        <v>51</v>
      </c>
      <c r="O273" s="3" t="s">
        <v>52</v>
      </c>
    </row>
    <row r="274" customFormat="false" ht="15" hidden="false" customHeight="false" outlineLevel="0" collapsed="false">
      <c r="A274" s="14" t="s">
        <v>3404</v>
      </c>
      <c r="B274" s="14" t="s">
        <v>3693</v>
      </c>
      <c r="C274" s="14" t="s">
        <v>237</v>
      </c>
      <c r="D274" s="14" t="s">
        <v>1432</v>
      </c>
      <c r="E274" s="14" t="s">
        <v>56</v>
      </c>
      <c r="F274" s="15" t="n">
        <v>490000</v>
      </c>
      <c r="G274" s="16" t="n">
        <v>0.75</v>
      </c>
      <c r="H274" s="16" t="n">
        <v>1.33</v>
      </c>
      <c r="I274" s="16" t="n">
        <v>0.8305</v>
      </c>
      <c r="J274" s="16" t="n">
        <v>0.53</v>
      </c>
      <c r="K274" s="15" t="n">
        <f aca="false">ROUND(F274/100*G274*H274*I274/J274,2)</f>
        <v>7659.01</v>
      </c>
      <c r="L274" s="15" t="n">
        <v>7659.01</v>
      </c>
      <c r="M274" s="15" t="n">
        <f aca="false">L274-K274</f>
        <v>0</v>
      </c>
      <c r="N274" s="14" t="s">
        <v>61</v>
      </c>
      <c r="O274" s="14" t="s">
        <v>62</v>
      </c>
    </row>
    <row r="275" customFormat="false" ht="15" hidden="false" customHeight="false" outlineLevel="0" collapsed="false">
      <c r="A275" s="3" t="s">
        <v>3388</v>
      </c>
      <c r="B275" s="3" t="s">
        <v>3694</v>
      </c>
      <c r="C275" s="3" t="s">
        <v>217</v>
      </c>
      <c r="D275" s="3" t="s">
        <v>3695</v>
      </c>
      <c r="E275" s="3" t="s">
        <v>74</v>
      </c>
      <c r="F275" s="12" t="n">
        <v>200000</v>
      </c>
      <c r="G275" s="13" t="n">
        <v>0.57</v>
      </c>
      <c r="H275" s="13" t="n">
        <v>1.3</v>
      </c>
      <c r="I275" s="13" t="n">
        <v>0.8305</v>
      </c>
      <c r="J275" s="13" t="n">
        <v>0.53</v>
      </c>
      <c r="K275" s="12" t="n">
        <f aca="false">ROUND(F275/100*G275*H275*I275/J275,2)</f>
        <v>2322.27</v>
      </c>
      <c r="L275" s="12" t="n">
        <v>2322.27</v>
      </c>
      <c r="M275" s="12" t="n">
        <f aca="false">L275-K275</f>
        <v>0</v>
      </c>
      <c r="N275" s="3" t="s">
        <v>61</v>
      </c>
      <c r="O275" s="3" t="s">
        <v>62</v>
      </c>
    </row>
    <row r="276" customFormat="false" ht="15" hidden="false" customHeight="false" outlineLevel="0" collapsed="false">
      <c r="A276" s="14" t="s">
        <v>3355</v>
      </c>
      <c r="B276" s="14" t="s">
        <v>3696</v>
      </c>
      <c r="C276" s="14" t="s">
        <v>114</v>
      </c>
      <c r="D276" s="14" t="s">
        <v>1012</v>
      </c>
      <c r="E276" s="14" t="s">
        <v>56</v>
      </c>
      <c r="F276" s="15" t="n">
        <v>305000</v>
      </c>
      <c r="G276" s="16" t="n">
        <v>0.75</v>
      </c>
      <c r="H276" s="16" t="n">
        <v>1.36</v>
      </c>
      <c r="I276" s="16" t="n">
        <v>0.8305</v>
      </c>
      <c r="J276" s="16" t="n">
        <v>0.53</v>
      </c>
      <c r="K276" s="15" t="n">
        <f aca="false">ROUND(F276/100*G276*H276*I276/J276,2)</f>
        <v>4874.88</v>
      </c>
      <c r="L276" s="15" t="n">
        <v>4874.88</v>
      </c>
      <c r="M276" s="15" t="n">
        <f aca="false">L276-K276</f>
        <v>0</v>
      </c>
      <c r="N276" s="14" t="s">
        <v>70</v>
      </c>
      <c r="O276" s="14" t="s">
        <v>52</v>
      </c>
    </row>
    <row r="277" customFormat="false" ht="15" hidden="false" customHeight="false" outlineLevel="0" collapsed="false">
      <c r="A277" s="3" t="s">
        <v>3404</v>
      </c>
      <c r="B277" s="3" t="s">
        <v>3697</v>
      </c>
      <c r="C277" s="3" t="s">
        <v>169</v>
      </c>
      <c r="D277" s="3" t="s">
        <v>3698</v>
      </c>
      <c r="E277" s="3" t="s">
        <v>157</v>
      </c>
      <c r="F277" s="12" t="n">
        <v>1110000</v>
      </c>
      <c r="G277" s="13" t="n">
        <v>0.68</v>
      </c>
      <c r="H277" s="13" t="n">
        <v>1.07</v>
      </c>
      <c r="I277" s="13" t="n">
        <v>0.8305</v>
      </c>
      <c r="J277" s="13" t="n">
        <v>0.53</v>
      </c>
      <c r="K277" s="12" t="n">
        <f aca="false">ROUND(F277/100*G277*H277*I277/J277,2)</f>
        <v>12655.5</v>
      </c>
      <c r="L277" s="12" t="n">
        <v>12655.51</v>
      </c>
      <c r="M277" s="12" t="n">
        <f aca="false">L277-K277</f>
        <v>0.0100000000002183</v>
      </c>
      <c r="N277" s="3" t="s">
        <v>51</v>
      </c>
      <c r="O277" s="3" t="s">
        <v>52</v>
      </c>
    </row>
    <row r="278" customFormat="false" ht="15" hidden="false" customHeight="false" outlineLevel="0" collapsed="false">
      <c r="A278" s="14" t="s">
        <v>3368</v>
      </c>
      <c r="B278" s="14" t="s">
        <v>3699</v>
      </c>
      <c r="C278" s="14" t="s">
        <v>145</v>
      </c>
      <c r="D278" s="14" t="s">
        <v>3700</v>
      </c>
      <c r="E278" s="14" t="s">
        <v>50</v>
      </c>
      <c r="F278" s="15" t="n">
        <v>480000</v>
      </c>
      <c r="G278" s="16" t="n">
        <v>1.15</v>
      </c>
      <c r="H278" s="16" t="n">
        <v>0.96</v>
      </c>
      <c r="I278" s="16" t="n">
        <v>0.8305</v>
      </c>
      <c r="J278" s="16" t="n">
        <v>0.53</v>
      </c>
      <c r="K278" s="15" t="n">
        <f aca="false">ROUND(F278/100*G278*H278*I278/J278,2)</f>
        <v>8303.75</v>
      </c>
      <c r="L278" s="15" t="n">
        <v>8303.75</v>
      </c>
      <c r="M278" s="15" t="n">
        <f aca="false">L278-K278</f>
        <v>0</v>
      </c>
      <c r="N278" s="14" t="s">
        <v>51</v>
      </c>
      <c r="O278" s="14" t="s">
        <v>52</v>
      </c>
    </row>
    <row r="279" customFormat="false" ht="15" hidden="false" customHeight="false" outlineLevel="0" collapsed="false">
      <c r="A279" s="3" t="s">
        <v>3416</v>
      </c>
      <c r="B279" s="3" t="s">
        <v>3701</v>
      </c>
      <c r="C279" s="3" t="s">
        <v>892</v>
      </c>
      <c r="D279" s="3" t="s">
        <v>1684</v>
      </c>
      <c r="E279" s="3" t="s">
        <v>50</v>
      </c>
      <c r="F279" s="12" t="n">
        <v>790000</v>
      </c>
      <c r="G279" s="13" t="n">
        <v>0.95</v>
      </c>
      <c r="H279" s="13" t="n">
        <v>1.08</v>
      </c>
      <c r="I279" s="13" t="n">
        <v>0.8305</v>
      </c>
      <c r="J279" s="13" t="n">
        <v>0.53</v>
      </c>
      <c r="K279" s="12" t="n">
        <f aca="false">ROUND(F279/100*G279*H279*I279/J279,2)</f>
        <v>12701.01</v>
      </c>
      <c r="L279" s="12" t="n">
        <v>12701.01</v>
      </c>
      <c r="M279" s="12" t="n">
        <f aca="false">L279-K279</f>
        <v>0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3359</v>
      </c>
      <c r="B280" s="14" t="s">
        <v>3702</v>
      </c>
      <c r="C280" s="14" t="s">
        <v>136</v>
      </c>
      <c r="D280" s="14" t="s">
        <v>371</v>
      </c>
      <c r="E280" s="14" t="s">
        <v>50</v>
      </c>
      <c r="F280" s="15" t="n">
        <v>840000</v>
      </c>
      <c r="G280" s="16" t="n">
        <v>0.95</v>
      </c>
      <c r="H280" s="16" t="n">
        <v>1.32</v>
      </c>
      <c r="I280" s="16" t="n">
        <v>0.8305</v>
      </c>
      <c r="J280" s="16" t="n">
        <v>0.53</v>
      </c>
      <c r="K280" s="15" t="n">
        <f aca="false">ROUND(F280/100*G280*H280*I280/J280,2)</f>
        <v>16505.95</v>
      </c>
      <c r="L280" s="15" t="n">
        <v>16505.95</v>
      </c>
      <c r="M280" s="15" t="n">
        <f aca="false">L280-K280</f>
        <v>0</v>
      </c>
      <c r="N280" s="14" t="s">
        <v>51</v>
      </c>
      <c r="O280" s="14" t="s">
        <v>52</v>
      </c>
    </row>
    <row r="281" customFormat="false" ht="15" hidden="false" customHeight="false" outlineLevel="0" collapsed="false">
      <c r="A281" s="3" t="s">
        <v>3370</v>
      </c>
      <c r="B281" s="3" t="s">
        <v>3703</v>
      </c>
      <c r="C281" s="3" t="s">
        <v>409</v>
      </c>
      <c r="D281" s="3" t="s">
        <v>2103</v>
      </c>
      <c r="E281" s="3" t="s">
        <v>157</v>
      </c>
      <c r="F281" s="12" t="n">
        <v>690000</v>
      </c>
      <c r="G281" s="13" t="n">
        <v>0.78</v>
      </c>
      <c r="H281" s="13" t="n">
        <v>1.3</v>
      </c>
      <c r="I281" s="13" t="n">
        <v>0.8305</v>
      </c>
      <c r="J281" s="13" t="n">
        <v>0.53</v>
      </c>
      <c r="K281" s="12" t="n">
        <f aca="false">ROUND(F281/100*G281*H281*I281/J281,2)</f>
        <v>10963.54</v>
      </c>
      <c r="L281" s="12" t="n">
        <v>10963.54</v>
      </c>
      <c r="M281" s="12" t="n">
        <f aca="false">L281-K281</f>
        <v>0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3353</v>
      </c>
      <c r="B282" s="14" t="s">
        <v>3704</v>
      </c>
      <c r="C282" s="14" t="s">
        <v>59</v>
      </c>
      <c r="D282" s="14" t="s">
        <v>2204</v>
      </c>
      <c r="E282" s="14" t="s">
        <v>50</v>
      </c>
      <c r="F282" s="15" t="n">
        <v>1950000</v>
      </c>
      <c r="G282" s="16" t="n">
        <v>0.8</v>
      </c>
      <c r="H282" s="16" t="n">
        <v>0.97</v>
      </c>
      <c r="I282" s="16" t="n">
        <v>0.8305</v>
      </c>
      <c r="J282" s="16" t="n">
        <v>0.53</v>
      </c>
      <c r="K282" s="15" t="n">
        <f aca="false">ROUND(F282/100*G282*H282*I282/J282,2)</f>
        <v>23711.56</v>
      </c>
      <c r="L282" s="15" t="n">
        <v>23711.56</v>
      </c>
      <c r="M282" s="15" t="n">
        <f aca="false">L282-K282</f>
        <v>0</v>
      </c>
      <c r="N282" s="14" t="s">
        <v>61</v>
      </c>
      <c r="O282" s="14" t="s">
        <v>62</v>
      </c>
    </row>
    <row r="283" customFormat="false" ht="15" hidden="false" customHeight="false" outlineLevel="0" collapsed="false">
      <c r="A283" s="3" t="s">
        <v>3391</v>
      </c>
      <c r="B283" s="3" t="s">
        <v>3705</v>
      </c>
      <c r="C283" s="3" t="s">
        <v>48</v>
      </c>
      <c r="D283" s="3" t="s">
        <v>252</v>
      </c>
      <c r="E283" s="3" t="s">
        <v>74</v>
      </c>
      <c r="F283" s="12" t="n">
        <v>170000</v>
      </c>
      <c r="G283" s="13" t="n">
        <v>0.57</v>
      </c>
      <c r="H283" s="13" t="n">
        <v>1.28</v>
      </c>
      <c r="I283" s="13" t="n">
        <v>0.8305</v>
      </c>
      <c r="J283" s="13" t="n">
        <v>0.53</v>
      </c>
      <c r="K283" s="12" t="n">
        <f aca="false">ROUND(F283/100*G283*H283*I283/J283,2)</f>
        <v>1943.56</v>
      </c>
      <c r="L283" s="12" t="n">
        <v>1943.56</v>
      </c>
      <c r="M283" s="12" t="n">
        <f aca="false">L283-K283</f>
        <v>0</v>
      </c>
      <c r="N283" s="3" t="s">
        <v>51</v>
      </c>
      <c r="O283" s="3" t="s">
        <v>52</v>
      </c>
    </row>
    <row r="284" customFormat="false" ht="15" hidden="false" customHeight="false" outlineLevel="0" collapsed="false">
      <c r="A284" s="14" t="s">
        <v>3489</v>
      </c>
      <c r="B284" s="14" t="s">
        <v>3706</v>
      </c>
      <c r="C284" s="14" t="s">
        <v>81</v>
      </c>
      <c r="D284" s="14" t="s">
        <v>852</v>
      </c>
      <c r="E284" s="14" t="s">
        <v>50</v>
      </c>
      <c r="F284" s="15" t="n">
        <v>640000</v>
      </c>
      <c r="G284" s="16" t="n">
        <v>0.95</v>
      </c>
      <c r="H284" s="16" t="n">
        <v>1.27</v>
      </c>
      <c r="I284" s="16" t="n">
        <v>0.8305</v>
      </c>
      <c r="J284" s="16" t="n">
        <v>0.53</v>
      </c>
      <c r="K284" s="15" t="n">
        <f aca="false">ROUND(F284/100*G284*H284*I284/J284,2)</f>
        <v>12099.6</v>
      </c>
      <c r="L284" s="15" t="n">
        <v>12099.6</v>
      </c>
      <c r="M284" s="15" t="n">
        <f aca="false">L284-K284</f>
        <v>0</v>
      </c>
      <c r="N284" s="14" t="s">
        <v>51</v>
      </c>
      <c r="O284" s="14" t="s">
        <v>52</v>
      </c>
    </row>
    <row r="285" customFormat="false" ht="15" hidden="false" customHeight="false" outlineLevel="0" collapsed="false">
      <c r="A285" s="3" t="s">
        <v>3423</v>
      </c>
      <c r="B285" s="3" t="s">
        <v>3707</v>
      </c>
      <c r="C285" s="3" t="s">
        <v>89</v>
      </c>
      <c r="D285" s="3" t="s">
        <v>1168</v>
      </c>
      <c r="E285" s="3" t="s">
        <v>56</v>
      </c>
      <c r="F285" s="12" t="n">
        <v>595000</v>
      </c>
      <c r="G285" s="13" t="n">
        <v>0.65</v>
      </c>
      <c r="H285" s="13" t="n">
        <v>1.35</v>
      </c>
      <c r="I285" s="13" t="n">
        <v>0.8305</v>
      </c>
      <c r="J285" s="13" t="n">
        <v>0.53</v>
      </c>
      <c r="K285" s="12" t="n">
        <f aca="false">ROUND(F285/100*G285*H285*I285/J285,2)</f>
        <v>8181.4</v>
      </c>
      <c r="L285" s="12" t="n">
        <v>8181.4</v>
      </c>
      <c r="M285" s="12" t="n">
        <f aca="false">L285-K285</f>
        <v>0</v>
      </c>
      <c r="N285" s="3" t="s">
        <v>61</v>
      </c>
      <c r="O285" s="3" t="s">
        <v>62</v>
      </c>
    </row>
    <row r="286" customFormat="false" ht="15" hidden="false" customHeight="false" outlineLevel="0" collapsed="false">
      <c r="A286" s="14" t="s">
        <v>3437</v>
      </c>
      <c r="B286" s="14" t="s">
        <v>3708</v>
      </c>
      <c r="C286" s="14" t="s">
        <v>217</v>
      </c>
      <c r="D286" s="14" t="s">
        <v>1292</v>
      </c>
      <c r="E286" s="14" t="s">
        <v>56</v>
      </c>
      <c r="F286" s="15" t="n">
        <v>465000</v>
      </c>
      <c r="G286" s="16" t="n">
        <v>0.75</v>
      </c>
      <c r="H286" s="16" t="n">
        <v>1.3</v>
      </c>
      <c r="I286" s="16" t="n">
        <v>0.8305</v>
      </c>
      <c r="J286" s="16" t="n">
        <v>0.53</v>
      </c>
      <c r="K286" s="15" t="n">
        <f aca="false">ROUND(F286/100*G286*H286*I286/J286,2)</f>
        <v>7104.3</v>
      </c>
      <c r="L286" s="15" t="n">
        <v>7104.3</v>
      </c>
      <c r="M286" s="15" t="n">
        <f aca="false">L286-K286</f>
        <v>0</v>
      </c>
      <c r="N286" s="14" t="s">
        <v>61</v>
      </c>
      <c r="O286" s="14" t="s">
        <v>62</v>
      </c>
    </row>
    <row r="287" customFormat="false" ht="15" hidden="false" customHeight="false" outlineLevel="0" collapsed="false">
      <c r="A287" s="3" t="s">
        <v>3353</v>
      </c>
      <c r="B287" s="3" t="s">
        <v>3709</v>
      </c>
      <c r="C287" s="3" t="s">
        <v>145</v>
      </c>
      <c r="D287" s="3" t="s">
        <v>3710</v>
      </c>
      <c r="E287" s="3" t="s">
        <v>133</v>
      </c>
      <c r="F287" s="12" t="n">
        <v>1050000</v>
      </c>
      <c r="G287" s="13" t="n">
        <v>0.34</v>
      </c>
      <c r="H287" s="13" t="n">
        <v>0.96</v>
      </c>
      <c r="I287" s="13" t="n">
        <v>0.8305</v>
      </c>
      <c r="J287" s="13" t="n">
        <v>0.53</v>
      </c>
      <c r="K287" s="12" t="n">
        <f aca="false">ROUND(F287/100*G287*H287*I287/J287,2)</f>
        <v>5370.36</v>
      </c>
      <c r="L287" s="12" t="n">
        <v>5370.36</v>
      </c>
      <c r="M287" s="12" t="n">
        <f aca="false">L287-K287</f>
        <v>0</v>
      </c>
      <c r="N287" s="3" t="s">
        <v>61</v>
      </c>
      <c r="O287" s="3" t="s">
        <v>62</v>
      </c>
    </row>
    <row r="288" customFormat="false" ht="15" hidden="false" customHeight="false" outlineLevel="0" collapsed="false">
      <c r="A288" s="14" t="s">
        <v>3365</v>
      </c>
      <c r="B288" s="14" t="s">
        <v>3711</v>
      </c>
      <c r="C288" s="14" t="s">
        <v>169</v>
      </c>
      <c r="D288" s="14" t="s">
        <v>391</v>
      </c>
      <c r="E288" s="14" t="s">
        <v>74</v>
      </c>
      <c r="F288" s="15" t="n">
        <v>740000</v>
      </c>
      <c r="G288" s="16" t="n">
        <v>0.43</v>
      </c>
      <c r="H288" s="16" t="n">
        <v>1.07</v>
      </c>
      <c r="I288" s="16" t="n">
        <v>0.8305</v>
      </c>
      <c r="J288" s="16" t="n">
        <v>0.53</v>
      </c>
      <c r="K288" s="15" t="n">
        <f aca="false">ROUND(F288/100*G288*H288*I288/J288,2)</f>
        <v>5335.16</v>
      </c>
      <c r="L288" s="15" t="n">
        <v>5335.17</v>
      </c>
      <c r="M288" s="15" t="n">
        <f aca="false">L288-K288</f>
        <v>0.0100000000002183</v>
      </c>
      <c r="N288" s="14" t="s">
        <v>61</v>
      </c>
      <c r="O288" s="14" t="s">
        <v>62</v>
      </c>
    </row>
    <row r="289" customFormat="false" ht="15" hidden="false" customHeight="false" outlineLevel="0" collapsed="false">
      <c r="A289" s="3" t="s">
        <v>3408</v>
      </c>
      <c r="B289" s="3" t="s">
        <v>3712</v>
      </c>
      <c r="C289" s="3" t="s">
        <v>193</v>
      </c>
      <c r="D289" s="3" t="s">
        <v>1529</v>
      </c>
      <c r="E289" s="3" t="s">
        <v>56</v>
      </c>
      <c r="F289" s="12" t="n">
        <v>1605000</v>
      </c>
      <c r="G289" s="13" t="n">
        <v>0.55</v>
      </c>
      <c r="H289" s="13" t="n">
        <v>1.25</v>
      </c>
      <c r="I289" s="13" t="n">
        <v>0.8305</v>
      </c>
      <c r="J289" s="13" t="n">
        <v>0.53</v>
      </c>
      <c r="K289" s="12" t="n">
        <f aca="false">ROUND(F289/100*G289*H289*I289/J289,2)</f>
        <v>17290.66</v>
      </c>
      <c r="L289" s="12" t="n">
        <v>17290.66</v>
      </c>
      <c r="M289" s="12" t="n">
        <f aca="false">L289-K289</f>
        <v>0</v>
      </c>
      <c r="N289" s="3" t="s">
        <v>61</v>
      </c>
      <c r="O289" s="3" t="s">
        <v>62</v>
      </c>
    </row>
    <row r="291" customFormat="false" ht="15" hidden="false" customHeight="false" outlineLevel="0" collapsed="false">
      <c r="A291" s="10" t="s">
        <v>551</v>
      </c>
      <c r="C291" s="17" t="n">
        <f aca="false">COUNTA(B5:B289)</f>
        <v>285</v>
      </c>
    </row>
    <row r="292" customFormat="false" ht="15" hidden="false" customHeight="false" outlineLevel="0" collapsed="false">
      <c r="A292" s="10" t="s">
        <v>552</v>
      </c>
      <c r="C292" s="17" t="n">
        <f aca="false">COUNTIF(O5:O289,"bound")</f>
        <v>210</v>
      </c>
    </row>
    <row r="293" customFormat="false" ht="15" hidden="false" customHeight="false" outlineLevel="0" collapsed="false">
      <c r="A293" s="10" t="s">
        <v>553</v>
      </c>
      <c r="C293" s="18" t="n">
        <f aca="false">AVERAGE(L5:L289)</f>
        <v>8965.30740350877</v>
      </c>
    </row>
    <row r="294" customFormat="false" ht="15" hidden="false" customHeight="false" outlineLevel="0" collapsed="false">
      <c r="A294" s="10" t="s">
        <v>554</v>
      </c>
      <c r="C294" s="18" t="n">
        <f aca="false">AVERAGEIF(O5:O289,"bound",L5:L289)</f>
        <v>9031.78042857143</v>
      </c>
    </row>
    <row r="295" customFormat="false" ht="15" hidden="false" customHeight="false" outlineLevel="0" collapsed="false">
      <c r="A295" s="10" t="s">
        <v>555</v>
      </c>
      <c r="C295" s="18" t="n">
        <f aca="false">SUMIF(O5:O289,"bound",L5:L289)</f>
        <v>1896673.89</v>
      </c>
    </row>
    <row r="296" customFormat="false" ht="15" hidden="false" customHeight="false" outlineLevel="0" collapsed="false">
      <c r="A296" s="10" t="s">
        <v>556</v>
      </c>
      <c r="C296" s="19" t="n">
        <v>0.8305</v>
      </c>
    </row>
  </sheetData>
  <autoFilter ref="A4:O2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3713</v>
      </c>
    </row>
    <row r="2" customFormat="false" ht="15" hidden="false" customHeight="false" outlineLevel="0" collapsed="false">
      <c r="A2" s="4" t="s">
        <v>3714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3715</v>
      </c>
      <c r="B5" s="3" t="s">
        <v>3716</v>
      </c>
      <c r="C5" s="3" t="s">
        <v>169</v>
      </c>
      <c r="D5" s="3" t="s">
        <v>2785</v>
      </c>
      <c r="E5" s="3" t="s">
        <v>56</v>
      </c>
      <c r="F5" s="12" t="n">
        <v>290000</v>
      </c>
      <c r="G5" s="13" t="n">
        <v>0.75</v>
      </c>
      <c r="H5" s="13" t="n">
        <v>1.07</v>
      </c>
      <c r="I5" s="13" t="n">
        <v>0.7772</v>
      </c>
      <c r="J5" s="13" t="n">
        <v>0.53</v>
      </c>
      <c r="K5" s="12" t="n">
        <f aca="false">ROUND(F5/100*G5*H5*I5/J5,2)</f>
        <v>3412.71</v>
      </c>
      <c r="L5" s="12" t="n">
        <v>3412.72</v>
      </c>
      <c r="M5" s="12" t="n">
        <f aca="false">L5-K5</f>
        <v>0.00999999999976353</v>
      </c>
      <c r="N5" s="3" t="s">
        <v>61</v>
      </c>
      <c r="O5" s="3" t="s">
        <v>62</v>
      </c>
    </row>
    <row r="6" customFormat="false" ht="15" hidden="false" customHeight="false" outlineLevel="0" collapsed="false">
      <c r="A6" s="14" t="s">
        <v>3717</v>
      </c>
      <c r="B6" s="14" t="s">
        <v>3718</v>
      </c>
      <c r="C6" s="14" t="s">
        <v>188</v>
      </c>
      <c r="D6" s="14" t="s">
        <v>1849</v>
      </c>
      <c r="E6" s="14" t="s">
        <v>56</v>
      </c>
      <c r="F6" s="15" t="n">
        <v>450000</v>
      </c>
      <c r="G6" s="16" t="n">
        <v>0.75</v>
      </c>
      <c r="H6" s="16" t="n">
        <v>1.35</v>
      </c>
      <c r="I6" s="16" t="n">
        <v>0.7772</v>
      </c>
      <c r="J6" s="16" t="n">
        <v>0.53</v>
      </c>
      <c r="K6" s="15" t="n">
        <f aca="false">ROUND(F6/100*G6*H6*I6/J6,2)</f>
        <v>6681.35</v>
      </c>
      <c r="L6" s="15" t="n">
        <v>6681.36</v>
      </c>
      <c r="M6" s="15" t="n">
        <f aca="false">L6-K6</f>
        <v>0.00999999999930878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3715</v>
      </c>
      <c r="B7" s="3" t="s">
        <v>3719</v>
      </c>
      <c r="C7" s="3" t="s">
        <v>311</v>
      </c>
      <c r="D7" s="3" t="s">
        <v>1542</v>
      </c>
      <c r="E7" s="3" t="s">
        <v>56</v>
      </c>
      <c r="F7" s="12" t="n">
        <v>490000</v>
      </c>
      <c r="G7" s="13" t="n">
        <v>0.75</v>
      </c>
      <c r="H7" s="13" t="n">
        <v>1.06</v>
      </c>
      <c r="I7" s="13" t="n">
        <v>0.7772</v>
      </c>
      <c r="J7" s="13" t="n">
        <v>0.53</v>
      </c>
      <c r="K7" s="12" t="n">
        <f aca="false">ROUND(F7/100*G7*H7*I7/J7,2)</f>
        <v>5712.42</v>
      </c>
      <c r="L7" s="12" t="n">
        <v>5712.42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3717</v>
      </c>
      <c r="B8" s="14" t="s">
        <v>3720</v>
      </c>
      <c r="C8" s="14" t="s">
        <v>892</v>
      </c>
      <c r="D8" s="14" t="s">
        <v>2515</v>
      </c>
      <c r="E8" s="14" t="s">
        <v>74</v>
      </c>
      <c r="F8" s="15" t="n">
        <v>105000</v>
      </c>
      <c r="G8" s="16" t="n">
        <v>0.57</v>
      </c>
      <c r="H8" s="16" t="n">
        <v>1.08</v>
      </c>
      <c r="I8" s="16" t="n">
        <v>0.7772</v>
      </c>
      <c r="J8" s="16" t="n">
        <v>0.53</v>
      </c>
      <c r="K8" s="15" t="n">
        <f aca="false">ROUND(F8/100*G8*H8*I8/J8,2)</f>
        <v>947.86</v>
      </c>
      <c r="L8" s="15" t="n">
        <v>947.86</v>
      </c>
      <c r="M8" s="15" t="n">
        <f aca="false">L8-K8</f>
        <v>0</v>
      </c>
      <c r="N8" s="14" t="s">
        <v>51</v>
      </c>
      <c r="O8" s="14" t="s">
        <v>52</v>
      </c>
    </row>
    <row r="9" customFormat="false" ht="15" hidden="false" customHeight="false" outlineLevel="0" collapsed="false">
      <c r="A9" s="3" t="s">
        <v>3721</v>
      </c>
      <c r="B9" s="3" t="s">
        <v>3722</v>
      </c>
      <c r="C9" s="3" t="s">
        <v>136</v>
      </c>
      <c r="D9" s="3" t="s">
        <v>478</v>
      </c>
      <c r="E9" s="3" t="s">
        <v>56</v>
      </c>
      <c r="F9" s="12" t="n">
        <v>145000</v>
      </c>
      <c r="G9" s="13" t="n">
        <v>0.92</v>
      </c>
      <c r="H9" s="13" t="n">
        <v>1.32</v>
      </c>
      <c r="I9" s="13" t="n">
        <v>0.7772</v>
      </c>
      <c r="J9" s="13" t="n">
        <v>0.53</v>
      </c>
      <c r="K9" s="12" t="n">
        <f aca="false">ROUND(F9/100*G9*H9*I9/J9,2)</f>
        <v>2582.18</v>
      </c>
      <c r="L9" s="12" t="n">
        <v>2582.18</v>
      </c>
      <c r="M9" s="12" t="n">
        <f aca="false">L9-K9</f>
        <v>0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3723</v>
      </c>
      <c r="B10" s="14" t="s">
        <v>3724</v>
      </c>
      <c r="C10" s="14" t="s">
        <v>48</v>
      </c>
      <c r="D10" s="14" t="s">
        <v>757</v>
      </c>
      <c r="E10" s="14" t="s">
        <v>56</v>
      </c>
      <c r="F10" s="15" t="n">
        <v>345000</v>
      </c>
      <c r="G10" s="16" t="n">
        <v>0.75</v>
      </c>
      <c r="H10" s="16" t="n">
        <v>1.28</v>
      </c>
      <c r="I10" s="16" t="n">
        <v>0.7772</v>
      </c>
      <c r="J10" s="16" t="n">
        <v>0.53</v>
      </c>
      <c r="K10" s="15" t="n">
        <f aca="false">ROUND(F10/100*G10*H10*I10/J10,2)</f>
        <v>4856.77</v>
      </c>
      <c r="L10" s="15" t="n">
        <v>4856.77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3725</v>
      </c>
      <c r="B11" s="3" t="s">
        <v>3726</v>
      </c>
      <c r="C11" s="3" t="s">
        <v>89</v>
      </c>
      <c r="D11" s="3" t="s">
        <v>69</v>
      </c>
      <c r="E11" s="3" t="s">
        <v>50</v>
      </c>
      <c r="F11" s="12" t="n">
        <v>580000</v>
      </c>
      <c r="G11" s="13" t="n">
        <v>0.95</v>
      </c>
      <c r="H11" s="13" t="n">
        <v>1.35</v>
      </c>
      <c r="I11" s="13" t="n">
        <v>0.7772</v>
      </c>
      <c r="J11" s="13" t="n">
        <v>0.53</v>
      </c>
      <c r="K11" s="12" t="n">
        <f aca="false">ROUND(F11/100*G11*H11*I11/J11,2)</f>
        <v>10907.93</v>
      </c>
      <c r="L11" s="12" t="n">
        <v>10907.93</v>
      </c>
      <c r="M11" s="12" t="n">
        <f aca="false">L11-K11</f>
        <v>0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3727</v>
      </c>
      <c r="B12" s="14" t="s">
        <v>3728</v>
      </c>
      <c r="C12" s="14" t="s">
        <v>131</v>
      </c>
      <c r="D12" s="14" t="s">
        <v>1422</v>
      </c>
      <c r="E12" s="14" t="s">
        <v>56</v>
      </c>
      <c r="F12" s="15" t="n">
        <v>775000</v>
      </c>
      <c r="G12" s="16" t="n">
        <v>0.65</v>
      </c>
      <c r="H12" s="16" t="n">
        <v>0.95</v>
      </c>
      <c r="I12" s="16" t="n">
        <v>0.7772</v>
      </c>
      <c r="J12" s="16" t="n">
        <v>0.53</v>
      </c>
      <c r="K12" s="15" t="n">
        <f aca="false">ROUND(F12/100*G12*H12*I12/J12,2)</f>
        <v>7017.71</v>
      </c>
      <c r="L12" s="15" t="n">
        <v>7017.71</v>
      </c>
      <c r="M12" s="15" t="n">
        <f aca="false">L12-K12</f>
        <v>0</v>
      </c>
      <c r="N12" s="14" t="s">
        <v>51</v>
      </c>
      <c r="O12" s="14" t="s">
        <v>52</v>
      </c>
    </row>
    <row r="13" customFormat="false" ht="15" hidden="false" customHeight="false" outlineLevel="0" collapsed="false">
      <c r="A13" s="3" t="s">
        <v>3729</v>
      </c>
      <c r="B13" s="3" t="s">
        <v>3730</v>
      </c>
      <c r="C13" s="3" t="s">
        <v>174</v>
      </c>
      <c r="D13" s="3" t="s">
        <v>1292</v>
      </c>
      <c r="E13" s="3" t="s">
        <v>56</v>
      </c>
      <c r="F13" s="12" t="n">
        <v>500000</v>
      </c>
      <c r="G13" s="13" t="n">
        <v>0.65</v>
      </c>
      <c r="H13" s="13" t="n">
        <v>1.55</v>
      </c>
      <c r="I13" s="13" t="n">
        <v>0.7772</v>
      </c>
      <c r="J13" s="13" t="n">
        <v>0.53</v>
      </c>
      <c r="K13" s="12" t="n">
        <f aca="false">ROUND(F13/100*G13*H13*I13/J13,2)</f>
        <v>7387.07</v>
      </c>
      <c r="L13" s="12" t="n">
        <v>7387.07</v>
      </c>
      <c r="M13" s="12" t="n">
        <f aca="false">L13-K13</f>
        <v>0</v>
      </c>
      <c r="N13" s="3" t="s">
        <v>51</v>
      </c>
      <c r="O13" s="3" t="s">
        <v>52</v>
      </c>
    </row>
    <row r="14" customFormat="false" ht="15" hidden="false" customHeight="false" outlineLevel="0" collapsed="false">
      <c r="A14" s="14" t="s">
        <v>3731</v>
      </c>
      <c r="B14" s="14" t="s">
        <v>3732</v>
      </c>
      <c r="C14" s="14" t="s">
        <v>152</v>
      </c>
      <c r="D14" s="14" t="s">
        <v>3733</v>
      </c>
      <c r="E14" s="14" t="s">
        <v>56</v>
      </c>
      <c r="F14" s="15" t="n">
        <v>515000</v>
      </c>
      <c r="G14" s="16" t="n">
        <v>0.65</v>
      </c>
      <c r="H14" s="16" t="n">
        <v>1</v>
      </c>
      <c r="I14" s="16" t="n">
        <v>0.7772</v>
      </c>
      <c r="J14" s="16" t="n">
        <v>0.53</v>
      </c>
      <c r="K14" s="15" t="n">
        <f aca="false">ROUND(F14/100*G14*H14*I14/J14,2)</f>
        <v>4908.82</v>
      </c>
      <c r="L14" s="15" t="n">
        <v>4908.83</v>
      </c>
      <c r="M14" s="15" t="n">
        <f aca="false">L14-K14</f>
        <v>0.0100000000002183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3734</v>
      </c>
      <c r="B15" s="3" t="s">
        <v>3735</v>
      </c>
      <c r="C15" s="3" t="s">
        <v>462</v>
      </c>
      <c r="D15" s="3" t="s">
        <v>1589</v>
      </c>
      <c r="E15" s="3" t="s">
        <v>74</v>
      </c>
      <c r="F15" s="12" t="n">
        <v>190000</v>
      </c>
      <c r="G15" s="13" t="n">
        <v>0.57</v>
      </c>
      <c r="H15" s="13" t="n">
        <v>1.34</v>
      </c>
      <c r="I15" s="13" t="n">
        <v>0.7772</v>
      </c>
      <c r="J15" s="13" t="n">
        <v>0.53</v>
      </c>
      <c r="K15" s="12" t="n">
        <f aca="false">ROUND(F15/100*G15*H15*I15/J15,2)</f>
        <v>2128.09</v>
      </c>
      <c r="L15" s="12" t="n">
        <v>2128.09</v>
      </c>
      <c r="M15" s="12" t="n">
        <f aca="false">L15-K15</f>
        <v>0</v>
      </c>
      <c r="N15" s="3" t="s">
        <v>51</v>
      </c>
      <c r="O15" s="3" t="s">
        <v>52</v>
      </c>
    </row>
    <row r="16" customFormat="false" ht="15" hidden="false" customHeight="false" outlineLevel="0" collapsed="false">
      <c r="A16" s="14" t="s">
        <v>3736</v>
      </c>
      <c r="B16" s="14" t="s">
        <v>3737</v>
      </c>
      <c r="C16" s="14" t="s">
        <v>77</v>
      </c>
      <c r="D16" s="14" t="s">
        <v>3738</v>
      </c>
      <c r="E16" s="14" t="s">
        <v>157</v>
      </c>
      <c r="F16" s="15" t="n">
        <v>615000</v>
      </c>
      <c r="G16" s="16" t="n">
        <v>0.78</v>
      </c>
      <c r="H16" s="16" t="n">
        <v>1.42</v>
      </c>
      <c r="I16" s="16" t="n">
        <v>0.7772</v>
      </c>
      <c r="J16" s="16" t="n">
        <v>0.53</v>
      </c>
      <c r="K16" s="15" t="n">
        <f aca="false">ROUND(F16/100*G16*H16*I16/J16,2)</f>
        <v>9988.84</v>
      </c>
      <c r="L16" s="15" t="n">
        <v>9988.84</v>
      </c>
      <c r="M16" s="15" t="n">
        <f aca="false">L16-K16</f>
        <v>0</v>
      </c>
      <c r="N16" s="14" t="s">
        <v>51</v>
      </c>
      <c r="O16" s="14" t="s">
        <v>52</v>
      </c>
    </row>
    <row r="17" customFormat="false" ht="15" hidden="false" customHeight="false" outlineLevel="0" collapsed="false">
      <c r="A17" s="3" t="s">
        <v>3739</v>
      </c>
      <c r="B17" s="3" t="s">
        <v>3740</v>
      </c>
      <c r="C17" s="3" t="s">
        <v>89</v>
      </c>
      <c r="D17" s="3" t="s">
        <v>385</v>
      </c>
      <c r="E17" s="3" t="s">
        <v>56</v>
      </c>
      <c r="F17" s="12" t="n">
        <v>415000</v>
      </c>
      <c r="G17" s="13" t="n">
        <v>0.75</v>
      </c>
      <c r="H17" s="13" t="n">
        <v>1.35</v>
      </c>
      <c r="I17" s="13" t="n">
        <v>0.7772</v>
      </c>
      <c r="J17" s="13" t="n">
        <v>0.53</v>
      </c>
      <c r="K17" s="12" t="n">
        <f aca="false">ROUND(F17/100*G17*H17*I17/J17,2)</f>
        <v>6161.69</v>
      </c>
      <c r="L17" s="12" t="n">
        <v>6161.7</v>
      </c>
      <c r="M17" s="12" t="n">
        <f aca="false">L17-K17</f>
        <v>0.0100000000002183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3741</v>
      </c>
      <c r="B18" s="14" t="s">
        <v>3742</v>
      </c>
      <c r="C18" s="14" t="s">
        <v>131</v>
      </c>
      <c r="D18" s="14" t="s">
        <v>3743</v>
      </c>
      <c r="E18" s="14" t="s">
        <v>133</v>
      </c>
      <c r="F18" s="15" t="n">
        <v>1950000</v>
      </c>
      <c r="G18" s="16" t="n">
        <v>0.34</v>
      </c>
      <c r="H18" s="16" t="n">
        <v>0.95</v>
      </c>
      <c r="I18" s="16" t="n">
        <v>0.7772</v>
      </c>
      <c r="J18" s="16" t="n">
        <v>0.53</v>
      </c>
      <c r="K18" s="15" t="n">
        <f aca="false">ROUND(F18/100*G18*H18*I18/J18,2)</f>
        <v>9236.22</v>
      </c>
      <c r="L18" s="15" t="n">
        <v>9236.21</v>
      </c>
      <c r="M18" s="15" t="n">
        <f aca="false">L18-K18</f>
        <v>-0.0100000000002183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3715</v>
      </c>
      <c r="B19" s="3" t="s">
        <v>3744</v>
      </c>
      <c r="C19" s="3" t="s">
        <v>114</v>
      </c>
      <c r="D19" s="3" t="s">
        <v>1110</v>
      </c>
      <c r="E19" s="3" t="s">
        <v>56</v>
      </c>
      <c r="F19" s="12" t="n">
        <v>485000</v>
      </c>
      <c r="G19" s="13" t="n">
        <v>0.75</v>
      </c>
      <c r="H19" s="13" t="n">
        <v>1.36</v>
      </c>
      <c r="I19" s="13" t="n">
        <v>0.7772</v>
      </c>
      <c r="J19" s="13" t="n">
        <v>0.53</v>
      </c>
      <c r="K19" s="12" t="n">
        <f aca="false">ROUND(F19/100*G19*H19*I19/J19,2)</f>
        <v>7254.36</v>
      </c>
      <c r="L19" s="12" t="n">
        <v>7254.35</v>
      </c>
      <c r="M19" s="12" t="n">
        <f aca="false">L19-K19</f>
        <v>-0.00999999999930878</v>
      </c>
      <c r="N19" s="3" t="s">
        <v>51</v>
      </c>
      <c r="O19" s="3" t="s">
        <v>52</v>
      </c>
    </row>
    <row r="20" customFormat="false" ht="15" hidden="false" customHeight="false" outlineLevel="0" collapsed="false">
      <c r="A20" s="14" t="s">
        <v>3745</v>
      </c>
      <c r="B20" s="14" t="s">
        <v>3746</v>
      </c>
      <c r="C20" s="14" t="s">
        <v>120</v>
      </c>
      <c r="D20" s="14" t="s">
        <v>2455</v>
      </c>
      <c r="E20" s="14" t="s">
        <v>56</v>
      </c>
      <c r="F20" s="15" t="n">
        <v>875000</v>
      </c>
      <c r="G20" s="16" t="n">
        <v>0.65</v>
      </c>
      <c r="H20" s="16" t="n">
        <v>1.15</v>
      </c>
      <c r="I20" s="16" t="n">
        <v>0.7772</v>
      </c>
      <c r="J20" s="16" t="n">
        <v>0.53</v>
      </c>
      <c r="K20" s="15" t="n">
        <f aca="false">ROUND(F20/100*G20*H20*I20/J20,2)</f>
        <v>9591.27</v>
      </c>
      <c r="L20" s="15" t="n">
        <v>9591.27</v>
      </c>
      <c r="M20" s="15" t="n">
        <f aca="false">L20-K20</f>
        <v>0</v>
      </c>
      <c r="N20" s="14" t="s">
        <v>51</v>
      </c>
      <c r="O20" s="14" t="s">
        <v>52</v>
      </c>
    </row>
    <row r="21" customFormat="false" ht="15" hidden="false" customHeight="false" outlineLevel="0" collapsed="false">
      <c r="A21" s="3" t="s">
        <v>3715</v>
      </c>
      <c r="B21" s="3" t="s">
        <v>3747</v>
      </c>
      <c r="C21" s="3" t="s">
        <v>892</v>
      </c>
      <c r="D21" s="3" t="s">
        <v>1101</v>
      </c>
      <c r="E21" s="3" t="s">
        <v>56</v>
      </c>
      <c r="F21" s="12" t="n">
        <v>375000</v>
      </c>
      <c r="G21" s="13" t="n">
        <v>0.75</v>
      </c>
      <c r="H21" s="13" t="n">
        <v>1.08</v>
      </c>
      <c r="I21" s="13" t="n">
        <v>0.7772</v>
      </c>
      <c r="J21" s="13" t="n">
        <v>0.53</v>
      </c>
      <c r="K21" s="12" t="n">
        <f aca="false">ROUND(F21/100*G21*H21*I21/J21,2)</f>
        <v>4454.24</v>
      </c>
      <c r="L21" s="12" t="n">
        <v>4454.23</v>
      </c>
      <c r="M21" s="12" t="n">
        <f aca="false">L21-K21</f>
        <v>-0.0100000000002183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3717</v>
      </c>
      <c r="B22" s="14" t="s">
        <v>3748</v>
      </c>
      <c r="C22" s="14" t="s">
        <v>105</v>
      </c>
      <c r="D22" s="14" t="s">
        <v>1190</v>
      </c>
      <c r="E22" s="14" t="s">
        <v>50</v>
      </c>
      <c r="F22" s="15" t="n">
        <v>610000</v>
      </c>
      <c r="G22" s="16" t="n">
        <v>0.95</v>
      </c>
      <c r="H22" s="16" t="n">
        <v>0.99</v>
      </c>
      <c r="I22" s="16" t="n">
        <v>0.7772</v>
      </c>
      <c r="J22" s="16" t="n">
        <v>0.53</v>
      </c>
      <c r="K22" s="15" t="n">
        <f aca="false">ROUND(F22/100*G22*H22*I22/J22,2)</f>
        <v>8412.9</v>
      </c>
      <c r="L22" s="15" t="n">
        <v>8412.89</v>
      </c>
      <c r="M22" s="15" t="n">
        <f aca="false">L22-K22</f>
        <v>-0.0100000000002183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3749</v>
      </c>
      <c r="B23" s="3" t="s">
        <v>3750</v>
      </c>
      <c r="C23" s="3" t="s">
        <v>295</v>
      </c>
      <c r="D23" s="3" t="s">
        <v>324</v>
      </c>
      <c r="E23" s="3" t="s">
        <v>56</v>
      </c>
      <c r="F23" s="12" t="n">
        <v>255000</v>
      </c>
      <c r="G23" s="13" t="n">
        <v>0.75</v>
      </c>
      <c r="H23" s="13" t="n">
        <v>1.2</v>
      </c>
      <c r="I23" s="13" t="n">
        <v>0.7772</v>
      </c>
      <c r="J23" s="13" t="n">
        <v>0.53</v>
      </c>
      <c r="K23" s="12" t="n">
        <f aca="false">ROUND(F23/100*G23*H23*I23/J23,2)</f>
        <v>3365.42</v>
      </c>
      <c r="L23" s="12" t="n">
        <v>3365.42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3717</v>
      </c>
      <c r="B24" s="14" t="s">
        <v>3751</v>
      </c>
      <c r="C24" s="14" t="s">
        <v>139</v>
      </c>
      <c r="D24" s="14" t="s">
        <v>385</v>
      </c>
      <c r="E24" s="14" t="s">
        <v>56</v>
      </c>
      <c r="F24" s="15" t="n">
        <v>215000</v>
      </c>
      <c r="G24" s="16" t="n">
        <v>0.92</v>
      </c>
      <c r="H24" s="16" t="n">
        <v>1.23</v>
      </c>
      <c r="I24" s="16" t="n">
        <v>0.7772</v>
      </c>
      <c r="J24" s="16" t="n">
        <v>0.53</v>
      </c>
      <c r="K24" s="15" t="n">
        <f aca="false">ROUND(F24/100*G24*H24*I24/J24,2)</f>
        <v>3567.7</v>
      </c>
      <c r="L24" s="15" t="n">
        <v>3567.7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3752</v>
      </c>
      <c r="B25" s="3" t="s">
        <v>3753</v>
      </c>
      <c r="C25" s="3" t="s">
        <v>174</v>
      </c>
      <c r="D25" s="3" t="s">
        <v>759</v>
      </c>
      <c r="E25" s="3" t="s">
        <v>56</v>
      </c>
      <c r="F25" s="12" t="n">
        <v>330000</v>
      </c>
      <c r="G25" s="13" t="n">
        <v>0.75</v>
      </c>
      <c r="H25" s="13" t="n">
        <v>1.55</v>
      </c>
      <c r="I25" s="13" t="n">
        <v>0.7772</v>
      </c>
      <c r="J25" s="13" t="n">
        <v>0.53</v>
      </c>
      <c r="K25" s="12" t="n">
        <f aca="false">ROUND(F25/100*G25*H25*I25/J25,2)</f>
        <v>5625.53</v>
      </c>
      <c r="L25" s="12" t="n">
        <v>5625.54</v>
      </c>
      <c r="M25" s="12" t="n">
        <f aca="false">L25-K25</f>
        <v>0.0100000000002183</v>
      </c>
      <c r="N25" s="3" t="s">
        <v>70</v>
      </c>
      <c r="O25" s="3" t="s">
        <v>52</v>
      </c>
    </row>
    <row r="26" customFormat="false" ht="15" hidden="false" customHeight="false" outlineLevel="0" collapsed="false">
      <c r="A26" s="14" t="s">
        <v>3723</v>
      </c>
      <c r="B26" s="14" t="s">
        <v>3754</v>
      </c>
      <c r="C26" s="14" t="s">
        <v>139</v>
      </c>
      <c r="D26" s="14" t="s">
        <v>733</v>
      </c>
      <c r="E26" s="14" t="s">
        <v>56</v>
      </c>
      <c r="F26" s="15" t="n">
        <v>765000</v>
      </c>
      <c r="G26" s="16" t="n">
        <v>0.65</v>
      </c>
      <c r="H26" s="16" t="n">
        <v>1.23</v>
      </c>
      <c r="I26" s="16" t="n">
        <v>0.7772</v>
      </c>
      <c r="J26" s="16" t="n">
        <v>0.53</v>
      </c>
      <c r="K26" s="15" t="n">
        <f aca="false">ROUND(F26/100*G26*H26*I26/J26,2)</f>
        <v>8968.85</v>
      </c>
      <c r="L26" s="15" t="n">
        <v>8968.85</v>
      </c>
      <c r="M26" s="15" t="n">
        <f aca="false">L26-K26</f>
        <v>0</v>
      </c>
      <c r="N26" s="14" t="s">
        <v>51</v>
      </c>
      <c r="O26" s="14" t="s">
        <v>52</v>
      </c>
    </row>
    <row r="27" customFormat="false" ht="15" hidden="false" customHeight="false" outlineLevel="0" collapsed="false">
      <c r="A27" s="3" t="s">
        <v>3745</v>
      </c>
      <c r="B27" s="3" t="s">
        <v>3755</v>
      </c>
      <c r="C27" s="3" t="s">
        <v>159</v>
      </c>
      <c r="D27" s="3" t="s">
        <v>3026</v>
      </c>
      <c r="E27" s="3" t="s">
        <v>56</v>
      </c>
      <c r="F27" s="12" t="n">
        <v>205000</v>
      </c>
      <c r="G27" s="13" t="n">
        <v>0.92</v>
      </c>
      <c r="H27" s="13" t="n">
        <v>1.15</v>
      </c>
      <c r="I27" s="13" t="n">
        <v>0.7772</v>
      </c>
      <c r="J27" s="13" t="n">
        <v>0.53</v>
      </c>
      <c r="K27" s="12" t="n">
        <f aca="false">ROUND(F27/100*G27*H27*I27/J27,2)</f>
        <v>3180.51</v>
      </c>
      <c r="L27" s="12" t="n">
        <v>3180.5</v>
      </c>
      <c r="M27" s="12" t="n">
        <f aca="false">L27-K27</f>
        <v>-0.0100000000002183</v>
      </c>
      <c r="N27" s="3" t="s">
        <v>51</v>
      </c>
      <c r="O27" s="3" t="s">
        <v>52</v>
      </c>
    </row>
    <row r="28" customFormat="false" ht="15" hidden="false" customHeight="false" outlineLevel="0" collapsed="false">
      <c r="A28" s="14" t="s">
        <v>3715</v>
      </c>
      <c r="B28" s="14" t="s">
        <v>3756</v>
      </c>
      <c r="C28" s="14" t="s">
        <v>326</v>
      </c>
      <c r="D28" s="14" t="s">
        <v>1806</v>
      </c>
      <c r="E28" s="14" t="s">
        <v>56</v>
      </c>
      <c r="F28" s="15" t="n">
        <v>340000</v>
      </c>
      <c r="G28" s="16" t="n">
        <v>0.75</v>
      </c>
      <c r="H28" s="16" t="n">
        <v>1.12</v>
      </c>
      <c r="I28" s="16" t="n">
        <v>0.7772</v>
      </c>
      <c r="J28" s="16" t="n">
        <v>0.53</v>
      </c>
      <c r="K28" s="15" t="n">
        <f aca="false">ROUND(F28/100*G28*H28*I28/J28,2)</f>
        <v>4188.08</v>
      </c>
      <c r="L28" s="15" t="n">
        <v>4188.08</v>
      </c>
      <c r="M28" s="15" t="n">
        <f aca="false">L28-K28</f>
        <v>0</v>
      </c>
      <c r="N28" s="14" t="s">
        <v>51</v>
      </c>
      <c r="O28" s="14" t="s">
        <v>52</v>
      </c>
    </row>
    <row r="29" customFormat="false" ht="15" hidden="false" customHeight="false" outlineLevel="0" collapsed="false">
      <c r="A29" s="3" t="s">
        <v>3757</v>
      </c>
      <c r="B29" s="3" t="s">
        <v>3758</v>
      </c>
      <c r="C29" s="3" t="s">
        <v>435</v>
      </c>
      <c r="D29" s="3" t="s">
        <v>531</v>
      </c>
      <c r="E29" s="3" t="s">
        <v>56</v>
      </c>
      <c r="F29" s="12" t="n">
        <v>380000</v>
      </c>
      <c r="G29" s="13" t="n">
        <v>0.75</v>
      </c>
      <c r="H29" s="13" t="n">
        <v>1.13</v>
      </c>
      <c r="I29" s="13" t="n">
        <v>0.7772</v>
      </c>
      <c r="J29" s="13" t="n">
        <v>0.53</v>
      </c>
      <c r="K29" s="12" t="n">
        <f aca="false">ROUND(F29/100*G29*H29*I29/J29,2)</f>
        <v>4722.59</v>
      </c>
      <c r="L29" s="12" t="n">
        <v>4722.59</v>
      </c>
      <c r="M29" s="12" t="n">
        <f aca="false">L29-K29</f>
        <v>0</v>
      </c>
      <c r="N29" s="3" t="s">
        <v>51</v>
      </c>
      <c r="O29" s="3" t="s">
        <v>52</v>
      </c>
    </row>
    <row r="30" customFormat="false" ht="15" hidden="false" customHeight="false" outlineLevel="0" collapsed="false">
      <c r="A30" s="14" t="s">
        <v>3759</v>
      </c>
      <c r="B30" s="14" t="s">
        <v>3760</v>
      </c>
      <c r="C30" s="14" t="s">
        <v>93</v>
      </c>
      <c r="D30" s="14" t="s">
        <v>761</v>
      </c>
      <c r="E30" s="14" t="s">
        <v>56</v>
      </c>
      <c r="F30" s="15" t="n">
        <v>140000</v>
      </c>
      <c r="G30" s="16" t="n">
        <v>0.92</v>
      </c>
      <c r="H30" s="16" t="n">
        <v>1.39</v>
      </c>
      <c r="I30" s="16" t="n">
        <v>0.7772</v>
      </c>
      <c r="J30" s="16" t="n">
        <v>0.53</v>
      </c>
      <c r="K30" s="15" t="n">
        <f aca="false">ROUND(F30/100*G30*H30*I30/J30,2)</f>
        <v>2625.35</v>
      </c>
      <c r="L30" s="15" t="n">
        <v>2625.35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3723</v>
      </c>
      <c r="B31" s="3" t="s">
        <v>3761</v>
      </c>
      <c r="C31" s="3" t="s">
        <v>224</v>
      </c>
      <c r="D31" s="3" t="s">
        <v>1150</v>
      </c>
      <c r="E31" s="3" t="s">
        <v>56</v>
      </c>
      <c r="F31" s="12" t="n">
        <v>1405000</v>
      </c>
      <c r="G31" s="13" t="n">
        <v>0.55</v>
      </c>
      <c r="H31" s="13" t="n">
        <v>1.1</v>
      </c>
      <c r="I31" s="13" t="n">
        <v>0.7772</v>
      </c>
      <c r="J31" s="13" t="n">
        <v>0.53</v>
      </c>
      <c r="K31" s="12" t="n">
        <f aca="false">ROUND(F31/100*G31*H31*I31/J31,2)</f>
        <v>12464.89</v>
      </c>
      <c r="L31" s="12" t="n">
        <v>12464.9</v>
      </c>
      <c r="M31" s="12" t="n">
        <f aca="false">L31-K31</f>
        <v>0.0100000000002183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3762</v>
      </c>
      <c r="B32" s="14" t="s">
        <v>3763</v>
      </c>
      <c r="C32" s="14" t="s">
        <v>326</v>
      </c>
      <c r="D32" s="14" t="s">
        <v>3764</v>
      </c>
      <c r="E32" s="14" t="s">
        <v>50</v>
      </c>
      <c r="F32" s="15" t="n">
        <v>380000</v>
      </c>
      <c r="G32" s="16" t="n">
        <v>1.15</v>
      </c>
      <c r="H32" s="16" t="n">
        <v>1.12</v>
      </c>
      <c r="I32" s="16" t="n">
        <v>0.7772</v>
      </c>
      <c r="J32" s="16" t="n">
        <v>0.53</v>
      </c>
      <c r="K32" s="15" t="n">
        <f aca="false">ROUND(F32/100*G32*H32*I32/J32,2)</f>
        <v>7177.22</v>
      </c>
      <c r="L32" s="15" t="n">
        <v>7177.22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3727</v>
      </c>
      <c r="B33" s="3" t="s">
        <v>3765</v>
      </c>
      <c r="C33" s="3" t="s">
        <v>136</v>
      </c>
      <c r="D33" s="3" t="s">
        <v>3766</v>
      </c>
      <c r="E33" s="3" t="s">
        <v>56</v>
      </c>
      <c r="F33" s="12" t="n">
        <v>235000</v>
      </c>
      <c r="G33" s="13" t="n">
        <v>0.92</v>
      </c>
      <c r="H33" s="13" t="n">
        <v>1.32</v>
      </c>
      <c r="I33" s="13" t="n">
        <v>0.7772</v>
      </c>
      <c r="J33" s="13" t="n">
        <v>0.53</v>
      </c>
      <c r="K33" s="12" t="n">
        <f aca="false">ROUND(F33/100*G33*H33*I33/J33,2)</f>
        <v>4184.91</v>
      </c>
      <c r="L33" s="12" t="n">
        <v>4184.91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3721</v>
      </c>
      <c r="B34" s="14" t="s">
        <v>3767</v>
      </c>
      <c r="C34" s="14" t="s">
        <v>93</v>
      </c>
      <c r="D34" s="14" t="s">
        <v>3768</v>
      </c>
      <c r="E34" s="14" t="s">
        <v>74</v>
      </c>
      <c r="F34" s="15" t="n">
        <v>1095000</v>
      </c>
      <c r="G34" s="16" t="n">
        <v>0.38</v>
      </c>
      <c r="H34" s="16" t="n">
        <v>1.39</v>
      </c>
      <c r="I34" s="16" t="n">
        <v>0.7772</v>
      </c>
      <c r="J34" s="16" t="n">
        <v>0.53</v>
      </c>
      <c r="K34" s="15" t="n">
        <f aca="false">ROUND(F34/100*G34*H34*I34/J34,2)</f>
        <v>8481.44</v>
      </c>
      <c r="L34" s="15" t="n">
        <v>8481.44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3769</v>
      </c>
      <c r="B35" s="3" t="s">
        <v>3770</v>
      </c>
      <c r="C35" s="3" t="s">
        <v>196</v>
      </c>
      <c r="D35" s="3" t="s">
        <v>3771</v>
      </c>
      <c r="E35" s="3" t="s">
        <v>157</v>
      </c>
      <c r="F35" s="12" t="n">
        <v>330000</v>
      </c>
      <c r="G35" s="13" t="n">
        <v>0.88</v>
      </c>
      <c r="H35" s="13" t="n">
        <v>1.04</v>
      </c>
      <c r="I35" s="13" t="n">
        <v>0.7772</v>
      </c>
      <c r="J35" s="13" t="n">
        <v>0.53</v>
      </c>
      <c r="K35" s="12" t="n">
        <f aca="false">ROUND(F35/100*G35*H35*I35/J35,2)</f>
        <v>4428.81</v>
      </c>
      <c r="L35" s="12" t="n">
        <v>4428.81</v>
      </c>
      <c r="M35" s="12" t="n">
        <f aca="false">L35-K35</f>
        <v>0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3731</v>
      </c>
      <c r="B36" s="14" t="s">
        <v>3772</v>
      </c>
      <c r="C36" s="14" t="s">
        <v>145</v>
      </c>
      <c r="D36" s="14" t="s">
        <v>2199</v>
      </c>
      <c r="E36" s="14" t="s">
        <v>56</v>
      </c>
      <c r="F36" s="15" t="n">
        <v>445000</v>
      </c>
      <c r="G36" s="16" t="n">
        <v>0.75</v>
      </c>
      <c r="H36" s="16" t="n">
        <v>0.96</v>
      </c>
      <c r="I36" s="16" t="n">
        <v>0.7772</v>
      </c>
      <c r="J36" s="16" t="n">
        <v>0.53</v>
      </c>
      <c r="K36" s="15" t="n">
        <f aca="false">ROUND(F36/100*G36*H36*I36/J36,2)</f>
        <v>4698.39</v>
      </c>
      <c r="L36" s="15" t="n">
        <v>4698.39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3773</v>
      </c>
      <c r="B37" s="3" t="s">
        <v>3774</v>
      </c>
      <c r="C37" s="3" t="s">
        <v>300</v>
      </c>
      <c r="D37" s="3" t="s">
        <v>2509</v>
      </c>
      <c r="E37" s="3" t="s">
        <v>50</v>
      </c>
      <c r="F37" s="12" t="n">
        <v>320000</v>
      </c>
      <c r="G37" s="13" t="n">
        <v>1.15</v>
      </c>
      <c r="H37" s="13" t="n">
        <v>1.11</v>
      </c>
      <c r="I37" s="13" t="n">
        <v>0.7772</v>
      </c>
      <c r="J37" s="13" t="n">
        <v>0.53</v>
      </c>
      <c r="K37" s="12" t="n">
        <f aca="false">ROUND(F37/100*G37*H37*I37/J37,2)</f>
        <v>5990.01</v>
      </c>
      <c r="L37" s="12" t="n">
        <v>5990.01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3775</v>
      </c>
      <c r="B38" s="14" t="s">
        <v>3776</v>
      </c>
      <c r="C38" s="14" t="s">
        <v>145</v>
      </c>
      <c r="D38" s="14" t="s">
        <v>235</v>
      </c>
      <c r="E38" s="14" t="s">
        <v>56</v>
      </c>
      <c r="F38" s="15" t="n">
        <v>255000</v>
      </c>
      <c r="G38" s="16" t="n">
        <v>0.75</v>
      </c>
      <c r="H38" s="16" t="n">
        <v>0.96</v>
      </c>
      <c r="I38" s="16" t="n">
        <v>0.7772</v>
      </c>
      <c r="J38" s="16" t="n">
        <v>0.53</v>
      </c>
      <c r="K38" s="15" t="n">
        <f aca="false">ROUND(F38/100*G38*H38*I38/J38,2)</f>
        <v>2692.34</v>
      </c>
      <c r="L38" s="15" t="n">
        <v>2692.34</v>
      </c>
      <c r="M38" s="15" t="n">
        <f aca="false">L38-K38</f>
        <v>0</v>
      </c>
      <c r="N38" s="14" t="s">
        <v>51</v>
      </c>
      <c r="O38" s="14" t="s">
        <v>52</v>
      </c>
    </row>
    <row r="39" customFormat="false" ht="15" hidden="false" customHeight="false" outlineLevel="0" collapsed="false">
      <c r="A39" s="3" t="s">
        <v>3736</v>
      </c>
      <c r="B39" s="3" t="s">
        <v>3777</v>
      </c>
      <c r="C39" s="3" t="s">
        <v>152</v>
      </c>
      <c r="D39" s="3" t="s">
        <v>3778</v>
      </c>
      <c r="E39" s="3" t="s">
        <v>157</v>
      </c>
      <c r="F39" s="12" t="n">
        <v>1465000</v>
      </c>
      <c r="G39" s="13" t="n">
        <v>0.68</v>
      </c>
      <c r="H39" s="13" t="n">
        <v>1</v>
      </c>
      <c r="I39" s="13" t="n">
        <v>0.7772</v>
      </c>
      <c r="J39" s="13" t="n">
        <v>0.53</v>
      </c>
      <c r="K39" s="12" t="n">
        <f aca="false">ROUND(F39/100*G39*H39*I39/J39,2)</f>
        <v>14608.43</v>
      </c>
      <c r="L39" s="12" t="n">
        <v>14608.43</v>
      </c>
      <c r="M39" s="12" t="n">
        <f aca="false">L39-K39</f>
        <v>0</v>
      </c>
      <c r="N39" s="3" t="s">
        <v>70</v>
      </c>
      <c r="O39" s="3" t="s">
        <v>52</v>
      </c>
    </row>
    <row r="40" customFormat="false" ht="15" hidden="false" customHeight="false" outlineLevel="0" collapsed="false">
      <c r="A40" s="14" t="s">
        <v>3725</v>
      </c>
      <c r="B40" s="14" t="s">
        <v>3779</v>
      </c>
      <c r="C40" s="14" t="s">
        <v>48</v>
      </c>
      <c r="D40" s="14" t="s">
        <v>2012</v>
      </c>
      <c r="E40" s="14" t="s">
        <v>56</v>
      </c>
      <c r="F40" s="15" t="n">
        <v>240000</v>
      </c>
      <c r="G40" s="16" t="n">
        <v>0.92</v>
      </c>
      <c r="H40" s="16" t="n">
        <v>1.28</v>
      </c>
      <c r="I40" s="16" t="n">
        <v>0.7772</v>
      </c>
      <c r="J40" s="16" t="n">
        <v>0.53</v>
      </c>
      <c r="K40" s="15" t="n">
        <f aca="false">ROUND(F40/100*G40*H40*I40/J40,2)</f>
        <v>4144.44</v>
      </c>
      <c r="L40" s="15" t="n">
        <v>4144.44</v>
      </c>
      <c r="M40" s="15" t="n">
        <f aca="false">L40-K40</f>
        <v>0</v>
      </c>
      <c r="N40" s="14" t="s">
        <v>51</v>
      </c>
      <c r="O40" s="14" t="s">
        <v>52</v>
      </c>
    </row>
    <row r="41" customFormat="false" ht="15" hidden="false" customHeight="false" outlineLevel="0" collapsed="false">
      <c r="A41" s="3" t="s">
        <v>3734</v>
      </c>
      <c r="B41" s="3" t="s">
        <v>3780</v>
      </c>
      <c r="C41" s="3" t="s">
        <v>174</v>
      </c>
      <c r="D41" s="3" t="s">
        <v>1292</v>
      </c>
      <c r="E41" s="3" t="s">
        <v>56</v>
      </c>
      <c r="F41" s="12" t="n">
        <v>680000</v>
      </c>
      <c r="G41" s="13" t="n">
        <v>0.65</v>
      </c>
      <c r="H41" s="13" t="n">
        <v>1.55</v>
      </c>
      <c r="I41" s="13" t="n">
        <v>0.7772</v>
      </c>
      <c r="J41" s="13" t="n">
        <v>0.53</v>
      </c>
      <c r="K41" s="12" t="n">
        <f aca="false">ROUND(F41/100*G41*H41*I41/J41,2)</f>
        <v>10046.41</v>
      </c>
      <c r="L41" s="12" t="n">
        <v>10046.41</v>
      </c>
      <c r="M41" s="12" t="n">
        <f aca="false">L41-K41</f>
        <v>0</v>
      </c>
      <c r="N41" s="3" t="s">
        <v>51</v>
      </c>
      <c r="O41" s="3" t="s">
        <v>52</v>
      </c>
    </row>
    <row r="42" customFormat="false" ht="15" hidden="false" customHeight="false" outlineLevel="0" collapsed="false">
      <c r="A42" s="14" t="s">
        <v>3781</v>
      </c>
      <c r="B42" s="14" t="s">
        <v>3782</v>
      </c>
      <c r="C42" s="14" t="s">
        <v>243</v>
      </c>
      <c r="D42" s="14" t="s">
        <v>2738</v>
      </c>
      <c r="E42" s="14" t="s">
        <v>56</v>
      </c>
      <c r="F42" s="15" t="n">
        <v>405000</v>
      </c>
      <c r="G42" s="16" t="n">
        <v>0.75</v>
      </c>
      <c r="H42" s="16" t="n">
        <v>1.14</v>
      </c>
      <c r="I42" s="16" t="n">
        <v>0.7772</v>
      </c>
      <c r="J42" s="16" t="n">
        <v>0.53</v>
      </c>
      <c r="K42" s="15" t="n">
        <f aca="false">ROUND(F42/100*G42*H42*I42/J42,2)</f>
        <v>5077.83</v>
      </c>
      <c r="L42" s="15" t="n">
        <v>5077.83</v>
      </c>
      <c r="M42" s="15" t="n">
        <f aca="false">L42-K42</f>
        <v>0</v>
      </c>
      <c r="N42" s="14" t="s">
        <v>51</v>
      </c>
      <c r="O42" s="14" t="s">
        <v>52</v>
      </c>
    </row>
    <row r="43" customFormat="false" ht="15" hidden="false" customHeight="false" outlineLevel="0" collapsed="false">
      <c r="A43" s="3" t="s">
        <v>3783</v>
      </c>
      <c r="B43" s="3" t="s">
        <v>3784</v>
      </c>
      <c r="C43" s="3" t="s">
        <v>85</v>
      </c>
      <c r="D43" s="3" t="s">
        <v>2383</v>
      </c>
      <c r="E43" s="3" t="s">
        <v>56</v>
      </c>
      <c r="F43" s="12" t="n">
        <v>600000</v>
      </c>
      <c r="G43" s="13" t="n">
        <v>0.65</v>
      </c>
      <c r="H43" s="13" t="n">
        <v>1.28</v>
      </c>
      <c r="I43" s="13" t="n">
        <v>0.7772</v>
      </c>
      <c r="J43" s="13" t="n">
        <v>0.53</v>
      </c>
      <c r="K43" s="12" t="n">
        <f aca="false">ROUND(F43/100*G43*H43*I43/J43,2)</f>
        <v>7320.34</v>
      </c>
      <c r="L43" s="12" t="n">
        <v>7320.35</v>
      </c>
      <c r="M43" s="12" t="n">
        <f aca="false">L43-K43</f>
        <v>0.0100000000002183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3741</v>
      </c>
      <c r="B44" s="14" t="s">
        <v>3785</v>
      </c>
      <c r="C44" s="14" t="s">
        <v>48</v>
      </c>
      <c r="D44" s="14" t="s">
        <v>3786</v>
      </c>
      <c r="E44" s="14" t="s">
        <v>133</v>
      </c>
      <c r="F44" s="15" t="n">
        <v>600000</v>
      </c>
      <c r="G44" s="16" t="n">
        <v>0.38</v>
      </c>
      <c r="H44" s="16" t="n">
        <v>1.28</v>
      </c>
      <c r="I44" s="16" t="n">
        <v>0.7772</v>
      </c>
      <c r="J44" s="16" t="n">
        <v>0.53</v>
      </c>
      <c r="K44" s="15" t="n">
        <f aca="false">ROUND(F44/100*G44*H44*I44/J44,2)</f>
        <v>4279.59</v>
      </c>
      <c r="L44" s="15" t="n">
        <v>4279.59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3723</v>
      </c>
      <c r="B45" s="3" t="s">
        <v>3787</v>
      </c>
      <c r="C45" s="3" t="s">
        <v>169</v>
      </c>
      <c r="D45" s="3" t="s">
        <v>828</v>
      </c>
      <c r="E45" s="3" t="s">
        <v>56</v>
      </c>
      <c r="F45" s="12" t="n">
        <v>315000</v>
      </c>
      <c r="G45" s="13" t="n">
        <v>0.75</v>
      </c>
      <c r="H45" s="13" t="n">
        <v>1.07</v>
      </c>
      <c r="I45" s="13" t="n">
        <v>0.7772</v>
      </c>
      <c r="J45" s="13" t="n">
        <v>0.53</v>
      </c>
      <c r="K45" s="12" t="n">
        <f aca="false">ROUND(F45/100*G45*H45*I45/J45,2)</f>
        <v>3706.91</v>
      </c>
      <c r="L45" s="12" t="n">
        <v>3706.92</v>
      </c>
      <c r="M45" s="12" t="n">
        <f aca="false">L45-K45</f>
        <v>0.0100000000002183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3749</v>
      </c>
      <c r="B46" s="14" t="s">
        <v>3788</v>
      </c>
      <c r="C46" s="14" t="s">
        <v>169</v>
      </c>
      <c r="D46" s="14" t="s">
        <v>730</v>
      </c>
      <c r="E46" s="14" t="s">
        <v>56</v>
      </c>
      <c r="F46" s="15" t="n">
        <v>1090000</v>
      </c>
      <c r="G46" s="16" t="n">
        <v>0.55</v>
      </c>
      <c r="H46" s="16" t="n">
        <v>1.07</v>
      </c>
      <c r="I46" s="16" t="n">
        <v>0.7772</v>
      </c>
      <c r="J46" s="16" t="n">
        <v>0.53</v>
      </c>
      <c r="K46" s="15" t="n">
        <f aca="false">ROUND(F46/100*G46*H46*I46/J46,2)</f>
        <v>9406.54</v>
      </c>
      <c r="L46" s="15" t="n">
        <v>9406.54</v>
      </c>
      <c r="M46" s="15" t="n">
        <f aca="false">L46-K46</f>
        <v>0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3752</v>
      </c>
      <c r="B47" s="3" t="s">
        <v>3789</v>
      </c>
      <c r="C47" s="3" t="s">
        <v>184</v>
      </c>
      <c r="D47" s="3" t="s">
        <v>1803</v>
      </c>
      <c r="E47" s="3" t="s">
        <v>56</v>
      </c>
      <c r="F47" s="12" t="n">
        <v>590000</v>
      </c>
      <c r="G47" s="13" t="n">
        <v>0.65</v>
      </c>
      <c r="H47" s="13" t="n">
        <v>1.02</v>
      </c>
      <c r="I47" s="13" t="n">
        <v>0.7772</v>
      </c>
      <c r="J47" s="13" t="n">
        <v>0.53</v>
      </c>
      <c r="K47" s="12" t="n">
        <f aca="false">ROUND(F47/100*G47*H47*I47/J47,2)</f>
        <v>5736.18</v>
      </c>
      <c r="L47" s="12" t="n">
        <v>5736.18</v>
      </c>
      <c r="M47" s="12" t="n">
        <f aca="false">L47-K47</f>
        <v>0</v>
      </c>
      <c r="N47" s="3" t="s">
        <v>51</v>
      </c>
      <c r="O47" s="3" t="s">
        <v>52</v>
      </c>
    </row>
    <row r="48" customFormat="false" ht="15" hidden="false" customHeight="false" outlineLevel="0" collapsed="false">
      <c r="A48" s="14" t="s">
        <v>3734</v>
      </c>
      <c r="B48" s="14" t="s">
        <v>3790</v>
      </c>
      <c r="C48" s="14" t="s">
        <v>68</v>
      </c>
      <c r="D48" s="14" t="s">
        <v>1549</v>
      </c>
      <c r="E48" s="14" t="s">
        <v>56</v>
      </c>
      <c r="F48" s="15" t="n">
        <v>220000</v>
      </c>
      <c r="G48" s="16" t="n">
        <v>0.92</v>
      </c>
      <c r="H48" s="16" t="n">
        <v>1.38</v>
      </c>
      <c r="I48" s="16" t="n">
        <v>0.7772</v>
      </c>
      <c r="J48" s="16" t="n">
        <v>0.53</v>
      </c>
      <c r="K48" s="15" t="n">
        <f aca="false">ROUND(F48/100*G48*H48*I48/J48,2)</f>
        <v>4095.87</v>
      </c>
      <c r="L48" s="15" t="n">
        <v>4095.88</v>
      </c>
      <c r="M48" s="15" t="n">
        <f aca="false">L48-K48</f>
        <v>0.0100000000002183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3791</v>
      </c>
      <c r="B49" s="3" t="s">
        <v>3792</v>
      </c>
      <c r="C49" s="3" t="s">
        <v>139</v>
      </c>
      <c r="D49" s="3" t="s">
        <v>584</v>
      </c>
      <c r="E49" s="3" t="s">
        <v>50</v>
      </c>
      <c r="F49" s="12" t="n">
        <v>760000</v>
      </c>
      <c r="G49" s="13" t="n">
        <v>0.95</v>
      </c>
      <c r="H49" s="13" t="n">
        <v>1.23</v>
      </c>
      <c r="I49" s="13" t="n">
        <v>0.7772</v>
      </c>
      <c r="J49" s="13" t="n">
        <v>0.53</v>
      </c>
      <c r="K49" s="12" t="n">
        <f aca="false">ROUND(F49/100*G49*H49*I49/J49,2)</f>
        <v>13022.65</v>
      </c>
      <c r="L49" s="12" t="n">
        <v>13022.65</v>
      </c>
      <c r="M49" s="12" t="n">
        <f aca="false">L49-K49</f>
        <v>0</v>
      </c>
      <c r="N49" s="3" t="s">
        <v>51</v>
      </c>
      <c r="O49" s="3" t="s">
        <v>52</v>
      </c>
    </row>
    <row r="50" customFormat="false" ht="15" hidden="false" customHeight="false" outlineLevel="0" collapsed="false">
      <c r="A50" s="14" t="s">
        <v>3715</v>
      </c>
      <c r="B50" s="14" t="s">
        <v>3793</v>
      </c>
      <c r="C50" s="14" t="s">
        <v>152</v>
      </c>
      <c r="D50" s="14" t="s">
        <v>1397</v>
      </c>
      <c r="E50" s="14" t="s">
        <v>157</v>
      </c>
      <c r="F50" s="15" t="n">
        <v>480000</v>
      </c>
      <c r="G50" s="16" t="n">
        <v>0.88</v>
      </c>
      <c r="H50" s="16" t="n">
        <v>1</v>
      </c>
      <c r="I50" s="16" t="n">
        <v>0.7772</v>
      </c>
      <c r="J50" s="16" t="n">
        <v>0.53</v>
      </c>
      <c r="K50" s="15" t="n">
        <f aca="false">ROUND(F50/100*G50*H50*I50/J50,2)</f>
        <v>6194.14</v>
      </c>
      <c r="L50" s="15" t="n">
        <v>6194.14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3794</v>
      </c>
      <c r="B51" s="3" t="s">
        <v>3795</v>
      </c>
      <c r="C51" s="3" t="s">
        <v>184</v>
      </c>
      <c r="D51" s="3" t="s">
        <v>1645</v>
      </c>
      <c r="E51" s="3" t="s">
        <v>74</v>
      </c>
      <c r="F51" s="12" t="n">
        <v>1070000</v>
      </c>
      <c r="G51" s="13" t="n">
        <v>0.38</v>
      </c>
      <c r="H51" s="13" t="n">
        <v>1.02</v>
      </c>
      <c r="I51" s="13" t="n">
        <v>0.7772</v>
      </c>
      <c r="J51" s="13" t="n">
        <v>0.53</v>
      </c>
      <c r="K51" s="12" t="n">
        <f aca="false">ROUND(F51/100*G51*H51*I51/J51,2)</f>
        <v>6081.69</v>
      </c>
      <c r="L51" s="12" t="n">
        <v>6081.69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3727</v>
      </c>
      <c r="B52" s="14" t="s">
        <v>3796</v>
      </c>
      <c r="C52" s="14" t="s">
        <v>89</v>
      </c>
      <c r="D52" s="14" t="s">
        <v>2486</v>
      </c>
      <c r="E52" s="14" t="s">
        <v>56</v>
      </c>
      <c r="F52" s="15" t="n">
        <v>1060000</v>
      </c>
      <c r="G52" s="16" t="n">
        <v>0.55</v>
      </c>
      <c r="H52" s="16" t="n">
        <v>1.35</v>
      </c>
      <c r="I52" s="16" t="n">
        <v>0.7772</v>
      </c>
      <c r="J52" s="16" t="n">
        <v>0.53</v>
      </c>
      <c r="K52" s="15" t="n">
        <f aca="false">ROUND(F52/100*G52*H52*I52/J52,2)</f>
        <v>11541.42</v>
      </c>
      <c r="L52" s="15" t="n">
        <v>11541.42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3741</v>
      </c>
      <c r="B53" s="3" t="s">
        <v>3797</v>
      </c>
      <c r="C53" s="3" t="s">
        <v>159</v>
      </c>
      <c r="D53" s="3" t="s">
        <v>3798</v>
      </c>
      <c r="E53" s="3" t="s">
        <v>133</v>
      </c>
      <c r="F53" s="12" t="n">
        <v>1950000</v>
      </c>
      <c r="G53" s="13" t="n">
        <v>0.34</v>
      </c>
      <c r="H53" s="13" t="n">
        <v>1.15</v>
      </c>
      <c r="I53" s="13" t="n">
        <v>0.7772</v>
      </c>
      <c r="J53" s="13" t="n">
        <v>0.53</v>
      </c>
      <c r="K53" s="12" t="n">
        <f aca="false">ROUND(F53/100*G53*H53*I53/J53,2)</f>
        <v>11180.68</v>
      </c>
      <c r="L53" s="12" t="n">
        <v>11180.68</v>
      </c>
      <c r="M53" s="12" t="n">
        <f aca="false">L53-K53</f>
        <v>0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3799</v>
      </c>
      <c r="B54" s="14" t="s">
        <v>3800</v>
      </c>
      <c r="C54" s="14" t="s">
        <v>89</v>
      </c>
      <c r="D54" s="14" t="s">
        <v>2901</v>
      </c>
      <c r="E54" s="14" t="s">
        <v>56</v>
      </c>
      <c r="F54" s="15" t="n">
        <v>1070000</v>
      </c>
      <c r="G54" s="16" t="n">
        <v>0.55</v>
      </c>
      <c r="H54" s="16" t="n">
        <v>1.35</v>
      </c>
      <c r="I54" s="16" t="n">
        <v>0.7772</v>
      </c>
      <c r="J54" s="16" t="n">
        <v>0.53</v>
      </c>
      <c r="K54" s="15" t="n">
        <f aca="false">ROUND(F54/100*G54*H54*I54/J54,2)</f>
        <v>11650.3</v>
      </c>
      <c r="L54" s="15" t="n">
        <v>11650.3</v>
      </c>
      <c r="M54" s="15" t="n">
        <f aca="false">L54-K54</f>
        <v>0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3715</v>
      </c>
      <c r="B55" s="3" t="s">
        <v>3801</v>
      </c>
      <c r="C55" s="3" t="s">
        <v>105</v>
      </c>
      <c r="D55" s="3" t="s">
        <v>819</v>
      </c>
      <c r="E55" s="3" t="s">
        <v>56</v>
      </c>
      <c r="F55" s="12" t="n">
        <v>720000</v>
      </c>
      <c r="G55" s="13" t="n">
        <v>0.65</v>
      </c>
      <c r="H55" s="13" t="n">
        <v>0.99</v>
      </c>
      <c r="I55" s="13" t="n">
        <v>0.7772</v>
      </c>
      <c r="J55" s="13" t="n">
        <v>0.53</v>
      </c>
      <c r="K55" s="12" t="n">
        <f aca="false">ROUND(F55/100*G55*H55*I55/J55,2)</f>
        <v>6794.19</v>
      </c>
      <c r="L55" s="12" t="n">
        <v>6794.2</v>
      </c>
      <c r="M55" s="12" t="n">
        <f aca="false">L55-K55</f>
        <v>0.0100000000002183</v>
      </c>
      <c r="N55" s="3" t="s">
        <v>51</v>
      </c>
      <c r="O55" s="3" t="s">
        <v>52</v>
      </c>
    </row>
    <row r="56" customFormat="false" ht="15" hidden="false" customHeight="false" outlineLevel="0" collapsed="false">
      <c r="A56" s="14" t="s">
        <v>3802</v>
      </c>
      <c r="B56" s="14" t="s">
        <v>3803</v>
      </c>
      <c r="C56" s="14" t="s">
        <v>89</v>
      </c>
      <c r="D56" s="14" t="s">
        <v>923</v>
      </c>
      <c r="E56" s="14" t="s">
        <v>56</v>
      </c>
      <c r="F56" s="15" t="n">
        <v>355000</v>
      </c>
      <c r="G56" s="16" t="n">
        <v>0.75</v>
      </c>
      <c r="H56" s="16" t="n">
        <v>1.35</v>
      </c>
      <c r="I56" s="16" t="n">
        <v>0.7772</v>
      </c>
      <c r="J56" s="16" t="n">
        <v>0.53</v>
      </c>
      <c r="K56" s="15" t="n">
        <f aca="false">ROUND(F56/100*G56*H56*I56/J56,2)</f>
        <v>5270.85</v>
      </c>
      <c r="L56" s="15" t="n">
        <v>5270.85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3717</v>
      </c>
      <c r="B57" s="3" t="s">
        <v>3804</v>
      </c>
      <c r="C57" s="3" t="s">
        <v>85</v>
      </c>
      <c r="D57" s="3" t="s">
        <v>3556</v>
      </c>
      <c r="E57" s="3" t="s">
        <v>50</v>
      </c>
      <c r="F57" s="12" t="n">
        <v>1150000</v>
      </c>
      <c r="G57" s="13" t="n">
        <v>0.8</v>
      </c>
      <c r="H57" s="13" t="n">
        <v>1.28</v>
      </c>
      <c r="I57" s="13" t="n">
        <v>0.7772</v>
      </c>
      <c r="J57" s="13" t="n">
        <v>0.53</v>
      </c>
      <c r="K57" s="12" t="n">
        <f aca="false">ROUND(F57/100*G57*H57*I57/J57,2)</f>
        <v>17268.5</v>
      </c>
      <c r="L57" s="12" t="n">
        <v>17268.51</v>
      </c>
      <c r="M57" s="12" t="n">
        <f aca="false">L57-K57</f>
        <v>0.00999999999839929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3723</v>
      </c>
      <c r="B58" s="14" t="s">
        <v>3805</v>
      </c>
      <c r="C58" s="14" t="s">
        <v>131</v>
      </c>
      <c r="D58" s="14" t="s">
        <v>2286</v>
      </c>
      <c r="E58" s="14" t="s">
        <v>56</v>
      </c>
      <c r="F58" s="15" t="n">
        <v>205000</v>
      </c>
      <c r="G58" s="16" t="n">
        <v>0.92</v>
      </c>
      <c r="H58" s="16" t="n">
        <v>0.95</v>
      </c>
      <c r="I58" s="16" t="n">
        <v>0.7772</v>
      </c>
      <c r="J58" s="16" t="n">
        <v>0.53</v>
      </c>
      <c r="K58" s="15" t="n">
        <f aca="false">ROUND(F58/100*G58*H58*I58/J58,2)</f>
        <v>2627.38</v>
      </c>
      <c r="L58" s="15" t="n">
        <v>2627.38</v>
      </c>
      <c r="M58" s="15" t="n">
        <f aca="false">L58-K58</f>
        <v>0</v>
      </c>
      <c r="N58" s="14" t="s">
        <v>61</v>
      </c>
      <c r="O58" s="14" t="s">
        <v>62</v>
      </c>
    </row>
    <row r="59" customFormat="false" ht="15" hidden="false" customHeight="false" outlineLevel="0" collapsed="false">
      <c r="A59" s="3" t="s">
        <v>3739</v>
      </c>
      <c r="B59" s="3" t="s">
        <v>3806</v>
      </c>
      <c r="C59" s="3" t="s">
        <v>117</v>
      </c>
      <c r="D59" s="3" t="s">
        <v>3807</v>
      </c>
      <c r="E59" s="3" t="s">
        <v>133</v>
      </c>
      <c r="F59" s="12" t="n">
        <v>1435000</v>
      </c>
      <c r="G59" s="13" t="n">
        <v>0.34</v>
      </c>
      <c r="H59" s="13" t="n">
        <v>0.91</v>
      </c>
      <c r="I59" s="13" t="n">
        <v>0.7772</v>
      </c>
      <c r="J59" s="13" t="n">
        <v>0.53</v>
      </c>
      <c r="K59" s="12" t="n">
        <f aca="false">ROUND(F59/100*G59*H59*I59/J59,2)</f>
        <v>6510.72</v>
      </c>
      <c r="L59" s="12" t="n">
        <v>6510.72</v>
      </c>
      <c r="M59" s="12" t="n">
        <f aca="false">L59-K59</f>
        <v>0</v>
      </c>
      <c r="N59" s="3" t="s">
        <v>70</v>
      </c>
      <c r="O59" s="3" t="s">
        <v>52</v>
      </c>
    </row>
    <row r="60" customFormat="false" ht="15" hidden="false" customHeight="false" outlineLevel="0" collapsed="false">
      <c r="A60" s="14" t="s">
        <v>3773</v>
      </c>
      <c r="B60" s="14" t="s">
        <v>3808</v>
      </c>
      <c r="C60" s="14" t="s">
        <v>93</v>
      </c>
      <c r="D60" s="14" t="s">
        <v>103</v>
      </c>
      <c r="E60" s="14" t="s">
        <v>50</v>
      </c>
      <c r="F60" s="15" t="n">
        <v>650000</v>
      </c>
      <c r="G60" s="16" t="n">
        <v>0.95</v>
      </c>
      <c r="H60" s="16" t="n">
        <v>1.39</v>
      </c>
      <c r="I60" s="16" t="n">
        <v>0.7772</v>
      </c>
      <c r="J60" s="16" t="n">
        <v>0.53</v>
      </c>
      <c r="K60" s="15" t="n">
        <f aca="false">ROUND(F60/100*G60*H60*I60/J60,2)</f>
        <v>12586.61</v>
      </c>
      <c r="L60" s="15" t="n">
        <v>12586.61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3783</v>
      </c>
      <c r="B61" s="3" t="s">
        <v>3809</v>
      </c>
      <c r="C61" s="3" t="s">
        <v>169</v>
      </c>
      <c r="D61" s="3" t="s">
        <v>2411</v>
      </c>
      <c r="E61" s="3" t="s">
        <v>56</v>
      </c>
      <c r="F61" s="12" t="n">
        <v>240000</v>
      </c>
      <c r="G61" s="13" t="n">
        <v>0.92</v>
      </c>
      <c r="H61" s="13" t="n">
        <v>1.07</v>
      </c>
      <c r="I61" s="13" t="n">
        <v>0.7772</v>
      </c>
      <c r="J61" s="13" t="n">
        <v>0.53</v>
      </c>
      <c r="K61" s="12" t="n">
        <f aca="false">ROUND(F61/100*G61*H61*I61/J61,2)</f>
        <v>3464.49</v>
      </c>
      <c r="L61" s="12" t="n">
        <v>3464.49</v>
      </c>
      <c r="M61" s="12" t="n">
        <f aca="false">L61-K61</f>
        <v>0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3715</v>
      </c>
      <c r="B62" s="14" t="s">
        <v>3810</v>
      </c>
      <c r="C62" s="14" t="s">
        <v>48</v>
      </c>
      <c r="D62" s="14" t="s">
        <v>250</v>
      </c>
      <c r="E62" s="14" t="s">
        <v>56</v>
      </c>
      <c r="F62" s="15" t="n">
        <v>220000</v>
      </c>
      <c r="G62" s="16" t="n">
        <v>0.92</v>
      </c>
      <c r="H62" s="16" t="n">
        <v>1.28</v>
      </c>
      <c r="I62" s="16" t="n">
        <v>0.7772</v>
      </c>
      <c r="J62" s="16" t="n">
        <v>0.53</v>
      </c>
      <c r="K62" s="15" t="n">
        <f aca="false">ROUND(F62/100*G62*H62*I62/J62,2)</f>
        <v>3799.07</v>
      </c>
      <c r="L62" s="15" t="n">
        <v>3799.07</v>
      </c>
      <c r="M62" s="15" t="n">
        <f aca="false">L62-K62</f>
        <v>0</v>
      </c>
      <c r="N62" s="14" t="s">
        <v>61</v>
      </c>
      <c r="O62" s="14" t="s">
        <v>62</v>
      </c>
    </row>
    <row r="63" customFormat="false" ht="15" hidden="false" customHeight="false" outlineLevel="0" collapsed="false">
      <c r="A63" s="3" t="s">
        <v>3734</v>
      </c>
      <c r="B63" s="3" t="s">
        <v>3811</v>
      </c>
      <c r="C63" s="3" t="s">
        <v>892</v>
      </c>
      <c r="D63" s="3" t="s">
        <v>293</v>
      </c>
      <c r="E63" s="3" t="s">
        <v>56</v>
      </c>
      <c r="F63" s="12" t="n">
        <v>285000</v>
      </c>
      <c r="G63" s="13" t="n">
        <v>0.75</v>
      </c>
      <c r="H63" s="13" t="n">
        <v>1.08</v>
      </c>
      <c r="I63" s="13" t="n">
        <v>0.7772</v>
      </c>
      <c r="J63" s="13" t="n">
        <v>0.53</v>
      </c>
      <c r="K63" s="12" t="n">
        <f aca="false">ROUND(F63/100*G63*H63*I63/J63,2)</f>
        <v>3385.22</v>
      </c>
      <c r="L63" s="12" t="n">
        <v>3385.22</v>
      </c>
      <c r="M63" s="12" t="n">
        <f aca="false">L63-K63</f>
        <v>0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3799</v>
      </c>
      <c r="B64" s="14" t="s">
        <v>3812</v>
      </c>
      <c r="C64" s="14" t="s">
        <v>152</v>
      </c>
      <c r="D64" s="14" t="s">
        <v>453</v>
      </c>
      <c r="E64" s="14" t="s">
        <v>56</v>
      </c>
      <c r="F64" s="15" t="n">
        <v>520000</v>
      </c>
      <c r="G64" s="16" t="n">
        <v>0.65</v>
      </c>
      <c r="H64" s="16" t="n">
        <v>1</v>
      </c>
      <c r="I64" s="16" t="n">
        <v>0.7772</v>
      </c>
      <c r="J64" s="16" t="n">
        <v>0.53</v>
      </c>
      <c r="K64" s="15" t="n">
        <f aca="false">ROUND(F64/100*G64*H64*I64/J64,2)</f>
        <v>4956.48</v>
      </c>
      <c r="L64" s="15" t="n">
        <v>4956.48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3794</v>
      </c>
      <c r="B65" s="3" t="s">
        <v>3813</v>
      </c>
      <c r="C65" s="3" t="s">
        <v>93</v>
      </c>
      <c r="D65" s="3" t="s">
        <v>798</v>
      </c>
      <c r="E65" s="3" t="s">
        <v>56</v>
      </c>
      <c r="F65" s="12" t="n">
        <v>300000</v>
      </c>
      <c r="G65" s="13" t="n">
        <v>0.75</v>
      </c>
      <c r="H65" s="13" t="n">
        <v>1.39</v>
      </c>
      <c r="I65" s="13" t="n">
        <v>0.7772</v>
      </c>
      <c r="J65" s="13" t="n">
        <v>0.53</v>
      </c>
      <c r="K65" s="12" t="n">
        <f aca="false">ROUND(F65/100*G65*H65*I65/J65,2)</f>
        <v>4586.21</v>
      </c>
      <c r="L65" s="12" t="n">
        <v>4586.21</v>
      </c>
      <c r="M65" s="12" t="n">
        <f aca="false">L65-K65</f>
        <v>0</v>
      </c>
      <c r="N65" s="3" t="s">
        <v>51</v>
      </c>
      <c r="O65" s="3" t="s">
        <v>52</v>
      </c>
    </row>
    <row r="66" customFormat="false" ht="15" hidden="false" customHeight="false" outlineLevel="0" collapsed="false">
      <c r="A66" s="14" t="s">
        <v>3727</v>
      </c>
      <c r="B66" s="14" t="s">
        <v>3814</v>
      </c>
      <c r="C66" s="14" t="s">
        <v>887</v>
      </c>
      <c r="D66" s="14" t="s">
        <v>3815</v>
      </c>
      <c r="E66" s="14" t="s">
        <v>157</v>
      </c>
      <c r="F66" s="15" t="n">
        <v>280000</v>
      </c>
      <c r="G66" s="16" t="n">
        <v>0.88</v>
      </c>
      <c r="H66" s="16" t="n">
        <v>1.37</v>
      </c>
      <c r="I66" s="16" t="n">
        <v>0.7772</v>
      </c>
      <c r="J66" s="16" t="n">
        <v>0.53</v>
      </c>
      <c r="K66" s="15" t="n">
        <f aca="false">ROUND(F66/100*G66*H66*I66/J66,2)</f>
        <v>4950.15</v>
      </c>
      <c r="L66" s="15" t="n">
        <v>4950.15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3752</v>
      </c>
      <c r="B67" s="3" t="s">
        <v>3816</v>
      </c>
      <c r="C67" s="3" t="s">
        <v>462</v>
      </c>
      <c r="D67" s="3" t="s">
        <v>854</v>
      </c>
      <c r="E67" s="3" t="s">
        <v>56</v>
      </c>
      <c r="F67" s="12" t="n">
        <v>750000</v>
      </c>
      <c r="G67" s="13" t="n">
        <v>0.65</v>
      </c>
      <c r="H67" s="13" t="n">
        <v>1.34</v>
      </c>
      <c r="I67" s="13" t="n">
        <v>0.7772</v>
      </c>
      <c r="J67" s="13" t="n">
        <v>0.53</v>
      </c>
      <c r="K67" s="12" t="n">
        <f aca="false">ROUND(F67/100*G67*H67*I67/J67,2)</f>
        <v>9579.36</v>
      </c>
      <c r="L67" s="12" t="n">
        <v>9579.36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3781</v>
      </c>
      <c r="B68" s="14" t="s">
        <v>3817</v>
      </c>
      <c r="C68" s="14" t="s">
        <v>210</v>
      </c>
      <c r="D68" s="14" t="s">
        <v>1766</v>
      </c>
      <c r="E68" s="14" t="s">
        <v>56</v>
      </c>
      <c r="F68" s="15" t="n">
        <v>215000</v>
      </c>
      <c r="G68" s="16" t="n">
        <v>0.92</v>
      </c>
      <c r="H68" s="16" t="n">
        <v>1.21</v>
      </c>
      <c r="I68" s="16" t="n">
        <v>0.7772</v>
      </c>
      <c r="J68" s="16" t="n">
        <v>0.53</v>
      </c>
      <c r="K68" s="15" t="n">
        <f aca="false">ROUND(F68/100*G68*H68*I68/J68,2)</f>
        <v>3509.69</v>
      </c>
      <c r="L68" s="15" t="n">
        <v>3509.69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3781</v>
      </c>
      <c r="B69" s="3" t="s">
        <v>3818</v>
      </c>
      <c r="C69" s="3" t="s">
        <v>326</v>
      </c>
      <c r="D69" s="3" t="s">
        <v>1089</v>
      </c>
      <c r="E69" s="3" t="s">
        <v>74</v>
      </c>
      <c r="F69" s="12" t="n">
        <v>380000</v>
      </c>
      <c r="G69" s="13" t="n">
        <v>0.48</v>
      </c>
      <c r="H69" s="13" t="n">
        <v>1.12</v>
      </c>
      <c r="I69" s="13" t="n">
        <v>0.7772</v>
      </c>
      <c r="J69" s="13" t="n">
        <v>0.53</v>
      </c>
      <c r="K69" s="12" t="n">
        <f aca="false">ROUND(F69/100*G69*H69*I69/J69,2)</f>
        <v>2995.71</v>
      </c>
      <c r="L69" s="12" t="n">
        <v>2995.71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3791</v>
      </c>
      <c r="B70" s="14" t="s">
        <v>3819</v>
      </c>
      <c r="C70" s="14" t="s">
        <v>159</v>
      </c>
      <c r="D70" s="14" t="s">
        <v>978</v>
      </c>
      <c r="E70" s="14" t="s">
        <v>56</v>
      </c>
      <c r="F70" s="15" t="n">
        <v>250000</v>
      </c>
      <c r="G70" s="16" t="n">
        <v>0.75</v>
      </c>
      <c r="H70" s="16" t="n">
        <v>1.15</v>
      </c>
      <c r="I70" s="16" t="n">
        <v>0.7772</v>
      </c>
      <c r="J70" s="16" t="n">
        <v>0.53</v>
      </c>
      <c r="K70" s="15" t="n">
        <f aca="false">ROUND(F70/100*G70*H70*I70/J70,2)</f>
        <v>3161.96</v>
      </c>
      <c r="L70" s="15" t="n">
        <v>3161.96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3721</v>
      </c>
      <c r="B71" s="3" t="s">
        <v>3820</v>
      </c>
      <c r="C71" s="3" t="s">
        <v>89</v>
      </c>
      <c r="D71" s="3" t="s">
        <v>3821</v>
      </c>
      <c r="E71" s="3" t="s">
        <v>74</v>
      </c>
      <c r="F71" s="12" t="n">
        <v>1145000</v>
      </c>
      <c r="G71" s="13" t="n">
        <v>0.38</v>
      </c>
      <c r="H71" s="13" t="n">
        <v>1.35</v>
      </c>
      <c r="I71" s="13" t="n">
        <v>0.7772</v>
      </c>
      <c r="J71" s="13" t="n">
        <v>0.53</v>
      </c>
      <c r="K71" s="12" t="n">
        <f aca="false">ROUND(F71/100*G71*H71*I71/J71,2)</f>
        <v>8613.5</v>
      </c>
      <c r="L71" s="12" t="n">
        <v>8613.51</v>
      </c>
      <c r="M71" s="12" t="n">
        <f aca="false">L71-K71</f>
        <v>0.0100000000002183</v>
      </c>
      <c r="N71" s="3" t="s">
        <v>51</v>
      </c>
      <c r="O71" s="3" t="s">
        <v>52</v>
      </c>
    </row>
    <row r="72" customFormat="false" ht="15" hidden="false" customHeight="false" outlineLevel="0" collapsed="false">
      <c r="A72" s="14" t="s">
        <v>3752</v>
      </c>
      <c r="B72" s="14" t="s">
        <v>3822</v>
      </c>
      <c r="C72" s="14" t="s">
        <v>89</v>
      </c>
      <c r="D72" s="14" t="s">
        <v>441</v>
      </c>
      <c r="E72" s="14" t="s">
        <v>56</v>
      </c>
      <c r="F72" s="15" t="n">
        <v>1480000</v>
      </c>
      <c r="G72" s="16" t="n">
        <v>0.55</v>
      </c>
      <c r="H72" s="16" t="n">
        <v>1.35</v>
      </c>
      <c r="I72" s="16" t="n">
        <v>0.7772</v>
      </c>
      <c r="J72" s="16" t="n">
        <v>0.53</v>
      </c>
      <c r="K72" s="15" t="n">
        <f aca="false">ROUND(F72/100*G72*H72*I72/J72,2)</f>
        <v>16114.44</v>
      </c>
      <c r="L72" s="15" t="n">
        <v>16114.43</v>
      </c>
      <c r="M72" s="15" t="n">
        <f aca="false">L72-K72</f>
        <v>-0.0100000000002183</v>
      </c>
      <c r="N72" s="14" t="s">
        <v>51</v>
      </c>
      <c r="O72" s="14" t="s">
        <v>52</v>
      </c>
    </row>
    <row r="73" customFormat="false" ht="15" hidden="false" customHeight="false" outlineLevel="0" collapsed="false">
      <c r="A73" s="3" t="s">
        <v>3731</v>
      </c>
      <c r="B73" s="3" t="s">
        <v>3823</v>
      </c>
      <c r="C73" s="3" t="s">
        <v>224</v>
      </c>
      <c r="D73" s="3" t="s">
        <v>447</v>
      </c>
      <c r="E73" s="3" t="s">
        <v>56</v>
      </c>
      <c r="F73" s="12" t="n">
        <v>810000</v>
      </c>
      <c r="G73" s="13" t="n">
        <v>0.65</v>
      </c>
      <c r="H73" s="13" t="n">
        <v>1.1</v>
      </c>
      <c r="I73" s="13" t="n">
        <v>0.7772</v>
      </c>
      <c r="J73" s="13" t="n">
        <v>0.53</v>
      </c>
      <c r="K73" s="12" t="n">
        <f aca="false">ROUND(F73/100*G73*H73*I73/J73,2)</f>
        <v>8492.74</v>
      </c>
      <c r="L73" s="12" t="n">
        <v>8492.74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3794</v>
      </c>
      <c r="B74" s="14" t="s">
        <v>3824</v>
      </c>
      <c r="C74" s="14" t="s">
        <v>243</v>
      </c>
      <c r="D74" s="14" t="s">
        <v>1707</v>
      </c>
      <c r="E74" s="14" t="s">
        <v>56</v>
      </c>
      <c r="F74" s="15" t="n">
        <v>545000</v>
      </c>
      <c r="G74" s="16" t="n">
        <v>0.65</v>
      </c>
      <c r="H74" s="16" t="n">
        <v>1.14</v>
      </c>
      <c r="I74" s="16" t="n">
        <v>0.7772</v>
      </c>
      <c r="J74" s="16" t="n">
        <v>0.53</v>
      </c>
      <c r="K74" s="15" t="n">
        <f aca="false">ROUND(F74/100*G74*H74*I74/J74,2)</f>
        <v>5922.04</v>
      </c>
      <c r="L74" s="15" t="n">
        <v>5922.05</v>
      </c>
      <c r="M74" s="15" t="n">
        <f aca="false">L74-K74</f>
        <v>0.0100000000002183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3825</v>
      </c>
      <c r="B75" s="3" t="s">
        <v>3826</v>
      </c>
      <c r="C75" s="3" t="s">
        <v>77</v>
      </c>
      <c r="D75" s="3" t="s">
        <v>314</v>
      </c>
      <c r="E75" s="3" t="s">
        <v>56</v>
      </c>
      <c r="F75" s="12" t="n">
        <v>360000</v>
      </c>
      <c r="G75" s="13" t="n">
        <v>0.75</v>
      </c>
      <c r="H75" s="13" t="n">
        <v>1.42</v>
      </c>
      <c r="I75" s="13" t="n">
        <v>0.7772</v>
      </c>
      <c r="J75" s="13" t="n">
        <v>0.53</v>
      </c>
      <c r="K75" s="12" t="n">
        <f aca="false">ROUND(F75/100*G75*H75*I75/J75,2)</f>
        <v>5622.24</v>
      </c>
      <c r="L75" s="12" t="n">
        <v>5622.23</v>
      </c>
      <c r="M75" s="12" t="n">
        <f aca="false">L75-K75</f>
        <v>-0.0100000000002183</v>
      </c>
      <c r="N75" s="3" t="s">
        <v>51</v>
      </c>
      <c r="O75" s="3" t="s">
        <v>52</v>
      </c>
    </row>
    <row r="76" customFormat="false" ht="15" hidden="false" customHeight="false" outlineLevel="0" collapsed="false">
      <c r="A76" s="14" t="s">
        <v>3741</v>
      </c>
      <c r="B76" s="14" t="s">
        <v>3827</v>
      </c>
      <c r="C76" s="14" t="s">
        <v>311</v>
      </c>
      <c r="D76" s="14" t="s">
        <v>3828</v>
      </c>
      <c r="E76" s="14" t="s">
        <v>133</v>
      </c>
      <c r="F76" s="15" t="n">
        <v>985000</v>
      </c>
      <c r="G76" s="16" t="n">
        <v>0.38</v>
      </c>
      <c r="H76" s="16" t="n">
        <v>1.06</v>
      </c>
      <c r="I76" s="16" t="n">
        <v>0.7772</v>
      </c>
      <c r="J76" s="16" t="n">
        <v>0.53</v>
      </c>
      <c r="K76" s="15" t="n">
        <f aca="false">ROUND(F76/100*G76*H76*I76/J76,2)</f>
        <v>5818.12</v>
      </c>
      <c r="L76" s="15" t="n">
        <v>5818.12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3745</v>
      </c>
      <c r="B77" s="3" t="s">
        <v>3829</v>
      </c>
      <c r="C77" s="3" t="s">
        <v>417</v>
      </c>
      <c r="D77" s="3" t="s">
        <v>3398</v>
      </c>
      <c r="E77" s="3" t="s">
        <v>56</v>
      </c>
      <c r="F77" s="12" t="n">
        <v>720000</v>
      </c>
      <c r="G77" s="13" t="n">
        <v>0.65</v>
      </c>
      <c r="H77" s="13" t="n">
        <v>1.24</v>
      </c>
      <c r="I77" s="13" t="n">
        <v>0.7772</v>
      </c>
      <c r="J77" s="13" t="n">
        <v>0.53</v>
      </c>
      <c r="K77" s="12" t="n">
        <f aca="false">ROUND(F77/100*G77*H77*I77/J77,2)</f>
        <v>8509.9</v>
      </c>
      <c r="L77" s="12" t="n">
        <v>8509.9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3769</v>
      </c>
      <c r="B78" s="14" t="s">
        <v>3830</v>
      </c>
      <c r="C78" s="14" t="s">
        <v>196</v>
      </c>
      <c r="D78" s="14" t="s">
        <v>2072</v>
      </c>
      <c r="E78" s="14" t="s">
        <v>56</v>
      </c>
      <c r="F78" s="15" t="n">
        <v>775000</v>
      </c>
      <c r="G78" s="16" t="n">
        <v>0.65</v>
      </c>
      <c r="H78" s="16" t="n">
        <v>1.04</v>
      </c>
      <c r="I78" s="16" t="n">
        <v>0.7772</v>
      </c>
      <c r="J78" s="16" t="n">
        <v>0.53</v>
      </c>
      <c r="K78" s="15" t="n">
        <f aca="false">ROUND(F78/100*G78*H78*I78/J78,2)</f>
        <v>7682.55</v>
      </c>
      <c r="L78" s="15" t="n">
        <v>7682.55</v>
      </c>
      <c r="M78" s="15" t="n">
        <f aca="false">L78-K78</f>
        <v>0</v>
      </c>
      <c r="N78" s="14" t="s">
        <v>70</v>
      </c>
      <c r="O78" s="14" t="s">
        <v>52</v>
      </c>
    </row>
    <row r="79" customFormat="false" ht="15" hidden="false" customHeight="false" outlineLevel="0" collapsed="false">
      <c r="A79" s="3" t="s">
        <v>3749</v>
      </c>
      <c r="B79" s="3" t="s">
        <v>3831</v>
      </c>
      <c r="C79" s="3" t="s">
        <v>48</v>
      </c>
      <c r="D79" s="3" t="s">
        <v>771</v>
      </c>
      <c r="E79" s="3" t="s">
        <v>56</v>
      </c>
      <c r="F79" s="12" t="n">
        <v>370000</v>
      </c>
      <c r="G79" s="13" t="n">
        <v>0.75</v>
      </c>
      <c r="H79" s="13" t="n">
        <v>1.28</v>
      </c>
      <c r="I79" s="13" t="n">
        <v>0.7772</v>
      </c>
      <c r="J79" s="13" t="n">
        <v>0.53</v>
      </c>
      <c r="K79" s="12" t="n">
        <f aca="false">ROUND(F79/100*G79*H79*I79/J79,2)</f>
        <v>5208.71</v>
      </c>
      <c r="L79" s="12" t="n">
        <v>5208.71</v>
      </c>
      <c r="M79" s="12" t="n">
        <f aca="false">L79-K79</f>
        <v>0</v>
      </c>
      <c r="N79" s="3" t="s">
        <v>51</v>
      </c>
      <c r="O79" s="3" t="s">
        <v>52</v>
      </c>
    </row>
    <row r="80" customFormat="false" ht="15" hidden="false" customHeight="false" outlineLevel="0" collapsed="false">
      <c r="A80" s="14" t="s">
        <v>3741</v>
      </c>
      <c r="B80" s="14" t="s">
        <v>3832</v>
      </c>
      <c r="C80" s="14" t="s">
        <v>77</v>
      </c>
      <c r="D80" s="14" t="s">
        <v>834</v>
      </c>
      <c r="E80" s="14" t="s">
        <v>56</v>
      </c>
      <c r="F80" s="15" t="n">
        <v>425000</v>
      </c>
      <c r="G80" s="16" t="n">
        <v>0.75</v>
      </c>
      <c r="H80" s="16" t="n">
        <v>1.42</v>
      </c>
      <c r="I80" s="16" t="n">
        <v>0.7772</v>
      </c>
      <c r="J80" s="16" t="n">
        <v>0.53</v>
      </c>
      <c r="K80" s="15" t="n">
        <f aca="false">ROUND(F80/100*G80*H80*I80/J80,2)</f>
        <v>6637.36</v>
      </c>
      <c r="L80" s="15" t="n">
        <v>6637.36</v>
      </c>
      <c r="M80" s="15" t="n">
        <f aca="false">L80-K80</f>
        <v>0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3762</v>
      </c>
      <c r="B81" s="3" t="s">
        <v>3833</v>
      </c>
      <c r="C81" s="3" t="s">
        <v>217</v>
      </c>
      <c r="D81" s="3" t="s">
        <v>2150</v>
      </c>
      <c r="E81" s="3" t="s">
        <v>56</v>
      </c>
      <c r="F81" s="12" t="n">
        <v>635000</v>
      </c>
      <c r="G81" s="13" t="n">
        <v>0.65</v>
      </c>
      <c r="H81" s="13" t="n">
        <v>1.3</v>
      </c>
      <c r="I81" s="13" t="n">
        <v>0.7772</v>
      </c>
      <c r="J81" s="13" t="n">
        <v>0.53</v>
      </c>
      <c r="K81" s="12" t="n">
        <f aca="false">ROUND(F81/100*G81*H81*I81/J81,2)</f>
        <v>7868.42</v>
      </c>
      <c r="L81" s="12" t="n">
        <v>7868.42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3734</v>
      </c>
      <c r="B82" s="14" t="s">
        <v>3834</v>
      </c>
      <c r="C82" s="14" t="s">
        <v>77</v>
      </c>
      <c r="D82" s="14" t="s">
        <v>178</v>
      </c>
      <c r="E82" s="14" t="s">
        <v>56</v>
      </c>
      <c r="F82" s="15" t="n">
        <v>515000</v>
      </c>
      <c r="G82" s="16" t="n">
        <v>0.65</v>
      </c>
      <c r="H82" s="16" t="n">
        <v>1.42</v>
      </c>
      <c r="I82" s="16" t="n">
        <v>0.7772</v>
      </c>
      <c r="J82" s="16" t="n">
        <v>0.53</v>
      </c>
      <c r="K82" s="15" t="n">
        <f aca="false">ROUND(F82/100*G82*H82*I82/J82,2)</f>
        <v>6970.53</v>
      </c>
      <c r="L82" s="15" t="n">
        <v>6970.53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3825</v>
      </c>
      <c r="B83" s="3" t="s">
        <v>3835</v>
      </c>
      <c r="C83" s="3" t="s">
        <v>77</v>
      </c>
      <c r="D83" s="3" t="s">
        <v>2122</v>
      </c>
      <c r="E83" s="3" t="s">
        <v>56</v>
      </c>
      <c r="F83" s="12" t="n">
        <v>380000</v>
      </c>
      <c r="G83" s="13" t="n">
        <v>0.75</v>
      </c>
      <c r="H83" s="13" t="n">
        <v>1.42</v>
      </c>
      <c r="I83" s="13" t="n">
        <v>0.7772</v>
      </c>
      <c r="J83" s="13" t="n">
        <v>0.53</v>
      </c>
      <c r="K83" s="12" t="n">
        <f aca="false">ROUND(F83/100*G83*H83*I83/J83,2)</f>
        <v>5934.58</v>
      </c>
      <c r="L83" s="12" t="n">
        <v>5934.58</v>
      </c>
      <c r="M83" s="12" t="n">
        <f aca="false">L83-K83</f>
        <v>0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3762</v>
      </c>
      <c r="B84" s="14" t="s">
        <v>3836</v>
      </c>
      <c r="C84" s="14" t="s">
        <v>139</v>
      </c>
      <c r="D84" s="14" t="s">
        <v>1786</v>
      </c>
      <c r="E84" s="14" t="s">
        <v>56</v>
      </c>
      <c r="F84" s="15" t="n">
        <v>710000</v>
      </c>
      <c r="G84" s="16" t="n">
        <v>0.65</v>
      </c>
      <c r="H84" s="16" t="n">
        <v>1.23</v>
      </c>
      <c r="I84" s="16" t="n">
        <v>0.7772</v>
      </c>
      <c r="J84" s="16" t="n">
        <v>0.53</v>
      </c>
      <c r="K84" s="15" t="n">
        <f aca="false">ROUND(F84/100*G84*H84*I84/J84,2)</f>
        <v>8324.03</v>
      </c>
      <c r="L84" s="15" t="n">
        <v>8324.03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3731</v>
      </c>
      <c r="B85" s="3" t="s">
        <v>3837</v>
      </c>
      <c r="C85" s="3" t="s">
        <v>193</v>
      </c>
      <c r="D85" s="3" t="s">
        <v>1186</v>
      </c>
      <c r="E85" s="3" t="s">
        <v>56</v>
      </c>
      <c r="F85" s="12" t="n">
        <v>375000</v>
      </c>
      <c r="G85" s="13" t="n">
        <v>0.75</v>
      </c>
      <c r="H85" s="13" t="n">
        <v>1.25</v>
      </c>
      <c r="I85" s="13" t="n">
        <v>0.7772</v>
      </c>
      <c r="J85" s="13" t="n">
        <v>0.53</v>
      </c>
      <c r="K85" s="12" t="n">
        <f aca="false">ROUND(F85/100*G85*H85*I85/J85,2)</f>
        <v>5155.37</v>
      </c>
      <c r="L85" s="12" t="n">
        <v>5155.36</v>
      </c>
      <c r="M85" s="12" t="n">
        <f aca="false">L85-K85</f>
        <v>-0.0100000000002183</v>
      </c>
      <c r="N85" s="3" t="s">
        <v>61</v>
      </c>
      <c r="O85" s="3" t="s">
        <v>62</v>
      </c>
    </row>
    <row r="86" customFormat="false" ht="15" hidden="false" customHeight="false" outlineLevel="0" collapsed="false">
      <c r="A86" s="14" t="s">
        <v>3717</v>
      </c>
      <c r="B86" s="14" t="s">
        <v>3838</v>
      </c>
      <c r="C86" s="14" t="s">
        <v>152</v>
      </c>
      <c r="D86" s="14" t="s">
        <v>1033</v>
      </c>
      <c r="E86" s="14" t="s">
        <v>56</v>
      </c>
      <c r="F86" s="15" t="n">
        <v>505000</v>
      </c>
      <c r="G86" s="16" t="n">
        <v>0.65</v>
      </c>
      <c r="H86" s="16" t="n">
        <v>1</v>
      </c>
      <c r="I86" s="16" t="n">
        <v>0.7772</v>
      </c>
      <c r="J86" s="16" t="n">
        <v>0.53</v>
      </c>
      <c r="K86" s="15" t="n">
        <f aca="false">ROUND(F86/100*G86*H86*I86/J86,2)</f>
        <v>4813.51</v>
      </c>
      <c r="L86" s="15" t="n">
        <v>4813.51</v>
      </c>
      <c r="M86" s="15" t="n">
        <f aca="false">L86-K86</f>
        <v>0</v>
      </c>
      <c r="N86" s="14" t="s">
        <v>51</v>
      </c>
      <c r="O86" s="14" t="s">
        <v>52</v>
      </c>
    </row>
    <row r="87" customFormat="false" ht="15" hidden="false" customHeight="false" outlineLevel="0" collapsed="false">
      <c r="A87" s="3" t="s">
        <v>3734</v>
      </c>
      <c r="B87" s="3" t="s">
        <v>3839</v>
      </c>
      <c r="C87" s="3" t="s">
        <v>159</v>
      </c>
      <c r="D87" s="3" t="s">
        <v>759</v>
      </c>
      <c r="E87" s="3" t="s">
        <v>56</v>
      </c>
      <c r="F87" s="12" t="n">
        <v>350000</v>
      </c>
      <c r="G87" s="13" t="n">
        <v>0.75</v>
      </c>
      <c r="H87" s="13" t="n">
        <v>1.15</v>
      </c>
      <c r="I87" s="13" t="n">
        <v>0.7772</v>
      </c>
      <c r="J87" s="13" t="n">
        <v>0.53</v>
      </c>
      <c r="K87" s="12" t="n">
        <f aca="false">ROUND(F87/100*G87*H87*I87/J87,2)</f>
        <v>4426.74</v>
      </c>
      <c r="L87" s="12" t="n">
        <v>4426.74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3715</v>
      </c>
      <c r="B88" s="14" t="s">
        <v>3840</v>
      </c>
      <c r="C88" s="14" t="s">
        <v>220</v>
      </c>
      <c r="D88" s="14" t="s">
        <v>3841</v>
      </c>
      <c r="E88" s="14" t="s">
        <v>74</v>
      </c>
      <c r="F88" s="15" t="n">
        <v>660000</v>
      </c>
      <c r="G88" s="16" t="n">
        <v>0.43</v>
      </c>
      <c r="H88" s="16" t="n">
        <v>1.01</v>
      </c>
      <c r="I88" s="16" t="n">
        <v>0.7772</v>
      </c>
      <c r="J88" s="16" t="n">
        <v>0.53</v>
      </c>
      <c r="K88" s="15" t="n">
        <f aca="false">ROUND(F88/100*G88*H88*I88/J88,2)</f>
        <v>4203.3</v>
      </c>
      <c r="L88" s="15" t="n">
        <v>4203.3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3762</v>
      </c>
      <c r="B89" s="3" t="s">
        <v>3842</v>
      </c>
      <c r="C89" s="3" t="s">
        <v>210</v>
      </c>
      <c r="D89" s="3" t="s">
        <v>2081</v>
      </c>
      <c r="E89" s="3" t="s">
        <v>56</v>
      </c>
      <c r="F89" s="12" t="n">
        <v>230000</v>
      </c>
      <c r="G89" s="13" t="n">
        <v>0.92</v>
      </c>
      <c r="H89" s="13" t="n">
        <v>1.21</v>
      </c>
      <c r="I89" s="13" t="n">
        <v>0.7772</v>
      </c>
      <c r="J89" s="13" t="n">
        <v>0.53</v>
      </c>
      <c r="K89" s="12" t="n">
        <f aca="false">ROUND(F89/100*G89*H89*I89/J89,2)</f>
        <v>3754.55</v>
      </c>
      <c r="L89" s="12" t="n">
        <v>3754.55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3715</v>
      </c>
      <c r="B90" s="14" t="s">
        <v>3843</v>
      </c>
      <c r="C90" s="14" t="s">
        <v>169</v>
      </c>
      <c r="D90" s="14" t="s">
        <v>1474</v>
      </c>
      <c r="E90" s="14" t="s">
        <v>50</v>
      </c>
      <c r="F90" s="15" t="n">
        <v>300000</v>
      </c>
      <c r="G90" s="16" t="n">
        <v>1.15</v>
      </c>
      <c r="H90" s="16" t="n">
        <v>1.07</v>
      </c>
      <c r="I90" s="16" t="n">
        <v>0.7772</v>
      </c>
      <c r="J90" s="16" t="n">
        <v>0.53</v>
      </c>
      <c r="K90" s="15" t="n">
        <f aca="false">ROUND(F90/100*G90*H90*I90/J90,2)</f>
        <v>5413.27</v>
      </c>
      <c r="L90" s="15" t="n">
        <v>5413.27</v>
      </c>
      <c r="M90" s="15" t="n">
        <f aca="false">L90-K90</f>
        <v>0</v>
      </c>
      <c r="N90" s="14" t="s">
        <v>51</v>
      </c>
      <c r="O90" s="14" t="s">
        <v>52</v>
      </c>
    </row>
    <row r="91" customFormat="false" ht="15" hidden="false" customHeight="false" outlineLevel="0" collapsed="false">
      <c r="A91" s="3" t="s">
        <v>3791</v>
      </c>
      <c r="B91" s="3" t="s">
        <v>3844</v>
      </c>
      <c r="C91" s="3" t="s">
        <v>139</v>
      </c>
      <c r="D91" s="3" t="s">
        <v>3845</v>
      </c>
      <c r="E91" s="3" t="s">
        <v>50</v>
      </c>
      <c r="F91" s="12" t="n">
        <v>555000</v>
      </c>
      <c r="G91" s="13" t="n">
        <v>0.95</v>
      </c>
      <c r="H91" s="13" t="n">
        <v>1.23</v>
      </c>
      <c r="I91" s="13" t="n">
        <v>0.7772</v>
      </c>
      <c r="J91" s="13" t="n">
        <v>0.53</v>
      </c>
      <c r="K91" s="12" t="n">
        <f aca="false">ROUND(F91/100*G91*H91*I91/J91,2)</f>
        <v>9509.96</v>
      </c>
      <c r="L91" s="12" t="n">
        <v>9509.96</v>
      </c>
      <c r="M91" s="12" t="n">
        <f aca="false">L91-K91</f>
        <v>0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3723</v>
      </c>
      <c r="B92" s="14" t="s">
        <v>3846</v>
      </c>
      <c r="C92" s="14" t="s">
        <v>230</v>
      </c>
      <c r="D92" s="14" t="s">
        <v>3004</v>
      </c>
      <c r="E92" s="14" t="s">
        <v>56</v>
      </c>
      <c r="F92" s="15" t="n">
        <v>395000</v>
      </c>
      <c r="G92" s="16" t="n">
        <v>0.75</v>
      </c>
      <c r="H92" s="16" t="n">
        <v>1.09</v>
      </c>
      <c r="I92" s="16" t="n">
        <v>0.7772</v>
      </c>
      <c r="J92" s="16" t="n">
        <v>0.53</v>
      </c>
      <c r="K92" s="15" t="n">
        <f aca="false">ROUND(F92/100*G92*H92*I92/J92,2)</f>
        <v>4735.24</v>
      </c>
      <c r="L92" s="15" t="n">
        <v>4735.24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3717</v>
      </c>
      <c r="B93" s="3" t="s">
        <v>3847</v>
      </c>
      <c r="C93" s="3" t="s">
        <v>266</v>
      </c>
      <c r="D93" s="3" t="s">
        <v>946</v>
      </c>
      <c r="E93" s="3" t="s">
        <v>56</v>
      </c>
      <c r="F93" s="12" t="n">
        <v>410000</v>
      </c>
      <c r="G93" s="13" t="n">
        <v>0.75</v>
      </c>
      <c r="H93" s="13" t="n">
        <v>1.1</v>
      </c>
      <c r="I93" s="13" t="n">
        <v>0.7772</v>
      </c>
      <c r="J93" s="13" t="n">
        <v>0.53</v>
      </c>
      <c r="K93" s="12" t="n">
        <f aca="false">ROUND(F93/100*G93*H93*I93/J93,2)</f>
        <v>4960.15</v>
      </c>
      <c r="L93" s="12" t="n">
        <v>4960.15</v>
      </c>
      <c r="M93" s="12" t="n">
        <f aca="false">L93-K93</f>
        <v>0</v>
      </c>
      <c r="N93" s="3" t="s">
        <v>51</v>
      </c>
      <c r="O93" s="3" t="s">
        <v>52</v>
      </c>
    </row>
    <row r="94" customFormat="false" ht="15" hidden="false" customHeight="false" outlineLevel="0" collapsed="false">
      <c r="A94" s="14" t="s">
        <v>3769</v>
      </c>
      <c r="B94" s="14" t="s">
        <v>3848</v>
      </c>
      <c r="C94" s="14" t="s">
        <v>89</v>
      </c>
      <c r="D94" s="14" t="s">
        <v>535</v>
      </c>
      <c r="E94" s="14" t="s">
        <v>74</v>
      </c>
      <c r="F94" s="15" t="n">
        <v>870000</v>
      </c>
      <c r="G94" s="16" t="n">
        <v>0.43</v>
      </c>
      <c r="H94" s="16" t="n">
        <v>1.35</v>
      </c>
      <c r="I94" s="16" t="n">
        <v>0.7772</v>
      </c>
      <c r="J94" s="16" t="n">
        <v>0.53</v>
      </c>
      <c r="K94" s="15" t="n">
        <f aca="false">ROUND(F94/100*G94*H94*I94/J94,2)</f>
        <v>7405.91</v>
      </c>
      <c r="L94" s="15" t="n">
        <v>7405.91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3762</v>
      </c>
      <c r="B95" s="3" t="s">
        <v>3849</v>
      </c>
      <c r="C95" s="3" t="s">
        <v>366</v>
      </c>
      <c r="D95" s="3" t="s">
        <v>3850</v>
      </c>
      <c r="E95" s="3" t="s">
        <v>74</v>
      </c>
      <c r="F95" s="12" t="n">
        <v>995000</v>
      </c>
      <c r="G95" s="13" t="n">
        <v>0.43</v>
      </c>
      <c r="H95" s="13" t="n">
        <v>1.26</v>
      </c>
      <c r="I95" s="13" t="n">
        <v>0.7772</v>
      </c>
      <c r="J95" s="13" t="n">
        <v>0.53</v>
      </c>
      <c r="K95" s="12" t="n">
        <f aca="false">ROUND(F95/100*G95*H95*I95/J95,2)</f>
        <v>7905.31</v>
      </c>
      <c r="L95" s="12" t="n">
        <v>7905.31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3775</v>
      </c>
      <c r="B96" s="14" t="s">
        <v>3851</v>
      </c>
      <c r="C96" s="14" t="s">
        <v>217</v>
      </c>
      <c r="D96" s="14" t="s">
        <v>1857</v>
      </c>
      <c r="E96" s="14" t="s">
        <v>56</v>
      </c>
      <c r="F96" s="15" t="n">
        <v>635000</v>
      </c>
      <c r="G96" s="16" t="n">
        <v>0.65</v>
      </c>
      <c r="H96" s="16" t="n">
        <v>1.3</v>
      </c>
      <c r="I96" s="16" t="n">
        <v>0.7772</v>
      </c>
      <c r="J96" s="16" t="n">
        <v>0.53</v>
      </c>
      <c r="K96" s="15" t="n">
        <f aca="false">ROUND(F96/100*G96*H96*I96/J96,2)</f>
        <v>7868.42</v>
      </c>
      <c r="L96" s="15" t="n">
        <v>7868.42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3762</v>
      </c>
      <c r="B97" s="3" t="s">
        <v>3852</v>
      </c>
      <c r="C97" s="3" t="s">
        <v>311</v>
      </c>
      <c r="D97" s="3" t="s">
        <v>2290</v>
      </c>
      <c r="E97" s="3" t="s">
        <v>74</v>
      </c>
      <c r="F97" s="12" t="n">
        <v>610000</v>
      </c>
      <c r="G97" s="13" t="n">
        <v>0.43</v>
      </c>
      <c r="H97" s="13" t="n">
        <v>1.06</v>
      </c>
      <c r="I97" s="13" t="n">
        <v>0.7772</v>
      </c>
      <c r="J97" s="13" t="n">
        <v>0.53</v>
      </c>
      <c r="K97" s="12" t="n">
        <f aca="false">ROUND(F97/100*G97*H97*I97/J97,2)</f>
        <v>4077.19</v>
      </c>
      <c r="L97" s="12" t="n">
        <v>4077.19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3791</v>
      </c>
      <c r="B98" s="14" t="s">
        <v>3853</v>
      </c>
      <c r="C98" s="14" t="s">
        <v>224</v>
      </c>
      <c r="D98" s="14" t="s">
        <v>298</v>
      </c>
      <c r="E98" s="14" t="s">
        <v>56</v>
      </c>
      <c r="F98" s="15" t="n">
        <v>400000</v>
      </c>
      <c r="G98" s="16" t="n">
        <v>0.75</v>
      </c>
      <c r="H98" s="16" t="n">
        <v>1.1</v>
      </c>
      <c r="I98" s="16" t="n">
        <v>0.7772</v>
      </c>
      <c r="J98" s="16" t="n">
        <v>0.53</v>
      </c>
      <c r="K98" s="15" t="n">
        <f aca="false">ROUND(F98/100*G98*H98*I98/J98,2)</f>
        <v>4839.17</v>
      </c>
      <c r="L98" s="15" t="n">
        <v>4839.17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3799</v>
      </c>
      <c r="B99" s="3" t="s">
        <v>3854</v>
      </c>
      <c r="C99" s="3" t="s">
        <v>193</v>
      </c>
      <c r="D99" s="3" t="s">
        <v>3855</v>
      </c>
      <c r="E99" s="3" t="s">
        <v>50</v>
      </c>
      <c r="F99" s="12" t="n">
        <v>645000</v>
      </c>
      <c r="G99" s="13" t="n">
        <v>0.95</v>
      </c>
      <c r="H99" s="13" t="n">
        <v>1.25</v>
      </c>
      <c r="I99" s="13" t="n">
        <v>0.7772</v>
      </c>
      <c r="J99" s="13" t="n">
        <v>0.53</v>
      </c>
      <c r="K99" s="12" t="n">
        <f aca="false">ROUND(F99/100*G99*H99*I99/J99,2)</f>
        <v>11231.82</v>
      </c>
      <c r="L99" s="12" t="n">
        <v>11231.82</v>
      </c>
      <c r="M99" s="12" t="n">
        <f aca="false">L99-K99</f>
        <v>0</v>
      </c>
      <c r="N99" s="3" t="s">
        <v>70</v>
      </c>
      <c r="O99" s="3" t="s">
        <v>52</v>
      </c>
    </row>
    <row r="100" customFormat="false" ht="15" hidden="false" customHeight="false" outlineLevel="0" collapsed="false">
      <c r="A100" s="14" t="s">
        <v>3856</v>
      </c>
      <c r="B100" s="14" t="s">
        <v>3857</v>
      </c>
      <c r="C100" s="14" t="s">
        <v>193</v>
      </c>
      <c r="D100" s="14" t="s">
        <v>880</v>
      </c>
      <c r="E100" s="14" t="s">
        <v>56</v>
      </c>
      <c r="F100" s="15" t="n">
        <v>490000</v>
      </c>
      <c r="G100" s="16" t="n">
        <v>0.75</v>
      </c>
      <c r="H100" s="16" t="n">
        <v>1.25</v>
      </c>
      <c r="I100" s="16" t="n">
        <v>0.7772</v>
      </c>
      <c r="J100" s="16" t="n">
        <v>0.53</v>
      </c>
      <c r="K100" s="15" t="n">
        <f aca="false">ROUND(F100/100*G100*H100*I100/J100,2)</f>
        <v>6736.34</v>
      </c>
      <c r="L100" s="15" t="n">
        <v>6736.34</v>
      </c>
      <c r="M100" s="15" t="n">
        <f aca="false">L100-K100</f>
        <v>0</v>
      </c>
      <c r="N100" s="14" t="s">
        <v>51</v>
      </c>
      <c r="O100" s="14" t="s">
        <v>52</v>
      </c>
    </row>
    <row r="101" customFormat="false" ht="15" hidden="false" customHeight="false" outlineLevel="0" collapsed="false">
      <c r="A101" s="3" t="s">
        <v>3745</v>
      </c>
      <c r="B101" s="3" t="s">
        <v>3858</v>
      </c>
      <c r="C101" s="3" t="s">
        <v>300</v>
      </c>
      <c r="D101" s="3" t="s">
        <v>2318</v>
      </c>
      <c r="E101" s="3" t="s">
        <v>50</v>
      </c>
      <c r="F101" s="12" t="n">
        <v>530000</v>
      </c>
      <c r="G101" s="13" t="n">
        <v>0.95</v>
      </c>
      <c r="H101" s="13" t="n">
        <v>1.11</v>
      </c>
      <c r="I101" s="13" t="n">
        <v>0.7772</v>
      </c>
      <c r="J101" s="13" t="n">
        <v>0.53</v>
      </c>
      <c r="K101" s="12" t="n">
        <f aca="false">ROUND(F101/100*G101*H101*I101/J101,2)</f>
        <v>8195.57</v>
      </c>
      <c r="L101" s="12" t="n">
        <v>8195.57</v>
      </c>
      <c r="M101" s="12" t="n">
        <f aca="false">L101-K101</f>
        <v>0</v>
      </c>
      <c r="N101" s="3" t="s">
        <v>51</v>
      </c>
      <c r="O101" s="3" t="s">
        <v>52</v>
      </c>
    </row>
    <row r="102" customFormat="false" ht="15" hidden="false" customHeight="false" outlineLevel="0" collapsed="false">
      <c r="A102" s="14" t="s">
        <v>3749</v>
      </c>
      <c r="B102" s="14" t="s">
        <v>3859</v>
      </c>
      <c r="C102" s="14" t="s">
        <v>275</v>
      </c>
      <c r="D102" s="14" t="s">
        <v>2772</v>
      </c>
      <c r="E102" s="14" t="s">
        <v>74</v>
      </c>
      <c r="F102" s="15" t="n">
        <v>1270000</v>
      </c>
      <c r="G102" s="16" t="n">
        <v>0.38</v>
      </c>
      <c r="H102" s="16" t="n">
        <v>1.19</v>
      </c>
      <c r="I102" s="16" t="n">
        <v>0.7772</v>
      </c>
      <c r="J102" s="16" t="n">
        <v>0.53</v>
      </c>
      <c r="K102" s="15" t="n">
        <f aca="false">ROUND(F102/100*G102*H102*I102/J102,2)</f>
        <v>8421.53</v>
      </c>
      <c r="L102" s="15" t="n">
        <v>8421.54</v>
      </c>
      <c r="M102" s="15" t="n">
        <f aca="false">L102-K102</f>
        <v>0.0100000000002183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3856</v>
      </c>
      <c r="B103" s="3" t="s">
        <v>3860</v>
      </c>
      <c r="C103" s="3" t="s">
        <v>326</v>
      </c>
      <c r="D103" s="3" t="s">
        <v>1578</v>
      </c>
      <c r="E103" s="3" t="s">
        <v>50</v>
      </c>
      <c r="F103" s="12" t="n">
        <v>1505000</v>
      </c>
      <c r="G103" s="13" t="n">
        <v>0.8</v>
      </c>
      <c r="H103" s="13" t="n">
        <v>1.12</v>
      </c>
      <c r="I103" s="13" t="n">
        <v>0.7772</v>
      </c>
      <c r="J103" s="13" t="n">
        <v>0.53</v>
      </c>
      <c r="K103" s="12" t="n">
        <f aca="false">ROUND(F103/100*G103*H103*I103/J103,2)</f>
        <v>19774.31</v>
      </c>
      <c r="L103" s="12" t="n">
        <v>19774.32</v>
      </c>
      <c r="M103" s="12" t="n">
        <f aca="false">L103-K103</f>
        <v>0.00999999999839929</v>
      </c>
      <c r="N103" s="3" t="s">
        <v>70</v>
      </c>
      <c r="O103" s="3" t="s">
        <v>52</v>
      </c>
    </row>
    <row r="104" customFormat="false" ht="15" hidden="false" customHeight="false" outlineLevel="0" collapsed="false">
      <c r="A104" s="14" t="s">
        <v>3723</v>
      </c>
      <c r="B104" s="14" t="s">
        <v>3861</v>
      </c>
      <c r="C104" s="14" t="s">
        <v>68</v>
      </c>
      <c r="D104" s="14" t="s">
        <v>1762</v>
      </c>
      <c r="E104" s="14" t="s">
        <v>50</v>
      </c>
      <c r="F104" s="15" t="n">
        <v>1485000</v>
      </c>
      <c r="G104" s="16" t="n">
        <v>0.8</v>
      </c>
      <c r="H104" s="16" t="n">
        <v>1.38</v>
      </c>
      <c r="I104" s="16" t="n">
        <v>0.7772</v>
      </c>
      <c r="J104" s="16" t="n">
        <v>0.53</v>
      </c>
      <c r="K104" s="15" t="n">
        <f aca="false">ROUND(F104/100*G104*H104*I104/J104,2)</f>
        <v>24041</v>
      </c>
      <c r="L104" s="15" t="n">
        <v>24041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3734</v>
      </c>
      <c r="B105" s="3" t="s">
        <v>3862</v>
      </c>
      <c r="C105" s="3" t="s">
        <v>89</v>
      </c>
      <c r="D105" s="3" t="s">
        <v>2059</v>
      </c>
      <c r="E105" s="3" t="s">
        <v>56</v>
      </c>
      <c r="F105" s="12" t="n">
        <v>675000</v>
      </c>
      <c r="G105" s="13" t="n">
        <v>0.65</v>
      </c>
      <c r="H105" s="13" t="n">
        <v>1.35</v>
      </c>
      <c r="I105" s="13" t="n">
        <v>0.7772</v>
      </c>
      <c r="J105" s="13" t="n">
        <v>0.53</v>
      </c>
      <c r="K105" s="12" t="n">
        <f aca="false">ROUND(F105/100*G105*H105*I105/J105,2)</f>
        <v>8685.76</v>
      </c>
      <c r="L105" s="12" t="n">
        <v>8685.76</v>
      </c>
      <c r="M105" s="12" t="n">
        <f aca="false">L105-K105</f>
        <v>0</v>
      </c>
      <c r="N105" s="3" t="s">
        <v>51</v>
      </c>
      <c r="O105" s="3" t="s">
        <v>52</v>
      </c>
    </row>
    <row r="106" customFormat="false" ht="15" hidden="false" customHeight="false" outlineLevel="0" collapsed="false">
      <c r="A106" s="14" t="s">
        <v>3775</v>
      </c>
      <c r="B106" s="14" t="s">
        <v>3863</v>
      </c>
      <c r="C106" s="14" t="s">
        <v>275</v>
      </c>
      <c r="D106" s="14" t="s">
        <v>1168</v>
      </c>
      <c r="E106" s="14" t="s">
        <v>56</v>
      </c>
      <c r="F106" s="15" t="n">
        <v>835000</v>
      </c>
      <c r="G106" s="16" t="n">
        <v>0.65</v>
      </c>
      <c r="H106" s="16" t="n">
        <v>1.19</v>
      </c>
      <c r="I106" s="16" t="n">
        <v>0.7772</v>
      </c>
      <c r="J106" s="16" t="n">
        <v>0.53</v>
      </c>
      <c r="K106" s="15" t="n">
        <f aca="false">ROUND(F106/100*G106*H106*I106/J106,2)</f>
        <v>9471.17</v>
      </c>
      <c r="L106" s="15" t="n">
        <v>9471.17</v>
      </c>
      <c r="M106" s="15" t="n">
        <f aca="false">L106-K106</f>
        <v>0</v>
      </c>
      <c r="N106" s="14" t="s">
        <v>61</v>
      </c>
      <c r="O106" s="14" t="s">
        <v>62</v>
      </c>
    </row>
    <row r="107" customFormat="false" ht="15" hidden="false" customHeight="false" outlineLevel="0" collapsed="false">
      <c r="A107" s="3" t="s">
        <v>3762</v>
      </c>
      <c r="B107" s="3" t="s">
        <v>3864</v>
      </c>
      <c r="C107" s="3" t="s">
        <v>326</v>
      </c>
      <c r="D107" s="3" t="s">
        <v>2354</v>
      </c>
      <c r="E107" s="3" t="s">
        <v>56</v>
      </c>
      <c r="F107" s="12" t="n">
        <v>465000</v>
      </c>
      <c r="G107" s="13" t="n">
        <v>0.75</v>
      </c>
      <c r="H107" s="13" t="n">
        <v>1.12</v>
      </c>
      <c r="I107" s="13" t="n">
        <v>0.7772</v>
      </c>
      <c r="J107" s="13" t="n">
        <v>0.53</v>
      </c>
      <c r="K107" s="12" t="n">
        <f aca="false">ROUND(F107/100*G107*H107*I107/J107,2)</f>
        <v>5727.82</v>
      </c>
      <c r="L107" s="12" t="n">
        <v>5727.82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3775</v>
      </c>
      <c r="B108" s="14" t="s">
        <v>3865</v>
      </c>
      <c r="C108" s="14" t="s">
        <v>266</v>
      </c>
      <c r="D108" s="14" t="s">
        <v>486</v>
      </c>
      <c r="E108" s="14" t="s">
        <v>56</v>
      </c>
      <c r="F108" s="15" t="n">
        <v>360000</v>
      </c>
      <c r="G108" s="16" t="n">
        <v>0.75</v>
      </c>
      <c r="H108" s="16" t="n">
        <v>1.1</v>
      </c>
      <c r="I108" s="16" t="n">
        <v>0.7772</v>
      </c>
      <c r="J108" s="16" t="n">
        <v>0.53</v>
      </c>
      <c r="K108" s="15" t="n">
        <f aca="false">ROUND(F108/100*G108*H108*I108/J108,2)</f>
        <v>4355.25</v>
      </c>
      <c r="L108" s="15" t="n">
        <v>4355.25</v>
      </c>
      <c r="M108" s="15" t="n">
        <f aca="false">L108-K108</f>
        <v>0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3759</v>
      </c>
      <c r="B109" s="3" t="s">
        <v>3866</v>
      </c>
      <c r="C109" s="3" t="s">
        <v>892</v>
      </c>
      <c r="D109" s="3" t="s">
        <v>3100</v>
      </c>
      <c r="E109" s="3" t="s">
        <v>157</v>
      </c>
      <c r="F109" s="12" t="n">
        <v>675000</v>
      </c>
      <c r="G109" s="13" t="n">
        <v>0.78</v>
      </c>
      <c r="H109" s="13" t="n">
        <v>1.08</v>
      </c>
      <c r="I109" s="13" t="n">
        <v>0.7772</v>
      </c>
      <c r="J109" s="13" t="n">
        <v>0.53</v>
      </c>
      <c r="K109" s="12" t="n">
        <f aca="false">ROUND(F109/100*G109*H109*I109/J109,2)</f>
        <v>8338.33</v>
      </c>
      <c r="L109" s="12" t="n">
        <v>8338.33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3729</v>
      </c>
      <c r="B110" s="14" t="s">
        <v>3867</v>
      </c>
      <c r="C110" s="14" t="s">
        <v>145</v>
      </c>
      <c r="D110" s="14" t="s">
        <v>3658</v>
      </c>
      <c r="E110" s="14" t="s">
        <v>56</v>
      </c>
      <c r="F110" s="15" t="n">
        <v>205000</v>
      </c>
      <c r="G110" s="16" t="n">
        <v>0.92</v>
      </c>
      <c r="H110" s="16" t="n">
        <v>0.96</v>
      </c>
      <c r="I110" s="16" t="n">
        <v>0.7772</v>
      </c>
      <c r="J110" s="16" t="n">
        <v>0.53</v>
      </c>
      <c r="K110" s="15" t="n">
        <f aca="false">ROUND(F110/100*G110*H110*I110/J110,2)</f>
        <v>2655.03</v>
      </c>
      <c r="L110" s="15" t="n">
        <v>2655.03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3745</v>
      </c>
      <c r="B111" s="3" t="s">
        <v>3868</v>
      </c>
      <c r="C111" s="3" t="s">
        <v>217</v>
      </c>
      <c r="D111" s="3" t="s">
        <v>170</v>
      </c>
      <c r="E111" s="3" t="s">
        <v>56</v>
      </c>
      <c r="F111" s="12" t="n">
        <v>245000</v>
      </c>
      <c r="G111" s="13" t="n">
        <v>0.92</v>
      </c>
      <c r="H111" s="13" t="n">
        <v>1.3</v>
      </c>
      <c r="I111" s="13" t="n">
        <v>0.7772</v>
      </c>
      <c r="J111" s="13" t="n">
        <v>0.53</v>
      </c>
      <c r="K111" s="12" t="n">
        <f aca="false">ROUND(F111/100*G111*H111*I111/J111,2)</f>
        <v>4296.89</v>
      </c>
      <c r="L111" s="12" t="n">
        <v>4296.89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3739</v>
      </c>
      <c r="B112" s="14" t="s">
        <v>3869</v>
      </c>
      <c r="C112" s="14" t="s">
        <v>184</v>
      </c>
      <c r="D112" s="14" t="s">
        <v>1883</v>
      </c>
      <c r="E112" s="14" t="s">
        <v>56</v>
      </c>
      <c r="F112" s="15" t="n">
        <v>560000</v>
      </c>
      <c r="G112" s="16" t="n">
        <v>0.65</v>
      </c>
      <c r="H112" s="16" t="n">
        <v>1.02</v>
      </c>
      <c r="I112" s="16" t="n">
        <v>0.7772</v>
      </c>
      <c r="J112" s="16" t="n">
        <v>0.53</v>
      </c>
      <c r="K112" s="15" t="n">
        <f aca="false">ROUND(F112/100*G112*H112*I112/J112,2)</f>
        <v>5444.51</v>
      </c>
      <c r="L112" s="15" t="n">
        <v>5444.5</v>
      </c>
      <c r="M112" s="15" t="n">
        <f aca="false">L112-K112</f>
        <v>-0.0100000000002183</v>
      </c>
      <c r="N112" s="14" t="s">
        <v>70</v>
      </c>
      <c r="O112" s="14" t="s">
        <v>52</v>
      </c>
    </row>
    <row r="113" customFormat="false" ht="15" hidden="false" customHeight="false" outlineLevel="0" collapsed="false">
      <c r="A113" s="3" t="s">
        <v>3717</v>
      </c>
      <c r="B113" s="3" t="s">
        <v>3870</v>
      </c>
      <c r="C113" s="3" t="s">
        <v>300</v>
      </c>
      <c r="D113" s="3" t="s">
        <v>2190</v>
      </c>
      <c r="E113" s="3" t="s">
        <v>50</v>
      </c>
      <c r="F113" s="12" t="n">
        <v>1280000</v>
      </c>
      <c r="G113" s="13" t="n">
        <v>0.8</v>
      </c>
      <c r="H113" s="13" t="n">
        <v>1.11</v>
      </c>
      <c r="I113" s="13" t="n">
        <v>0.7772</v>
      </c>
      <c r="J113" s="13" t="n">
        <v>0.53</v>
      </c>
      <c r="K113" s="12" t="n">
        <f aca="false">ROUND(F113/100*G113*H113*I113/J113,2)</f>
        <v>16667.86</v>
      </c>
      <c r="L113" s="12" t="n">
        <v>16667.86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3745</v>
      </c>
      <c r="B114" s="14" t="s">
        <v>3871</v>
      </c>
      <c r="C114" s="14" t="s">
        <v>311</v>
      </c>
      <c r="D114" s="14" t="s">
        <v>3541</v>
      </c>
      <c r="E114" s="14" t="s">
        <v>56</v>
      </c>
      <c r="F114" s="15" t="n">
        <v>1740000</v>
      </c>
      <c r="G114" s="16" t="n">
        <v>0.55</v>
      </c>
      <c r="H114" s="16" t="n">
        <v>1.06</v>
      </c>
      <c r="I114" s="16" t="n">
        <v>0.7772</v>
      </c>
      <c r="J114" s="16" t="n">
        <v>0.53</v>
      </c>
      <c r="K114" s="15" t="n">
        <f aca="false">ROUND(F114/100*G114*H114*I114/J114,2)</f>
        <v>14875.61</v>
      </c>
      <c r="L114" s="15" t="n">
        <v>14875.61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3794</v>
      </c>
      <c r="B115" s="3" t="s">
        <v>3872</v>
      </c>
      <c r="C115" s="3" t="s">
        <v>114</v>
      </c>
      <c r="D115" s="3" t="s">
        <v>507</v>
      </c>
      <c r="E115" s="3" t="s">
        <v>50</v>
      </c>
      <c r="F115" s="12" t="n">
        <v>1220000</v>
      </c>
      <c r="G115" s="13" t="n">
        <v>0.8</v>
      </c>
      <c r="H115" s="13" t="n">
        <v>1.36</v>
      </c>
      <c r="I115" s="13" t="n">
        <v>0.7772</v>
      </c>
      <c r="J115" s="13" t="n">
        <v>0.53</v>
      </c>
      <c r="K115" s="12" t="n">
        <f aca="false">ROUND(F115/100*G115*H115*I115/J115,2)</f>
        <v>19464.61</v>
      </c>
      <c r="L115" s="12" t="n">
        <v>19464.61</v>
      </c>
      <c r="M115" s="12" t="n">
        <f aca="false">L115-K115</f>
        <v>0</v>
      </c>
      <c r="N115" s="3" t="s">
        <v>51</v>
      </c>
      <c r="O115" s="3" t="s">
        <v>52</v>
      </c>
    </row>
    <row r="116" customFormat="false" ht="15" hidden="false" customHeight="false" outlineLevel="0" collapsed="false">
      <c r="A116" s="14" t="s">
        <v>3762</v>
      </c>
      <c r="B116" s="14" t="s">
        <v>3873</v>
      </c>
      <c r="C116" s="14" t="s">
        <v>188</v>
      </c>
      <c r="D116" s="14" t="s">
        <v>1388</v>
      </c>
      <c r="E116" s="14" t="s">
        <v>50</v>
      </c>
      <c r="F116" s="15" t="n">
        <v>610000</v>
      </c>
      <c r="G116" s="16" t="n">
        <v>0.95</v>
      </c>
      <c r="H116" s="16" t="n">
        <v>1.35</v>
      </c>
      <c r="I116" s="16" t="n">
        <v>0.7772</v>
      </c>
      <c r="J116" s="16" t="n">
        <v>0.53</v>
      </c>
      <c r="K116" s="15" t="n">
        <f aca="false">ROUND(F116/100*G116*H116*I116/J116,2)</f>
        <v>11472.13</v>
      </c>
      <c r="L116" s="15" t="n">
        <v>11472.13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3717</v>
      </c>
      <c r="B117" s="3" t="s">
        <v>3874</v>
      </c>
      <c r="C117" s="3" t="s">
        <v>220</v>
      </c>
      <c r="D117" s="3" t="s">
        <v>3875</v>
      </c>
      <c r="E117" s="3" t="s">
        <v>157</v>
      </c>
      <c r="F117" s="12" t="n">
        <v>605000</v>
      </c>
      <c r="G117" s="13" t="n">
        <v>0.78</v>
      </c>
      <c r="H117" s="13" t="n">
        <v>1.01</v>
      </c>
      <c r="I117" s="13" t="n">
        <v>0.7772</v>
      </c>
      <c r="J117" s="13" t="n">
        <v>0.53</v>
      </c>
      <c r="K117" s="12" t="n">
        <f aca="false">ROUND(F117/100*G117*H117*I117/J117,2)</f>
        <v>6989.21</v>
      </c>
      <c r="L117" s="12" t="n">
        <v>6989.21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3762</v>
      </c>
      <c r="B118" s="14" t="s">
        <v>3876</v>
      </c>
      <c r="C118" s="14" t="s">
        <v>68</v>
      </c>
      <c r="D118" s="14" t="s">
        <v>3877</v>
      </c>
      <c r="E118" s="14" t="s">
        <v>74</v>
      </c>
      <c r="F118" s="15" t="n">
        <v>1205000</v>
      </c>
      <c r="G118" s="16" t="n">
        <v>0.38</v>
      </c>
      <c r="H118" s="16" t="n">
        <v>1.38</v>
      </c>
      <c r="I118" s="16" t="n">
        <v>0.7772</v>
      </c>
      <c r="J118" s="16" t="n">
        <v>0.53</v>
      </c>
      <c r="K118" s="15" t="n">
        <f aca="false">ROUND(F118/100*G118*H118*I118/J118,2)</f>
        <v>9266.31</v>
      </c>
      <c r="L118" s="15" t="n">
        <v>9266.31</v>
      </c>
      <c r="M118" s="15" t="n">
        <f aca="false">L118-K118</f>
        <v>0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3741</v>
      </c>
      <c r="B119" s="3" t="s">
        <v>3878</v>
      </c>
      <c r="C119" s="3" t="s">
        <v>68</v>
      </c>
      <c r="D119" s="3" t="s">
        <v>3879</v>
      </c>
      <c r="E119" s="3" t="s">
        <v>157</v>
      </c>
      <c r="F119" s="12" t="n">
        <v>195000</v>
      </c>
      <c r="G119" s="13" t="n">
        <v>1.05</v>
      </c>
      <c r="H119" s="13" t="n">
        <v>1.38</v>
      </c>
      <c r="I119" s="13" t="n">
        <v>0.7772</v>
      </c>
      <c r="J119" s="13" t="n">
        <v>0.53</v>
      </c>
      <c r="K119" s="12" t="n">
        <f aca="false">ROUND(F119/100*G119*H119*I119/J119,2)</f>
        <v>4143.43</v>
      </c>
      <c r="L119" s="12" t="n">
        <v>4143.43</v>
      </c>
      <c r="M119" s="12" t="n">
        <f aca="false">L119-K119</f>
        <v>0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3757</v>
      </c>
      <c r="B120" s="14" t="s">
        <v>3880</v>
      </c>
      <c r="C120" s="14" t="s">
        <v>48</v>
      </c>
      <c r="D120" s="14" t="s">
        <v>3845</v>
      </c>
      <c r="E120" s="14" t="s">
        <v>50</v>
      </c>
      <c r="F120" s="15" t="n">
        <v>355000</v>
      </c>
      <c r="G120" s="16" t="n">
        <v>1.15</v>
      </c>
      <c r="H120" s="16" t="n">
        <v>1.28</v>
      </c>
      <c r="I120" s="16" t="n">
        <v>0.7772</v>
      </c>
      <c r="J120" s="16" t="n">
        <v>0.53</v>
      </c>
      <c r="K120" s="15" t="n">
        <f aca="false">ROUND(F120/100*G120*H120*I120/J120,2)</f>
        <v>7662.9</v>
      </c>
      <c r="L120" s="15" t="n">
        <v>7662.9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3881</v>
      </c>
      <c r="B121" s="3" t="s">
        <v>3882</v>
      </c>
      <c r="C121" s="3" t="s">
        <v>196</v>
      </c>
      <c r="D121" s="3" t="s">
        <v>1886</v>
      </c>
      <c r="E121" s="3" t="s">
        <v>74</v>
      </c>
      <c r="F121" s="12" t="n">
        <v>935000</v>
      </c>
      <c r="G121" s="13" t="n">
        <v>0.43</v>
      </c>
      <c r="H121" s="13" t="n">
        <v>1.04</v>
      </c>
      <c r="I121" s="13" t="n">
        <v>0.7772</v>
      </c>
      <c r="J121" s="13" t="n">
        <v>0.53</v>
      </c>
      <c r="K121" s="12" t="n">
        <f aca="false">ROUND(F121/100*G121*H121*I121/J121,2)</f>
        <v>6131.55</v>
      </c>
      <c r="L121" s="12" t="n">
        <v>6131.55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3731</v>
      </c>
      <c r="B122" s="14" t="s">
        <v>3883</v>
      </c>
      <c r="C122" s="14" t="s">
        <v>136</v>
      </c>
      <c r="D122" s="14" t="s">
        <v>937</v>
      </c>
      <c r="E122" s="14" t="s">
        <v>56</v>
      </c>
      <c r="F122" s="15" t="n">
        <v>230000</v>
      </c>
      <c r="G122" s="16" t="n">
        <v>0.92</v>
      </c>
      <c r="H122" s="16" t="n">
        <v>1.32</v>
      </c>
      <c r="I122" s="16" t="n">
        <v>0.7772</v>
      </c>
      <c r="J122" s="16" t="n">
        <v>0.53</v>
      </c>
      <c r="K122" s="15" t="n">
        <f aca="false">ROUND(F122/100*G122*H122*I122/J122,2)</f>
        <v>4095.87</v>
      </c>
      <c r="L122" s="15" t="n">
        <v>4095.88</v>
      </c>
      <c r="M122" s="15" t="n">
        <f aca="false">L122-K122</f>
        <v>0.0100000000002183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3725</v>
      </c>
      <c r="B123" s="3" t="s">
        <v>3884</v>
      </c>
      <c r="C123" s="3" t="s">
        <v>230</v>
      </c>
      <c r="D123" s="3" t="s">
        <v>920</v>
      </c>
      <c r="E123" s="3" t="s">
        <v>74</v>
      </c>
      <c r="F123" s="12" t="n">
        <v>425000</v>
      </c>
      <c r="G123" s="13" t="n">
        <v>0.48</v>
      </c>
      <c r="H123" s="13" t="n">
        <v>1.09</v>
      </c>
      <c r="I123" s="13" t="n">
        <v>0.7772</v>
      </c>
      <c r="J123" s="13" t="n">
        <v>0.53</v>
      </c>
      <c r="K123" s="12" t="n">
        <f aca="false">ROUND(F123/100*G123*H123*I123/J123,2)</f>
        <v>3260.72</v>
      </c>
      <c r="L123" s="12" t="n">
        <v>3260.72</v>
      </c>
      <c r="M123" s="12" t="n">
        <f aca="false">L123-K123</f>
        <v>0</v>
      </c>
      <c r="N123" s="3" t="s">
        <v>51</v>
      </c>
      <c r="O123" s="3" t="s">
        <v>52</v>
      </c>
    </row>
    <row r="124" customFormat="false" ht="15" hidden="false" customHeight="false" outlineLevel="0" collapsed="false">
      <c r="A124" s="14" t="s">
        <v>3825</v>
      </c>
      <c r="B124" s="14" t="s">
        <v>3885</v>
      </c>
      <c r="C124" s="14" t="s">
        <v>300</v>
      </c>
      <c r="D124" s="14" t="s">
        <v>751</v>
      </c>
      <c r="E124" s="14" t="s">
        <v>56</v>
      </c>
      <c r="F124" s="15" t="n">
        <v>460000</v>
      </c>
      <c r="G124" s="16" t="n">
        <v>0.75</v>
      </c>
      <c r="H124" s="16" t="n">
        <v>1.11</v>
      </c>
      <c r="I124" s="16" t="n">
        <v>0.7772</v>
      </c>
      <c r="J124" s="16" t="n">
        <v>0.53</v>
      </c>
      <c r="K124" s="15" t="n">
        <f aca="false">ROUND(F124/100*G124*H124*I124/J124,2)</f>
        <v>5615.64</v>
      </c>
      <c r="L124" s="15" t="n">
        <v>5615.64</v>
      </c>
      <c r="M124" s="15" t="n">
        <f aca="false">L124-K124</f>
        <v>0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3769</v>
      </c>
      <c r="B125" s="3" t="s">
        <v>3886</v>
      </c>
      <c r="C125" s="3" t="s">
        <v>409</v>
      </c>
      <c r="D125" s="3" t="s">
        <v>1051</v>
      </c>
      <c r="E125" s="3" t="s">
        <v>50</v>
      </c>
      <c r="F125" s="12" t="n">
        <v>605000</v>
      </c>
      <c r="G125" s="13" t="n">
        <v>0.95</v>
      </c>
      <c r="H125" s="13" t="n">
        <v>1.3</v>
      </c>
      <c r="I125" s="13" t="n">
        <v>0.7772</v>
      </c>
      <c r="J125" s="13" t="n">
        <v>0.53</v>
      </c>
      <c r="K125" s="12" t="n">
        <f aca="false">ROUND(F125/100*G125*H125*I125/J125,2)</f>
        <v>10956.69</v>
      </c>
      <c r="L125" s="12" t="n">
        <v>10956.69</v>
      </c>
      <c r="M125" s="12" t="n">
        <f aca="false">L125-K125</f>
        <v>0</v>
      </c>
      <c r="N125" s="3" t="s">
        <v>70</v>
      </c>
      <c r="O125" s="3" t="s">
        <v>52</v>
      </c>
    </row>
    <row r="126" customFormat="false" ht="15" hidden="false" customHeight="false" outlineLevel="0" collapsed="false">
      <c r="A126" s="14" t="s">
        <v>3741</v>
      </c>
      <c r="B126" s="14" t="s">
        <v>3887</v>
      </c>
      <c r="C126" s="14" t="s">
        <v>174</v>
      </c>
      <c r="D126" s="14" t="s">
        <v>167</v>
      </c>
      <c r="E126" s="14" t="s">
        <v>74</v>
      </c>
      <c r="F126" s="15" t="n">
        <v>250000</v>
      </c>
      <c r="G126" s="16" t="n">
        <v>0.48</v>
      </c>
      <c r="H126" s="16" t="n">
        <v>1.55</v>
      </c>
      <c r="I126" s="16" t="n">
        <v>0.7772</v>
      </c>
      <c r="J126" s="16" t="n">
        <v>0.53</v>
      </c>
      <c r="K126" s="15" t="n">
        <f aca="false">ROUND(F126/100*G126*H126*I126/J126,2)</f>
        <v>2727.53</v>
      </c>
      <c r="L126" s="15" t="n">
        <v>2727.53</v>
      </c>
      <c r="M126" s="15" t="n">
        <f aca="false">L126-K126</f>
        <v>0</v>
      </c>
      <c r="N126" s="14" t="s">
        <v>51</v>
      </c>
      <c r="O126" s="14" t="s">
        <v>52</v>
      </c>
    </row>
    <row r="127" customFormat="false" ht="15" hidden="false" customHeight="false" outlineLevel="0" collapsed="false">
      <c r="A127" s="3" t="s">
        <v>3775</v>
      </c>
      <c r="B127" s="3" t="s">
        <v>3888</v>
      </c>
      <c r="C127" s="3" t="s">
        <v>89</v>
      </c>
      <c r="D127" s="3" t="s">
        <v>2445</v>
      </c>
      <c r="E127" s="3" t="s">
        <v>50</v>
      </c>
      <c r="F127" s="12" t="n">
        <v>1100000</v>
      </c>
      <c r="G127" s="13" t="n">
        <v>0.8</v>
      </c>
      <c r="H127" s="13" t="n">
        <v>1.35</v>
      </c>
      <c r="I127" s="13" t="n">
        <v>0.7772</v>
      </c>
      <c r="J127" s="13" t="n">
        <v>0.53</v>
      </c>
      <c r="K127" s="12" t="n">
        <f aca="false">ROUND(F127/100*G127*H127*I127/J127,2)</f>
        <v>17421.01</v>
      </c>
      <c r="L127" s="12" t="n">
        <v>17421.01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3881</v>
      </c>
      <c r="B128" s="14" t="s">
        <v>3889</v>
      </c>
      <c r="C128" s="14" t="s">
        <v>366</v>
      </c>
      <c r="D128" s="14" t="s">
        <v>427</v>
      </c>
      <c r="E128" s="14" t="s">
        <v>56</v>
      </c>
      <c r="F128" s="15" t="n">
        <v>900000</v>
      </c>
      <c r="G128" s="16" t="n">
        <v>0.65</v>
      </c>
      <c r="H128" s="16" t="n">
        <v>1.26</v>
      </c>
      <c r="I128" s="16" t="n">
        <v>0.7772</v>
      </c>
      <c r="J128" s="16" t="n">
        <v>0.53</v>
      </c>
      <c r="K128" s="15" t="n">
        <f aca="false">ROUND(F128/100*G128*H128*I128/J128,2)</f>
        <v>10808.95</v>
      </c>
      <c r="L128" s="15" t="n">
        <v>10808.95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3802</v>
      </c>
      <c r="B129" s="3" t="s">
        <v>3890</v>
      </c>
      <c r="C129" s="3" t="s">
        <v>169</v>
      </c>
      <c r="D129" s="3" t="s">
        <v>946</v>
      </c>
      <c r="E129" s="3" t="s">
        <v>56</v>
      </c>
      <c r="F129" s="12" t="n">
        <v>260000</v>
      </c>
      <c r="G129" s="13" t="n">
        <v>0.75</v>
      </c>
      <c r="H129" s="13" t="n">
        <v>1.07</v>
      </c>
      <c r="I129" s="13" t="n">
        <v>0.7772</v>
      </c>
      <c r="J129" s="13" t="n">
        <v>0.53</v>
      </c>
      <c r="K129" s="12" t="n">
        <f aca="false">ROUND(F129/100*G129*H129*I129/J129,2)</f>
        <v>3059.68</v>
      </c>
      <c r="L129" s="12" t="n">
        <v>3059.67</v>
      </c>
      <c r="M129" s="12" t="n">
        <f aca="false">L129-K129</f>
        <v>-0.00999999999976353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3741</v>
      </c>
      <c r="B130" s="14" t="s">
        <v>3891</v>
      </c>
      <c r="C130" s="14" t="s">
        <v>59</v>
      </c>
      <c r="D130" s="14" t="s">
        <v>1375</v>
      </c>
      <c r="E130" s="14" t="s">
        <v>50</v>
      </c>
      <c r="F130" s="15" t="n">
        <v>1950000</v>
      </c>
      <c r="G130" s="16" t="n">
        <v>0.8</v>
      </c>
      <c r="H130" s="16" t="n">
        <v>0.97</v>
      </c>
      <c r="I130" s="16" t="n">
        <v>0.7772</v>
      </c>
      <c r="J130" s="16" t="n">
        <v>0.53</v>
      </c>
      <c r="K130" s="15" t="n">
        <f aca="false">ROUND(F130/100*G130*H130*I130/J130,2)</f>
        <v>22189.79</v>
      </c>
      <c r="L130" s="15" t="n">
        <v>22189.79</v>
      </c>
      <c r="M130" s="15" t="n">
        <f aca="false">L130-K130</f>
        <v>0</v>
      </c>
      <c r="N130" s="14" t="s">
        <v>61</v>
      </c>
      <c r="O130" s="14" t="s">
        <v>62</v>
      </c>
    </row>
    <row r="131" customFormat="false" ht="15" hidden="false" customHeight="false" outlineLevel="0" collapsed="false">
      <c r="A131" s="3" t="s">
        <v>3752</v>
      </c>
      <c r="B131" s="3" t="s">
        <v>3892</v>
      </c>
      <c r="C131" s="3" t="s">
        <v>59</v>
      </c>
      <c r="D131" s="3" t="s">
        <v>94</v>
      </c>
      <c r="E131" s="3" t="s">
        <v>50</v>
      </c>
      <c r="F131" s="12" t="n">
        <v>975000</v>
      </c>
      <c r="G131" s="13" t="n">
        <v>0.95</v>
      </c>
      <c r="H131" s="13" t="n">
        <v>0.97</v>
      </c>
      <c r="I131" s="13" t="n">
        <v>0.7772</v>
      </c>
      <c r="J131" s="13" t="n">
        <v>0.53</v>
      </c>
      <c r="K131" s="12" t="n">
        <f aca="false">ROUND(F131/100*G131*H131*I131/J131,2)</f>
        <v>13175.19</v>
      </c>
      <c r="L131" s="12" t="n">
        <v>13175.19</v>
      </c>
      <c r="M131" s="12" t="n">
        <f aca="false">L131-K131</f>
        <v>0</v>
      </c>
      <c r="N131" s="3" t="s">
        <v>51</v>
      </c>
      <c r="O131" s="3" t="s">
        <v>52</v>
      </c>
    </row>
    <row r="132" customFormat="false" ht="15" hidden="false" customHeight="false" outlineLevel="0" collapsed="false">
      <c r="A132" s="14" t="s">
        <v>3757</v>
      </c>
      <c r="B132" s="14" t="s">
        <v>3893</v>
      </c>
      <c r="C132" s="14" t="s">
        <v>48</v>
      </c>
      <c r="D132" s="14" t="s">
        <v>421</v>
      </c>
      <c r="E132" s="14" t="s">
        <v>56</v>
      </c>
      <c r="F132" s="15" t="n">
        <v>320000</v>
      </c>
      <c r="G132" s="16" t="n">
        <v>0.75</v>
      </c>
      <c r="H132" s="16" t="n">
        <v>1.28</v>
      </c>
      <c r="I132" s="16" t="n">
        <v>0.7772</v>
      </c>
      <c r="J132" s="16" t="n">
        <v>0.53</v>
      </c>
      <c r="K132" s="15" t="n">
        <f aca="false">ROUND(F132/100*G132*H132*I132/J132,2)</f>
        <v>4504.83</v>
      </c>
      <c r="L132" s="15" t="n">
        <v>4504.83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3734</v>
      </c>
      <c r="B133" s="3" t="s">
        <v>3894</v>
      </c>
      <c r="C133" s="3" t="s">
        <v>326</v>
      </c>
      <c r="D133" s="3" t="s">
        <v>457</v>
      </c>
      <c r="E133" s="3" t="s">
        <v>56</v>
      </c>
      <c r="F133" s="12" t="n">
        <v>1050000</v>
      </c>
      <c r="G133" s="13" t="n">
        <v>0.55</v>
      </c>
      <c r="H133" s="13" t="n">
        <v>1.12</v>
      </c>
      <c r="I133" s="13" t="n">
        <v>0.7772</v>
      </c>
      <c r="J133" s="13" t="n">
        <v>0.53</v>
      </c>
      <c r="K133" s="12" t="n">
        <f aca="false">ROUND(F133/100*G133*H133*I133/J133,2)</f>
        <v>9484.77</v>
      </c>
      <c r="L133" s="12" t="n">
        <v>9484.77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3725</v>
      </c>
      <c r="B134" s="14" t="s">
        <v>3895</v>
      </c>
      <c r="C134" s="14" t="s">
        <v>237</v>
      </c>
      <c r="D134" s="14" t="s">
        <v>112</v>
      </c>
      <c r="E134" s="14" t="s">
        <v>56</v>
      </c>
      <c r="F134" s="15" t="n">
        <v>205000</v>
      </c>
      <c r="G134" s="16" t="n">
        <v>0.92</v>
      </c>
      <c r="H134" s="16" t="n">
        <v>1.33</v>
      </c>
      <c r="I134" s="16" t="n">
        <v>0.7772</v>
      </c>
      <c r="J134" s="16" t="n">
        <v>0.53</v>
      </c>
      <c r="K134" s="15" t="n">
        <f aca="false">ROUND(F134/100*G134*H134*I134/J134,2)</f>
        <v>3678.33</v>
      </c>
      <c r="L134" s="15" t="n">
        <v>3678.32</v>
      </c>
      <c r="M134" s="15" t="n">
        <f aca="false">L134-K134</f>
        <v>-0.00999999999976353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3794</v>
      </c>
      <c r="B135" s="3" t="s">
        <v>3896</v>
      </c>
      <c r="C135" s="3" t="s">
        <v>114</v>
      </c>
      <c r="D135" s="3" t="s">
        <v>3897</v>
      </c>
      <c r="E135" s="3" t="s">
        <v>74</v>
      </c>
      <c r="F135" s="12" t="n">
        <v>1180000</v>
      </c>
      <c r="G135" s="13" t="n">
        <v>0.38</v>
      </c>
      <c r="H135" s="13" t="n">
        <v>1.36</v>
      </c>
      <c r="I135" s="13" t="n">
        <v>0.7772</v>
      </c>
      <c r="J135" s="13" t="n">
        <v>0.53</v>
      </c>
      <c r="K135" s="12" t="n">
        <f aca="false">ROUND(F135/100*G135*H135*I135/J135,2)</f>
        <v>8942.55</v>
      </c>
      <c r="L135" s="12" t="n">
        <v>8942.55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3749</v>
      </c>
      <c r="B136" s="14" t="s">
        <v>3898</v>
      </c>
      <c r="C136" s="14" t="s">
        <v>152</v>
      </c>
      <c r="D136" s="14" t="s">
        <v>782</v>
      </c>
      <c r="E136" s="14" t="s">
        <v>56</v>
      </c>
      <c r="F136" s="15" t="n">
        <v>310000</v>
      </c>
      <c r="G136" s="16" t="n">
        <v>0.75</v>
      </c>
      <c r="H136" s="16" t="n">
        <v>1</v>
      </c>
      <c r="I136" s="16" t="n">
        <v>0.7772</v>
      </c>
      <c r="J136" s="16" t="n">
        <v>0.53</v>
      </c>
      <c r="K136" s="15" t="n">
        <f aca="false">ROUND(F136/100*G136*H136*I136/J136,2)</f>
        <v>3409.42</v>
      </c>
      <c r="L136" s="15" t="n">
        <v>3409.41</v>
      </c>
      <c r="M136" s="15" t="n">
        <f aca="false">L136-K136</f>
        <v>-0.0100000000002183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3781</v>
      </c>
      <c r="B137" s="3" t="s">
        <v>3899</v>
      </c>
      <c r="C137" s="3" t="s">
        <v>278</v>
      </c>
      <c r="D137" s="3" t="s">
        <v>1016</v>
      </c>
      <c r="E137" s="3" t="s">
        <v>56</v>
      </c>
      <c r="F137" s="12" t="n">
        <v>320000</v>
      </c>
      <c r="G137" s="13" t="n">
        <v>0.75</v>
      </c>
      <c r="H137" s="13" t="n">
        <v>0.98</v>
      </c>
      <c r="I137" s="13" t="n">
        <v>0.7772</v>
      </c>
      <c r="J137" s="13" t="n">
        <v>0.53</v>
      </c>
      <c r="K137" s="12" t="n">
        <f aca="false">ROUND(F137/100*G137*H137*I137/J137,2)</f>
        <v>3449.01</v>
      </c>
      <c r="L137" s="12" t="n">
        <v>3449.01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3783</v>
      </c>
      <c r="B138" s="14" t="s">
        <v>3900</v>
      </c>
      <c r="C138" s="14" t="s">
        <v>117</v>
      </c>
      <c r="D138" s="14" t="s">
        <v>1150</v>
      </c>
      <c r="E138" s="14" t="s">
        <v>56</v>
      </c>
      <c r="F138" s="15" t="n">
        <v>390000</v>
      </c>
      <c r="G138" s="16" t="n">
        <v>0.75</v>
      </c>
      <c r="H138" s="16" t="n">
        <v>0.91</v>
      </c>
      <c r="I138" s="16" t="n">
        <v>0.7772</v>
      </c>
      <c r="J138" s="16" t="n">
        <v>0.53</v>
      </c>
      <c r="K138" s="15" t="n">
        <f aca="false">ROUND(F138/100*G138*H138*I138/J138,2)</f>
        <v>3903.23</v>
      </c>
      <c r="L138" s="15" t="n">
        <v>3903.23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3769</v>
      </c>
      <c r="B139" s="3" t="s">
        <v>3901</v>
      </c>
      <c r="C139" s="3" t="s">
        <v>169</v>
      </c>
      <c r="D139" s="3" t="s">
        <v>3004</v>
      </c>
      <c r="E139" s="3" t="s">
        <v>56</v>
      </c>
      <c r="F139" s="12" t="n">
        <v>555000</v>
      </c>
      <c r="G139" s="13" t="n">
        <v>0.65</v>
      </c>
      <c r="H139" s="13" t="n">
        <v>1.07</v>
      </c>
      <c r="I139" s="13" t="n">
        <v>0.7772</v>
      </c>
      <c r="J139" s="13" t="n">
        <v>0.53</v>
      </c>
      <c r="K139" s="12" t="n">
        <f aca="false">ROUND(F139/100*G139*H139*I139/J139,2)</f>
        <v>5660.4</v>
      </c>
      <c r="L139" s="12" t="n">
        <v>5660.4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3759</v>
      </c>
      <c r="B140" s="14" t="s">
        <v>3902</v>
      </c>
      <c r="C140" s="14" t="s">
        <v>159</v>
      </c>
      <c r="D140" s="14" t="s">
        <v>3903</v>
      </c>
      <c r="E140" s="14" t="s">
        <v>74</v>
      </c>
      <c r="F140" s="15" t="n">
        <v>255000</v>
      </c>
      <c r="G140" s="16" t="n">
        <v>0.48</v>
      </c>
      <c r="H140" s="16" t="n">
        <v>1.15</v>
      </c>
      <c r="I140" s="16" t="n">
        <v>0.7772</v>
      </c>
      <c r="J140" s="16" t="n">
        <v>0.53</v>
      </c>
      <c r="K140" s="15" t="n">
        <f aca="false">ROUND(F140/100*G140*H140*I140/J140,2)</f>
        <v>2064.13</v>
      </c>
      <c r="L140" s="15" t="n">
        <v>2064.13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3757</v>
      </c>
      <c r="B141" s="3" t="s">
        <v>3904</v>
      </c>
      <c r="C141" s="3" t="s">
        <v>85</v>
      </c>
      <c r="D141" s="3" t="s">
        <v>1339</v>
      </c>
      <c r="E141" s="3" t="s">
        <v>50</v>
      </c>
      <c r="F141" s="12" t="n">
        <v>230000</v>
      </c>
      <c r="G141" s="13" t="n">
        <v>1.42</v>
      </c>
      <c r="H141" s="13" t="n">
        <v>1.28</v>
      </c>
      <c r="I141" s="13" t="n">
        <v>0.7772</v>
      </c>
      <c r="J141" s="13" t="n">
        <v>0.53</v>
      </c>
      <c r="K141" s="12" t="n">
        <f aca="false">ROUND(F141/100*G141*H141*I141/J141,2)</f>
        <v>6130.32</v>
      </c>
      <c r="L141" s="12" t="n">
        <v>6130.32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3736</v>
      </c>
      <c r="B142" s="14" t="s">
        <v>3905</v>
      </c>
      <c r="C142" s="14" t="s">
        <v>131</v>
      </c>
      <c r="D142" s="14" t="s">
        <v>1304</v>
      </c>
      <c r="E142" s="14" t="s">
        <v>56</v>
      </c>
      <c r="F142" s="15" t="n">
        <v>345000</v>
      </c>
      <c r="G142" s="16" t="n">
        <v>0.75</v>
      </c>
      <c r="H142" s="16" t="n">
        <v>0.95</v>
      </c>
      <c r="I142" s="16" t="n">
        <v>0.7772</v>
      </c>
      <c r="J142" s="16" t="n">
        <v>0.53</v>
      </c>
      <c r="K142" s="15" t="n">
        <f aca="false">ROUND(F142/100*G142*H142*I142/J142,2)</f>
        <v>3604.63</v>
      </c>
      <c r="L142" s="15" t="n">
        <v>3604.63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3736</v>
      </c>
      <c r="B143" s="3" t="s">
        <v>3906</v>
      </c>
      <c r="C143" s="3" t="s">
        <v>295</v>
      </c>
      <c r="D143" s="3" t="s">
        <v>1573</v>
      </c>
      <c r="E143" s="3" t="s">
        <v>56</v>
      </c>
      <c r="F143" s="12" t="n">
        <v>1290000</v>
      </c>
      <c r="G143" s="13" t="n">
        <v>0.55</v>
      </c>
      <c r="H143" s="13" t="n">
        <v>1.2</v>
      </c>
      <c r="I143" s="13" t="n">
        <v>0.7772</v>
      </c>
      <c r="J143" s="13" t="n">
        <v>0.53</v>
      </c>
      <c r="K143" s="12" t="n">
        <f aca="false">ROUND(F143/100*G143*H143*I143/J143,2)</f>
        <v>12485.06</v>
      </c>
      <c r="L143" s="12" t="n">
        <v>12485.06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3783</v>
      </c>
      <c r="B144" s="14" t="s">
        <v>3907</v>
      </c>
      <c r="C144" s="14" t="s">
        <v>93</v>
      </c>
      <c r="D144" s="14" t="s">
        <v>863</v>
      </c>
      <c r="E144" s="14" t="s">
        <v>56</v>
      </c>
      <c r="F144" s="15" t="n">
        <v>110000</v>
      </c>
      <c r="G144" s="16" t="n">
        <v>0.92</v>
      </c>
      <c r="H144" s="16" t="n">
        <v>1.39</v>
      </c>
      <c r="I144" s="16" t="n">
        <v>0.7772</v>
      </c>
      <c r="J144" s="16" t="n">
        <v>0.53</v>
      </c>
      <c r="K144" s="15" t="n">
        <f aca="false">ROUND(F144/100*G144*H144*I144/J144,2)</f>
        <v>2062.78</v>
      </c>
      <c r="L144" s="15" t="n">
        <v>2062.77</v>
      </c>
      <c r="M144" s="15" t="n">
        <f aca="false">L144-K144</f>
        <v>-0.0100000000002183</v>
      </c>
      <c r="N144" s="14" t="s">
        <v>70</v>
      </c>
      <c r="O144" s="14" t="s">
        <v>52</v>
      </c>
    </row>
    <row r="145" customFormat="false" ht="15" hidden="false" customHeight="false" outlineLevel="0" collapsed="false">
      <c r="A145" s="3" t="s">
        <v>3781</v>
      </c>
      <c r="B145" s="3" t="s">
        <v>3908</v>
      </c>
      <c r="C145" s="3" t="s">
        <v>196</v>
      </c>
      <c r="D145" s="3" t="s">
        <v>1388</v>
      </c>
      <c r="E145" s="3" t="s">
        <v>50</v>
      </c>
      <c r="F145" s="12" t="n">
        <v>1415000</v>
      </c>
      <c r="G145" s="13" t="n">
        <v>0.8</v>
      </c>
      <c r="H145" s="13" t="n">
        <v>1.04</v>
      </c>
      <c r="I145" s="13" t="n">
        <v>0.7772</v>
      </c>
      <c r="J145" s="13" t="n">
        <v>0.53</v>
      </c>
      <c r="K145" s="12" t="n">
        <f aca="false">ROUND(F145/100*G145*H145*I145/J145,2)</f>
        <v>17263.81</v>
      </c>
      <c r="L145" s="12" t="n">
        <v>17263.81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3731</v>
      </c>
      <c r="B146" s="14" t="s">
        <v>3909</v>
      </c>
      <c r="C146" s="14" t="s">
        <v>142</v>
      </c>
      <c r="D146" s="14" t="s">
        <v>673</v>
      </c>
      <c r="E146" s="14" t="s">
        <v>56</v>
      </c>
      <c r="F146" s="15" t="n">
        <v>655000</v>
      </c>
      <c r="G146" s="16" t="n">
        <v>0.65</v>
      </c>
      <c r="H146" s="16" t="n">
        <v>1.22</v>
      </c>
      <c r="I146" s="16" t="n">
        <v>0.7772</v>
      </c>
      <c r="J146" s="16" t="n">
        <v>0.53</v>
      </c>
      <c r="K146" s="15" t="n">
        <f aca="false">ROUND(F146/100*G146*H146*I146/J146,2)</f>
        <v>7616.78</v>
      </c>
      <c r="L146" s="15" t="n">
        <v>7616.78</v>
      </c>
      <c r="M146" s="15" t="n">
        <f aca="false">L146-K146</f>
        <v>0</v>
      </c>
      <c r="N146" s="14" t="s">
        <v>70</v>
      </c>
      <c r="O146" s="14" t="s">
        <v>52</v>
      </c>
    </row>
    <row r="147" customFormat="false" ht="15" hidden="false" customHeight="false" outlineLevel="0" collapsed="false">
      <c r="A147" s="3" t="s">
        <v>3783</v>
      </c>
      <c r="B147" s="3" t="s">
        <v>3910</v>
      </c>
      <c r="C147" s="3" t="s">
        <v>366</v>
      </c>
      <c r="D147" s="3" t="s">
        <v>3911</v>
      </c>
      <c r="E147" s="3" t="s">
        <v>56</v>
      </c>
      <c r="F147" s="12" t="n">
        <v>750000</v>
      </c>
      <c r="G147" s="13" t="n">
        <v>0.65</v>
      </c>
      <c r="H147" s="13" t="n">
        <v>1.26</v>
      </c>
      <c r="I147" s="13" t="n">
        <v>0.7772</v>
      </c>
      <c r="J147" s="13" t="n">
        <v>0.53</v>
      </c>
      <c r="K147" s="12" t="n">
        <f aca="false">ROUND(F147/100*G147*H147*I147/J147,2)</f>
        <v>9007.45</v>
      </c>
      <c r="L147" s="12" t="n">
        <v>9007.45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3762</v>
      </c>
      <c r="B148" s="14" t="s">
        <v>3912</v>
      </c>
      <c r="C148" s="14" t="s">
        <v>196</v>
      </c>
      <c r="D148" s="14" t="s">
        <v>457</v>
      </c>
      <c r="E148" s="14" t="s">
        <v>56</v>
      </c>
      <c r="F148" s="15" t="n">
        <v>455000</v>
      </c>
      <c r="G148" s="16" t="n">
        <v>0.75</v>
      </c>
      <c r="H148" s="16" t="n">
        <v>1.04</v>
      </c>
      <c r="I148" s="16" t="n">
        <v>0.7772</v>
      </c>
      <c r="J148" s="16" t="n">
        <v>0.53</v>
      </c>
      <c r="K148" s="15" t="n">
        <f aca="false">ROUND(F148/100*G148*H148*I148/J148,2)</f>
        <v>5204.31</v>
      </c>
      <c r="L148" s="15" t="n">
        <v>5204.31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3856</v>
      </c>
      <c r="B149" s="3" t="s">
        <v>3913</v>
      </c>
      <c r="C149" s="3" t="s">
        <v>77</v>
      </c>
      <c r="D149" s="3" t="s">
        <v>902</v>
      </c>
      <c r="E149" s="3" t="s">
        <v>50</v>
      </c>
      <c r="F149" s="12" t="n">
        <v>1020000</v>
      </c>
      <c r="G149" s="13" t="n">
        <v>0.8</v>
      </c>
      <c r="H149" s="13" t="n">
        <v>1.42</v>
      </c>
      <c r="I149" s="13" t="n">
        <v>0.7772</v>
      </c>
      <c r="J149" s="13" t="n">
        <v>0.53</v>
      </c>
      <c r="K149" s="12" t="n">
        <f aca="false">ROUND(F149/100*G149*H149*I149/J149,2)</f>
        <v>16991.64</v>
      </c>
      <c r="L149" s="12" t="n">
        <v>16991.64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3802</v>
      </c>
      <c r="B150" s="14" t="s">
        <v>3914</v>
      </c>
      <c r="C150" s="14" t="s">
        <v>305</v>
      </c>
      <c r="D150" s="14" t="s">
        <v>283</v>
      </c>
      <c r="E150" s="14" t="s">
        <v>56</v>
      </c>
      <c r="F150" s="15" t="n">
        <v>325000</v>
      </c>
      <c r="G150" s="16" t="n">
        <v>0.75</v>
      </c>
      <c r="H150" s="16" t="n">
        <v>1.12</v>
      </c>
      <c r="I150" s="16" t="n">
        <v>0.7772</v>
      </c>
      <c r="J150" s="16" t="n">
        <v>0.53</v>
      </c>
      <c r="K150" s="15" t="n">
        <f aca="false">ROUND(F150/100*G150*H150*I150/J150,2)</f>
        <v>4003.31</v>
      </c>
      <c r="L150" s="15" t="n">
        <v>4003.31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3752</v>
      </c>
      <c r="B151" s="3" t="s">
        <v>3915</v>
      </c>
      <c r="C151" s="3" t="s">
        <v>68</v>
      </c>
      <c r="D151" s="3" t="s">
        <v>2006</v>
      </c>
      <c r="E151" s="3" t="s">
        <v>56</v>
      </c>
      <c r="F151" s="12" t="n">
        <v>905000</v>
      </c>
      <c r="G151" s="13" t="n">
        <v>0.65</v>
      </c>
      <c r="H151" s="13" t="n">
        <v>1.38</v>
      </c>
      <c r="I151" s="13" t="n">
        <v>0.7772</v>
      </c>
      <c r="J151" s="13" t="n">
        <v>0.53</v>
      </c>
      <c r="K151" s="12" t="n">
        <f aca="false">ROUND(F151/100*G151*H151*I151/J151,2)</f>
        <v>11904.14</v>
      </c>
      <c r="L151" s="12" t="n">
        <v>11904.14</v>
      </c>
      <c r="M151" s="12" t="n">
        <f aca="false">L151-K151</f>
        <v>0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3791</v>
      </c>
      <c r="B152" s="14" t="s">
        <v>3916</v>
      </c>
      <c r="C152" s="14" t="s">
        <v>210</v>
      </c>
      <c r="D152" s="14" t="s">
        <v>160</v>
      </c>
      <c r="E152" s="14" t="s">
        <v>50</v>
      </c>
      <c r="F152" s="15" t="n">
        <v>1950000</v>
      </c>
      <c r="G152" s="16" t="n">
        <v>0.8</v>
      </c>
      <c r="H152" s="16" t="n">
        <v>1.21</v>
      </c>
      <c r="I152" s="16" t="n">
        <v>0.7772</v>
      </c>
      <c r="J152" s="16" t="n">
        <v>0.53</v>
      </c>
      <c r="K152" s="15" t="n">
        <f aca="false">ROUND(F152/100*G152*H152*I152/J152,2)</f>
        <v>27680.05</v>
      </c>
      <c r="L152" s="15" t="n">
        <v>27680.05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3757</v>
      </c>
      <c r="B153" s="3" t="s">
        <v>3917</v>
      </c>
      <c r="C153" s="3" t="s">
        <v>48</v>
      </c>
      <c r="D153" s="3" t="s">
        <v>1129</v>
      </c>
      <c r="E153" s="3" t="s">
        <v>50</v>
      </c>
      <c r="F153" s="12" t="n">
        <v>835000</v>
      </c>
      <c r="G153" s="13" t="n">
        <v>0.95</v>
      </c>
      <c r="H153" s="13" t="n">
        <v>1.28</v>
      </c>
      <c r="I153" s="13" t="n">
        <v>0.7772</v>
      </c>
      <c r="J153" s="13" t="n">
        <v>0.53</v>
      </c>
      <c r="K153" s="12" t="n">
        <f aca="false">ROUND(F153/100*G153*H153*I153/J153,2)</f>
        <v>14889.39</v>
      </c>
      <c r="L153" s="12" t="n">
        <v>14889.4</v>
      </c>
      <c r="M153" s="12" t="n">
        <f aca="false">L153-K153</f>
        <v>0.0100000000002183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3717</v>
      </c>
      <c r="B154" s="14" t="s">
        <v>3918</v>
      </c>
      <c r="C154" s="14" t="s">
        <v>266</v>
      </c>
      <c r="D154" s="14" t="s">
        <v>1535</v>
      </c>
      <c r="E154" s="14" t="s">
        <v>74</v>
      </c>
      <c r="F154" s="15" t="n">
        <v>820000</v>
      </c>
      <c r="G154" s="16" t="n">
        <v>0.43</v>
      </c>
      <c r="H154" s="16" t="n">
        <v>1.1</v>
      </c>
      <c r="I154" s="16" t="n">
        <v>0.7772</v>
      </c>
      <c r="J154" s="16" t="n">
        <v>0.53</v>
      </c>
      <c r="K154" s="15" t="n">
        <f aca="false">ROUND(F154/100*G154*H154*I154/J154,2)</f>
        <v>5687.64</v>
      </c>
      <c r="L154" s="15" t="n">
        <v>5687.64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3731</v>
      </c>
      <c r="B155" s="3" t="s">
        <v>3919</v>
      </c>
      <c r="C155" s="3" t="s">
        <v>892</v>
      </c>
      <c r="D155" s="3" t="s">
        <v>1330</v>
      </c>
      <c r="E155" s="3" t="s">
        <v>56</v>
      </c>
      <c r="F155" s="12" t="n">
        <v>495000</v>
      </c>
      <c r="G155" s="13" t="n">
        <v>0.75</v>
      </c>
      <c r="H155" s="13" t="n">
        <v>1.08</v>
      </c>
      <c r="I155" s="13" t="n">
        <v>0.7772</v>
      </c>
      <c r="J155" s="13" t="n">
        <v>0.53</v>
      </c>
      <c r="K155" s="12" t="n">
        <f aca="false">ROUND(F155/100*G155*H155*I155/J155,2)</f>
        <v>5879.59</v>
      </c>
      <c r="L155" s="12" t="n">
        <v>5879.59</v>
      </c>
      <c r="M155" s="12" t="n">
        <f aca="false">L155-K155</f>
        <v>0</v>
      </c>
      <c r="N155" s="3" t="s">
        <v>61</v>
      </c>
      <c r="O155" s="3" t="s">
        <v>62</v>
      </c>
    </row>
    <row r="156" customFormat="false" ht="15" hidden="false" customHeight="false" outlineLevel="0" collapsed="false">
      <c r="A156" s="14" t="s">
        <v>3727</v>
      </c>
      <c r="B156" s="14" t="s">
        <v>3920</v>
      </c>
      <c r="C156" s="14" t="s">
        <v>224</v>
      </c>
      <c r="D156" s="14" t="s">
        <v>3921</v>
      </c>
      <c r="E156" s="14" t="s">
        <v>74</v>
      </c>
      <c r="F156" s="15" t="n">
        <v>535000</v>
      </c>
      <c r="G156" s="16" t="n">
        <v>0.43</v>
      </c>
      <c r="H156" s="16" t="n">
        <v>1.1</v>
      </c>
      <c r="I156" s="16" t="n">
        <v>0.7772</v>
      </c>
      <c r="J156" s="16" t="n">
        <v>0.53</v>
      </c>
      <c r="K156" s="15" t="n">
        <f aca="false">ROUND(F156/100*G156*H156*I156/J156,2)</f>
        <v>3710.84</v>
      </c>
      <c r="L156" s="15" t="n">
        <v>3710.83</v>
      </c>
      <c r="M156" s="15" t="n">
        <f aca="false">L156-K156</f>
        <v>-0.0100000000002183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3736</v>
      </c>
      <c r="B157" s="3" t="s">
        <v>3922</v>
      </c>
      <c r="C157" s="3" t="s">
        <v>114</v>
      </c>
      <c r="D157" s="3" t="s">
        <v>1272</v>
      </c>
      <c r="E157" s="3" t="s">
        <v>74</v>
      </c>
      <c r="F157" s="12" t="n">
        <v>475000</v>
      </c>
      <c r="G157" s="13" t="n">
        <v>0.48</v>
      </c>
      <c r="H157" s="13" t="n">
        <v>1.36</v>
      </c>
      <c r="I157" s="13" t="n">
        <v>0.7772</v>
      </c>
      <c r="J157" s="13" t="n">
        <v>0.53</v>
      </c>
      <c r="K157" s="12" t="n">
        <f aca="false">ROUND(F157/100*G157*H157*I157/J157,2)</f>
        <v>4547.06</v>
      </c>
      <c r="L157" s="12" t="n">
        <v>4547.06</v>
      </c>
      <c r="M157" s="12" t="n">
        <f aca="false">L157-K157</f>
        <v>0</v>
      </c>
      <c r="N157" s="3" t="s">
        <v>51</v>
      </c>
      <c r="O157" s="3" t="s">
        <v>52</v>
      </c>
    </row>
    <row r="158" customFormat="false" ht="15" hidden="false" customHeight="false" outlineLevel="0" collapsed="false">
      <c r="A158" s="14" t="s">
        <v>3729</v>
      </c>
      <c r="B158" s="14" t="s">
        <v>3923</v>
      </c>
      <c r="C158" s="14" t="s">
        <v>128</v>
      </c>
      <c r="D158" s="14" t="s">
        <v>1186</v>
      </c>
      <c r="E158" s="14" t="s">
        <v>56</v>
      </c>
      <c r="F158" s="15" t="n">
        <v>410000</v>
      </c>
      <c r="G158" s="16" t="n">
        <v>0.75</v>
      </c>
      <c r="H158" s="16" t="n">
        <v>1.25</v>
      </c>
      <c r="I158" s="16" t="n">
        <v>0.7772</v>
      </c>
      <c r="J158" s="16" t="n">
        <v>0.53</v>
      </c>
      <c r="K158" s="15" t="n">
        <f aca="false">ROUND(F158/100*G158*H158*I158/J158,2)</f>
        <v>5636.53</v>
      </c>
      <c r="L158" s="15" t="n">
        <v>5636.53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3741</v>
      </c>
      <c r="B159" s="3" t="s">
        <v>3924</v>
      </c>
      <c r="C159" s="3" t="s">
        <v>93</v>
      </c>
      <c r="D159" s="3" t="s">
        <v>2850</v>
      </c>
      <c r="E159" s="3" t="s">
        <v>50</v>
      </c>
      <c r="F159" s="12" t="n">
        <v>475000</v>
      </c>
      <c r="G159" s="13" t="n">
        <v>1.15</v>
      </c>
      <c r="H159" s="13" t="n">
        <v>1.39</v>
      </c>
      <c r="I159" s="13" t="n">
        <v>0.7772</v>
      </c>
      <c r="J159" s="13" t="n">
        <v>0.53</v>
      </c>
      <c r="K159" s="12" t="n">
        <f aca="false">ROUND(F159/100*G159*H159*I159/J159,2)</f>
        <v>11134.31</v>
      </c>
      <c r="L159" s="12" t="n">
        <v>11134.31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3799</v>
      </c>
      <c r="B160" s="14" t="s">
        <v>3925</v>
      </c>
      <c r="C160" s="14" t="s">
        <v>145</v>
      </c>
      <c r="D160" s="14" t="s">
        <v>1998</v>
      </c>
      <c r="E160" s="14" t="s">
        <v>56</v>
      </c>
      <c r="F160" s="15" t="n">
        <v>310000</v>
      </c>
      <c r="G160" s="16" t="n">
        <v>0.75</v>
      </c>
      <c r="H160" s="16" t="n">
        <v>0.96</v>
      </c>
      <c r="I160" s="16" t="n">
        <v>0.7772</v>
      </c>
      <c r="J160" s="16" t="n">
        <v>0.53</v>
      </c>
      <c r="K160" s="15" t="n">
        <f aca="false">ROUND(F160/100*G160*H160*I160/J160,2)</f>
        <v>3273.04</v>
      </c>
      <c r="L160" s="15" t="n">
        <v>3273.04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3725</v>
      </c>
      <c r="B161" s="3" t="s">
        <v>3926</v>
      </c>
      <c r="C161" s="3" t="s">
        <v>128</v>
      </c>
      <c r="D161" s="3" t="s">
        <v>1998</v>
      </c>
      <c r="E161" s="3" t="s">
        <v>56</v>
      </c>
      <c r="F161" s="12" t="n">
        <v>425000</v>
      </c>
      <c r="G161" s="13" t="n">
        <v>0.75</v>
      </c>
      <c r="H161" s="13" t="n">
        <v>1.25</v>
      </c>
      <c r="I161" s="13" t="n">
        <v>0.7772</v>
      </c>
      <c r="J161" s="13" t="n">
        <v>0.53</v>
      </c>
      <c r="K161" s="12" t="n">
        <f aca="false">ROUND(F161/100*G161*H161*I161/J161,2)</f>
        <v>5842.75</v>
      </c>
      <c r="L161" s="12" t="n">
        <v>5842.75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3799</v>
      </c>
      <c r="B162" s="14" t="s">
        <v>3927</v>
      </c>
      <c r="C162" s="14" t="s">
        <v>193</v>
      </c>
      <c r="D162" s="14" t="s">
        <v>2618</v>
      </c>
      <c r="E162" s="14" t="s">
        <v>50</v>
      </c>
      <c r="F162" s="15" t="n">
        <v>1105000</v>
      </c>
      <c r="G162" s="16" t="n">
        <v>0.8</v>
      </c>
      <c r="H162" s="16" t="n">
        <v>1.25</v>
      </c>
      <c r="I162" s="16" t="n">
        <v>0.7772</v>
      </c>
      <c r="J162" s="16" t="n">
        <v>0.53</v>
      </c>
      <c r="K162" s="15" t="n">
        <f aca="false">ROUND(F162/100*G162*H162*I162/J162,2)</f>
        <v>16203.89</v>
      </c>
      <c r="L162" s="15" t="n">
        <v>16203.89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3769</v>
      </c>
      <c r="B163" s="3" t="s">
        <v>3928</v>
      </c>
      <c r="C163" s="3" t="s">
        <v>93</v>
      </c>
      <c r="D163" s="3" t="s">
        <v>1476</v>
      </c>
      <c r="E163" s="3" t="s">
        <v>50</v>
      </c>
      <c r="F163" s="12" t="n">
        <v>280000</v>
      </c>
      <c r="G163" s="13" t="n">
        <v>1.15</v>
      </c>
      <c r="H163" s="13" t="n">
        <v>1.39</v>
      </c>
      <c r="I163" s="13" t="n">
        <v>0.7772</v>
      </c>
      <c r="J163" s="13" t="n">
        <v>0.53</v>
      </c>
      <c r="K163" s="12" t="n">
        <f aca="false">ROUND(F163/100*G163*H163*I163/J163,2)</f>
        <v>6563.38</v>
      </c>
      <c r="L163" s="12" t="n">
        <v>6563.38</v>
      </c>
      <c r="M163" s="12" t="n">
        <f aca="false">L163-K163</f>
        <v>0</v>
      </c>
      <c r="N163" s="3" t="s">
        <v>70</v>
      </c>
      <c r="O163" s="3" t="s">
        <v>52</v>
      </c>
    </row>
    <row r="164" customFormat="false" ht="15" hidden="false" customHeight="false" outlineLevel="0" collapsed="false">
      <c r="A164" s="14" t="s">
        <v>3752</v>
      </c>
      <c r="B164" s="14" t="s">
        <v>3929</v>
      </c>
      <c r="C164" s="14" t="s">
        <v>159</v>
      </c>
      <c r="D164" s="14" t="s">
        <v>423</v>
      </c>
      <c r="E164" s="14" t="s">
        <v>56</v>
      </c>
      <c r="F164" s="15" t="n">
        <v>1950000</v>
      </c>
      <c r="G164" s="16" t="n">
        <v>0.55</v>
      </c>
      <c r="H164" s="16" t="n">
        <v>1.15</v>
      </c>
      <c r="I164" s="16" t="n">
        <v>0.7772</v>
      </c>
      <c r="J164" s="16" t="n">
        <v>0.53</v>
      </c>
      <c r="K164" s="15" t="n">
        <f aca="false">ROUND(F164/100*G164*H164*I164/J164,2)</f>
        <v>18086.4</v>
      </c>
      <c r="L164" s="15" t="n">
        <v>18086.4</v>
      </c>
      <c r="M164" s="15" t="n">
        <f aca="false">L164-K164</f>
        <v>0</v>
      </c>
      <c r="N164" s="14" t="s">
        <v>51</v>
      </c>
      <c r="O164" s="14" t="s">
        <v>52</v>
      </c>
    </row>
    <row r="165" customFormat="false" ht="15" hidden="false" customHeight="false" outlineLevel="0" collapsed="false">
      <c r="A165" s="3" t="s">
        <v>3781</v>
      </c>
      <c r="B165" s="3" t="s">
        <v>3930</v>
      </c>
      <c r="C165" s="3" t="s">
        <v>417</v>
      </c>
      <c r="D165" s="3" t="s">
        <v>544</v>
      </c>
      <c r="E165" s="3" t="s">
        <v>50</v>
      </c>
      <c r="F165" s="12" t="n">
        <v>1200000</v>
      </c>
      <c r="G165" s="13" t="n">
        <v>0.8</v>
      </c>
      <c r="H165" s="13" t="n">
        <v>1.24</v>
      </c>
      <c r="I165" s="13" t="n">
        <v>0.7772</v>
      </c>
      <c r="J165" s="13" t="n">
        <v>0.53</v>
      </c>
      <c r="K165" s="12" t="n">
        <f aca="false">ROUND(F165/100*G165*H165*I165/J165,2)</f>
        <v>17456.21</v>
      </c>
      <c r="L165" s="12" t="n">
        <v>17456.21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3856</v>
      </c>
      <c r="B166" s="14" t="s">
        <v>3931</v>
      </c>
      <c r="C166" s="14" t="s">
        <v>220</v>
      </c>
      <c r="D166" s="14" t="s">
        <v>3932</v>
      </c>
      <c r="E166" s="14" t="s">
        <v>133</v>
      </c>
      <c r="F166" s="15" t="n">
        <v>1950000</v>
      </c>
      <c r="G166" s="16" t="n">
        <v>0.34</v>
      </c>
      <c r="H166" s="16" t="n">
        <v>1.01</v>
      </c>
      <c r="I166" s="16" t="n">
        <v>0.7772</v>
      </c>
      <c r="J166" s="16" t="n">
        <v>0.53</v>
      </c>
      <c r="K166" s="15" t="n">
        <f aca="false">ROUND(F166/100*G166*H166*I166/J166,2)</f>
        <v>9819.56</v>
      </c>
      <c r="L166" s="15" t="n">
        <v>9819.56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3723</v>
      </c>
      <c r="B167" s="3" t="s">
        <v>3933</v>
      </c>
      <c r="C167" s="3" t="s">
        <v>131</v>
      </c>
      <c r="D167" s="3" t="s">
        <v>400</v>
      </c>
      <c r="E167" s="3" t="s">
        <v>56</v>
      </c>
      <c r="F167" s="12" t="n">
        <v>300000</v>
      </c>
      <c r="G167" s="13" t="n">
        <v>0.75</v>
      </c>
      <c r="H167" s="13" t="n">
        <v>0.95</v>
      </c>
      <c r="I167" s="13" t="n">
        <v>0.7772</v>
      </c>
      <c r="J167" s="13" t="n">
        <v>0.53</v>
      </c>
      <c r="K167" s="12" t="n">
        <f aca="false">ROUND(F167/100*G167*H167*I167/J167,2)</f>
        <v>3134.46</v>
      </c>
      <c r="L167" s="12" t="n">
        <v>3134.46</v>
      </c>
      <c r="M167" s="12" t="n">
        <f aca="false">L167-K167</f>
        <v>0</v>
      </c>
      <c r="N167" s="3" t="s">
        <v>51</v>
      </c>
      <c r="O167" s="3" t="s">
        <v>52</v>
      </c>
    </row>
    <row r="168" customFormat="false" ht="15" hidden="false" customHeight="false" outlineLevel="0" collapsed="false">
      <c r="A168" s="14" t="s">
        <v>3781</v>
      </c>
      <c r="B168" s="14" t="s">
        <v>3934</v>
      </c>
      <c r="C168" s="14" t="s">
        <v>77</v>
      </c>
      <c r="D168" s="14" t="s">
        <v>925</v>
      </c>
      <c r="E168" s="14" t="s">
        <v>56</v>
      </c>
      <c r="F168" s="15" t="n">
        <v>1215000</v>
      </c>
      <c r="G168" s="16" t="n">
        <v>0.55</v>
      </c>
      <c r="H168" s="16" t="n">
        <v>1.42</v>
      </c>
      <c r="I168" s="16" t="n">
        <v>0.7772</v>
      </c>
      <c r="J168" s="16" t="n">
        <v>0.53</v>
      </c>
      <c r="K168" s="15" t="n">
        <f aca="false">ROUND(F168/100*G168*H168*I168/J168,2)</f>
        <v>13915.03</v>
      </c>
      <c r="L168" s="15" t="n">
        <v>13915.04</v>
      </c>
      <c r="M168" s="15" t="n">
        <f aca="false">L168-K168</f>
        <v>0.0100000000002183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3749</v>
      </c>
      <c r="B169" s="3" t="s">
        <v>3935</v>
      </c>
      <c r="C169" s="3" t="s">
        <v>89</v>
      </c>
      <c r="D169" s="3" t="s">
        <v>2204</v>
      </c>
      <c r="E169" s="3" t="s">
        <v>50</v>
      </c>
      <c r="F169" s="12" t="n">
        <v>520000</v>
      </c>
      <c r="G169" s="13" t="n">
        <v>0.95</v>
      </c>
      <c r="H169" s="13" t="n">
        <v>1.35</v>
      </c>
      <c r="I169" s="13" t="n">
        <v>0.7772</v>
      </c>
      <c r="J169" s="13" t="n">
        <v>0.53</v>
      </c>
      <c r="K169" s="12" t="n">
        <f aca="false">ROUND(F169/100*G169*H169*I169/J169,2)</f>
        <v>9779.52</v>
      </c>
      <c r="L169" s="12" t="n">
        <v>9779.52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3762</v>
      </c>
      <c r="B170" s="14" t="s">
        <v>3936</v>
      </c>
      <c r="C170" s="14" t="s">
        <v>366</v>
      </c>
      <c r="D170" s="14" t="s">
        <v>427</v>
      </c>
      <c r="E170" s="14" t="s">
        <v>56</v>
      </c>
      <c r="F170" s="15" t="n">
        <v>950000</v>
      </c>
      <c r="G170" s="16" t="n">
        <v>0.65</v>
      </c>
      <c r="H170" s="16" t="n">
        <v>1.26</v>
      </c>
      <c r="I170" s="16" t="n">
        <v>0.7772</v>
      </c>
      <c r="J170" s="16" t="n">
        <v>0.53</v>
      </c>
      <c r="K170" s="15" t="n">
        <f aca="false">ROUND(F170/100*G170*H170*I170/J170,2)</f>
        <v>11409.44</v>
      </c>
      <c r="L170" s="15" t="n">
        <v>11409.44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3757</v>
      </c>
      <c r="B171" s="3" t="s">
        <v>3937</v>
      </c>
      <c r="C171" s="3" t="s">
        <v>295</v>
      </c>
      <c r="D171" s="3" t="s">
        <v>2929</v>
      </c>
      <c r="E171" s="3" t="s">
        <v>56</v>
      </c>
      <c r="F171" s="12" t="n">
        <v>850000</v>
      </c>
      <c r="G171" s="13" t="n">
        <v>0.65</v>
      </c>
      <c r="H171" s="13" t="n">
        <v>1.2</v>
      </c>
      <c r="I171" s="13" t="n">
        <v>0.7772</v>
      </c>
      <c r="J171" s="13" t="n">
        <v>0.53</v>
      </c>
      <c r="K171" s="12" t="n">
        <f aca="false">ROUND(F171/100*G171*H171*I171/J171,2)</f>
        <v>9722.33</v>
      </c>
      <c r="L171" s="12" t="n">
        <v>9722.33</v>
      </c>
      <c r="M171" s="12" t="n">
        <f aca="false">L171-K171</f>
        <v>0</v>
      </c>
      <c r="N171" s="3" t="s">
        <v>70</v>
      </c>
      <c r="O171" s="3" t="s">
        <v>52</v>
      </c>
    </row>
    <row r="172" customFormat="false" ht="15" hidden="false" customHeight="false" outlineLevel="0" collapsed="false">
      <c r="A172" s="14" t="s">
        <v>3783</v>
      </c>
      <c r="B172" s="14" t="s">
        <v>3938</v>
      </c>
      <c r="C172" s="14" t="s">
        <v>892</v>
      </c>
      <c r="D172" s="14" t="s">
        <v>2009</v>
      </c>
      <c r="E172" s="14" t="s">
        <v>56</v>
      </c>
      <c r="F172" s="15" t="n">
        <v>190000</v>
      </c>
      <c r="G172" s="16" t="n">
        <v>0.92</v>
      </c>
      <c r="H172" s="16" t="n">
        <v>1.08</v>
      </c>
      <c r="I172" s="16" t="n">
        <v>0.7772</v>
      </c>
      <c r="J172" s="16" t="n">
        <v>0.53</v>
      </c>
      <c r="K172" s="15" t="n">
        <f aca="false">ROUND(F172/100*G172*H172*I172/J172,2)</f>
        <v>2768.36</v>
      </c>
      <c r="L172" s="15" t="n">
        <v>2768.36</v>
      </c>
      <c r="M172" s="15" t="n">
        <f aca="false">L172-K172</f>
        <v>0</v>
      </c>
      <c r="N172" s="14" t="s">
        <v>61</v>
      </c>
      <c r="O172" s="14" t="s">
        <v>62</v>
      </c>
    </row>
    <row r="173" customFormat="false" ht="15" hidden="false" customHeight="false" outlineLevel="0" collapsed="false">
      <c r="A173" s="3" t="s">
        <v>3757</v>
      </c>
      <c r="B173" s="3" t="s">
        <v>3939</v>
      </c>
      <c r="C173" s="3" t="s">
        <v>237</v>
      </c>
      <c r="D173" s="3" t="s">
        <v>3940</v>
      </c>
      <c r="E173" s="3" t="s">
        <v>74</v>
      </c>
      <c r="F173" s="12" t="n">
        <v>415000</v>
      </c>
      <c r="G173" s="13" t="n">
        <v>0.48</v>
      </c>
      <c r="H173" s="13" t="n">
        <v>1.33</v>
      </c>
      <c r="I173" s="13" t="n">
        <v>0.7772</v>
      </c>
      <c r="J173" s="13" t="n">
        <v>0.53</v>
      </c>
      <c r="K173" s="12" t="n">
        <f aca="false">ROUND(F173/100*G173*H173*I173/J173,2)</f>
        <v>3885.06</v>
      </c>
      <c r="L173" s="12" t="n">
        <v>3885.06</v>
      </c>
      <c r="M173" s="12" t="n">
        <f aca="false">L173-K173</f>
        <v>0</v>
      </c>
      <c r="N173" s="3" t="s">
        <v>61</v>
      </c>
      <c r="O173" s="3" t="s">
        <v>62</v>
      </c>
    </row>
    <row r="174" customFormat="false" ht="15" hidden="false" customHeight="false" outlineLevel="0" collapsed="false">
      <c r="A174" s="14" t="s">
        <v>3734</v>
      </c>
      <c r="B174" s="14" t="s">
        <v>3941</v>
      </c>
      <c r="C174" s="14" t="s">
        <v>152</v>
      </c>
      <c r="D174" s="14" t="s">
        <v>146</v>
      </c>
      <c r="E174" s="14" t="s">
        <v>56</v>
      </c>
      <c r="F174" s="15" t="n">
        <v>645000</v>
      </c>
      <c r="G174" s="16" t="n">
        <v>0.65</v>
      </c>
      <c r="H174" s="16" t="n">
        <v>1</v>
      </c>
      <c r="I174" s="16" t="n">
        <v>0.7772</v>
      </c>
      <c r="J174" s="16" t="n">
        <v>0.53</v>
      </c>
      <c r="K174" s="15" t="n">
        <f aca="false">ROUND(F174/100*G174*H174*I174/J174,2)</f>
        <v>6147.95</v>
      </c>
      <c r="L174" s="15" t="n">
        <v>6147.95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3721</v>
      </c>
      <c r="B175" s="3" t="s">
        <v>3942</v>
      </c>
      <c r="C175" s="3" t="s">
        <v>108</v>
      </c>
      <c r="D175" s="3" t="s">
        <v>1935</v>
      </c>
      <c r="E175" s="3" t="s">
        <v>56</v>
      </c>
      <c r="F175" s="12" t="n">
        <v>440000</v>
      </c>
      <c r="G175" s="13" t="n">
        <v>0.75</v>
      </c>
      <c r="H175" s="13" t="n">
        <v>0.93</v>
      </c>
      <c r="I175" s="13" t="n">
        <v>0.7772</v>
      </c>
      <c r="J175" s="13" t="n">
        <v>0.53</v>
      </c>
      <c r="K175" s="12" t="n">
        <f aca="false">ROUND(F175/100*G175*H175*I175/J175,2)</f>
        <v>4500.43</v>
      </c>
      <c r="L175" s="12" t="n">
        <v>4500.43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3881</v>
      </c>
      <c r="B176" s="14" t="s">
        <v>3943</v>
      </c>
      <c r="C176" s="14" t="s">
        <v>159</v>
      </c>
      <c r="D176" s="14" t="s">
        <v>3632</v>
      </c>
      <c r="E176" s="14" t="s">
        <v>157</v>
      </c>
      <c r="F176" s="15" t="n">
        <v>475000</v>
      </c>
      <c r="G176" s="16" t="n">
        <v>0.88</v>
      </c>
      <c r="H176" s="16" t="n">
        <v>1.15</v>
      </c>
      <c r="I176" s="16" t="n">
        <v>0.7772</v>
      </c>
      <c r="J176" s="16" t="n">
        <v>0.53</v>
      </c>
      <c r="K176" s="15" t="n">
        <f aca="false">ROUND(F176/100*G176*H176*I176/J176,2)</f>
        <v>7049.06</v>
      </c>
      <c r="L176" s="15" t="n">
        <v>7049.06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3741</v>
      </c>
      <c r="B177" s="3" t="s">
        <v>3944</v>
      </c>
      <c r="C177" s="3" t="s">
        <v>184</v>
      </c>
      <c r="D177" s="3" t="s">
        <v>3945</v>
      </c>
      <c r="E177" s="3" t="s">
        <v>50</v>
      </c>
      <c r="F177" s="12" t="n">
        <v>200000</v>
      </c>
      <c r="G177" s="13" t="n">
        <v>1.42</v>
      </c>
      <c r="H177" s="13" t="n">
        <v>1.02</v>
      </c>
      <c r="I177" s="13" t="n">
        <v>0.7772</v>
      </c>
      <c r="J177" s="13" t="n">
        <v>0.53</v>
      </c>
      <c r="K177" s="12" t="n">
        <f aca="false">ROUND(F177/100*G177*H177*I177/J177,2)</f>
        <v>4247.91</v>
      </c>
      <c r="L177" s="12" t="n">
        <v>4247.91</v>
      </c>
      <c r="M177" s="12" t="n">
        <f aca="false">L177-K177</f>
        <v>0</v>
      </c>
      <c r="N177" s="3" t="s">
        <v>51</v>
      </c>
      <c r="O177" s="3" t="s">
        <v>52</v>
      </c>
    </row>
    <row r="178" customFormat="false" ht="15" hidden="false" customHeight="false" outlineLevel="0" collapsed="false">
      <c r="A178" s="14" t="s">
        <v>3739</v>
      </c>
      <c r="B178" s="14" t="s">
        <v>3946</v>
      </c>
      <c r="C178" s="14" t="s">
        <v>114</v>
      </c>
      <c r="D178" s="14" t="s">
        <v>137</v>
      </c>
      <c r="E178" s="14" t="s">
        <v>56</v>
      </c>
      <c r="F178" s="15" t="n">
        <v>560000</v>
      </c>
      <c r="G178" s="16" t="n">
        <v>0.65</v>
      </c>
      <c r="H178" s="16" t="n">
        <v>1.36</v>
      </c>
      <c r="I178" s="16" t="n">
        <v>0.7772</v>
      </c>
      <c r="J178" s="16" t="n">
        <v>0.53</v>
      </c>
      <c r="K178" s="15" t="n">
        <f aca="false">ROUND(F178/100*G178*H178*I178/J178,2)</f>
        <v>7259.34</v>
      </c>
      <c r="L178" s="15" t="n">
        <v>7259.34</v>
      </c>
      <c r="M178" s="15" t="n">
        <f aca="false">L178-K178</f>
        <v>0</v>
      </c>
      <c r="N178" s="14" t="s">
        <v>51</v>
      </c>
      <c r="O178" s="14" t="s">
        <v>52</v>
      </c>
    </row>
    <row r="179" customFormat="false" ht="15" hidden="false" customHeight="false" outlineLevel="0" collapsed="false">
      <c r="A179" s="3" t="s">
        <v>3752</v>
      </c>
      <c r="B179" s="3" t="s">
        <v>3947</v>
      </c>
      <c r="C179" s="3" t="s">
        <v>224</v>
      </c>
      <c r="D179" s="3" t="s">
        <v>1872</v>
      </c>
      <c r="E179" s="3" t="s">
        <v>50</v>
      </c>
      <c r="F179" s="12" t="n">
        <v>460000</v>
      </c>
      <c r="G179" s="13" t="n">
        <v>1.15</v>
      </c>
      <c r="H179" s="13" t="n">
        <v>1.1</v>
      </c>
      <c r="I179" s="13" t="n">
        <v>0.7772</v>
      </c>
      <c r="J179" s="13" t="n">
        <v>0.53</v>
      </c>
      <c r="K179" s="12" t="n">
        <f aca="false">ROUND(F179/100*G179*H179*I179/J179,2)</f>
        <v>8533.07</v>
      </c>
      <c r="L179" s="12" t="n">
        <v>8533.07</v>
      </c>
      <c r="M179" s="12" t="n">
        <f aca="false">L179-K179</f>
        <v>0</v>
      </c>
      <c r="N179" s="3" t="s">
        <v>51</v>
      </c>
      <c r="O179" s="3" t="s">
        <v>52</v>
      </c>
    </row>
    <row r="180" customFormat="false" ht="15" hidden="false" customHeight="false" outlineLevel="0" collapsed="false">
      <c r="A180" s="14" t="s">
        <v>3802</v>
      </c>
      <c r="B180" s="14" t="s">
        <v>3948</v>
      </c>
      <c r="C180" s="14" t="s">
        <v>145</v>
      </c>
      <c r="D180" s="14" t="s">
        <v>1121</v>
      </c>
      <c r="E180" s="14" t="s">
        <v>50</v>
      </c>
      <c r="F180" s="15" t="n">
        <v>1950000</v>
      </c>
      <c r="G180" s="16" t="n">
        <v>0.8</v>
      </c>
      <c r="H180" s="16" t="n">
        <v>0.96</v>
      </c>
      <c r="I180" s="16" t="n">
        <v>0.7772</v>
      </c>
      <c r="J180" s="16" t="n">
        <v>0.53</v>
      </c>
      <c r="K180" s="15" t="n">
        <f aca="false">ROUND(F180/100*G180*H180*I180/J180,2)</f>
        <v>21961.03</v>
      </c>
      <c r="L180" s="15" t="n">
        <v>21961.03</v>
      </c>
      <c r="M180" s="15" t="n">
        <f aca="false">L180-K180</f>
        <v>0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3731</v>
      </c>
      <c r="B181" s="3" t="s">
        <v>3949</v>
      </c>
      <c r="C181" s="3" t="s">
        <v>275</v>
      </c>
      <c r="D181" s="3" t="s">
        <v>876</v>
      </c>
      <c r="E181" s="3" t="s">
        <v>56</v>
      </c>
      <c r="F181" s="12" t="n">
        <v>275000</v>
      </c>
      <c r="G181" s="13" t="n">
        <v>0.75</v>
      </c>
      <c r="H181" s="13" t="n">
        <v>1.19</v>
      </c>
      <c r="I181" s="13" t="n">
        <v>0.7772</v>
      </c>
      <c r="J181" s="13" t="n">
        <v>0.53</v>
      </c>
      <c r="K181" s="12" t="n">
        <f aca="false">ROUND(F181/100*G181*H181*I181/J181,2)</f>
        <v>3599.13</v>
      </c>
      <c r="L181" s="12" t="n">
        <v>3599.14</v>
      </c>
      <c r="M181" s="12" t="n">
        <f aca="false">L181-K181</f>
        <v>0.00999999999976353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3721</v>
      </c>
      <c r="B182" s="14" t="s">
        <v>3950</v>
      </c>
      <c r="C182" s="14" t="s">
        <v>278</v>
      </c>
      <c r="D182" s="14" t="s">
        <v>256</v>
      </c>
      <c r="E182" s="14" t="s">
        <v>56</v>
      </c>
      <c r="F182" s="15" t="n">
        <v>645000</v>
      </c>
      <c r="G182" s="16" t="n">
        <v>0.65</v>
      </c>
      <c r="H182" s="16" t="n">
        <v>0.98</v>
      </c>
      <c r="I182" s="16" t="n">
        <v>0.7772</v>
      </c>
      <c r="J182" s="16" t="n">
        <v>0.53</v>
      </c>
      <c r="K182" s="15" t="n">
        <f aca="false">ROUND(F182/100*G182*H182*I182/J182,2)</f>
        <v>6024.99</v>
      </c>
      <c r="L182" s="15" t="n">
        <v>6024.99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3734</v>
      </c>
      <c r="B183" s="3" t="s">
        <v>3951</v>
      </c>
      <c r="C183" s="3" t="s">
        <v>93</v>
      </c>
      <c r="D183" s="3" t="s">
        <v>415</v>
      </c>
      <c r="E183" s="3" t="s">
        <v>56</v>
      </c>
      <c r="F183" s="12" t="n">
        <v>850000</v>
      </c>
      <c r="G183" s="13" t="n">
        <v>0.65</v>
      </c>
      <c r="H183" s="13" t="n">
        <v>1.39</v>
      </c>
      <c r="I183" s="13" t="n">
        <v>0.7772</v>
      </c>
      <c r="J183" s="13" t="n">
        <v>0.53</v>
      </c>
      <c r="K183" s="12" t="n">
        <f aca="false">ROUND(F183/100*G183*H183*I183/J183,2)</f>
        <v>11261.7</v>
      </c>
      <c r="L183" s="12" t="n">
        <v>11261.7</v>
      </c>
      <c r="M183" s="12" t="n">
        <f aca="false">L183-K183</f>
        <v>0</v>
      </c>
      <c r="N183" s="3" t="s">
        <v>51</v>
      </c>
      <c r="O183" s="3" t="s">
        <v>52</v>
      </c>
    </row>
    <row r="184" customFormat="false" ht="15" hidden="false" customHeight="false" outlineLevel="0" collapsed="false">
      <c r="A184" s="14" t="s">
        <v>3731</v>
      </c>
      <c r="B184" s="14" t="s">
        <v>3952</v>
      </c>
      <c r="C184" s="14" t="s">
        <v>117</v>
      </c>
      <c r="D184" s="14" t="s">
        <v>1640</v>
      </c>
      <c r="E184" s="14" t="s">
        <v>74</v>
      </c>
      <c r="F184" s="15" t="n">
        <v>470000</v>
      </c>
      <c r="G184" s="16" t="n">
        <v>0.48</v>
      </c>
      <c r="H184" s="16" t="n">
        <v>0.91</v>
      </c>
      <c r="I184" s="16" t="n">
        <v>0.7772</v>
      </c>
      <c r="J184" s="16" t="n">
        <v>0.53</v>
      </c>
      <c r="K184" s="15" t="n">
        <f aca="false">ROUND(F184/100*G184*H184*I184/J184,2)</f>
        <v>3010.49</v>
      </c>
      <c r="L184" s="15" t="n">
        <v>3010.49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3791</v>
      </c>
      <c r="B185" s="3" t="s">
        <v>3953</v>
      </c>
      <c r="C185" s="3" t="s">
        <v>224</v>
      </c>
      <c r="D185" s="3" t="s">
        <v>3552</v>
      </c>
      <c r="E185" s="3" t="s">
        <v>56</v>
      </c>
      <c r="F185" s="12" t="n">
        <v>490000</v>
      </c>
      <c r="G185" s="13" t="n">
        <v>0.75</v>
      </c>
      <c r="H185" s="13" t="n">
        <v>1.1</v>
      </c>
      <c r="I185" s="13" t="n">
        <v>0.7772</v>
      </c>
      <c r="J185" s="13" t="n">
        <v>0.53</v>
      </c>
      <c r="K185" s="12" t="n">
        <f aca="false">ROUND(F185/100*G185*H185*I185/J185,2)</f>
        <v>5927.98</v>
      </c>
      <c r="L185" s="12" t="n">
        <v>5927.98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3769</v>
      </c>
      <c r="B186" s="14" t="s">
        <v>3954</v>
      </c>
      <c r="C186" s="14" t="s">
        <v>210</v>
      </c>
      <c r="D186" s="14" t="s">
        <v>659</v>
      </c>
      <c r="E186" s="14" t="s">
        <v>56</v>
      </c>
      <c r="F186" s="15" t="n">
        <v>385000</v>
      </c>
      <c r="G186" s="16" t="n">
        <v>0.75</v>
      </c>
      <c r="H186" s="16" t="n">
        <v>1.21</v>
      </c>
      <c r="I186" s="16" t="n">
        <v>0.7772</v>
      </c>
      <c r="J186" s="16" t="n">
        <v>0.53</v>
      </c>
      <c r="K186" s="15" t="n">
        <f aca="false">ROUND(F186/100*G186*H186*I186/J186,2)</f>
        <v>5123.47</v>
      </c>
      <c r="L186" s="15" t="n">
        <v>5123.47</v>
      </c>
      <c r="M186" s="15" t="n">
        <f aca="false">L186-K186</f>
        <v>0</v>
      </c>
      <c r="N186" s="14" t="s">
        <v>70</v>
      </c>
      <c r="O186" s="14" t="s">
        <v>52</v>
      </c>
    </row>
    <row r="187" customFormat="false" ht="15" hidden="false" customHeight="false" outlineLevel="0" collapsed="false">
      <c r="A187" s="3" t="s">
        <v>3794</v>
      </c>
      <c r="B187" s="3" t="s">
        <v>3955</v>
      </c>
      <c r="C187" s="3" t="s">
        <v>243</v>
      </c>
      <c r="D187" s="3" t="s">
        <v>3246</v>
      </c>
      <c r="E187" s="3" t="s">
        <v>74</v>
      </c>
      <c r="F187" s="12" t="n">
        <v>1260000</v>
      </c>
      <c r="G187" s="13" t="n">
        <v>0.38</v>
      </c>
      <c r="H187" s="13" t="n">
        <v>1.14</v>
      </c>
      <c r="I187" s="13" t="n">
        <v>0.7772</v>
      </c>
      <c r="J187" s="13" t="n">
        <v>0.53</v>
      </c>
      <c r="K187" s="12" t="n">
        <f aca="false">ROUND(F187/100*G187*H187*I187/J187,2)</f>
        <v>8004.16</v>
      </c>
      <c r="L187" s="12" t="n">
        <v>8004.17</v>
      </c>
      <c r="M187" s="12" t="n">
        <f aca="false">L187-K187</f>
        <v>0.0100000000002183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3729</v>
      </c>
      <c r="B188" s="14" t="s">
        <v>3956</v>
      </c>
      <c r="C188" s="14" t="s">
        <v>139</v>
      </c>
      <c r="D188" s="14" t="s">
        <v>751</v>
      </c>
      <c r="E188" s="14" t="s">
        <v>56</v>
      </c>
      <c r="F188" s="15" t="n">
        <v>290000</v>
      </c>
      <c r="G188" s="16" t="n">
        <v>0.75</v>
      </c>
      <c r="H188" s="16" t="n">
        <v>1.23</v>
      </c>
      <c r="I188" s="16" t="n">
        <v>0.7772</v>
      </c>
      <c r="J188" s="16" t="n">
        <v>0.53</v>
      </c>
      <c r="K188" s="15" t="n">
        <f aca="false">ROUND(F188/100*G188*H188*I188/J188,2)</f>
        <v>3923.03</v>
      </c>
      <c r="L188" s="15" t="n">
        <v>3923.03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3715</v>
      </c>
      <c r="B189" s="3" t="s">
        <v>3957</v>
      </c>
      <c r="C189" s="3" t="s">
        <v>48</v>
      </c>
      <c r="D189" s="3" t="s">
        <v>1542</v>
      </c>
      <c r="E189" s="3" t="s">
        <v>56</v>
      </c>
      <c r="F189" s="12" t="n">
        <v>740000</v>
      </c>
      <c r="G189" s="13" t="n">
        <v>0.65</v>
      </c>
      <c r="H189" s="13" t="n">
        <v>1.28</v>
      </c>
      <c r="I189" s="13" t="n">
        <v>0.7772</v>
      </c>
      <c r="J189" s="13" t="n">
        <v>0.53</v>
      </c>
      <c r="K189" s="12" t="n">
        <f aca="false">ROUND(F189/100*G189*H189*I189/J189,2)</f>
        <v>9028.42</v>
      </c>
      <c r="L189" s="12" t="n">
        <v>9028.42</v>
      </c>
      <c r="M189" s="12" t="n">
        <f aca="false">L189-K189</f>
        <v>0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3775</v>
      </c>
      <c r="B190" s="14" t="s">
        <v>3958</v>
      </c>
      <c r="C190" s="14" t="s">
        <v>230</v>
      </c>
      <c r="D190" s="14" t="s">
        <v>3004</v>
      </c>
      <c r="E190" s="14" t="s">
        <v>56</v>
      </c>
      <c r="F190" s="15" t="n">
        <v>240000</v>
      </c>
      <c r="G190" s="16" t="n">
        <v>0.92</v>
      </c>
      <c r="H190" s="16" t="n">
        <v>1.09</v>
      </c>
      <c r="I190" s="16" t="n">
        <v>0.7772</v>
      </c>
      <c r="J190" s="16" t="n">
        <v>0.53</v>
      </c>
      <c r="K190" s="15" t="n">
        <f aca="false">ROUND(F190/100*G190*H190*I190/J190,2)</f>
        <v>3529.25</v>
      </c>
      <c r="L190" s="15" t="n">
        <v>3529.25</v>
      </c>
      <c r="M190" s="15" t="n">
        <f aca="false">L190-K190</f>
        <v>0</v>
      </c>
      <c r="N190" s="14" t="s">
        <v>61</v>
      </c>
      <c r="O190" s="14" t="s">
        <v>62</v>
      </c>
    </row>
    <row r="191" customFormat="false" ht="15" hidden="false" customHeight="false" outlineLevel="0" collapsed="false">
      <c r="A191" s="3" t="s">
        <v>3794</v>
      </c>
      <c r="B191" s="3" t="s">
        <v>3959</v>
      </c>
      <c r="C191" s="3" t="s">
        <v>188</v>
      </c>
      <c r="D191" s="3" t="s">
        <v>2197</v>
      </c>
      <c r="E191" s="3" t="s">
        <v>74</v>
      </c>
      <c r="F191" s="12" t="n">
        <v>1950000</v>
      </c>
      <c r="G191" s="13" t="n">
        <v>0.38</v>
      </c>
      <c r="H191" s="13" t="n">
        <v>1.35</v>
      </c>
      <c r="I191" s="13" t="n">
        <v>0.7772</v>
      </c>
      <c r="J191" s="13" t="n">
        <v>0.53</v>
      </c>
      <c r="K191" s="12" t="n">
        <f aca="false">ROUND(F191/100*G191*H191*I191/J191,2)</f>
        <v>14669.28</v>
      </c>
      <c r="L191" s="12" t="n">
        <v>14669.28</v>
      </c>
      <c r="M191" s="12" t="n">
        <f aca="false">L191-K191</f>
        <v>0</v>
      </c>
      <c r="N191" s="3" t="s">
        <v>51</v>
      </c>
      <c r="O191" s="3" t="s">
        <v>52</v>
      </c>
    </row>
    <row r="192" customFormat="false" ht="15" hidden="false" customHeight="false" outlineLevel="0" collapsed="false">
      <c r="A192" s="14" t="s">
        <v>3775</v>
      </c>
      <c r="B192" s="14" t="s">
        <v>3960</v>
      </c>
      <c r="C192" s="14" t="s">
        <v>145</v>
      </c>
      <c r="D192" s="14" t="s">
        <v>705</v>
      </c>
      <c r="E192" s="14" t="s">
        <v>56</v>
      </c>
      <c r="F192" s="15" t="n">
        <v>290000</v>
      </c>
      <c r="G192" s="16" t="n">
        <v>0.75</v>
      </c>
      <c r="H192" s="16" t="n">
        <v>0.96</v>
      </c>
      <c r="I192" s="16" t="n">
        <v>0.7772</v>
      </c>
      <c r="J192" s="16" t="n">
        <v>0.53</v>
      </c>
      <c r="K192" s="15" t="n">
        <f aca="false">ROUND(F192/100*G192*H192*I192/J192,2)</f>
        <v>3061.87</v>
      </c>
      <c r="L192" s="15" t="n">
        <v>3061.87</v>
      </c>
      <c r="M192" s="15" t="n">
        <f aca="false">L192-K192</f>
        <v>0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3799</v>
      </c>
      <c r="B193" s="3" t="s">
        <v>3961</v>
      </c>
      <c r="C193" s="3" t="s">
        <v>145</v>
      </c>
      <c r="D193" s="3" t="s">
        <v>1684</v>
      </c>
      <c r="E193" s="3" t="s">
        <v>50</v>
      </c>
      <c r="F193" s="12" t="n">
        <v>500000</v>
      </c>
      <c r="G193" s="13" t="n">
        <v>0.95</v>
      </c>
      <c r="H193" s="13" t="n">
        <v>0.96</v>
      </c>
      <c r="I193" s="13" t="n">
        <v>0.7772</v>
      </c>
      <c r="J193" s="13" t="n">
        <v>0.53</v>
      </c>
      <c r="K193" s="12" t="n">
        <f aca="false">ROUND(F193/100*G193*H193*I193/J193,2)</f>
        <v>6686.85</v>
      </c>
      <c r="L193" s="12" t="n">
        <v>6686.85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3825</v>
      </c>
      <c r="B194" s="14" t="s">
        <v>3962</v>
      </c>
      <c r="C194" s="14" t="s">
        <v>237</v>
      </c>
      <c r="D194" s="14" t="s">
        <v>733</v>
      </c>
      <c r="E194" s="14" t="s">
        <v>56</v>
      </c>
      <c r="F194" s="15" t="n">
        <v>635000</v>
      </c>
      <c r="G194" s="16" t="n">
        <v>0.65</v>
      </c>
      <c r="H194" s="16" t="n">
        <v>1.33</v>
      </c>
      <c r="I194" s="16" t="n">
        <v>0.7772</v>
      </c>
      <c r="J194" s="16" t="n">
        <v>0.53</v>
      </c>
      <c r="K194" s="15" t="n">
        <f aca="false">ROUND(F194/100*G194*H194*I194/J194,2)</f>
        <v>8050</v>
      </c>
      <c r="L194" s="15" t="n">
        <v>8050</v>
      </c>
      <c r="M194" s="15" t="n">
        <f aca="false">L194-K194</f>
        <v>0</v>
      </c>
      <c r="N194" s="14" t="s">
        <v>51</v>
      </c>
      <c r="O194" s="14" t="s">
        <v>52</v>
      </c>
    </row>
    <row r="195" customFormat="false" ht="15" hidden="false" customHeight="false" outlineLevel="0" collapsed="false">
      <c r="A195" s="3" t="s">
        <v>3745</v>
      </c>
      <c r="B195" s="3" t="s">
        <v>3963</v>
      </c>
      <c r="C195" s="3" t="s">
        <v>159</v>
      </c>
      <c r="D195" s="3" t="s">
        <v>3964</v>
      </c>
      <c r="E195" s="3" t="s">
        <v>50</v>
      </c>
      <c r="F195" s="12" t="n">
        <v>710000</v>
      </c>
      <c r="G195" s="13" t="n">
        <v>0.95</v>
      </c>
      <c r="H195" s="13" t="n">
        <v>1.15</v>
      </c>
      <c r="I195" s="13" t="n">
        <v>0.7772</v>
      </c>
      <c r="J195" s="13" t="n">
        <v>0.53</v>
      </c>
      <c r="K195" s="12" t="n">
        <f aca="false">ROUND(F195/100*G195*H195*I195/J195,2)</f>
        <v>11374.62</v>
      </c>
      <c r="L195" s="12" t="n">
        <v>11374.62</v>
      </c>
      <c r="M195" s="12" t="n">
        <f aca="false">L195-K195</f>
        <v>0</v>
      </c>
      <c r="N195" s="3" t="s">
        <v>51</v>
      </c>
      <c r="O195" s="3" t="s">
        <v>52</v>
      </c>
    </row>
    <row r="196" customFormat="false" ht="15" hidden="false" customHeight="false" outlineLevel="0" collapsed="false">
      <c r="A196" s="14" t="s">
        <v>3721</v>
      </c>
      <c r="B196" s="14" t="s">
        <v>3965</v>
      </c>
      <c r="C196" s="14" t="s">
        <v>230</v>
      </c>
      <c r="D196" s="14" t="s">
        <v>256</v>
      </c>
      <c r="E196" s="14" t="s">
        <v>56</v>
      </c>
      <c r="F196" s="15" t="n">
        <v>805000</v>
      </c>
      <c r="G196" s="16" t="n">
        <v>0.65</v>
      </c>
      <c r="H196" s="16" t="n">
        <v>1.09</v>
      </c>
      <c r="I196" s="16" t="n">
        <v>0.7772</v>
      </c>
      <c r="J196" s="16" t="n">
        <v>0.53</v>
      </c>
      <c r="K196" s="15" t="n">
        <f aca="false">ROUND(F196/100*G196*H196*I196/J196,2)</f>
        <v>8363.59</v>
      </c>
      <c r="L196" s="15" t="n">
        <v>8363.59</v>
      </c>
      <c r="M196" s="15" t="n">
        <f aca="false">L196-K196</f>
        <v>0</v>
      </c>
      <c r="N196" s="14" t="s">
        <v>51</v>
      </c>
      <c r="O196" s="14" t="s">
        <v>52</v>
      </c>
    </row>
    <row r="197" customFormat="false" ht="15" hidden="false" customHeight="false" outlineLevel="0" collapsed="false">
      <c r="A197" s="3" t="s">
        <v>3717</v>
      </c>
      <c r="B197" s="3" t="s">
        <v>3966</v>
      </c>
      <c r="C197" s="3" t="s">
        <v>59</v>
      </c>
      <c r="D197" s="3" t="s">
        <v>741</v>
      </c>
      <c r="E197" s="3" t="s">
        <v>56</v>
      </c>
      <c r="F197" s="12" t="n">
        <v>1530000</v>
      </c>
      <c r="G197" s="13" t="n">
        <v>0.55</v>
      </c>
      <c r="H197" s="13" t="n">
        <v>0.97</v>
      </c>
      <c r="I197" s="13" t="n">
        <v>0.7772</v>
      </c>
      <c r="J197" s="13" t="n">
        <v>0.53</v>
      </c>
      <c r="K197" s="12" t="n">
        <f aca="false">ROUND(F197/100*G197*H197*I197/J197,2)</f>
        <v>11969.69</v>
      </c>
      <c r="L197" s="12" t="n">
        <v>11969.69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3794</v>
      </c>
      <c r="B198" s="14" t="s">
        <v>3967</v>
      </c>
      <c r="C198" s="14" t="s">
        <v>136</v>
      </c>
      <c r="D198" s="14" t="s">
        <v>1542</v>
      </c>
      <c r="E198" s="14" t="s">
        <v>56</v>
      </c>
      <c r="F198" s="15" t="n">
        <v>235000</v>
      </c>
      <c r="G198" s="16" t="n">
        <v>0.92</v>
      </c>
      <c r="H198" s="16" t="n">
        <v>1.32</v>
      </c>
      <c r="I198" s="16" t="n">
        <v>0.7772</v>
      </c>
      <c r="J198" s="16" t="n">
        <v>0.53</v>
      </c>
      <c r="K198" s="15" t="n">
        <f aca="false">ROUND(F198/100*G198*H198*I198/J198,2)</f>
        <v>4184.91</v>
      </c>
      <c r="L198" s="15" t="n">
        <v>4184.91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3802</v>
      </c>
      <c r="B199" s="3" t="s">
        <v>3968</v>
      </c>
      <c r="C199" s="3" t="s">
        <v>117</v>
      </c>
      <c r="D199" s="3" t="s">
        <v>180</v>
      </c>
      <c r="E199" s="3" t="s">
        <v>56</v>
      </c>
      <c r="F199" s="12" t="n">
        <v>410000</v>
      </c>
      <c r="G199" s="13" t="n">
        <v>0.75</v>
      </c>
      <c r="H199" s="13" t="n">
        <v>0.91</v>
      </c>
      <c r="I199" s="13" t="n">
        <v>0.7772</v>
      </c>
      <c r="J199" s="13" t="n">
        <v>0.53</v>
      </c>
      <c r="K199" s="12" t="n">
        <f aca="false">ROUND(F199/100*G199*H199*I199/J199,2)</f>
        <v>4103.4</v>
      </c>
      <c r="L199" s="12" t="n">
        <v>4103.4</v>
      </c>
      <c r="M199" s="12" t="n">
        <f aca="false">L199-K199</f>
        <v>0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3717</v>
      </c>
      <c r="B200" s="14" t="s">
        <v>3969</v>
      </c>
      <c r="C200" s="14" t="s">
        <v>193</v>
      </c>
      <c r="D200" s="14" t="s">
        <v>3398</v>
      </c>
      <c r="E200" s="14" t="s">
        <v>56</v>
      </c>
      <c r="F200" s="15" t="n">
        <v>970000</v>
      </c>
      <c r="G200" s="16" t="n">
        <v>0.65</v>
      </c>
      <c r="H200" s="16" t="n">
        <v>1.25</v>
      </c>
      <c r="I200" s="16" t="n">
        <v>0.7772</v>
      </c>
      <c r="J200" s="16" t="n">
        <v>0.53</v>
      </c>
      <c r="K200" s="15" t="n">
        <f aca="false">ROUND(F200/100*G200*H200*I200/J200,2)</f>
        <v>11557.18</v>
      </c>
      <c r="L200" s="15" t="n">
        <v>11557.18</v>
      </c>
      <c r="M200" s="15" t="n">
        <f aca="false">L200-K200</f>
        <v>0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3856</v>
      </c>
      <c r="B201" s="3" t="s">
        <v>3970</v>
      </c>
      <c r="C201" s="3" t="s">
        <v>142</v>
      </c>
      <c r="D201" s="3" t="s">
        <v>937</v>
      </c>
      <c r="E201" s="3" t="s">
        <v>56</v>
      </c>
      <c r="F201" s="12" t="n">
        <v>265000</v>
      </c>
      <c r="G201" s="13" t="n">
        <v>0.75</v>
      </c>
      <c r="H201" s="13" t="n">
        <v>1.22</v>
      </c>
      <c r="I201" s="13" t="n">
        <v>0.7772</v>
      </c>
      <c r="J201" s="13" t="n">
        <v>0.53</v>
      </c>
      <c r="K201" s="12" t="n">
        <f aca="false">ROUND(F201/100*G201*H201*I201/J201,2)</f>
        <v>3555.69</v>
      </c>
      <c r="L201" s="12" t="n">
        <v>3555.69</v>
      </c>
      <c r="M201" s="12" t="n">
        <f aca="false">L201-K201</f>
        <v>0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3739</v>
      </c>
      <c r="B202" s="14" t="s">
        <v>3971</v>
      </c>
      <c r="C202" s="14" t="s">
        <v>326</v>
      </c>
      <c r="D202" s="14" t="s">
        <v>1476</v>
      </c>
      <c r="E202" s="14" t="s">
        <v>50</v>
      </c>
      <c r="F202" s="15" t="n">
        <v>360000</v>
      </c>
      <c r="G202" s="16" t="n">
        <v>1.15</v>
      </c>
      <c r="H202" s="16" t="n">
        <v>1.12</v>
      </c>
      <c r="I202" s="16" t="n">
        <v>0.7772</v>
      </c>
      <c r="J202" s="16" t="n">
        <v>0.53</v>
      </c>
      <c r="K202" s="15" t="n">
        <f aca="false">ROUND(F202/100*G202*H202*I202/J202,2)</f>
        <v>6799.47</v>
      </c>
      <c r="L202" s="15" t="n">
        <v>6799.47</v>
      </c>
      <c r="M202" s="15" t="n">
        <f aca="false">L202-K202</f>
        <v>0</v>
      </c>
      <c r="N202" s="14" t="s">
        <v>51</v>
      </c>
      <c r="O202" s="14" t="s">
        <v>52</v>
      </c>
    </row>
    <row r="203" customFormat="false" ht="15" hidden="false" customHeight="false" outlineLevel="0" collapsed="false">
      <c r="A203" s="3" t="s">
        <v>3745</v>
      </c>
      <c r="B203" s="3" t="s">
        <v>3972</v>
      </c>
      <c r="C203" s="3" t="s">
        <v>193</v>
      </c>
      <c r="D203" s="3" t="s">
        <v>1039</v>
      </c>
      <c r="E203" s="3" t="s">
        <v>74</v>
      </c>
      <c r="F203" s="12" t="n">
        <v>805000</v>
      </c>
      <c r="G203" s="13" t="n">
        <v>0.43</v>
      </c>
      <c r="H203" s="13" t="n">
        <v>1.25</v>
      </c>
      <c r="I203" s="13" t="n">
        <v>0.7772</v>
      </c>
      <c r="J203" s="13" t="n">
        <v>0.53</v>
      </c>
      <c r="K203" s="12" t="n">
        <f aca="false">ROUND(F203/100*G203*H203*I203/J203,2)</f>
        <v>6344.99</v>
      </c>
      <c r="L203" s="12" t="n">
        <v>6345</v>
      </c>
      <c r="M203" s="12" t="n">
        <f aca="false">L203-K203</f>
        <v>0.0100000000002183</v>
      </c>
      <c r="N203" s="3" t="s">
        <v>70</v>
      </c>
      <c r="O203" s="3" t="s">
        <v>52</v>
      </c>
    </row>
    <row r="204" customFormat="false" ht="15" hidden="false" customHeight="false" outlineLevel="0" collapsed="false">
      <c r="A204" s="14" t="s">
        <v>3881</v>
      </c>
      <c r="B204" s="14" t="s">
        <v>3973</v>
      </c>
      <c r="C204" s="14" t="s">
        <v>131</v>
      </c>
      <c r="D204" s="14" t="s">
        <v>2260</v>
      </c>
      <c r="E204" s="14" t="s">
        <v>56</v>
      </c>
      <c r="F204" s="15" t="n">
        <v>435000</v>
      </c>
      <c r="G204" s="16" t="n">
        <v>0.75</v>
      </c>
      <c r="H204" s="16" t="n">
        <v>0.95</v>
      </c>
      <c r="I204" s="16" t="n">
        <v>0.7772</v>
      </c>
      <c r="J204" s="16" t="n">
        <v>0.53</v>
      </c>
      <c r="K204" s="15" t="n">
        <f aca="false">ROUND(F204/100*G204*H204*I204/J204,2)</f>
        <v>4544.97</v>
      </c>
      <c r="L204" s="15" t="n">
        <v>4544.97</v>
      </c>
      <c r="M204" s="15" t="n">
        <f aca="false">L204-K204</f>
        <v>0</v>
      </c>
      <c r="N204" s="14" t="s">
        <v>51</v>
      </c>
      <c r="O204" s="14" t="s">
        <v>52</v>
      </c>
    </row>
    <row r="205" customFormat="false" ht="15" hidden="false" customHeight="false" outlineLevel="0" collapsed="false">
      <c r="A205" s="3" t="s">
        <v>3741</v>
      </c>
      <c r="B205" s="3" t="s">
        <v>3974</v>
      </c>
      <c r="C205" s="3" t="s">
        <v>131</v>
      </c>
      <c r="D205" s="3" t="s">
        <v>1612</v>
      </c>
      <c r="E205" s="3" t="s">
        <v>56</v>
      </c>
      <c r="F205" s="12" t="n">
        <v>805000</v>
      </c>
      <c r="G205" s="13" t="n">
        <v>0.65</v>
      </c>
      <c r="H205" s="13" t="n">
        <v>0.95</v>
      </c>
      <c r="I205" s="13" t="n">
        <v>0.7772</v>
      </c>
      <c r="J205" s="13" t="n">
        <v>0.53</v>
      </c>
      <c r="K205" s="12" t="n">
        <f aca="false">ROUND(F205/100*G205*H205*I205/J205,2)</f>
        <v>7289.37</v>
      </c>
      <c r="L205" s="12" t="n">
        <v>7289.37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3856</v>
      </c>
      <c r="B206" s="14" t="s">
        <v>3975</v>
      </c>
      <c r="C206" s="14" t="s">
        <v>237</v>
      </c>
      <c r="D206" s="14" t="s">
        <v>2630</v>
      </c>
      <c r="E206" s="14" t="s">
        <v>50</v>
      </c>
      <c r="F206" s="15" t="n">
        <v>1215000</v>
      </c>
      <c r="G206" s="16" t="n">
        <v>0.8</v>
      </c>
      <c r="H206" s="16" t="n">
        <v>1.33</v>
      </c>
      <c r="I206" s="16" t="n">
        <v>0.7772</v>
      </c>
      <c r="J206" s="16" t="n">
        <v>0.53</v>
      </c>
      <c r="K206" s="15" t="n">
        <f aca="false">ROUND(F206/100*G206*H206*I206/J206,2)</f>
        <v>18957.23</v>
      </c>
      <c r="L206" s="15" t="n">
        <v>18957.23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3759</v>
      </c>
      <c r="B207" s="3" t="s">
        <v>3976</v>
      </c>
      <c r="C207" s="3" t="s">
        <v>152</v>
      </c>
      <c r="D207" s="3" t="s">
        <v>1175</v>
      </c>
      <c r="E207" s="3" t="s">
        <v>56</v>
      </c>
      <c r="F207" s="12" t="n">
        <v>1170000</v>
      </c>
      <c r="G207" s="13" t="n">
        <v>0.55</v>
      </c>
      <c r="H207" s="13" t="n">
        <v>1</v>
      </c>
      <c r="I207" s="13" t="n">
        <v>0.7772</v>
      </c>
      <c r="J207" s="13" t="n">
        <v>0.53</v>
      </c>
      <c r="K207" s="12" t="n">
        <f aca="false">ROUND(F207/100*G207*H207*I207/J207,2)</f>
        <v>9436.38</v>
      </c>
      <c r="L207" s="12" t="n">
        <v>9436.38</v>
      </c>
      <c r="M207" s="12" t="n">
        <f aca="false">L207-K207</f>
        <v>0</v>
      </c>
      <c r="N207" s="3" t="s">
        <v>51</v>
      </c>
      <c r="O207" s="3" t="s">
        <v>52</v>
      </c>
    </row>
    <row r="208" customFormat="false" ht="15" hidden="false" customHeight="false" outlineLevel="0" collapsed="false">
      <c r="A208" s="14" t="s">
        <v>3727</v>
      </c>
      <c r="B208" s="14" t="s">
        <v>3977</v>
      </c>
      <c r="C208" s="14" t="s">
        <v>152</v>
      </c>
      <c r="D208" s="14" t="s">
        <v>2929</v>
      </c>
      <c r="E208" s="14" t="s">
        <v>56</v>
      </c>
      <c r="F208" s="15" t="n">
        <v>490000</v>
      </c>
      <c r="G208" s="16" t="n">
        <v>0.75</v>
      </c>
      <c r="H208" s="16" t="n">
        <v>1</v>
      </c>
      <c r="I208" s="16" t="n">
        <v>0.7772</v>
      </c>
      <c r="J208" s="16" t="n">
        <v>0.53</v>
      </c>
      <c r="K208" s="15" t="n">
        <f aca="false">ROUND(F208/100*G208*H208*I208/J208,2)</f>
        <v>5389.08</v>
      </c>
      <c r="L208" s="15" t="n">
        <v>5389.07</v>
      </c>
      <c r="M208" s="15" t="n">
        <f aca="false">L208-K208</f>
        <v>-0.0100000000002183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3757</v>
      </c>
      <c r="B209" s="3" t="s">
        <v>3978</v>
      </c>
      <c r="C209" s="3" t="s">
        <v>193</v>
      </c>
      <c r="D209" s="3" t="s">
        <v>3585</v>
      </c>
      <c r="E209" s="3" t="s">
        <v>56</v>
      </c>
      <c r="F209" s="12" t="n">
        <v>390000</v>
      </c>
      <c r="G209" s="13" t="n">
        <v>0.75</v>
      </c>
      <c r="H209" s="13" t="n">
        <v>1.25</v>
      </c>
      <c r="I209" s="13" t="n">
        <v>0.7772</v>
      </c>
      <c r="J209" s="13" t="n">
        <v>0.53</v>
      </c>
      <c r="K209" s="12" t="n">
        <f aca="false">ROUND(F209/100*G209*H209*I209/J209,2)</f>
        <v>5361.58</v>
      </c>
      <c r="L209" s="12" t="n">
        <v>5361.58</v>
      </c>
      <c r="M209" s="12" t="n">
        <f aca="false">L209-K209</f>
        <v>0</v>
      </c>
      <c r="N209" s="3" t="s">
        <v>61</v>
      </c>
      <c r="O209" s="3" t="s">
        <v>62</v>
      </c>
    </row>
    <row r="210" customFormat="false" ht="15" hidden="false" customHeight="false" outlineLevel="0" collapsed="false">
      <c r="A210" s="14" t="s">
        <v>3715</v>
      </c>
      <c r="B210" s="14" t="s">
        <v>3979</v>
      </c>
      <c r="C210" s="14" t="s">
        <v>89</v>
      </c>
      <c r="D210" s="14" t="s">
        <v>2420</v>
      </c>
      <c r="E210" s="14" t="s">
        <v>50</v>
      </c>
      <c r="F210" s="15" t="n">
        <v>1910000</v>
      </c>
      <c r="G210" s="16" t="n">
        <v>0.8</v>
      </c>
      <c r="H210" s="16" t="n">
        <v>1.35</v>
      </c>
      <c r="I210" s="16" t="n">
        <v>0.7772</v>
      </c>
      <c r="J210" s="16" t="n">
        <v>0.53</v>
      </c>
      <c r="K210" s="15" t="n">
        <f aca="false">ROUND(F210/100*G210*H210*I210/J210,2)</f>
        <v>30249.21</v>
      </c>
      <c r="L210" s="15" t="n">
        <v>30249.21</v>
      </c>
      <c r="M210" s="15" t="n">
        <f aca="false">L210-K210</f>
        <v>0</v>
      </c>
      <c r="N210" s="14" t="s">
        <v>70</v>
      </c>
      <c r="O210" s="14" t="s">
        <v>52</v>
      </c>
    </row>
    <row r="211" customFormat="false" ht="15" hidden="false" customHeight="false" outlineLevel="0" collapsed="false">
      <c r="A211" s="3" t="s">
        <v>3729</v>
      </c>
      <c r="B211" s="3" t="s">
        <v>3980</v>
      </c>
      <c r="C211" s="3" t="s">
        <v>220</v>
      </c>
      <c r="D211" s="3" t="s">
        <v>170</v>
      </c>
      <c r="E211" s="3" t="s">
        <v>56</v>
      </c>
      <c r="F211" s="12" t="n">
        <v>965000</v>
      </c>
      <c r="G211" s="13" t="n">
        <v>0.65</v>
      </c>
      <c r="H211" s="13" t="n">
        <v>1.01</v>
      </c>
      <c r="I211" s="13" t="n">
        <v>0.7772</v>
      </c>
      <c r="J211" s="13" t="n">
        <v>0.53</v>
      </c>
      <c r="K211" s="12" t="n">
        <f aca="false">ROUND(F211/100*G211*H211*I211/J211,2)</f>
        <v>9290.07</v>
      </c>
      <c r="L211" s="12" t="n">
        <v>9290.07</v>
      </c>
      <c r="M211" s="12" t="n">
        <f aca="false">L211-K211</f>
        <v>0</v>
      </c>
      <c r="N211" s="3" t="s">
        <v>51</v>
      </c>
      <c r="O211" s="3" t="s">
        <v>52</v>
      </c>
    </row>
    <row r="212" customFormat="false" ht="15" hidden="false" customHeight="false" outlineLevel="0" collapsed="false">
      <c r="A212" s="14" t="s">
        <v>3741</v>
      </c>
      <c r="B212" s="14" t="s">
        <v>3981</v>
      </c>
      <c r="C212" s="14" t="s">
        <v>81</v>
      </c>
      <c r="D212" s="14" t="s">
        <v>946</v>
      </c>
      <c r="E212" s="14" t="s">
        <v>56</v>
      </c>
      <c r="F212" s="15" t="n">
        <v>715000</v>
      </c>
      <c r="G212" s="16" t="n">
        <v>0.65</v>
      </c>
      <c r="H212" s="16" t="n">
        <v>1.27</v>
      </c>
      <c r="I212" s="16" t="n">
        <v>0.7772</v>
      </c>
      <c r="J212" s="16" t="n">
        <v>0.53</v>
      </c>
      <c r="K212" s="15" t="n">
        <f aca="false">ROUND(F212/100*G212*H212*I212/J212,2)</f>
        <v>8655.26</v>
      </c>
      <c r="L212" s="15" t="n">
        <v>8655.26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3802</v>
      </c>
      <c r="B213" s="3" t="s">
        <v>3982</v>
      </c>
      <c r="C213" s="3" t="s">
        <v>105</v>
      </c>
      <c r="D213" s="3" t="s">
        <v>1201</v>
      </c>
      <c r="E213" s="3" t="s">
        <v>56</v>
      </c>
      <c r="F213" s="12" t="n">
        <v>365000</v>
      </c>
      <c r="G213" s="13" t="n">
        <v>0.75</v>
      </c>
      <c r="H213" s="13" t="n">
        <v>0.99</v>
      </c>
      <c r="I213" s="13" t="n">
        <v>0.7772</v>
      </c>
      <c r="J213" s="13" t="n">
        <v>0.53</v>
      </c>
      <c r="K213" s="12" t="n">
        <f aca="false">ROUND(F213/100*G213*H213*I213/J213,2)</f>
        <v>3974.17</v>
      </c>
      <c r="L213" s="12" t="n">
        <v>3974.17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3983</v>
      </c>
      <c r="B214" s="14" t="s">
        <v>3984</v>
      </c>
      <c r="C214" s="14" t="s">
        <v>311</v>
      </c>
      <c r="D214" s="14" t="s">
        <v>1645</v>
      </c>
      <c r="E214" s="14" t="s">
        <v>74</v>
      </c>
      <c r="F214" s="15" t="n">
        <v>695000</v>
      </c>
      <c r="G214" s="16" t="n">
        <v>0.43</v>
      </c>
      <c r="H214" s="16" t="n">
        <v>1.06</v>
      </c>
      <c r="I214" s="16" t="n">
        <v>0.7772</v>
      </c>
      <c r="J214" s="16" t="n">
        <v>0.53</v>
      </c>
      <c r="K214" s="15" t="n">
        <f aca="false">ROUND(F214/100*G214*H214*I214/J214,2)</f>
        <v>4645.32</v>
      </c>
      <c r="L214" s="15" t="n">
        <v>4645.32</v>
      </c>
      <c r="M214" s="15" t="n">
        <f aca="false">L214-K214</f>
        <v>0</v>
      </c>
      <c r="N214" s="14" t="s">
        <v>51</v>
      </c>
      <c r="O214" s="14" t="s">
        <v>52</v>
      </c>
    </row>
    <row r="215" customFormat="false" ht="15" hidden="false" customHeight="false" outlineLevel="0" collapsed="false">
      <c r="A215" s="3" t="s">
        <v>3794</v>
      </c>
      <c r="B215" s="3" t="s">
        <v>3985</v>
      </c>
      <c r="C215" s="3" t="s">
        <v>114</v>
      </c>
      <c r="D215" s="3" t="s">
        <v>802</v>
      </c>
      <c r="E215" s="3" t="s">
        <v>56</v>
      </c>
      <c r="F215" s="12" t="n">
        <v>460000</v>
      </c>
      <c r="G215" s="13" t="n">
        <v>0.75</v>
      </c>
      <c r="H215" s="13" t="n">
        <v>1.36</v>
      </c>
      <c r="I215" s="13" t="n">
        <v>0.7772</v>
      </c>
      <c r="J215" s="13" t="n">
        <v>0.53</v>
      </c>
      <c r="K215" s="12" t="n">
        <f aca="false">ROUND(F215/100*G215*H215*I215/J215,2)</f>
        <v>6880.42</v>
      </c>
      <c r="L215" s="12" t="n">
        <v>6880.42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3794</v>
      </c>
      <c r="B216" s="14" t="s">
        <v>3986</v>
      </c>
      <c r="C216" s="14" t="s">
        <v>120</v>
      </c>
      <c r="D216" s="14" t="s">
        <v>608</v>
      </c>
      <c r="E216" s="14" t="s">
        <v>56</v>
      </c>
      <c r="F216" s="15" t="n">
        <v>480000</v>
      </c>
      <c r="G216" s="16" t="n">
        <v>0.75</v>
      </c>
      <c r="H216" s="16" t="n">
        <v>1.15</v>
      </c>
      <c r="I216" s="16" t="n">
        <v>0.7772</v>
      </c>
      <c r="J216" s="16" t="n">
        <v>0.53</v>
      </c>
      <c r="K216" s="15" t="n">
        <f aca="false">ROUND(F216/100*G216*H216*I216/J216,2)</f>
        <v>6070.96</v>
      </c>
      <c r="L216" s="15" t="n">
        <v>6070.96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3752</v>
      </c>
      <c r="B217" s="3" t="s">
        <v>3987</v>
      </c>
      <c r="C217" s="3" t="s">
        <v>68</v>
      </c>
      <c r="D217" s="3" t="s">
        <v>3988</v>
      </c>
      <c r="E217" s="3" t="s">
        <v>74</v>
      </c>
      <c r="F217" s="12" t="n">
        <v>345000</v>
      </c>
      <c r="G217" s="13" t="n">
        <v>0.48</v>
      </c>
      <c r="H217" s="13" t="n">
        <v>1.38</v>
      </c>
      <c r="I217" s="13" t="n">
        <v>0.7772</v>
      </c>
      <c r="J217" s="13" t="n">
        <v>0.53</v>
      </c>
      <c r="K217" s="12" t="n">
        <f aca="false">ROUND(F217/100*G217*H217*I217/J217,2)</f>
        <v>3351.17</v>
      </c>
      <c r="L217" s="12" t="n">
        <v>3351.17</v>
      </c>
      <c r="M217" s="12" t="n">
        <f aca="false">L217-K217</f>
        <v>0</v>
      </c>
      <c r="N217" s="3" t="s">
        <v>51</v>
      </c>
      <c r="O217" s="3" t="s">
        <v>52</v>
      </c>
    </row>
    <row r="218" customFormat="false" ht="15" hidden="false" customHeight="false" outlineLevel="0" collapsed="false">
      <c r="A218" s="14" t="s">
        <v>3791</v>
      </c>
      <c r="B218" s="14" t="s">
        <v>3989</v>
      </c>
      <c r="C218" s="14" t="s">
        <v>311</v>
      </c>
      <c r="D218" s="14" t="s">
        <v>1542</v>
      </c>
      <c r="E218" s="14" t="s">
        <v>56</v>
      </c>
      <c r="F218" s="15" t="n">
        <v>365000</v>
      </c>
      <c r="G218" s="16" t="n">
        <v>0.75</v>
      </c>
      <c r="H218" s="16" t="n">
        <v>1.06</v>
      </c>
      <c r="I218" s="16" t="n">
        <v>0.7772</v>
      </c>
      <c r="J218" s="16" t="n">
        <v>0.53</v>
      </c>
      <c r="K218" s="15" t="n">
        <f aca="false">ROUND(F218/100*G218*H218*I218/J218,2)</f>
        <v>4255.17</v>
      </c>
      <c r="L218" s="15" t="n">
        <v>4255.17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3775</v>
      </c>
      <c r="B219" s="3" t="s">
        <v>3990</v>
      </c>
      <c r="C219" s="3" t="s">
        <v>193</v>
      </c>
      <c r="D219" s="3" t="s">
        <v>2006</v>
      </c>
      <c r="E219" s="3" t="s">
        <v>56</v>
      </c>
      <c r="F219" s="12" t="n">
        <v>190000</v>
      </c>
      <c r="G219" s="13" t="n">
        <v>0.92</v>
      </c>
      <c r="H219" s="13" t="n">
        <v>1.25</v>
      </c>
      <c r="I219" s="13" t="n">
        <v>0.7772</v>
      </c>
      <c r="J219" s="13" t="n">
        <v>0.53</v>
      </c>
      <c r="K219" s="12" t="n">
        <f aca="false">ROUND(F219/100*G219*H219*I219/J219,2)</f>
        <v>3204.12</v>
      </c>
      <c r="L219" s="12" t="n">
        <v>3204.12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3736</v>
      </c>
      <c r="B220" s="14" t="s">
        <v>3991</v>
      </c>
      <c r="C220" s="14" t="s">
        <v>159</v>
      </c>
      <c r="D220" s="14" t="s">
        <v>540</v>
      </c>
      <c r="E220" s="14" t="s">
        <v>56</v>
      </c>
      <c r="F220" s="15" t="n">
        <v>470000</v>
      </c>
      <c r="G220" s="16" t="n">
        <v>0.75</v>
      </c>
      <c r="H220" s="16" t="n">
        <v>1.15</v>
      </c>
      <c r="I220" s="16" t="n">
        <v>0.7772</v>
      </c>
      <c r="J220" s="16" t="n">
        <v>0.53</v>
      </c>
      <c r="K220" s="15" t="n">
        <f aca="false">ROUND(F220/100*G220*H220*I220/J220,2)</f>
        <v>5944.48</v>
      </c>
      <c r="L220" s="15" t="n">
        <v>5944.48</v>
      </c>
      <c r="M220" s="15" t="n">
        <f aca="false">L220-K220</f>
        <v>0</v>
      </c>
      <c r="N220" s="14" t="s">
        <v>51</v>
      </c>
      <c r="O220" s="14" t="s">
        <v>52</v>
      </c>
    </row>
    <row r="221" customFormat="false" ht="15" hidden="false" customHeight="false" outlineLevel="0" collapsed="false">
      <c r="A221" s="3" t="s">
        <v>3717</v>
      </c>
      <c r="B221" s="3" t="s">
        <v>3992</v>
      </c>
      <c r="C221" s="3" t="s">
        <v>174</v>
      </c>
      <c r="D221" s="3" t="s">
        <v>331</v>
      </c>
      <c r="E221" s="3" t="s">
        <v>56</v>
      </c>
      <c r="F221" s="12" t="n">
        <v>1385000</v>
      </c>
      <c r="G221" s="13" t="n">
        <v>0.55</v>
      </c>
      <c r="H221" s="13" t="n">
        <v>1.55</v>
      </c>
      <c r="I221" s="13" t="n">
        <v>0.7772</v>
      </c>
      <c r="J221" s="13" t="n">
        <v>0.53</v>
      </c>
      <c r="K221" s="12" t="n">
        <f aca="false">ROUND(F221/100*G221*H221*I221/J221,2)</f>
        <v>17314.15</v>
      </c>
      <c r="L221" s="12" t="n">
        <v>17314.14</v>
      </c>
      <c r="M221" s="12" t="n">
        <f aca="false">L221-K221</f>
        <v>-0.0100000000020373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3739</v>
      </c>
      <c r="B222" s="14" t="s">
        <v>3993</v>
      </c>
      <c r="C222" s="14" t="s">
        <v>93</v>
      </c>
      <c r="D222" s="14" t="s">
        <v>3994</v>
      </c>
      <c r="E222" s="14" t="s">
        <v>157</v>
      </c>
      <c r="F222" s="15" t="n">
        <v>430000</v>
      </c>
      <c r="G222" s="16" t="n">
        <v>0.88</v>
      </c>
      <c r="H222" s="16" t="n">
        <v>1.39</v>
      </c>
      <c r="I222" s="16" t="n">
        <v>0.7772</v>
      </c>
      <c r="J222" s="16" t="n">
        <v>0.53</v>
      </c>
      <c r="K222" s="15" t="n">
        <f aca="false">ROUND(F222/100*G222*H222*I222/J222,2)</f>
        <v>7712.99</v>
      </c>
      <c r="L222" s="15" t="n">
        <v>7712.99</v>
      </c>
      <c r="M222" s="15" t="n">
        <f aca="false">L222-K222</f>
        <v>0</v>
      </c>
      <c r="N222" s="14" t="s">
        <v>51</v>
      </c>
      <c r="O222" s="14" t="s">
        <v>52</v>
      </c>
    </row>
    <row r="223" customFormat="false" ht="15" hidden="false" customHeight="false" outlineLevel="0" collapsed="false">
      <c r="A223" s="3" t="s">
        <v>3725</v>
      </c>
      <c r="B223" s="3" t="s">
        <v>3995</v>
      </c>
      <c r="C223" s="3" t="s">
        <v>326</v>
      </c>
      <c r="D223" s="3" t="s">
        <v>360</v>
      </c>
      <c r="E223" s="3" t="s">
        <v>56</v>
      </c>
      <c r="F223" s="12" t="n">
        <v>610000</v>
      </c>
      <c r="G223" s="13" t="n">
        <v>0.65</v>
      </c>
      <c r="H223" s="13" t="n">
        <v>1.12</v>
      </c>
      <c r="I223" s="13" t="n">
        <v>0.7772</v>
      </c>
      <c r="J223" s="13" t="n">
        <v>0.53</v>
      </c>
      <c r="K223" s="12" t="n">
        <f aca="false">ROUND(F223/100*G223*H223*I223/J223,2)</f>
        <v>6512.06</v>
      </c>
      <c r="L223" s="12" t="n">
        <v>6512.06</v>
      </c>
      <c r="M223" s="12" t="n">
        <f aca="false">L223-K223</f>
        <v>0</v>
      </c>
      <c r="N223" s="3" t="s">
        <v>61</v>
      </c>
      <c r="O223" s="3" t="s">
        <v>62</v>
      </c>
    </row>
    <row r="224" customFormat="false" ht="15" hidden="false" customHeight="false" outlineLevel="0" collapsed="false">
      <c r="A224" s="14" t="s">
        <v>3739</v>
      </c>
      <c r="B224" s="14" t="s">
        <v>3996</v>
      </c>
      <c r="C224" s="14" t="s">
        <v>887</v>
      </c>
      <c r="D224" s="14" t="s">
        <v>550</v>
      </c>
      <c r="E224" s="14" t="s">
        <v>56</v>
      </c>
      <c r="F224" s="15" t="n">
        <v>370000</v>
      </c>
      <c r="G224" s="16" t="n">
        <v>0.75</v>
      </c>
      <c r="H224" s="16" t="n">
        <v>1.37</v>
      </c>
      <c r="I224" s="16" t="n">
        <v>0.7772</v>
      </c>
      <c r="J224" s="16" t="n">
        <v>0.53</v>
      </c>
      <c r="K224" s="15" t="n">
        <f aca="false">ROUND(F224/100*G224*H224*I224/J224,2)</f>
        <v>5574.94</v>
      </c>
      <c r="L224" s="15" t="n">
        <v>5574.94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3769</v>
      </c>
      <c r="B225" s="3" t="s">
        <v>3997</v>
      </c>
      <c r="C225" s="3" t="s">
        <v>193</v>
      </c>
      <c r="D225" s="3" t="s">
        <v>400</v>
      </c>
      <c r="E225" s="3" t="s">
        <v>56</v>
      </c>
      <c r="F225" s="12" t="n">
        <v>305000</v>
      </c>
      <c r="G225" s="13" t="n">
        <v>0.75</v>
      </c>
      <c r="H225" s="13" t="n">
        <v>1.25</v>
      </c>
      <c r="I225" s="13" t="n">
        <v>0.7772</v>
      </c>
      <c r="J225" s="13" t="n">
        <v>0.53</v>
      </c>
      <c r="K225" s="12" t="n">
        <f aca="false">ROUND(F225/100*G225*H225*I225/J225,2)</f>
        <v>4193.03</v>
      </c>
      <c r="L225" s="12" t="n">
        <v>4193.03</v>
      </c>
      <c r="M225" s="12" t="n">
        <f aca="false">L225-K225</f>
        <v>0</v>
      </c>
      <c r="N225" s="3" t="s">
        <v>70</v>
      </c>
      <c r="O225" s="3" t="s">
        <v>52</v>
      </c>
    </row>
    <row r="226" customFormat="false" ht="15" hidden="false" customHeight="false" outlineLevel="0" collapsed="false">
      <c r="A226" s="14" t="s">
        <v>3739</v>
      </c>
      <c r="B226" s="14" t="s">
        <v>3998</v>
      </c>
      <c r="C226" s="14" t="s">
        <v>409</v>
      </c>
      <c r="D226" s="14" t="s">
        <v>2802</v>
      </c>
      <c r="E226" s="14" t="s">
        <v>50</v>
      </c>
      <c r="F226" s="15" t="n">
        <v>1330000</v>
      </c>
      <c r="G226" s="16" t="n">
        <v>0.8</v>
      </c>
      <c r="H226" s="16" t="n">
        <v>1.3</v>
      </c>
      <c r="I226" s="16" t="n">
        <v>0.7772</v>
      </c>
      <c r="J226" s="16" t="n">
        <v>0.53</v>
      </c>
      <c r="K226" s="15" t="n">
        <f aca="false">ROUND(F226/100*G226*H226*I226/J226,2)</f>
        <v>20283.45</v>
      </c>
      <c r="L226" s="15" t="n">
        <v>20283.45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3739</v>
      </c>
      <c r="B227" s="3" t="s">
        <v>3999</v>
      </c>
      <c r="C227" s="3" t="s">
        <v>275</v>
      </c>
      <c r="D227" s="3" t="s">
        <v>1754</v>
      </c>
      <c r="E227" s="3" t="s">
        <v>56</v>
      </c>
      <c r="F227" s="12" t="n">
        <v>280000</v>
      </c>
      <c r="G227" s="13" t="n">
        <v>0.75</v>
      </c>
      <c r="H227" s="13" t="n">
        <v>1.19</v>
      </c>
      <c r="I227" s="13" t="n">
        <v>0.7772</v>
      </c>
      <c r="J227" s="13" t="n">
        <v>0.53</v>
      </c>
      <c r="K227" s="12" t="n">
        <f aca="false">ROUND(F227/100*G227*H227*I227/J227,2)</f>
        <v>3664.57</v>
      </c>
      <c r="L227" s="12" t="n">
        <v>3664.57</v>
      </c>
      <c r="M227" s="12" t="n">
        <f aca="false">L227-K227</f>
        <v>0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3773</v>
      </c>
      <c r="B228" s="14" t="s">
        <v>4000</v>
      </c>
      <c r="C228" s="14" t="s">
        <v>417</v>
      </c>
      <c r="D228" s="14" t="s">
        <v>933</v>
      </c>
      <c r="E228" s="14" t="s">
        <v>56</v>
      </c>
      <c r="F228" s="15" t="n">
        <v>960000</v>
      </c>
      <c r="G228" s="16" t="n">
        <v>0.65</v>
      </c>
      <c r="H228" s="16" t="n">
        <v>1.24</v>
      </c>
      <c r="I228" s="16" t="n">
        <v>0.7772</v>
      </c>
      <c r="J228" s="16" t="n">
        <v>0.53</v>
      </c>
      <c r="K228" s="15" t="n">
        <f aca="false">ROUND(F228/100*G228*H228*I228/J228,2)</f>
        <v>11346.53</v>
      </c>
      <c r="L228" s="15" t="n">
        <v>11346.54</v>
      </c>
      <c r="M228" s="15" t="n">
        <f aca="false">L228-K228</f>
        <v>0.0100000000002183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3775</v>
      </c>
      <c r="B229" s="3" t="s">
        <v>4001</v>
      </c>
      <c r="C229" s="3" t="s">
        <v>174</v>
      </c>
      <c r="D229" s="3" t="s">
        <v>1440</v>
      </c>
      <c r="E229" s="3" t="s">
        <v>56</v>
      </c>
      <c r="F229" s="12" t="n">
        <v>310000</v>
      </c>
      <c r="G229" s="13" t="n">
        <v>0.75</v>
      </c>
      <c r="H229" s="13" t="n">
        <v>1.55</v>
      </c>
      <c r="I229" s="13" t="n">
        <v>0.7772</v>
      </c>
      <c r="J229" s="13" t="n">
        <v>0.53</v>
      </c>
      <c r="K229" s="12" t="n">
        <f aca="false">ROUND(F229/100*G229*H229*I229/J229,2)</f>
        <v>5284.59</v>
      </c>
      <c r="L229" s="12" t="n">
        <v>5284.59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3749</v>
      </c>
      <c r="B230" s="14" t="s">
        <v>4002</v>
      </c>
      <c r="C230" s="14" t="s">
        <v>184</v>
      </c>
      <c r="D230" s="14" t="s">
        <v>3850</v>
      </c>
      <c r="E230" s="14" t="s">
        <v>74</v>
      </c>
      <c r="F230" s="15" t="n">
        <v>535000</v>
      </c>
      <c r="G230" s="16" t="n">
        <v>0.43</v>
      </c>
      <c r="H230" s="16" t="n">
        <v>1.02</v>
      </c>
      <c r="I230" s="16" t="n">
        <v>0.7772</v>
      </c>
      <c r="J230" s="16" t="n">
        <v>0.53</v>
      </c>
      <c r="K230" s="15" t="n">
        <f aca="false">ROUND(F230/100*G230*H230*I230/J230,2)</f>
        <v>3440.96</v>
      </c>
      <c r="L230" s="15" t="n">
        <v>3440.96</v>
      </c>
      <c r="M230" s="15" t="n">
        <f aca="false">L230-K230</f>
        <v>0</v>
      </c>
      <c r="N230" s="14" t="s">
        <v>51</v>
      </c>
      <c r="O230" s="14" t="s">
        <v>52</v>
      </c>
    </row>
    <row r="231" customFormat="false" ht="15" hidden="false" customHeight="false" outlineLevel="0" collapsed="false">
      <c r="A231" s="3" t="s">
        <v>3749</v>
      </c>
      <c r="B231" s="3" t="s">
        <v>4003</v>
      </c>
      <c r="C231" s="3" t="s">
        <v>85</v>
      </c>
      <c r="D231" s="3" t="s">
        <v>281</v>
      </c>
      <c r="E231" s="3" t="s">
        <v>56</v>
      </c>
      <c r="F231" s="12" t="n">
        <v>570000</v>
      </c>
      <c r="G231" s="13" t="n">
        <v>0.65</v>
      </c>
      <c r="H231" s="13" t="n">
        <v>1.28</v>
      </c>
      <c r="I231" s="13" t="n">
        <v>0.7772</v>
      </c>
      <c r="J231" s="13" t="n">
        <v>0.53</v>
      </c>
      <c r="K231" s="12" t="n">
        <f aca="false">ROUND(F231/100*G231*H231*I231/J231,2)</f>
        <v>6954.33</v>
      </c>
      <c r="L231" s="12" t="n">
        <v>6954.32</v>
      </c>
      <c r="M231" s="12" t="n">
        <f aca="false">L231-K231</f>
        <v>-0.0100000000002183</v>
      </c>
      <c r="N231" s="3" t="s">
        <v>51</v>
      </c>
      <c r="O231" s="3" t="s">
        <v>52</v>
      </c>
    </row>
    <row r="232" customFormat="false" ht="15" hidden="false" customHeight="false" outlineLevel="0" collapsed="false">
      <c r="A232" s="14" t="s">
        <v>3736</v>
      </c>
      <c r="B232" s="14" t="s">
        <v>4004</v>
      </c>
      <c r="C232" s="14" t="s">
        <v>300</v>
      </c>
      <c r="D232" s="14" t="s">
        <v>4005</v>
      </c>
      <c r="E232" s="14" t="s">
        <v>50</v>
      </c>
      <c r="F232" s="15" t="n">
        <v>305000</v>
      </c>
      <c r="G232" s="16" t="n">
        <v>1.15</v>
      </c>
      <c r="H232" s="16" t="n">
        <v>1.11</v>
      </c>
      <c r="I232" s="16" t="n">
        <v>0.7772</v>
      </c>
      <c r="J232" s="16" t="n">
        <v>0.53</v>
      </c>
      <c r="K232" s="15" t="n">
        <f aca="false">ROUND(F232/100*G232*H232*I232/J232,2)</f>
        <v>5709.23</v>
      </c>
      <c r="L232" s="15" t="n">
        <v>5709.23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3775</v>
      </c>
      <c r="B233" s="3" t="s">
        <v>4006</v>
      </c>
      <c r="C233" s="3" t="s">
        <v>85</v>
      </c>
      <c r="D233" s="3" t="s">
        <v>1240</v>
      </c>
      <c r="E233" s="3" t="s">
        <v>74</v>
      </c>
      <c r="F233" s="12" t="n">
        <v>1135000</v>
      </c>
      <c r="G233" s="13" t="n">
        <v>0.38</v>
      </c>
      <c r="H233" s="13" t="n">
        <v>1.28</v>
      </c>
      <c r="I233" s="13" t="n">
        <v>0.7772</v>
      </c>
      <c r="J233" s="13" t="n">
        <v>0.53</v>
      </c>
      <c r="K233" s="12" t="n">
        <f aca="false">ROUND(F233/100*G233*H233*I233/J233,2)</f>
        <v>8095.55</v>
      </c>
      <c r="L233" s="12" t="n">
        <v>8095.55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3773</v>
      </c>
      <c r="B234" s="14" t="s">
        <v>4007</v>
      </c>
      <c r="C234" s="14" t="s">
        <v>139</v>
      </c>
      <c r="D234" s="14" t="s">
        <v>1555</v>
      </c>
      <c r="E234" s="14" t="s">
        <v>56</v>
      </c>
      <c r="F234" s="15" t="n">
        <v>760000</v>
      </c>
      <c r="G234" s="16" t="n">
        <v>0.65</v>
      </c>
      <c r="H234" s="16" t="n">
        <v>1.23</v>
      </c>
      <c r="I234" s="16" t="n">
        <v>0.7772</v>
      </c>
      <c r="J234" s="16" t="n">
        <v>0.53</v>
      </c>
      <c r="K234" s="15" t="n">
        <f aca="false">ROUND(F234/100*G234*H234*I234/J234,2)</f>
        <v>8910.23</v>
      </c>
      <c r="L234" s="15" t="n">
        <v>8910.23</v>
      </c>
      <c r="M234" s="15" t="n">
        <f aca="false">L234-K234</f>
        <v>0</v>
      </c>
      <c r="N234" s="14" t="s">
        <v>51</v>
      </c>
      <c r="O234" s="14" t="s">
        <v>52</v>
      </c>
    </row>
    <row r="235" customFormat="false" ht="15" hidden="false" customHeight="false" outlineLevel="0" collapsed="false">
      <c r="A235" s="3" t="s">
        <v>3715</v>
      </c>
      <c r="B235" s="3" t="s">
        <v>4008</v>
      </c>
      <c r="C235" s="3" t="s">
        <v>159</v>
      </c>
      <c r="D235" s="3" t="s">
        <v>1939</v>
      </c>
      <c r="E235" s="3" t="s">
        <v>56</v>
      </c>
      <c r="F235" s="12" t="n">
        <v>625000</v>
      </c>
      <c r="G235" s="13" t="n">
        <v>0.65</v>
      </c>
      <c r="H235" s="13" t="n">
        <v>1.15</v>
      </c>
      <c r="I235" s="13" t="n">
        <v>0.7772</v>
      </c>
      <c r="J235" s="13" t="n">
        <v>0.53</v>
      </c>
      <c r="K235" s="12" t="n">
        <f aca="false">ROUND(F235/100*G235*H235*I235/J235,2)</f>
        <v>6850.91</v>
      </c>
      <c r="L235" s="12" t="n">
        <v>6850.91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3723</v>
      </c>
      <c r="B236" s="14" t="s">
        <v>4009</v>
      </c>
      <c r="C236" s="14" t="s">
        <v>174</v>
      </c>
      <c r="D236" s="14" t="s">
        <v>170</v>
      </c>
      <c r="E236" s="14" t="s">
        <v>56</v>
      </c>
      <c r="F236" s="15" t="n">
        <v>930000</v>
      </c>
      <c r="G236" s="16" t="n">
        <v>0.65</v>
      </c>
      <c r="H236" s="16" t="n">
        <v>1.55</v>
      </c>
      <c r="I236" s="16" t="n">
        <v>0.7772</v>
      </c>
      <c r="J236" s="16" t="n">
        <v>0.53</v>
      </c>
      <c r="K236" s="15" t="n">
        <f aca="false">ROUND(F236/100*G236*H236*I236/J236,2)</f>
        <v>13739.94</v>
      </c>
      <c r="L236" s="15" t="n">
        <v>13739.94</v>
      </c>
      <c r="M236" s="15" t="n">
        <f aca="false">L236-K236</f>
        <v>0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3745</v>
      </c>
      <c r="B237" s="3" t="s">
        <v>4010</v>
      </c>
      <c r="C237" s="3" t="s">
        <v>89</v>
      </c>
      <c r="D237" s="3" t="s">
        <v>460</v>
      </c>
      <c r="E237" s="3" t="s">
        <v>56</v>
      </c>
      <c r="F237" s="12" t="n">
        <v>985000</v>
      </c>
      <c r="G237" s="13" t="n">
        <v>0.65</v>
      </c>
      <c r="H237" s="13" t="n">
        <v>1.35</v>
      </c>
      <c r="I237" s="13" t="n">
        <v>0.7772</v>
      </c>
      <c r="J237" s="13" t="n">
        <v>0.53</v>
      </c>
      <c r="K237" s="12" t="n">
        <f aca="false">ROUND(F237/100*G237*H237*I237/J237,2)</f>
        <v>12674.78</v>
      </c>
      <c r="L237" s="12" t="n">
        <v>12674.77</v>
      </c>
      <c r="M237" s="12" t="n">
        <f aca="false">L237-K237</f>
        <v>-0.0100000000002183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3781</v>
      </c>
      <c r="B238" s="14" t="s">
        <v>4011</v>
      </c>
      <c r="C238" s="14" t="s">
        <v>193</v>
      </c>
      <c r="D238" s="14" t="s">
        <v>680</v>
      </c>
      <c r="E238" s="14" t="s">
        <v>56</v>
      </c>
      <c r="F238" s="15" t="n">
        <v>460000</v>
      </c>
      <c r="G238" s="16" t="n">
        <v>0.75</v>
      </c>
      <c r="H238" s="16" t="n">
        <v>1.25</v>
      </c>
      <c r="I238" s="16" t="n">
        <v>0.7772</v>
      </c>
      <c r="J238" s="16" t="n">
        <v>0.53</v>
      </c>
      <c r="K238" s="15" t="n">
        <f aca="false">ROUND(F238/100*G238*H238*I238/J238,2)</f>
        <v>6323.92</v>
      </c>
      <c r="L238" s="15" t="n">
        <v>6323.91</v>
      </c>
      <c r="M238" s="15" t="n">
        <f aca="false">L238-K238</f>
        <v>-0.0100000000002183</v>
      </c>
      <c r="N238" s="14" t="s">
        <v>51</v>
      </c>
      <c r="O238" s="14" t="s">
        <v>52</v>
      </c>
    </row>
    <row r="239" customFormat="false" ht="15" hidden="false" customHeight="false" outlineLevel="0" collapsed="false">
      <c r="A239" s="3" t="s">
        <v>3717</v>
      </c>
      <c r="B239" s="3" t="s">
        <v>4012</v>
      </c>
      <c r="C239" s="3" t="s">
        <v>117</v>
      </c>
      <c r="D239" s="3" t="s">
        <v>3850</v>
      </c>
      <c r="E239" s="3" t="s">
        <v>74</v>
      </c>
      <c r="F239" s="12" t="n">
        <v>190000</v>
      </c>
      <c r="G239" s="13" t="n">
        <v>0.57</v>
      </c>
      <c r="H239" s="13" t="n">
        <v>0.91</v>
      </c>
      <c r="I239" s="13" t="n">
        <v>0.7772</v>
      </c>
      <c r="J239" s="13" t="n">
        <v>0.53</v>
      </c>
      <c r="K239" s="12" t="n">
        <f aca="false">ROUND(F239/100*G239*H239*I239/J239,2)</f>
        <v>1445.2</v>
      </c>
      <c r="L239" s="12" t="n">
        <v>1445.2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3721</v>
      </c>
      <c r="B240" s="14" t="s">
        <v>4013</v>
      </c>
      <c r="C240" s="14" t="s">
        <v>230</v>
      </c>
      <c r="D240" s="14" t="s">
        <v>276</v>
      </c>
      <c r="E240" s="14" t="s">
        <v>56</v>
      </c>
      <c r="F240" s="15" t="n">
        <v>1950000</v>
      </c>
      <c r="G240" s="16" t="n">
        <v>0.55</v>
      </c>
      <c r="H240" s="16" t="n">
        <v>1.09</v>
      </c>
      <c r="I240" s="16" t="n">
        <v>0.7772</v>
      </c>
      <c r="J240" s="16" t="n">
        <v>0.53</v>
      </c>
      <c r="K240" s="15" t="n">
        <f aca="false">ROUND(F240/100*G240*H240*I240/J240,2)</f>
        <v>17142.76</v>
      </c>
      <c r="L240" s="15" t="n">
        <v>17142.76</v>
      </c>
      <c r="M240" s="15" t="n">
        <f aca="false">L240-K240</f>
        <v>0</v>
      </c>
      <c r="N240" s="14" t="s">
        <v>70</v>
      </c>
      <c r="O240" s="14" t="s">
        <v>52</v>
      </c>
    </row>
    <row r="241" customFormat="false" ht="15" hidden="false" customHeight="false" outlineLevel="0" collapsed="false">
      <c r="A241" s="3" t="s">
        <v>3723</v>
      </c>
      <c r="B241" s="3" t="s">
        <v>4014</v>
      </c>
      <c r="C241" s="3" t="s">
        <v>217</v>
      </c>
      <c r="D241" s="3" t="s">
        <v>566</v>
      </c>
      <c r="E241" s="3" t="s">
        <v>56</v>
      </c>
      <c r="F241" s="12" t="n">
        <v>485000</v>
      </c>
      <c r="G241" s="13" t="n">
        <v>0.75</v>
      </c>
      <c r="H241" s="13" t="n">
        <v>1.3</v>
      </c>
      <c r="I241" s="13" t="n">
        <v>0.7772</v>
      </c>
      <c r="J241" s="13" t="n">
        <v>0.53</v>
      </c>
      <c r="K241" s="12" t="n">
        <f aca="false">ROUND(F241/100*G241*H241*I241/J241,2)</f>
        <v>6934.31</v>
      </c>
      <c r="L241" s="12" t="n">
        <v>6934.31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3739</v>
      </c>
      <c r="B242" s="14" t="s">
        <v>4015</v>
      </c>
      <c r="C242" s="14" t="s">
        <v>217</v>
      </c>
      <c r="D242" s="14" t="s">
        <v>4016</v>
      </c>
      <c r="E242" s="14" t="s">
        <v>50</v>
      </c>
      <c r="F242" s="15" t="n">
        <v>575000</v>
      </c>
      <c r="G242" s="16" t="n">
        <v>0.95</v>
      </c>
      <c r="H242" s="16" t="n">
        <v>1.3</v>
      </c>
      <c r="I242" s="16" t="n">
        <v>0.7772</v>
      </c>
      <c r="J242" s="16" t="n">
        <v>0.53</v>
      </c>
      <c r="K242" s="15" t="n">
        <f aca="false">ROUND(F242/100*G242*H242*I242/J242,2)</f>
        <v>10413.38</v>
      </c>
      <c r="L242" s="15" t="n">
        <v>10413.38</v>
      </c>
      <c r="M242" s="15" t="n">
        <f aca="false">L242-K242</f>
        <v>0</v>
      </c>
      <c r="N242" s="14" t="s">
        <v>61</v>
      </c>
      <c r="O242" s="14" t="s">
        <v>62</v>
      </c>
    </row>
    <row r="243" customFormat="false" ht="15" hidden="false" customHeight="false" outlineLevel="0" collapsed="false">
      <c r="A243" s="3" t="s">
        <v>3729</v>
      </c>
      <c r="B243" s="3" t="s">
        <v>4017</v>
      </c>
      <c r="C243" s="3" t="s">
        <v>193</v>
      </c>
      <c r="D243" s="3" t="s">
        <v>322</v>
      </c>
      <c r="E243" s="3" t="s">
        <v>56</v>
      </c>
      <c r="F243" s="12" t="n">
        <v>665000</v>
      </c>
      <c r="G243" s="13" t="n">
        <v>0.65</v>
      </c>
      <c r="H243" s="13" t="n">
        <v>1.25</v>
      </c>
      <c r="I243" s="13" t="n">
        <v>0.7772</v>
      </c>
      <c r="J243" s="13" t="n">
        <v>0.53</v>
      </c>
      <c r="K243" s="12" t="n">
        <f aca="false">ROUND(F243/100*G243*H243*I243/J243,2)</f>
        <v>7923.22</v>
      </c>
      <c r="L243" s="12" t="n">
        <v>7923.23</v>
      </c>
      <c r="M243" s="12" t="n">
        <f aca="false">L243-K243</f>
        <v>0.00999999999930878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3983</v>
      </c>
      <c r="B244" s="14" t="s">
        <v>4018</v>
      </c>
      <c r="C244" s="14" t="s">
        <v>300</v>
      </c>
      <c r="D244" s="14" t="s">
        <v>2859</v>
      </c>
      <c r="E244" s="14" t="s">
        <v>133</v>
      </c>
      <c r="F244" s="15" t="n">
        <v>535000</v>
      </c>
      <c r="G244" s="16" t="n">
        <v>0.38</v>
      </c>
      <c r="H244" s="16" t="n">
        <v>1.11</v>
      </c>
      <c r="I244" s="16" t="n">
        <v>0.7772</v>
      </c>
      <c r="J244" s="16" t="n">
        <v>0.53</v>
      </c>
      <c r="K244" s="15" t="n">
        <f aca="false">ROUND(F244/100*G244*H244*I244/J244,2)</f>
        <v>3309.16</v>
      </c>
      <c r="L244" s="15" t="n">
        <v>3309.15</v>
      </c>
      <c r="M244" s="15" t="n">
        <f aca="false">L244-K244</f>
        <v>-0.00999999999976353</v>
      </c>
      <c r="N244" s="14" t="s">
        <v>51</v>
      </c>
      <c r="O244" s="14" t="s">
        <v>52</v>
      </c>
    </row>
    <row r="245" customFormat="false" ht="15" hidden="false" customHeight="false" outlineLevel="0" collapsed="false">
      <c r="A245" s="3" t="s">
        <v>3781</v>
      </c>
      <c r="B245" s="3" t="s">
        <v>4019</v>
      </c>
      <c r="C245" s="3" t="s">
        <v>275</v>
      </c>
      <c r="D245" s="3" t="s">
        <v>1159</v>
      </c>
      <c r="E245" s="3" t="s">
        <v>50</v>
      </c>
      <c r="F245" s="12" t="n">
        <v>695000</v>
      </c>
      <c r="G245" s="13" t="n">
        <v>0.95</v>
      </c>
      <c r="H245" s="13" t="n">
        <v>1.19</v>
      </c>
      <c r="I245" s="13" t="n">
        <v>0.7772</v>
      </c>
      <c r="J245" s="13" t="n">
        <v>0.53</v>
      </c>
      <c r="K245" s="12" t="n">
        <f aca="false">ROUND(F245/100*G245*H245*I245/J245,2)</f>
        <v>11521.59</v>
      </c>
      <c r="L245" s="12" t="n">
        <v>11521.59</v>
      </c>
      <c r="M245" s="12" t="n">
        <f aca="false">L245-K245</f>
        <v>0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3802</v>
      </c>
      <c r="B246" s="14" t="s">
        <v>4020</v>
      </c>
      <c r="C246" s="14" t="s">
        <v>230</v>
      </c>
      <c r="D246" s="14" t="s">
        <v>1960</v>
      </c>
      <c r="E246" s="14" t="s">
        <v>74</v>
      </c>
      <c r="F246" s="15" t="n">
        <v>1090000</v>
      </c>
      <c r="G246" s="16" t="n">
        <v>0.38</v>
      </c>
      <c r="H246" s="16" t="n">
        <v>1.09</v>
      </c>
      <c r="I246" s="16" t="n">
        <v>0.7772</v>
      </c>
      <c r="J246" s="16" t="n">
        <v>0.53</v>
      </c>
      <c r="K246" s="15" t="n">
        <f aca="false">ROUND(F246/100*G246*H246*I246/J246,2)</f>
        <v>6620.54</v>
      </c>
      <c r="L246" s="15" t="n">
        <v>6620.54</v>
      </c>
      <c r="M246" s="15" t="n">
        <f aca="false">L246-K246</f>
        <v>0</v>
      </c>
      <c r="N246" s="14" t="s">
        <v>51</v>
      </c>
      <c r="O246" s="14" t="s">
        <v>52</v>
      </c>
    </row>
    <row r="247" customFormat="false" ht="15" hidden="false" customHeight="false" outlineLevel="0" collapsed="false">
      <c r="A247" s="3" t="s">
        <v>3729</v>
      </c>
      <c r="B247" s="3" t="s">
        <v>4021</v>
      </c>
      <c r="C247" s="3" t="s">
        <v>93</v>
      </c>
      <c r="D247" s="3" t="s">
        <v>125</v>
      </c>
      <c r="E247" s="3" t="s">
        <v>50</v>
      </c>
      <c r="F247" s="12" t="n">
        <v>495000</v>
      </c>
      <c r="G247" s="13" t="n">
        <v>1.15</v>
      </c>
      <c r="H247" s="13" t="n">
        <v>1.39</v>
      </c>
      <c r="I247" s="13" t="n">
        <v>0.7772</v>
      </c>
      <c r="J247" s="13" t="n">
        <v>0.53</v>
      </c>
      <c r="K247" s="12" t="n">
        <f aca="false">ROUND(F247/100*G247*H247*I247/J247,2)</f>
        <v>11603.12</v>
      </c>
      <c r="L247" s="12" t="n">
        <v>11603.12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3734</v>
      </c>
      <c r="B248" s="14" t="s">
        <v>4022</v>
      </c>
      <c r="C248" s="14" t="s">
        <v>266</v>
      </c>
      <c r="D248" s="14" t="s">
        <v>826</v>
      </c>
      <c r="E248" s="14" t="s">
        <v>56</v>
      </c>
      <c r="F248" s="15" t="n">
        <v>170000</v>
      </c>
      <c r="G248" s="16" t="n">
        <v>0.92</v>
      </c>
      <c r="H248" s="16" t="n">
        <v>1.1</v>
      </c>
      <c r="I248" s="16" t="n">
        <v>0.7772</v>
      </c>
      <c r="J248" s="16" t="n">
        <v>0.53</v>
      </c>
      <c r="K248" s="15" t="n">
        <f aca="false">ROUND(F248/100*G248*H248*I248/J248,2)</f>
        <v>2522.82</v>
      </c>
      <c r="L248" s="15" t="n">
        <v>2522.82</v>
      </c>
      <c r="M248" s="15" t="n">
        <f aca="false">L248-K248</f>
        <v>0</v>
      </c>
      <c r="N248" s="14" t="s">
        <v>70</v>
      </c>
      <c r="O248" s="14" t="s">
        <v>52</v>
      </c>
    </row>
    <row r="249" customFormat="false" ht="15" hidden="false" customHeight="false" outlineLevel="0" collapsed="false">
      <c r="A249" s="3" t="s">
        <v>3723</v>
      </c>
      <c r="B249" s="3" t="s">
        <v>4023</v>
      </c>
      <c r="C249" s="3" t="s">
        <v>217</v>
      </c>
      <c r="D249" s="3" t="s">
        <v>817</v>
      </c>
      <c r="E249" s="3" t="s">
        <v>56</v>
      </c>
      <c r="F249" s="12" t="n">
        <v>480000</v>
      </c>
      <c r="G249" s="13" t="n">
        <v>0.75</v>
      </c>
      <c r="H249" s="13" t="n">
        <v>1.3</v>
      </c>
      <c r="I249" s="13" t="n">
        <v>0.7772</v>
      </c>
      <c r="J249" s="13" t="n">
        <v>0.53</v>
      </c>
      <c r="K249" s="12" t="n">
        <f aca="false">ROUND(F249/100*G249*H249*I249/J249,2)</f>
        <v>6862.82</v>
      </c>
      <c r="L249" s="12" t="n">
        <v>6862.82</v>
      </c>
      <c r="M249" s="12" t="n">
        <f aca="false">L249-K249</f>
        <v>0</v>
      </c>
      <c r="N249" s="3" t="s">
        <v>70</v>
      </c>
      <c r="O249" s="3" t="s">
        <v>52</v>
      </c>
    </row>
    <row r="250" customFormat="false" ht="15" hidden="false" customHeight="false" outlineLevel="0" collapsed="false">
      <c r="A250" s="14" t="s">
        <v>3802</v>
      </c>
      <c r="B250" s="14" t="s">
        <v>4024</v>
      </c>
      <c r="C250" s="14" t="s">
        <v>145</v>
      </c>
      <c r="D250" s="14" t="s">
        <v>1422</v>
      </c>
      <c r="E250" s="14" t="s">
        <v>56</v>
      </c>
      <c r="F250" s="15" t="n">
        <v>310000</v>
      </c>
      <c r="G250" s="16" t="n">
        <v>0.75</v>
      </c>
      <c r="H250" s="16" t="n">
        <v>0.96</v>
      </c>
      <c r="I250" s="16" t="n">
        <v>0.7772</v>
      </c>
      <c r="J250" s="16" t="n">
        <v>0.53</v>
      </c>
      <c r="K250" s="15" t="n">
        <f aca="false">ROUND(F250/100*G250*H250*I250/J250,2)</f>
        <v>3273.04</v>
      </c>
      <c r="L250" s="15" t="n">
        <v>3273.04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3736</v>
      </c>
      <c r="B251" s="3" t="s">
        <v>4025</v>
      </c>
      <c r="C251" s="3" t="s">
        <v>174</v>
      </c>
      <c r="D251" s="3" t="s">
        <v>584</v>
      </c>
      <c r="E251" s="3" t="s">
        <v>50</v>
      </c>
      <c r="F251" s="12" t="n">
        <v>1925000</v>
      </c>
      <c r="G251" s="13" t="n">
        <v>0.8</v>
      </c>
      <c r="H251" s="13" t="n">
        <v>1.55</v>
      </c>
      <c r="I251" s="13" t="n">
        <v>0.7772</v>
      </c>
      <c r="J251" s="13" t="n">
        <v>0.53</v>
      </c>
      <c r="K251" s="12" t="n">
        <f aca="false">ROUND(F251/100*G251*H251*I251/J251,2)</f>
        <v>35003.33</v>
      </c>
      <c r="L251" s="12" t="n">
        <v>35003.33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3749</v>
      </c>
      <c r="B252" s="14" t="s">
        <v>4026</v>
      </c>
      <c r="C252" s="14" t="s">
        <v>366</v>
      </c>
      <c r="D252" s="14" t="s">
        <v>1234</v>
      </c>
      <c r="E252" s="14" t="s">
        <v>56</v>
      </c>
      <c r="F252" s="15" t="n">
        <v>840000</v>
      </c>
      <c r="G252" s="16" t="n">
        <v>0.65</v>
      </c>
      <c r="H252" s="16" t="n">
        <v>1.26</v>
      </c>
      <c r="I252" s="16" t="n">
        <v>0.7772</v>
      </c>
      <c r="J252" s="16" t="n">
        <v>0.53</v>
      </c>
      <c r="K252" s="15" t="n">
        <f aca="false">ROUND(F252/100*G252*H252*I252/J252,2)</f>
        <v>10088.35</v>
      </c>
      <c r="L252" s="15" t="n">
        <v>10088.35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3749</v>
      </c>
      <c r="B253" s="3" t="s">
        <v>4027</v>
      </c>
      <c r="C253" s="3" t="s">
        <v>89</v>
      </c>
      <c r="D253" s="3" t="s">
        <v>1542</v>
      </c>
      <c r="E253" s="3" t="s">
        <v>56</v>
      </c>
      <c r="F253" s="12" t="n">
        <v>690000</v>
      </c>
      <c r="G253" s="13" t="n">
        <v>0.65</v>
      </c>
      <c r="H253" s="13" t="n">
        <v>1.35</v>
      </c>
      <c r="I253" s="13" t="n">
        <v>0.7772</v>
      </c>
      <c r="J253" s="13" t="n">
        <v>0.53</v>
      </c>
      <c r="K253" s="12" t="n">
        <f aca="false">ROUND(F253/100*G253*H253*I253/J253,2)</f>
        <v>8878.78</v>
      </c>
      <c r="L253" s="12" t="n">
        <v>8878.78</v>
      </c>
      <c r="M253" s="12" t="n">
        <f aca="false">L253-K253</f>
        <v>0</v>
      </c>
      <c r="N253" s="3" t="s">
        <v>51</v>
      </c>
      <c r="O253" s="3" t="s">
        <v>52</v>
      </c>
    </row>
    <row r="254" customFormat="false" ht="15" hidden="false" customHeight="false" outlineLevel="0" collapsed="false">
      <c r="A254" s="14" t="s">
        <v>3783</v>
      </c>
      <c r="B254" s="14" t="s">
        <v>4028</v>
      </c>
      <c r="C254" s="14" t="s">
        <v>366</v>
      </c>
      <c r="D254" s="14" t="s">
        <v>1894</v>
      </c>
      <c r="E254" s="14" t="s">
        <v>133</v>
      </c>
      <c r="F254" s="15" t="n">
        <v>1640000</v>
      </c>
      <c r="G254" s="16" t="n">
        <v>0.34</v>
      </c>
      <c r="H254" s="16" t="n">
        <v>1.26</v>
      </c>
      <c r="I254" s="16" t="n">
        <v>0.7772</v>
      </c>
      <c r="J254" s="16" t="n">
        <v>0.53</v>
      </c>
      <c r="K254" s="15" t="n">
        <f aca="false">ROUND(F254/100*G254*H254*I254/J254,2)</f>
        <v>10302.68</v>
      </c>
      <c r="L254" s="15" t="n">
        <v>10302.68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3725</v>
      </c>
      <c r="B255" s="3" t="s">
        <v>4029</v>
      </c>
      <c r="C255" s="3" t="s">
        <v>462</v>
      </c>
      <c r="D255" s="3" t="s">
        <v>2725</v>
      </c>
      <c r="E255" s="3" t="s">
        <v>50</v>
      </c>
      <c r="F255" s="12" t="n">
        <v>870000</v>
      </c>
      <c r="G255" s="13" t="n">
        <v>0.95</v>
      </c>
      <c r="H255" s="13" t="n">
        <v>1.34</v>
      </c>
      <c r="I255" s="13" t="n">
        <v>0.7772</v>
      </c>
      <c r="J255" s="13" t="n">
        <v>0.53</v>
      </c>
      <c r="K255" s="12" t="n">
        <f aca="false">ROUND(F255/100*G255*H255*I255/J255,2)</f>
        <v>16240.69</v>
      </c>
      <c r="L255" s="12" t="n">
        <v>16240.7</v>
      </c>
      <c r="M255" s="12" t="n">
        <f aca="false">L255-K255</f>
        <v>0.0100000000002183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3791</v>
      </c>
      <c r="B256" s="14" t="s">
        <v>4030</v>
      </c>
      <c r="C256" s="14" t="s">
        <v>326</v>
      </c>
      <c r="D256" s="14" t="s">
        <v>761</v>
      </c>
      <c r="E256" s="14" t="s">
        <v>56</v>
      </c>
      <c r="F256" s="15" t="n">
        <v>810000</v>
      </c>
      <c r="G256" s="16" t="n">
        <v>0.65</v>
      </c>
      <c r="H256" s="16" t="n">
        <v>1.12</v>
      </c>
      <c r="I256" s="16" t="n">
        <v>0.7772</v>
      </c>
      <c r="J256" s="16" t="n">
        <v>0.53</v>
      </c>
      <c r="K256" s="15" t="n">
        <f aca="false">ROUND(F256/100*G256*H256*I256/J256,2)</f>
        <v>8647.16</v>
      </c>
      <c r="L256" s="15" t="n">
        <v>8647.16</v>
      </c>
      <c r="M256" s="15" t="n">
        <f aca="false">L256-K256</f>
        <v>0</v>
      </c>
      <c r="N256" s="14" t="s">
        <v>61</v>
      </c>
      <c r="O256" s="14" t="s">
        <v>62</v>
      </c>
    </row>
    <row r="257" customFormat="false" ht="15" hidden="false" customHeight="false" outlineLevel="0" collapsed="false">
      <c r="A257" s="3" t="s">
        <v>3757</v>
      </c>
      <c r="B257" s="3" t="s">
        <v>4031</v>
      </c>
      <c r="C257" s="3" t="s">
        <v>142</v>
      </c>
      <c r="D257" s="3" t="s">
        <v>885</v>
      </c>
      <c r="E257" s="3" t="s">
        <v>56</v>
      </c>
      <c r="F257" s="12" t="n">
        <v>1095000</v>
      </c>
      <c r="G257" s="13" t="n">
        <v>0.55</v>
      </c>
      <c r="H257" s="13" t="n">
        <v>1.22</v>
      </c>
      <c r="I257" s="13" t="n">
        <v>0.7772</v>
      </c>
      <c r="J257" s="13" t="n">
        <v>0.53</v>
      </c>
      <c r="K257" s="12" t="n">
        <f aca="false">ROUND(F257/100*G257*H257*I257/J257,2)</f>
        <v>10774.41</v>
      </c>
      <c r="L257" s="12" t="n">
        <v>10774.41</v>
      </c>
      <c r="M257" s="12" t="n">
        <f aca="false">L257-K257</f>
        <v>0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3739</v>
      </c>
      <c r="B258" s="14" t="s">
        <v>4032</v>
      </c>
      <c r="C258" s="14" t="s">
        <v>887</v>
      </c>
      <c r="D258" s="14" t="s">
        <v>2161</v>
      </c>
      <c r="E258" s="14" t="s">
        <v>56</v>
      </c>
      <c r="F258" s="15" t="n">
        <v>360000</v>
      </c>
      <c r="G258" s="16" t="n">
        <v>0.75</v>
      </c>
      <c r="H258" s="16" t="n">
        <v>1.37</v>
      </c>
      <c r="I258" s="16" t="n">
        <v>0.7772</v>
      </c>
      <c r="J258" s="16" t="n">
        <v>0.53</v>
      </c>
      <c r="K258" s="15" t="n">
        <f aca="false">ROUND(F258/100*G258*H258*I258/J258,2)</f>
        <v>5424.27</v>
      </c>
      <c r="L258" s="15" t="n">
        <v>5424.27</v>
      </c>
      <c r="M258" s="15" t="n">
        <f aca="false">L258-K258</f>
        <v>0</v>
      </c>
      <c r="N258" s="14" t="s">
        <v>61</v>
      </c>
      <c r="O258" s="14" t="s">
        <v>62</v>
      </c>
    </row>
    <row r="259" customFormat="false" ht="15" hidden="false" customHeight="false" outlineLevel="0" collapsed="false">
      <c r="A259" s="3" t="s">
        <v>3775</v>
      </c>
      <c r="B259" s="3" t="s">
        <v>4033</v>
      </c>
      <c r="C259" s="3" t="s">
        <v>366</v>
      </c>
      <c r="D259" s="3" t="s">
        <v>1276</v>
      </c>
      <c r="E259" s="3" t="s">
        <v>56</v>
      </c>
      <c r="F259" s="12" t="n">
        <v>515000</v>
      </c>
      <c r="G259" s="13" t="n">
        <v>0.65</v>
      </c>
      <c r="H259" s="13" t="n">
        <v>1.26</v>
      </c>
      <c r="I259" s="13" t="n">
        <v>0.7772</v>
      </c>
      <c r="J259" s="13" t="n">
        <v>0.53</v>
      </c>
      <c r="K259" s="12" t="n">
        <f aca="false">ROUND(F259/100*G259*H259*I259/J259,2)</f>
        <v>6185.12</v>
      </c>
      <c r="L259" s="12" t="n">
        <v>6185.12</v>
      </c>
      <c r="M259" s="12" t="n">
        <f aca="false">L259-K259</f>
        <v>0</v>
      </c>
      <c r="N259" s="3" t="s">
        <v>51</v>
      </c>
      <c r="O259" s="3" t="s">
        <v>52</v>
      </c>
    </row>
    <row r="260" customFormat="false" ht="15" hidden="false" customHeight="false" outlineLevel="0" collapsed="false">
      <c r="A260" s="14" t="s">
        <v>3736</v>
      </c>
      <c r="B260" s="14" t="s">
        <v>4034</v>
      </c>
      <c r="C260" s="14" t="s">
        <v>108</v>
      </c>
      <c r="D260" s="14" t="s">
        <v>1678</v>
      </c>
      <c r="E260" s="14" t="s">
        <v>157</v>
      </c>
      <c r="F260" s="15" t="n">
        <v>795000</v>
      </c>
      <c r="G260" s="16" t="n">
        <v>0.78</v>
      </c>
      <c r="H260" s="16" t="n">
        <v>0.93</v>
      </c>
      <c r="I260" s="16" t="n">
        <v>0.7772</v>
      </c>
      <c r="J260" s="16" t="n">
        <v>0.53</v>
      </c>
      <c r="K260" s="15" t="n">
        <f aca="false">ROUND(F260/100*G260*H260*I260/J260,2)</f>
        <v>8456.71</v>
      </c>
      <c r="L260" s="15" t="n">
        <v>8456.71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3775</v>
      </c>
      <c r="B261" s="3" t="s">
        <v>4035</v>
      </c>
      <c r="C261" s="3" t="s">
        <v>117</v>
      </c>
      <c r="D261" s="3" t="s">
        <v>2232</v>
      </c>
      <c r="E261" s="3" t="s">
        <v>74</v>
      </c>
      <c r="F261" s="12" t="n">
        <v>1085000</v>
      </c>
      <c r="G261" s="13" t="n">
        <v>0.38</v>
      </c>
      <c r="H261" s="13" t="n">
        <v>0.91</v>
      </c>
      <c r="I261" s="13" t="n">
        <v>0.7772</v>
      </c>
      <c r="J261" s="13" t="n">
        <v>0.53</v>
      </c>
      <c r="K261" s="12" t="n">
        <f aca="false">ROUND(F261/100*G261*H261*I261/J261,2)</f>
        <v>5501.89</v>
      </c>
      <c r="L261" s="12" t="n">
        <v>5501.88</v>
      </c>
      <c r="M261" s="12" t="n">
        <f aca="false">L261-K261</f>
        <v>-0.0100000000002183</v>
      </c>
      <c r="N261" s="3" t="s">
        <v>51</v>
      </c>
      <c r="O261" s="3" t="s">
        <v>52</v>
      </c>
    </row>
    <row r="262" customFormat="false" ht="15" hidden="false" customHeight="false" outlineLevel="0" collapsed="false">
      <c r="A262" s="14" t="s">
        <v>3799</v>
      </c>
      <c r="B262" s="14" t="s">
        <v>4036</v>
      </c>
      <c r="C262" s="14" t="s">
        <v>159</v>
      </c>
      <c r="D262" s="14" t="s">
        <v>250</v>
      </c>
      <c r="E262" s="14" t="s">
        <v>56</v>
      </c>
      <c r="F262" s="15" t="n">
        <v>365000</v>
      </c>
      <c r="G262" s="16" t="n">
        <v>0.75</v>
      </c>
      <c r="H262" s="16" t="n">
        <v>1.15</v>
      </c>
      <c r="I262" s="16" t="n">
        <v>0.7772</v>
      </c>
      <c r="J262" s="16" t="n">
        <v>0.53</v>
      </c>
      <c r="K262" s="15" t="n">
        <f aca="false">ROUND(F262/100*G262*H262*I262/J262,2)</f>
        <v>4616.46</v>
      </c>
      <c r="L262" s="15" t="n">
        <v>4616.46</v>
      </c>
      <c r="M262" s="15" t="n">
        <f aca="false">L262-K262</f>
        <v>0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3741</v>
      </c>
      <c r="B263" s="3" t="s">
        <v>4037</v>
      </c>
      <c r="C263" s="3" t="s">
        <v>174</v>
      </c>
      <c r="D263" s="3" t="s">
        <v>1085</v>
      </c>
      <c r="E263" s="3" t="s">
        <v>56</v>
      </c>
      <c r="F263" s="12" t="n">
        <v>365000</v>
      </c>
      <c r="G263" s="13" t="n">
        <v>0.75</v>
      </c>
      <c r="H263" s="13" t="n">
        <v>1.55</v>
      </c>
      <c r="I263" s="13" t="n">
        <v>0.7772</v>
      </c>
      <c r="J263" s="13" t="n">
        <v>0.53</v>
      </c>
      <c r="K263" s="12" t="n">
        <f aca="false">ROUND(F263/100*G263*H263*I263/J263,2)</f>
        <v>6222.18</v>
      </c>
      <c r="L263" s="12" t="n">
        <v>6222.19</v>
      </c>
      <c r="M263" s="12" t="n">
        <f aca="false">L263-K263</f>
        <v>0.00999999999930878</v>
      </c>
      <c r="N263" s="3" t="s">
        <v>61</v>
      </c>
      <c r="O263" s="3" t="s">
        <v>62</v>
      </c>
    </row>
    <row r="264" customFormat="false" ht="15" hidden="false" customHeight="false" outlineLevel="0" collapsed="false">
      <c r="A264" s="14" t="s">
        <v>3983</v>
      </c>
      <c r="B264" s="14" t="s">
        <v>4038</v>
      </c>
      <c r="C264" s="14" t="s">
        <v>174</v>
      </c>
      <c r="D264" s="14" t="s">
        <v>457</v>
      </c>
      <c r="E264" s="14" t="s">
        <v>56</v>
      </c>
      <c r="F264" s="15" t="n">
        <v>610000</v>
      </c>
      <c r="G264" s="16" t="n">
        <v>0.65</v>
      </c>
      <c r="H264" s="16" t="n">
        <v>1.55</v>
      </c>
      <c r="I264" s="16" t="n">
        <v>0.7772</v>
      </c>
      <c r="J264" s="16" t="n">
        <v>0.53</v>
      </c>
      <c r="K264" s="15" t="n">
        <f aca="false">ROUND(F264/100*G264*H264*I264/J264,2)</f>
        <v>9012.22</v>
      </c>
      <c r="L264" s="15" t="n">
        <v>9012.22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3725</v>
      </c>
      <c r="B265" s="3" t="s">
        <v>4039</v>
      </c>
      <c r="C265" s="3" t="s">
        <v>266</v>
      </c>
      <c r="D265" s="3" t="s">
        <v>819</v>
      </c>
      <c r="E265" s="3" t="s">
        <v>56</v>
      </c>
      <c r="F265" s="12" t="n">
        <v>1765000</v>
      </c>
      <c r="G265" s="13" t="n">
        <v>0.55</v>
      </c>
      <c r="H265" s="13" t="n">
        <v>1.1</v>
      </c>
      <c r="I265" s="13" t="n">
        <v>0.7772</v>
      </c>
      <c r="J265" s="13" t="n">
        <v>0.53</v>
      </c>
      <c r="K265" s="12" t="n">
        <f aca="false">ROUND(F265/100*G265*H265*I265/J265,2)</f>
        <v>15658.75</v>
      </c>
      <c r="L265" s="12" t="n">
        <v>15658.75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3781</v>
      </c>
      <c r="B266" s="14" t="s">
        <v>4040</v>
      </c>
      <c r="C266" s="14" t="s">
        <v>217</v>
      </c>
      <c r="D266" s="14" t="s">
        <v>1849</v>
      </c>
      <c r="E266" s="14" t="s">
        <v>56</v>
      </c>
      <c r="F266" s="15" t="n">
        <v>460000</v>
      </c>
      <c r="G266" s="16" t="n">
        <v>0.75</v>
      </c>
      <c r="H266" s="16" t="n">
        <v>1.3</v>
      </c>
      <c r="I266" s="16" t="n">
        <v>0.7772</v>
      </c>
      <c r="J266" s="16" t="n">
        <v>0.53</v>
      </c>
      <c r="K266" s="15" t="n">
        <f aca="false">ROUND(F266/100*G266*H266*I266/J266,2)</f>
        <v>6576.87</v>
      </c>
      <c r="L266" s="15" t="n">
        <v>6576.87</v>
      </c>
      <c r="M266" s="15" t="n">
        <f aca="false">L266-K266</f>
        <v>0</v>
      </c>
      <c r="N266" s="14" t="s">
        <v>61</v>
      </c>
      <c r="O266" s="14" t="s">
        <v>62</v>
      </c>
    </row>
    <row r="267" customFormat="false" ht="15" hidden="false" customHeight="false" outlineLevel="0" collapsed="false">
      <c r="A267" s="3" t="s">
        <v>3741</v>
      </c>
      <c r="B267" s="3" t="s">
        <v>4041</v>
      </c>
      <c r="C267" s="3" t="s">
        <v>105</v>
      </c>
      <c r="D267" s="3" t="s">
        <v>1281</v>
      </c>
      <c r="E267" s="3" t="s">
        <v>74</v>
      </c>
      <c r="F267" s="12" t="n">
        <v>250000</v>
      </c>
      <c r="G267" s="13" t="n">
        <v>0.48</v>
      </c>
      <c r="H267" s="13" t="n">
        <v>0.99</v>
      </c>
      <c r="I267" s="13" t="n">
        <v>0.7772</v>
      </c>
      <c r="J267" s="13" t="n">
        <v>0.53</v>
      </c>
      <c r="K267" s="12" t="n">
        <f aca="false">ROUND(F267/100*G267*H267*I267/J267,2)</f>
        <v>1742.1</v>
      </c>
      <c r="L267" s="12" t="n">
        <v>1742.1</v>
      </c>
      <c r="M267" s="12" t="n">
        <f aca="false">L267-K267</f>
        <v>0</v>
      </c>
      <c r="N267" s="3" t="s">
        <v>51</v>
      </c>
      <c r="O267" s="3" t="s">
        <v>52</v>
      </c>
    </row>
    <row r="268" customFormat="false" ht="15" hidden="false" customHeight="false" outlineLevel="0" collapsed="false">
      <c r="A268" s="14" t="s">
        <v>3791</v>
      </c>
      <c r="B268" s="14" t="s">
        <v>4042</v>
      </c>
      <c r="C268" s="14" t="s">
        <v>159</v>
      </c>
      <c r="D268" s="14" t="s">
        <v>1555</v>
      </c>
      <c r="E268" s="14" t="s">
        <v>56</v>
      </c>
      <c r="F268" s="15" t="n">
        <v>795000</v>
      </c>
      <c r="G268" s="16" t="n">
        <v>0.65</v>
      </c>
      <c r="H268" s="16" t="n">
        <v>1.15</v>
      </c>
      <c r="I268" s="16" t="n">
        <v>0.7772</v>
      </c>
      <c r="J268" s="16" t="n">
        <v>0.53</v>
      </c>
      <c r="K268" s="15" t="n">
        <f aca="false">ROUND(F268/100*G268*H268*I268/J268,2)</f>
        <v>8714.36</v>
      </c>
      <c r="L268" s="15" t="n">
        <v>8714.35</v>
      </c>
      <c r="M268" s="15" t="n">
        <f aca="false">L268-K268</f>
        <v>-0.0100000000002183</v>
      </c>
      <c r="N268" s="14" t="s">
        <v>61</v>
      </c>
      <c r="O268" s="14" t="s">
        <v>62</v>
      </c>
    </row>
    <row r="269" customFormat="false" ht="15" hidden="false" customHeight="false" outlineLevel="0" collapsed="false">
      <c r="A269" s="3" t="s">
        <v>3791</v>
      </c>
      <c r="B269" s="3" t="s">
        <v>4043</v>
      </c>
      <c r="C269" s="3" t="s">
        <v>114</v>
      </c>
      <c r="D269" s="3" t="s">
        <v>445</v>
      </c>
      <c r="E269" s="3" t="s">
        <v>56</v>
      </c>
      <c r="F269" s="12" t="n">
        <v>900000</v>
      </c>
      <c r="G269" s="13" t="n">
        <v>0.65</v>
      </c>
      <c r="H269" s="13" t="n">
        <v>1.36</v>
      </c>
      <c r="I269" s="13" t="n">
        <v>0.7772</v>
      </c>
      <c r="J269" s="13" t="n">
        <v>0.53</v>
      </c>
      <c r="K269" s="12" t="n">
        <f aca="false">ROUND(F269/100*G269*H269*I269/J269,2)</f>
        <v>11666.8</v>
      </c>
      <c r="L269" s="12" t="n">
        <v>11666.8</v>
      </c>
      <c r="M269" s="12" t="n">
        <f aca="false">L269-K269</f>
        <v>0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3741</v>
      </c>
      <c r="B270" s="14" t="s">
        <v>4044</v>
      </c>
      <c r="C270" s="14" t="s">
        <v>174</v>
      </c>
      <c r="D270" s="14" t="s">
        <v>2245</v>
      </c>
      <c r="E270" s="14" t="s">
        <v>50</v>
      </c>
      <c r="F270" s="15" t="n">
        <v>850000</v>
      </c>
      <c r="G270" s="16" t="n">
        <v>0.95</v>
      </c>
      <c r="H270" s="16" t="n">
        <v>1.55</v>
      </c>
      <c r="I270" s="16" t="n">
        <v>0.7772</v>
      </c>
      <c r="J270" s="16" t="n">
        <v>0.53</v>
      </c>
      <c r="K270" s="15" t="n">
        <f aca="false">ROUND(F270/100*G270*H270*I270/J270,2)</f>
        <v>18354.02</v>
      </c>
      <c r="L270" s="15" t="n">
        <v>18354.02</v>
      </c>
      <c r="M270" s="15" t="n">
        <f aca="false">L270-K270</f>
        <v>0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3734</v>
      </c>
      <c r="B271" s="3" t="s">
        <v>4045</v>
      </c>
      <c r="C271" s="3" t="s">
        <v>93</v>
      </c>
      <c r="D271" s="3" t="s">
        <v>673</v>
      </c>
      <c r="E271" s="3" t="s">
        <v>56</v>
      </c>
      <c r="F271" s="12" t="n">
        <v>455000</v>
      </c>
      <c r="G271" s="13" t="n">
        <v>0.75</v>
      </c>
      <c r="H271" s="13" t="n">
        <v>1.39</v>
      </c>
      <c r="I271" s="13" t="n">
        <v>0.7772</v>
      </c>
      <c r="J271" s="13" t="n">
        <v>0.53</v>
      </c>
      <c r="K271" s="12" t="n">
        <f aca="false">ROUND(F271/100*G271*H271*I271/J271,2)</f>
        <v>6955.76</v>
      </c>
      <c r="L271" s="12" t="n">
        <v>6955.75</v>
      </c>
      <c r="M271" s="12" t="n">
        <f aca="false">L271-K271</f>
        <v>-0.0100000000002183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3791</v>
      </c>
      <c r="B272" s="14" t="s">
        <v>4046</v>
      </c>
      <c r="C272" s="14" t="s">
        <v>48</v>
      </c>
      <c r="D272" s="14" t="s">
        <v>4047</v>
      </c>
      <c r="E272" s="14" t="s">
        <v>74</v>
      </c>
      <c r="F272" s="15" t="n">
        <v>565000</v>
      </c>
      <c r="G272" s="16" t="n">
        <v>0.43</v>
      </c>
      <c r="H272" s="16" t="n">
        <v>1.28</v>
      </c>
      <c r="I272" s="16" t="n">
        <v>0.7772</v>
      </c>
      <c r="J272" s="16" t="n">
        <v>0.53</v>
      </c>
      <c r="K272" s="15" t="n">
        <f aca="false">ROUND(F272/100*G272*H272*I272/J272,2)</f>
        <v>4560.2</v>
      </c>
      <c r="L272" s="15" t="n">
        <v>4560.2</v>
      </c>
      <c r="M272" s="15" t="n">
        <f aca="false">L272-K272</f>
        <v>0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3749</v>
      </c>
      <c r="B273" s="3" t="s">
        <v>4048</v>
      </c>
      <c r="C273" s="3" t="s">
        <v>243</v>
      </c>
      <c r="D273" s="3" t="s">
        <v>2138</v>
      </c>
      <c r="E273" s="3" t="s">
        <v>56</v>
      </c>
      <c r="F273" s="12" t="n">
        <v>735000</v>
      </c>
      <c r="G273" s="13" t="n">
        <v>0.65</v>
      </c>
      <c r="H273" s="13" t="n">
        <v>1.14</v>
      </c>
      <c r="I273" s="13" t="n">
        <v>0.7772</v>
      </c>
      <c r="J273" s="13" t="n">
        <v>0.53</v>
      </c>
      <c r="K273" s="12" t="n">
        <f aca="false">ROUND(F273/100*G273*H273*I273/J273,2)</f>
        <v>7986.61</v>
      </c>
      <c r="L273" s="12" t="n">
        <v>7986.61</v>
      </c>
      <c r="M273" s="12" t="n">
        <f aca="false">L273-K273</f>
        <v>0</v>
      </c>
      <c r="N273" s="3" t="s">
        <v>51</v>
      </c>
      <c r="O273" s="3" t="s">
        <v>52</v>
      </c>
    </row>
    <row r="274" customFormat="false" ht="15" hidden="false" customHeight="false" outlineLevel="0" collapsed="false">
      <c r="A274" s="14" t="s">
        <v>3881</v>
      </c>
      <c r="B274" s="14" t="s">
        <v>4049</v>
      </c>
      <c r="C274" s="14" t="s">
        <v>89</v>
      </c>
      <c r="D274" s="14" t="s">
        <v>1061</v>
      </c>
      <c r="E274" s="14" t="s">
        <v>56</v>
      </c>
      <c r="F274" s="15" t="n">
        <v>480000</v>
      </c>
      <c r="G274" s="16" t="n">
        <v>0.75</v>
      </c>
      <c r="H274" s="16" t="n">
        <v>1.35</v>
      </c>
      <c r="I274" s="16" t="n">
        <v>0.7772</v>
      </c>
      <c r="J274" s="16" t="n">
        <v>0.53</v>
      </c>
      <c r="K274" s="15" t="n">
        <f aca="false">ROUND(F274/100*G274*H274*I274/J274,2)</f>
        <v>7126.78</v>
      </c>
      <c r="L274" s="15" t="n">
        <v>7126.78</v>
      </c>
      <c r="M274" s="15" t="n">
        <f aca="false">L274-K274</f>
        <v>0</v>
      </c>
      <c r="N274" s="14" t="s">
        <v>51</v>
      </c>
      <c r="O274" s="14" t="s">
        <v>52</v>
      </c>
    </row>
    <row r="275" customFormat="false" ht="15" hidden="false" customHeight="false" outlineLevel="0" collapsed="false">
      <c r="A275" s="3" t="s">
        <v>3773</v>
      </c>
      <c r="B275" s="3" t="s">
        <v>4050</v>
      </c>
      <c r="C275" s="3" t="s">
        <v>120</v>
      </c>
      <c r="D275" s="3" t="s">
        <v>3225</v>
      </c>
      <c r="E275" s="3" t="s">
        <v>50</v>
      </c>
      <c r="F275" s="12" t="n">
        <v>990000</v>
      </c>
      <c r="G275" s="13" t="n">
        <v>0.95</v>
      </c>
      <c r="H275" s="13" t="n">
        <v>1.15</v>
      </c>
      <c r="I275" s="13" t="n">
        <v>0.7772</v>
      </c>
      <c r="J275" s="13" t="n">
        <v>0.53</v>
      </c>
      <c r="K275" s="12" t="n">
        <f aca="false">ROUND(F275/100*G275*H275*I275/J275,2)</f>
        <v>15860.38</v>
      </c>
      <c r="L275" s="12" t="n">
        <v>15860.38</v>
      </c>
      <c r="M275" s="12" t="n">
        <f aca="false">L275-K275</f>
        <v>0</v>
      </c>
      <c r="N275" s="3" t="s">
        <v>61</v>
      </c>
      <c r="O275" s="3" t="s">
        <v>62</v>
      </c>
    </row>
    <row r="276" customFormat="false" ht="15" hidden="false" customHeight="false" outlineLevel="0" collapsed="false">
      <c r="A276" s="14" t="s">
        <v>3717</v>
      </c>
      <c r="B276" s="14" t="s">
        <v>4051</v>
      </c>
      <c r="C276" s="14" t="s">
        <v>59</v>
      </c>
      <c r="D276" s="14" t="s">
        <v>250</v>
      </c>
      <c r="E276" s="14" t="s">
        <v>56</v>
      </c>
      <c r="F276" s="15" t="n">
        <v>755000</v>
      </c>
      <c r="G276" s="16" t="n">
        <v>0.65</v>
      </c>
      <c r="H276" s="16" t="n">
        <v>0.97</v>
      </c>
      <c r="I276" s="16" t="n">
        <v>0.7772</v>
      </c>
      <c r="J276" s="16" t="n">
        <v>0.53</v>
      </c>
      <c r="K276" s="15" t="n">
        <f aca="false">ROUND(F276/100*G276*H276*I276/J276,2)</f>
        <v>6980.54</v>
      </c>
      <c r="L276" s="15" t="n">
        <v>6980.54</v>
      </c>
      <c r="M276" s="15" t="n">
        <f aca="false">L276-K276</f>
        <v>0</v>
      </c>
      <c r="N276" s="14" t="s">
        <v>51</v>
      </c>
      <c r="O276" s="14" t="s">
        <v>52</v>
      </c>
    </row>
    <row r="277" customFormat="false" ht="15" hidden="false" customHeight="false" outlineLevel="0" collapsed="false">
      <c r="A277" s="3" t="s">
        <v>3739</v>
      </c>
      <c r="B277" s="3" t="s">
        <v>4052</v>
      </c>
      <c r="C277" s="3" t="s">
        <v>417</v>
      </c>
      <c r="D277" s="3" t="s">
        <v>3690</v>
      </c>
      <c r="E277" s="3" t="s">
        <v>74</v>
      </c>
      <c r="F277" s="12" t="n">
        <v>145000</v>
      </c>
      <c r="G277" s="13" t="n">
        <v>0.57</v>
      </c>
      <c r="H277" s="13" t="n">
        <v>1.24</v>
      </c>
      <c r="I277" s="13" t="n">
        <v>0.7772</v>
      </c>
      <c r="J277" s="13" t="n">
        <v>0.53</v>
      </c>
      <c r="K277" s="12" t="n">
        <f aca="false">ROUND(F277/100*G277*H277*I277/J277,2)</f>
        <v>1502.87</v>
      </c>
      <c r="L277" s="12" t="n">
        <v>1502.87</v>
      </c>
      <c r="M277" s="12" t="n">
        <f aca="false">L277-K277</f>
        <v>0</v>
      </c>
      <c r="N277" s="3" t="s">
        <v>61</v>
      </c>
      <c r="O277" s="3" t="s">
        <v>62</v>
      </c>
    </row>
    <row r="278" customFormat="false" ht="15" hidden="false" customHeight="false" outlineLevel="0" collapsed="false">
      <c r="A278" s="14" t="s">
        <v>3781</v>
      </c>
      <c r="B278" s="14" t="s">
        <v>4053</v>
      </c>
      <c r="C278" s="14" t="s">
        <v>266</v>
      </c>
      <c r="D278" s="14" t="s">
        <v>925</v>
      </c>
      <c r="E278" s="14" t="s">
        <v>56</v>
      </c>
      <c r="F278" s="15" t="n">
        <v>360000</v>
      </c>
      <c r="G278" s="16" t="n">
        <v>0.75</v>
      </c>
      <c r="H278" s="16" t="n">
        <v>1.1</v>
      </c>
      <c r="I278" s="16" t="n">
        <v>0.7772</v>
      </c>
      <c r="J278" s="16" t="n">
        <v>0.53</v>
      </c>
      <c r="K278" s="15" t="n">
        <f aca="false">ROUND(F278/100*G278*H278*I278/J278,2)</f>
        <v>4355.25</v>
      </c>
      <c r="L278" s="15" t="n">
        <v>4355.25</v>
      </c>
      <c r="M278" s="15" t="n">
        <f aca="false">L278-K278</f>
        <v>0</v>
      </c>
      <c r="N278" s="14" t="s">
        <v>61</v>
      </c>
      <c r="O278" s="14" t="s">
        <v>62</v>
      </c>
    </row>
    <row r="279" customFormat="false" ht="15" hidden="false" customHeight="false" outlineLevel="0" collapsed="false">
      <c r="A279" s="3" t="s">
        <v>3727</v>
      </c>
      <c r="B279" s="3" t="s">
        <v>4054</v>
      </c>
      <c r="C279" s="3" t="s">
        <v>131</v>
      </c>
      <c r="D279" s="3" t="s">
        <v>3060</v>
      </c>
      <c r="E279" s="3" t="s">
        <v>56</v>
      </c>
      <c r="F279" s="12" t="n">
        <v>365000</v>
      </c>
      <c r="G279" s="13" t="n">
        <v>0.75</v>
      </c>
      <c r="H279" s="13" t="n">
        <v>0.95</v>
      </c>
      <c r="I279" s="13" t="n">
        <v>0.7772</v>
      </c>
      <c r="J279" s="13" t="n">
        <v>0.53</v>
      </c>
      <c r="K279" s="12" t="n">
        <f aca="false">ROUND(F279/100*G279*H279*I279/J279,2)</f>
        <v>3813.6</v>
      </c>
      <c r="L279" s="12" t="n">
        <v>3813.6</v>
      </c>
      <c r="M279" s="12" t="n">
        <f aca="false">L279-K279</f>
        <v>0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3734</v>
      </c>
      <c r="B280" s="14" t="s">
        <v>4055</v>
      </c>
      <c r="C280" s="14" t="s">
        <v>159</v>
      </c>
      <c r="D280" s="14" t="s">
        <v>513</v>
      </c>
      <c r="E280" s="14" t="s">
        <v>56</v>
      </c>
      <c r="F280" s="15" t="n">
        <v>140000</v>
      </c>
      <c r="G280" s="16" t="n">
        <v>0.92</v>
      </c>
      <c r="H280" s="16" t="n">
        <v>1.15</v>
      </c>
      <c r="I280" s="16" t="n">
        <v>0.7772</v>
      </c>
      <c r="J280" s="16" t="n">
        <v>0.53</v>
      </c>
      <c r="K280" s="15" t="n">
        <f aca="false">ROUND(F280/100*G280*H280*I280/J280,2)</f>
        <v>2172.05</v>
      </c>
      <c r="L280" s="15" t="n">
        <v>2172.06</v>
      </c>
      <c r="M280" s="15" t="n">
        <f aca="false">L280-K280</f>
        <v>0.00999999999976353</v>
      </c>
      <c r="N280" s="14" t="s">
        <v>61</v>
      </c>
      <c r="O280" s="14" t="s">
        <v>62</v>
      </c>
    </row>
    <row r="281" customFormat="false" ht="15" hidden="false" customHeight="false" outlineLevel="0" collapsed="false">
      <c r="A281" s="3" t="s">
        <v>3799</v>
      </c>
      <c r="B281" s="3" t="s">
        <v>4056</v>
      </c>
      <c r="C281" s="3" t="s">
        <v>887</v>
      </c>
      <c r="D281" s="3" t="s">
        <v>951</v>
      </c>
      <c r="E281" s="3" t="s">
        <v>74</v>
      </c>
      <c r="F281" s="12" t="n">
        <v>590000</v>
      </c>
      <c r="G281" s="13" t="n">
        <v>0.43</v>
      </c>
      <c r="H281" s="13" t="n">
        <v>1.37</v>
      </c>
      <c r="I281" s="13" t="n">
        <v>0.7772</v>
      </c>
      <c r="J281" s="13" t="n">
        <v>0.53</v>
      </c>
      <c r="K281" s="12" t="n">
        <f aca="false">ROUND(F281/100*G281*H281*I281/J281,2)</f>
        <v>5096.8</v>
      </c>
      <c r="L281" s="12" t="n">
        <v>5096.81</v>
      </c>
      <c r="M281" s="12" t="n">
        <f aca="false">L281-K281</f>
        <v>0.0100000000002183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3727</v>
      </c>
      <c r="B282" s="14" t="s">
        <v>4057</v>
      </c>
      <c r="C282" s="14" t="s">
        <v>159</v>
      </c>
      <c r="D282" s="14" t="s">
        <v>3344</v>
      </c>
      <c r="E282" s="14" t="s">
        <v>74</v>
      </c>
      <c r="F282" s="15" t="n">
        <v>460000</v>
      </c>
      <c r="G282" s="16" t="n">
        <v>0.48</v>
      </c>
      <c r="H282" s="16" t="n">
        <v>1.15</v>
      </c>
      <c r="I282" s="16" t="n">
        <v>0.7772</v>
      </c>
      <c r="J282" s="16" t="n">
        <v>0.53</v>
      </c>
      <c r="K282" s="15" t="n">
        <f aca="false">ROUND(F282/100*G282*H282*I282/J282,2)</f>
        <v>3723.52</v>
      </c>
      <c r="L282" s="15" t="n">
        <v>3723.52</v>
      </c>
      <c r="M282" s="15" t="n">
        <f aca="false">L282-K282</f>
        <v>0</v>
      </c>
      <c r="N282" s="14" t="s">
        <v>51</v>
      </c>
      <c r="O282" s="14" t="s">
        <v>52</v>
      </c>
    </row>
    <row r="283" customFormat="false" ht="15" hidden="false" customHeight="false" outlineLevel="0" collapsed="false">
      <c r="A283" s="3" t="s">
        <v>3783</v>
      </c>
      <c r="B283" s="3" t="s">
        <v>4058</v>
      </c>
      <c r="C283" s="3" t="s">
        <v>237</v>
      </c>
      <c r="D283" s="3" t="s">
        <v>2122</v>
      </c>
      <c r="E283" s="3" t="s">
        <v>56</v>
      </c>
      <c r="F283" s="12" t="n">
        <v>680000</v>
      </c>
      <c r="G283" s="13" t="n">
        <v>0.65</v>
      </c>
      <c r="H283" s="13" t="n">
        <v>1.33</v>
      </c>
      <c r="I283" s="13" t="n">
        <v>0.7772</v>
      </c>
      <c r="J283" s="13" t="n">
        <v>0.53</v>
      </c>
      <c r="K283" s="12" t="n">
        <f aca="false">ROUND(F283/100*G283*H283*I283/J283,2)</f>
        <v>8620.47</v>
      </c>
      <c r="L283" s="12" t="n">
        <v>8620.47</v>
      </c>
      <c r="M283" s="12" t="n">
        <f aca="false">L283-K283</f>
        <v>0</v>
      </c>
      <c r="N283" s="3" t="s">
        <v>61</v>
      </c>
      <c r="O283" s="3" t="s">
        <v>62</v>
      </c>
    </row>
    <row r="284" customFormat="false" ht="15" hidden="false" customHeight="false" outlineLevel="0" collapsed="false">
      <c r="A284" s="14" t="s">
        <v>3727</v>
      </c>
      <c r="B284" s="14" t="s">
        <v>4059</v>
      </c>
      <c r="C284" s="14" t="s">
        <v>81</v>
      </c>
      <c r="D284" s="14" t="s">
        <v>694</v>
      </c>
      <c r="E284" s="14" t="s">
        <v>56</v>
      </c>
      <c r="F284" s="15" t="n">
        <v>1950000</v>
      </c>
      <c r="G284" s="16" t="n">
        <v>0.55</v>
      </c>
      <c r="H284" s="16" t="n">
        <v>1.27</v>
      </c>
      <c r="I284" s="16" t="n">
        <v>0.7772</v>
      </c>
      <c r="J284" s="16" t="n">
        <v>0.53</v>
      </c>
      <c r="K284" s="15" t="n">
        <f aca="false">ROUND(F284/100*G284*H284*I284/J284,2)</f>
        <v>19973.67</v>
      </c>
      <c r="L284" s="15" t="n">
        <v>19973.67</v>
      </c>
      <c r="M284" s="15" t="n">
        <f aca="false">L284-K284</f>
        <v>0</v>
      </c>
      <c r="N284" s="14" t="s">
        <v>70</v>
      </c>
      <c r="O284" s="14" t="s">
        <v>52</v>
      </c>
    </row>
    <row r="285" customFormat="false" ht="15" hidden="false" customHeight="false" outlineLevel="0" collapsed="false">
      <c r="A285" s="3" t="s">
        <v>3741</v>
      </c>
      <c r="B285" s="3" t="s">
        <v>4060</v>
      </c>
      <c r="C285" s="3" t="s">
        <v>174</v>
      </c>
      <c r="D285" s="3" t="s">
        <v>3264</v>
      </c>
      <c r="E285" s="3" t="s">
        <v>74</v>
      </c>
      <c r="F285" s="12" t="n">
        <v>555000</v>
      </c>
      <c r="G285" s="13" t="n">
        <v>0.43</v>
      </c>
      <c r="H285" s="13" t="n">
        <v>1.55</v>
      </c>
      <c r="I285" s="13" t="n">
        <v>0.7772</v>
      </c>
      <c r="J285" s="13" t="n">
        <v>0.53</v>
      </c>
      <c r="K285" s="12" t="n">
        <f aca="false">ROUND(F285/100*G285*H285*I285/J285,2)</f>
        <v>5424.38</v>
      </c>
      <c r="L285" s="12" t="n">
        <v>5424.38</v>
      </c>
      <c r="M285" s="12" t="n">
        <f aca="false">L285-K285</f>
        <v>0</v>
      </c>
      <c r="N285" s="3" t="s">
        <v>61</v>
      </c>
      <c r="O285" s="3" t="s">
        <v>62</v>
      </c>
    </row>
    <row r="286" customFormat="false" ht="15" hidden="false" customHeight="false" outlineLevel="0" collapsed="false">
      <c r="A286" s="14" t="s">
        <v>3775</v>
      </c>
      <c r="B286" s="14" t="s">
        <v>4061</v>
      </c>
      <c r="C286" s="14" t="s">
        <v>311</v>
      </c>
      <c r="D286" s="14" t="s">
        <v>598</v>
      </c>
      <c r="E286" s="14" t="s">
        <v>56</v>
      </c>
      <c r="F286" s="15" t="n">
        <v>250000</v>
      </c>
      <c r="G286" s="16" t="n">
        <v>0.75</v>
      </c>
      <c r="H286" s="16" t="n">
        <v>1.06</v>
      </c>
      <c r="I286" s="16" t="n">
        <v>0.7772</v>
      </c>
      <c r="J286" s="16" t="n">
        <v>0.53</v>
      </c>
      <c r="K286" s="15" t="n">
        <f aca="false">ROUND(F286/100*G286*H286*I286/J286,2)</f>
        <v>2914.5</v>
      </c>
      <c r="L286" s="15" t="n">
        <v>2914.5</v>
      </c>
      <c r="M286" s="15" t="n">
        <f aca="false">L286-K286</f>
        <v>0</v>
      </c>
      <c r="N286" s="14" t="s">
        <v>51</v>
      </c>
      <c r="O286" s="14" t="s">
        <v>52</v>
      </c>
    </row>
    <row r="287" customFormat="false" ht="15" hidden="false" customHeight="false" outlineLevel="0" collapsed="false">
      <c r="A287" s="3" t="s">
        <v>3856</v>
      </c>
      <c r="B287" s="3" t="s">
        <v>4062</v>
      </c>
      <c r="C287" s="3" t="s">
        <v>193</v>
      </c>
      <c r="D287" s="3" t="s">
        <v>189</v>
      </c>
      <c r="E287" s="3" t="s">
        <v>50</v>
      </c>
      <c r="F287" s="12" t="n">
        <v>925000</v>
      </c>
      <c r="G287" s="13" t="n">
        <v>0.95</v>
      </c>
      <c r="H287" s="13" t="n">
        <v>1.25</v>
      </c>
      <c r="I287" s="13" t="n">
        <v>0.7772</v>
      </c>
      <c r="J287" s="13" t="n">
        <v>0.53</v>
      </c>
      <c r="K287" s="12" t="n">
        <f aca="false">ROUND(F287/100*G287*H287*I287/J287,2)</f>
        <v>16107.65</v>
      </c>
      <c r="L287" s="12" t="n">
        <v>16107.66</v>
      </c>
      <c r="M287" s="12" t="n">
        <f aca="false">L287-K287</f>
        <v>0.0100000000002183</v>
      </c>
      <c r="N287" s="3" t="s">
        <v>70</v>
      </c>
      <c r="O287" s="3" t="s">
        <v>52</v>
      </c>
    </row>
    <row r="288" customFormat="false" ht="15" hidden="false" customHeight="false" outlineLevel="0" collapsed="false">
      <c r="A288" s="14" t="s">
        <v>3783</v>
      </c>
      <c r="B288" s="14" t="s">
        <v>4063</v>
      </c>
      <c r="C288" s="14" t="s">
        <v>159</v>
      </c>
      <c r="D288" s="14" t="s">
        <v>2802</v>
      </c>
      <c r="E288" s="14" t="s">
        <v>50</v>
      </c>
      <c r="F288" s="15" t="n">
        <v>1270000</v>
      </c>
      <c r="G288" s="16" t="n">
        <v>0.8</v>
      </c>
      <c r="H288" s="16" t="n">
        <v>1.15</v>
      </c>
      <c r="I288" s="16" t="n">
        <v>0.7772</v>
      </c>
      <c r="J288" s="16" t="n">
        <v>0.53</v>
      </c>
      <c r="K288" s="15" t="n">
        <f aca="false">ROUND(F288/100*G288*H288*I288/J288,2)</f>
        <v>17133.59</v>
      </c>
      <c r="L288" s="15" t="n">
        <v>17133.59</v>
      </c>
      <c r="M288" s="15" t="n">
        <f aca="false">L288-K288</f>
        <v>0</v>
      </c>
      <c r="N288" s="14" t="s">
        <v>61</v>
      </c>
      <c r="O288" s="14" t="s">
        <v>62</v>
      </c>
    </row>
    <row r="289" customFormat="false" ht="15" hidden="false" customHeight="false" outlineLevel="0" collapsed="false">
      <c r="A289" s="3" t="s">
        <v>3734</v>
      </c>
      <c r="B289" s="3" t="s">
        <v>4064</v>
      </c>
      <c r="C289" s="3" t="s">
        <v>114</v>
      </c>
      <c r="D289" s="3" t="s">
        <v>303</v>
      </c>
      <c r="E289" s="3" t="s">
        <v>56</v>
      </c>
      <c r="F289" s="12" t="n">
        <v>360000</v>
      </c>
      <c r="G289" s="13" t="n">
        <v>0.75</v>
      </c>
      <c r="H289" s="13" t="n">
        <v>1.36</v>
      </c>
      <c r="I289" s="13" t="n">
        <v>0.7772</v>
      </c>
      <c r="J289" s="13" t="n">
        <v>0.53</v>
      </c>
      <c r="K289" s="12" t="n">
        <f aca="false">ROUND(F289/100*G289*H289*I289/J289,2)</f>
        <v>5384.68</v>
      </c>
      <c r="L289" s="12" t="n">
        <v>5384.67</v>
      </c>
      <c r="M289" s="12" t="n">
        <f aca="false">L289-K289</f>
        <v>-0.0100000000002183</v>
      </c>
      <c r="N289" s="3" t="s">
        <v>61</v>
      </c>
      <c r="O289" s="3" t="s">
        <v>62</v>
      </c>
    </row>
    <row r="290" customFormat="false" ht="15" hidden="false" customHeight="false" outlineLevel="0" collapsed="false">
      <c r="A290" s="14" t="s">
        <v>3727</v>
      </c>
      <c r="B290" s="14" t="s">
        <v>4065</v>
      </c>
      <c r="C290" s="14" t="s">
        <v>152</v>
      </c>
      <c r="D290" s="14" t="s">
        <v>2984</v>
      </c>
      <c r="E290" s="14" t="s">
        <v>74</v>
      </c>
      <c r="F290" s="15" t="n">
        <v>675000</v>
      </c>
      <c r="G290" s="16" t="n">
        <v>0.43</v>
      </c>
      <c r="H290" s="16" t="n">
        <v>1</v>
      </c>
      <c r="I290" s="16" t="n">
        <v>0.7772</v>
      </c>
      <c r="J290" s="16" t="n">
        <v>0.53</v>
      </c>
      <c r="K290" s="15" t="n">
        <f aca="false">ROUND(F290/100*G290*H290*I290/J290,2)</f>
        <v>4256.27</v>
      </c>
      <c r="L290" s="15" t="n">
        <v>4256.27</v>
      </c>
      <c r="M290" s="15" t="n">
        <f aca="false">L290-K290</f>
        <v>0</v>
      </c>
      <c r="N290" s="14" t="s">
        <v>61</v>
      </c>
      <c r="O290" s="14" t="s">
        <v>62</v>
      </c>
    </row>
    <row r="291" customFormat="false" ht="15" hidden="false" customHeight="false" outlineLevel="0" collapsed="false">
      <c r="A291" s="3" t="s">
        <v>3715</v>
      </c>
      <c r="B291" s="3" t="s">
        <v>4066</v>
      </c>
      <c r="C291" s="3" t="s">
        <v>108</v>
      </c>
      <c r="D291" s="3" t="s">
        <v>606</v>
      </c>
      <c r="E291" s="3" t="s">
        <v>56</v>
      </c>
      <c r="F291" s="12" t="n">
        <v>1275000</v>
      </c>
      <c r="G291" s="13" t="n">
        <v>0.55</v>
      </c>
      <c r="H291" s="13" t="n">
        <v>0.93</v>
      </c>
      <c r="I291" s="13" t="n">
        <v>0.7772</v>
      </c>
      <c r="J291" s="13" t="n">
        <v>0.53</v>
      </c>
      <c r="K291" s="12" t="n">
        <f aca="false">ROUND(F291/100*G291*H291*I291/J291,2)</f>
        <v>9563.41</v>
      </c>
      <c r="L291" s="12" t="n">
        <v>9563.41</v>
      </c>
      <c r="M291" s="12" t="n">
        <f aca="false">L291-K291</f>
        <v>0</v>
      </c>
      <c r="N291" s="3" t="s">
        <v>61</v>
      </c>
      <c r="O291" s="3" t="s">
        <v>62</v>
      </c>
    </row>
    <row r="292" customFormat="false" ht="15" hidden="false" customHeight="false" outlineLevel="0" collapsed="false">
      <c r="A292" s="14" t="s">
        <v>3734</v>
      </c>
      <c r="B292" s="14" t="s">
        <v>4067</v>
      </c>
      <c r="C292" s="14" t="s">
        <v>237</v>
      </c>
      <c r="D292" s="14" t="s">
        <v>4068</v>
      </c>
      <c r="E292" s="14" t="s">
        <v>50</v>
      </c>
      <c r="F292" s="15" t="n">
        <v>410000</v>
      </c>
      <c r="G292" s="16" t="n">
        <v>1.15</v>
      </c>
      <c r="H292" s="16" t="n">
        <v>1.33</v>
      </c>
      <c r="I292" s="16" t="n">
        <v>0.7772</v>
      </c>
      <c r="J292" s="16" t="n">
        <v>0.53</v>
      </c>
      <c r="K292" s="15" t="n">
        <f aca="false">ROUND(F292/100*G292*H292*I292/J292,2)</f>
        <v>9195.82</v>
      </c>
      <c r="L292" s="15" t="n">
        <v>9195.81</v>
      </c>
      <c r="M292" s="15" t="n">
        <f aca="false">L292-K292</f>
        <v>-0.0100000000002183</v>
      </c>
      <c r="N292" s="14" t="s">
        <v>61</v>
      </c>
      <c r="O292" s="14" t="s">
        <v>62</v>
      </c>
    </row>
    <row r="293" customFormat="false" ht="15" hidden="false" customHeight="false" outlineLevel="0" collapsed="false">
      <c r="A293" s="3" t="s">
        <v>3802</v>
      </c>
      <c r="B293" s="3" t="s">
        <v>4069</v>
      </c>
      <c r="C293" s="3" t="s">
        <v>305</v>
      </c>
      <c r="D293" s="3" t="s">
        <v>3107</v>
      </c>
      <c r="E293" s="3" t="s">
        <v>56</v>
      </c>
      <c r="F293" s="12" t="n">
        <v>310000</v>
      </c>
      <c r="G293" s="13" t="n">
        <v>0.75</v>
      </c>
      <c r="H293" s="13" t="n">
        <v>1.12</v>
      </c>
      <c r="I293" s="13" t="n">
        <v>0.7772</v>
      </c>
      <c r="J293" s="13" t="n">
        <v>0.53</v>
      </c>
      <c r="K293" s="12" t="n">
        <f aca="false">ROUND(F293/100*G293*H293*I293/J293,2)</f>
        <v>3818.54</v>
      </c>
      <c r="L293" s="12" t="n">
        <v>3818.55</v>
      </c>
      <c r="M293" s="12" t="n">
        <f aca="false">L293-K293</f>
        <v>0.0100000000002183</v>
      </c>
      <c r="N293" s="3" t="s">
        <v>61</v>
      </c>
      <c r="O293" s="3" t="s">
        <v>62</v>
      </c>
    </row>
    <row r="294" customFormat="false" ht="15" hidden="false" customHeight="false" outlineLevel="0" collapsed="false">
      <c r="A294" s="14" t="s">
        <v>3727</v>
      </c>
      <c r="B294" s="14" t="s">
        <v>4070</v>
      </c>
      <c r="C294" s="14" t="s">
        <v>152</v>
      </c>
      <c r="D294" s="14" t="s">
        <v>1599</v>
      </c>
      <c r="E294" s="14" t="s">
        <v>56</v>
      </c>
      <c r="F294" s="15" t="n">
        <v>980000</v>
      </c>
      <c r="G294" s="16" t="n">
        <v>0.65</v>
      </c>
      <c r="H294" s="16" t="n">
        <v>1</v>
      </c>
      <c r="I294" s="16" t="n">
        <v>0.7772</v>
      </c>
      <c r="J294" s="16" t="n">
        <v>0.53</v>
      </c>
      <c r="K294" s="15" t="n">
        <f aca="false">ROUND(F294/100*G294*H294*I294/J294,2)</f>
        <v>9341.06</v>
      </c>
      <c r="L294" s="15" t="n">
        <v>9341.07</v>
      </c>
      <c r="M294" s="15" t="n">
        <f aca="false">L294-K294</f>
        <v>0.0100000000002183</v>
      </c>
      <c r="N294" s="14" t="s">
        <v>61</v>
      </c>
      <c r="O294" s="14" t="s">
        <v>62</v>
      </c>
    </row>
    <row r="295" customFormat="false" ht="15" hidden="false" customHeight="false" outlineLevel="0" collapsed="false">
      <c r="A295" s="3" t="s">
        <v>3715</v>
      </c>
      <c r="B295" s="3" t="s">
        <v>4071</v>
      </c>
      <c r="C295" s="3" t="s">
        <v>89</v>
      </c>
      <c r="D295" s="3" t="s">
        <v>1240</v>
      </c>
      <c r="E295" s="3" t="s">
        <v>74</v>
      </c>
      <c r="F295" s="12" t="n">
        <v>470000</v>
      </c>
      <c r="G295" s="13" t="n">
        <v>0.48</v>
      </c>
      <c r="H295" s="13" t="n">
        <v>1.35</v>
      </c>
      <c r="I295" s="13" t="n">
        <v>0.7772</v>
      </c>
      <c r="J295" s="13" t="n">
        <v>0.53</v>
      </c>
      <c r="K295" s="12" t="n">
        <f aca="false">ROUND(F295/100*G295*H295*I295/J295,2)</f>
        <v>4466.11</v>
      </c>
      <c r="L295" s="12" t="n">
        <v>4466.12</v>
      </c>
      <c r="M295" s="12" t="n">
        <f aca="false">L295-K295</f>
        <v>0.0100000000002183</v>
      </c>
      <c r="N295" s="3" t="s">
        <v>61</v>
      </c>
      <c r="O295" s="3" t="s">
        <v>62</v>
      </c>
    </row>
    <row r="296" customFormat="false" ht="15" hidden="false" customHeight="false" outlineLevel="0" collapsed="false">
      <c r="A296" s="14" t="s">
        <v>3983</v>
      </c>
      <c r="B296" s="14" t="s">
        <v>4072</v>
      </c>
      <c r="C296" s="14" t="s">
        <v>89</v>
      </c>
      <c r="D296" s="14" t="s">
        <v>1739</v>
      </c>
      <c r="E296" s="14" t="s">
        <v>74</v>
      </c>
      <c r="F296" s="15" t="n">
        <v>480000</v>
      </c>
      <c r="G296" s="16" t="n">
        <v>0.48</v>
      </c>
      <c r="H296" s="16" t="n">
        <v>1.35</v>
      </c>
      <c r="I296" s="16" t="n">
        <v>0.7772</v>
      </c>
      <c r="J296" s="16" t="n">
        <v>0.53</v>
      </c>
      <c r="K296" s="15" t="n">
        <f aca="false">ROUND(F296/100*G296*H296*I296/J296,2)</f>
        <v>4561.14</v>
      </c>
      <c r="L296" s="15" t="n">
        <v>4561.14</v>
      </c>
      <c r="M296" s="15" t="n">
        <f aca="false">L296-K296</f>
        <v>0</v>
      </c>
      <c r="N296" s="14" t="s">
        <v>51</v>
      </c>
      <c r="O296" s="14" t="s">
        <v>52</v>
      </c>
    </row>
    <row r="297" customFormat="false" ht="15" hidden="false" customHeight="false" outlineLevel="0" collapsed="false">
      <c r="A297" s="3" t="s">
        <v>3983</v>
      </c>
      <c r="B297" s="3" t="s">
        <v>4073</v>
      </c>
      <c r="C297" s="3" t="s">
        <v>152</v>
      </c>
      <c r="D297" s="3" t="s">
        <v>4074</v>
      </c>
      <c r="E297" s="3" t="s">
        <v>50</v>
      </c>
      <c r="F297" s="12" t="n">
        <v>1135000</v>
      </c>
      <c r="G297" s="13" t="n">
        <v>0.8</v>
      </c>
      <c r="H297" s="13" t="n">
        <v>1</v>
      </c>
      <c r="I297" s="13" t="n">
        <v>0.7772</v>
      </c>
      <c r="J297" s="13" t="n">
        <v>0.53</v>
      </c>
      <c r="K297" s="12" t="n">
        <f aca="false">ROUND(F297/100*G297*H297*I297/J297,2)</f>
        <v>13315.05</v>
      </c>
      <c r="L297" s="12" t="n">
        <v>13315.05</v>
      </c>
      <c r="M297" s="12" t="n">
        <f aca="false">L297-K297</f>
        <v>0</v>
      </c>
      <c r="N297" s="3" t="s">
        <v>61</v>
      </c>
      <c r="O297" s="3" t="s">
        <v>62</v>
      </c>
    </row>
    <row r="298" customFormat="false" ht="15" hidden="false" customHeight="false" outlineLevel="0" collapsed="false">
      <c r="A298" s="14" t="s">
        <v>3715</v>
      </c>
      <c r="B298" s="14" t="s">
        <v>4075</v>
      </c>
      <c r="C298" s="14" t="s">
        <v>77</v>
      </c>
      <c r="D298" s="14" t="s">
        <v>2161</v>
      </c>
      <c r="E298" s="14" t="s">
        <v>56</v>
      </c>
      <c r="F298" s="15" t="n">
        <v>1825000</v>
      </c>
      <c r="G298" s="16" t="n">
        <v>0.55</v>
      </c>
      <c r="H298" s="16" t="n">
        <v>1.42</v>
      </c>
      <c r="I298" s="16" t="n">
        <v>0.7772</v>
      </c>
      <c r="J298" s="16" t="n">
        <v>0.53</v>
      </c>
      <c r="K298" s="15" t="n">
        <f aca="false">ROUND(F298/100*G298*H298*I298/J298,2)</f>
        <v>20901.18</v>
      </c>
      <c r="L298" s="15" t="n">
        <v>20901.18</v>
      </c>
      <c r="M298" s="15" t="n">
        <f aca="false">L298-K298</f>
        <v>0</v>
      </c>
      <c r="N298" s="14" t="s">
        <v>61</v>
      </c>
      <c r="O298" s="14" t="s">
        <v>62</v>
      </c>
    </row>
    <row r="299" customFormat="false" ht="15" hidden="false" customHeight="false" outlineLevel="0" collapsed="false">
      <c r="A299" s="3" t="s">
        <v>3791</v>
      </c>
      <c r="B299" s="3" t="s">
        <v>4076</v>
      </c>
      <c r="C299" s="3" t="s">
        <v>105</v>
      </c>
      <c r="D299" s="3" t="s">
        <v>572</v>
      </c>
      <c r="E299" s="3" t="s">
        <v>56</v>
      </c>
      <c r="F299" s="12" t="n">
        <v>910000</v>
      </c>
      <c r="G299" s="13" t="n">
        <v>0.65</v>
      </c>
      <c r="H299" s="13" t="n">
        <v>0.99</v>
      </c>
      <c r="I299" s="13" t="n">
        <v>0.7772</v>
      </c>
      <c r="J299" s="13" t="n">
        <v>0.53</v>
      </c>
      <c r="K299" s="12" t="n">
        <f aca="false">ROUND(F299/100*G299*H299*I299/J299,2)</f>
        <v>8587.11</v>
      </c>
      <c r="L299" s="12" t="n">
        <v>8587.1</v>
      </c>
      <c r="M299" s="12" t="n">
        <f aca="false">L299-K299</f>
        <v>-0.0100000000002183</v>
      </c>
      <c r="N299" s="3" t="s">
        <v>61</v>
      </c>
      <c r="O299" s="3" t="s">
        <v>62</v>
      </c>
    </row>
    <row r="301" customFormat="false" ht="15" hidden="false" customHeight="false" outlineLevel="0" collapsed="false">
      <c r="A301" s="10" t="s">
        <v>551</v>
      </c>
      <c r="C301" s="17" t="n">
        <f aca="false">COUNTA(B5:B299)</f>
        <v>295</v>
      </c>
    </row>
    <row r="302" customFormat="false" ht="15" hidden="false" customHeight="false" outlineLevel="0" collapsed="false">
      <c r="A302" s="10" t="s">
        <v>552</v>
      </c>
      <c r="C302" s="17" t="n">
        <f aca="false">COUNTIF(O5:O299,"bound")</f>
        <v>204</v>
      </c>
    </row>
    <row r="303" customFormat="false" ht="15" hidden="false" customHeight="false" outlineLevel="0" collapsed="false">
      <c r="A303" s="10" t="s">
        <v>553</v>
      </c>
      <c r="C303" s="18" t="n">
        <f aca="false">AVERAGE(L5:L299)</f>
        <v>7869.02949152542</v>
      </c>
    </row>
    <row r="304" customFormat="false" ht="15" hidden="false" customHeight="false" outlineLevel="0" collapsed="false">
      <c r="A304" s="10" t="s">
        <v>554</v>
      </c>
      <c r="C304" s="18" t="n">
        <f aca="false">AVERAGEIF(O5:O299,"bound",L5:L299)</f>
        <v>7955.68985294118</v>
      </c>
    </row>
    <row r="305" customFormat="false" ht="15" hidden="false" customHeight="false" outlineLevel="0" collapsed="false">
      <c r="A305" s="10" t="s">
        <v>555</v>
      </c>
      <c r="C305" s="18" t="n">
        <f aca="false">SUMIF(O5:O299,"bound",L5:L299)</f>
        <v>1622960.73</v>
      </c>
    </row>
    <row r="306" customFormat="false" ht="15" hidden="false" customHeight="false" outlineLevel="0" collapsed="false">
      <c r="A306" s="10" t="s">
        <v>556</v>
      </c>
      <c r="C306" s="19" t="n">
        <v>0.7772</v>
      </c>
    </row>
  </sheetData>
  <autoFilter ref="A4:O2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4077</v>
      </c>
    </row>
    <row r="2" customFormat="false" ht="15" hidden="false" customHeight="false" outlineLevel="0" collapsed="false">
      <c r="A2" s="4" t="s">
        <v>4078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4079</v>
      </c>
      <c r="B5" s="3" t="s">
        <v>4080</v>
      </c>
      <c r="C5" s="3" t="s">
        <v>243</v>
      </c>
      <c r="D5" s="3" t="s">
        <v>771</v>
      </c>
      <c r="E5" s="3" t="s">
        <v>56</v>
      </c>
      <c r="F5" s="12" t="n">
        <v>480000</v>
      </c>
      <c r="G5" s="13" t="n">
        <v>0.75</v>
      </c>
      <c r="H5" s="13" t="n">
        <v>1.14</v>
      </c>
      <c r="I5" s="13" t="n">
        <v>0.7648</v>
      </c>
      <c r="J5" s="13" t="n">
        <v>0.53</v>
      </c>
      <c r="K5" s="12" t="n">
        <f aca="false">ROUND(F5/100*G5*H5*I5/J5,2)</f>
        <v>5922.15</v>
      </c>
      <c r="L5" s="12" t="n">
        <v>5922.15</v>
      </c>
      <c r="M5" s="12" t="n">
        <f aca="false">L5-K5</f>
        <v>0</v>
      </c>
      <c r="N5" s="3" t="s">
        <v>70</v>
      </c>
      <c r="O5" s="3" t="s">
        <v>52</v>
      </c>
    </row>
    <row r="6" customFormat="false" ht="15" hidden="false" customHeight="false" outlineLevel="0" collapsed="false">
      <c r="A6" s="14" t="s">
        <v>4081</v>
      </c>
      <c r="B6" s="14" t="s">
        <v>4082</v>
      </c>
      <c r="C6" s="14" t="s">
        <v>48</v>
      </c>
      <c r="D6" s="14" t="s">
        <v>303</v>
      </c>
      <c r="E6" s="14" t="s">
        <v>56</v>
      </c>
      <c r="F6" s="15" t="n">
        <v>1160000</v>
      </c>
      <c r="G6" s="16" t="n">
        <v>0.55</v>
      </c>
      <c r="H6" s="16" t="n">
        <v>1.28</v>
      </c>
      <c r="I6" s="16" t="n">
        <v>0.7648</v>
      </c>
      <c r="J6" s="16" t="n">
        <v>0.53</v>
      </c>
      <c r="K6" s="15" t="n">
        <f aca="false">ROUND(F6/100*G6*H6*I6/J6,2)</f>
        <v>11784.27</v>
      </c>
      <c r="L6" s="15" t="n">
        <v>11784.27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4083</v>
      </c>
      <c r="B7" s="3" t="s">
        <v>4084</v>
      </c>
      <c r="C7" s="3" t="s">
        <v>59</v>
      </c>
      <c r="D7" s="3" t="s">
        <v>3227</v>
      </c>
      <c r="E7" s="3" t="s">
        <v>56</v>
      </c>
      <c r="F7" s="12" t="n">
        <v>860000</v>
      </c>
      <c r="G7" s="13" t="n">
        <v>0.65</v>
      </c>
      <c r="H7" s="13" t="n">
        <v>0.97</v>
      </c>
      <c r="I7" s="13" t="n">
        <v>0.7648</v>
      </c>
      <c r="J7" s="13" t="n">
        <v>0.53</v>
      </c>
      <c r="K7" s="12" t="n">
        <f aca="false">ROUND(F7/100*G7*H7*I7/J7,2)</f>
        <v>7824.48</v>
      </c>
      <c r="L7" s="12" t="n">
        <v>7824.48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4079</v>
      </c>
      <c r="B8" s="14" t="s">
        <v>4085</v>
      </c>
      <c r="C8" s="14" t="s">
        <v>462</v>
      </c>
      <c r="D8" s="14" t="s">
        <v>916</v>
      </c>
      <c r="E8" s="14" t="s">
        <v>56</v>
      </c>
      <c r="F8" s="15" t="n">
        <v>535000</v>
      </c>
      <c r="G8" s="16" t="n">
        <v>0.65</v>
      </c>
      <c r="H8" s="16" t="n">
        <v>1.34</v>
      </c>
      <c r="I8" s="16" t="n">
        <v>0.7648</v>
      </c>
      <c r="J8" s="16" t="n">
        <v>0.53</v>
      </c>
      <c r="K8" s="15" t="n">
        <f aca="false">ROUND(F8/100*G8*H8*I8/J8,2)</f>
        <v>6724.25</v>
      </c>
      <c r="L8" s="15" t="n">
        <v>6724.25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4086</v>
      </c>
      <c r="B9" s="3" t="s">
        <v>4087</v>
      </c>
      <c r="C9" s="3" t="s">
        <v>224</v>
      </c>
      <c r="D9" s="3" t="s">
        <v>673</v>
      </c>
      <c r="E9" s="3" t="s">
        <v>56</v>
      </c>
      <c r="F9" s="12" t="n">
        <v>645000</v>
      </c>
      <c r="G9" s="13" t="n">
        <v>0.65</v>
      </c>
      <c r="H9" s="13" t="n">
        <v>1.1</v>
      </c>
      <c r="I9" s="13" t="n">
        <v>0.7648</v>
      </c>
      <c r="J9" s="13" t="n">
        <v>0.53</v>
      </c>
      <c r="K9" s="12" t="n">
        <f aca="false">ROUND(F9/100*G9*H9*I9/J9,2)</f>
        <v>6654.84</v>
      </c>
      <c r="L9" s="12" t="n">
        <v>6654.85</v>
      </c>
      <c r="M9" s="12" t="n">
        <f aca="false">L9-K9</f>
        <v>0.0100000000002183</v>
      </c>
      <c r="N9" s="3" t="s">
        <v>61</v>
      </c>
      <c r="O9" s="3" t="s">
        <v>62</v>
      </c>
    </row>
    <row r="10" customFormat="false" ht="15" hidden="false" customHeight="false" outlineLevel="0" collapsed="false">
      <c r="A10" s="14" t="s">
        <v>4088</v>
      </c>
      <c r="B10" s="14" t="s">
        <v>4089</v>
      </c>
      <c r="C10" s="14" t="s">
        <v>174</v>
      </c>
      <c r="D10" s="14" t="s">
        <v>4090</v>
      </c>
      <c r="E10" s="14" t="s">
        <v>50</v>
      </c>
      <c r="F10" s="15" t="n">
        <v>1730000</v>
      </c>
      <c r="G10" s="16" t="n">
        <v>0.8</v>
      </c>
      <c r="H10" s="16" t="n">
        <v>1.55</v>
      </c>
      <c r="I10" s="16" t="n">
        <v>0.7648</v>
      </c>
      <c r="J10" s="16" t="n">
        <v>0.53</v>
      </c>
      <c r="K10" s="15" t="n">
        <f aca="false">ROUND(F10/100*G10*H10*I10/J10,2)</f>
        <v>30955.64</v>
      </c>
      <c r="L10" s="15" t="n">
        <v>30955.64</v>
      </c>
      <c r="M10" s="15" t="n">
        <f aca="false">L10-K10</f>
        <v>0</v>
      </c>
      <c r="N10" s="14" t="s">
        <v>61</v>
      </c>
      <c r="O10" s="14" t="s">
        <v>62</v>
      </c>
    </row>
    <row r="11" customFormat="false" ht="15" hidden="false" customHeight="false" outlineLevel="0" collapsed="false">
      <c r="A11" s="3" t="s">
        <v>4088</v>
      </c>
      <c r="B11" s="3" t="s">
        <v>4091</v>
      </c>
      <c r="C11" s="3" t="s">
        <v>243</v>
      </c>
      <c r="D11" s="3" t="s">
        <v>931</v>
      </c>
      <c r="E11" s="3" t="s">
        <v>56</v>
      </c>
      <c r="F11" s="12" t="n">
        <v>565000</v>
      </c>
      <c r="G11" s="13" t="n">
        <v>0.65</v>
      </c>
      <c r="H11" s="13" t="n">
        <v>1.14</v>
      </c>
      <c r="I11" s="13" t="n">
        <v>0.7648</v>
      </c>
      <c r="J11" s="13" t="n">
        <v>0.53</v>
      </c>
      <c r="K11" s="12" t="n">
        <f aca="false">ROUND(F11/100*G11*H11*I11/J11,2)</f>
        <v>6041.41</v>
      </c>
      <c r="L11" s="12" t="n">
        <v>6041.42</v>
      </c>
      <c r="M11" s="12" t="n">
        <f aca="false">L11-K11</f>
        <v>0.0100000000002183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4083</v>
      </c>
      <c r="B12" s="14" t="s">
        <v>4092</v>
      </c>
      <c r="C12" s="14" t="s">
        <v>77</v>
      </c>
      <c r="D12" s="14" t="s">
        <v>550</v>
      </c>
      <c r="E12" s="14" t="s">
        <v>56</v>
      </c>
      <c r="F12" s="15" t="n">
        <v>1150000</v>
      </c>
      <c r="G12" s="16" t="n">
        <v>0.55</v>
      </c>
      <c r="H12" s="16" t="n">
        <v>1.42</v>
      </c>
      <c r="I12" s="16" t="n">
        <v>0.7648</v>
      </c>
      <c r="J12" s="16" t="n">
        <v>0.53</v>
      </c>
      <c r="K12" s="15" t="n">
        <f aca="false">ROUND(F12/100*G12*H12*I12/J12,2)</f>
        <v>12960.47</v>
      </c>
      <c r="L12" s="15" t="n">
        <v>12960.48</v>
      </c>
      <c r="M12" s="15" t="n">
        <f aca="false">L12-K12</f>
        <v>0.0100000000002183</v>
      </c>
      <c r="N12" s="14" t="s">
        <v>51</v>
      </c>
      <c r="O12" s="14" t="s">
        <v>52</v>
      </c>
    </row>
    <row r="13" customFormat="false" ht="15" hidden="false" customHeight="false" outlineLevel="0" collapsed="false">
      <c r="A13" s="3" t="s">
        <v>4093</v>
      </c>
      <c r="B13" s="3" t="s">
        <v>4094</v>
      </c>
      <c r="C13" s="3" t="s">
        <v>131</v>
      </c>
      <c r="D13" s="3" t="s">
        <v>3127</v>
      </c>
      <c r="E13" s="3" t="s">
        <v>56</v>
      </c>
      <c r="F13" s="12" t="n">
        <v>1310000</v>
      </c>
      <c r="G13" s="13" t="n">
        <v>0.55</v>
      </c>
      <c r="H13" s="13" t="n">
        <v>0.95</v>
      </c>
      <c r="I13" s="13" t="n">
        <v>0.7648</v>
      </c>
      <c r="J13" s="13" t="n">
        <v>0.53</v>
      </c>
      <c r="K13" s="12" t="n">
        <f aca="false">ROUND(F13/100*G13*H13*I13/J13,2)</f>
        <v>9877.1</v>
      </c>
      <c r="L13" s="12" t="n">
        <v>9877.1</v>
      </c>
      <c r="M13" s="12" t="n">
        <f aca="false">L13-K13</f>
        <v>0</v>
      </c>
      <c r="N13" s="3" t="s">
        <v>61</v>
      </c>
      <c r="O13" s="3" t="s">
        <v>62</v>
      </c>
    </row>
    <row r="14" customFormat="false" ht="15" hidden="false" customHeight="false" outlineLevel="0" collapsed="false">
      <c r="A14" s="14" t="s">
        <v>4095</v>
      </c>
      <c r="B14" s="14" t="s">
        <v>4096</v>
      </c>
      <c r="C14" s="14" t="s">
        <v>48</v>
      </c>
      <c r="D14" s="14" t="s">
        <v>4097</v>
      </c>
      <c r="E14" s="14" t="s">
        <v>74</v>
      </c>
      <c r="F14" s="15" t="n">
        <v>485000</v>
      </c>
      <c r="G14" s="16" t="n">
        <v>0.48</v>
      </c>
      <c r="H14" s="16" t="n">
        <v>1.28</v>
      </c>
      <c r="I14" s="16" t="n">
        <v>0.7648</v>
      </c>
      <c r="J14" s="16" t="n">
        <v>0.53</v>
      </c>
      <c r="K14" s="15" t="n">
        <f aca="false">ROUND(F14/100*G14*H14*I14/J14,2)</f>
        <v>4299.97</v>
      </c>
      <c r="L14" s="15" t="n">
        <v>4299.97</v>
      </c>
      <c r="M14" s="15" t="n">
        <f aca="false">L14-K14</f>
        <v>0</v>
      </c>
      <c r="N14" s="14" t="s">
        <v>51</v>
      </c>
      <c r="O14" s="14" t="s">
        <v>52</v>
      </c>
    </row>
    <row r="15" customFormat="false" ht="15" hidden="false" customHeight="false" outlineLevel="0" collapsed="false">
      <c r="A15" s="3" t="s">
        <v>4098</v>
      </c>
      <c r="B15" s="3" t="s">
        <v>4099</v>
      </c>
      <c r="C15" s="3" t="s">
        <v>435</v>
      </c>
      <c r="D15" s="3" t="s">
        <v>1517</v>
      </c>
      <c r="E15" s="3" t="s">
        <v>56</v>
      </c>
      <c r="F15" s="12" t="n">
        <v>505000</v>
      </c>
      <c r="G15" s="13" t="n">
        <v>0.65</v>
      </c>
      <c r="H15" s="13" t="n">
        <v>1.13</v>
      </c>
      <c r="I15" s="13" t="n">
        <v>0.7648</v>
      </c>
      <c r="J15" s="13" t="n">
        <v>0.53</v>
      </c>
      <c r="K15" s="12" t="n">
        <f aca="false">ROUND(F15/100*G15*H15*I15/J15,2)</f>
        <v>5352.48</v>
      </c>
      <c r="L15" s="12" t="n">
        <v>5352.48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4100</v>
      </c>
      <c r="B16" s="14" t="s">
        <v>4101</v>
      </c>
      <c r="C16" s="14" t="s">
        <v>159</v>
      </c>
      <c r="D16" s="14" t="s">
        <v>367</v>
      </c>
      <c r="E16" s="14" t="s">
        <v>56</v>
      </c>
      <c r="F16" s="15" t="n">
        <v>335000</v>
      </c>
      <c r="G16" s="16" t="n">
        <v>0.75</v>
      </c>
      <c r="H16" s="16" t="n">
        <v>1.15</v>
      </c>
      <c r="I16" s="16" t="n">
        <v>0.7648</v>
      </c>
      <c r="J16" s="16" t="n">
        <v>0.53</v>
      </c>
      <c r="K16" s="15" t="n">
        <f aca="false">ROUND(F16/100*G16*H16*I16/J16,2)</f>
        <v>4169.42</v>
      </c>
      <c r="L16" s="15" t="n">
        <v>4169.42</v>
      </c>
      <c r="M16" s="15" t="n">
        <f aca="false">L16-K16</f>
        <v>0</v>
      </c>
      <c r="N16" s="14" t="s">
        <v>61</v>
      </c>
      <c r="O16" s="14" t="s">
        <v>62</v>
      </c>
    </row>
    <row r="17" customFormat="false" ht="15" hidden="false" customHeight="false" outlineLevel="0" collapsed="false">
      <c r="A17" s="3" t="s">
        <v>4086</v>
      </c>
      <c r="B17" s="3" t="s">
        <v>4102</v>
      </c>
      <c r="C17" s="3" t="s">
        <v>145</v>
      </c>
      <c r="D17" s="3" t="s">
        <v>4103</v>
      </c>
      <c r="E17" s="3" t="s">
        <v>50</v>
      </c>
      <c r="F17" s="12" t="n">
        <v>1950000</v>
      </c>
      <c r="G17" s="13" t="n">
        <v>0.8</v>
      </c>
      <c r="H17" s="13" t="n">
        <v>0.96</v>
      </c>
      <c r="I17" s="13" t="n">
        <v>0.7648</v>
      </c>
      <c r="J17" s="13" t="n">
        <v>0.53</v>
      </c>
      <c r="K17" s="12" t="n">
        <f aca="false">ROUND(F17/100*G17*H17*I17/J17,2)</f>
        <v>21610.65</v>
      </c>
      <c r="L17" s="12" t="n">
        <v>21610.65</v>
      </c>
      <c r="M17" s="12" t="n">
        <f aca="false">L17-K17</f>
        <v>0</v>
      </c>
      <c r="N17" s="3" t="s">
        <v>61</v>
      </c>
      <c r="O17" s="3" t="s">
        <v>62</v>
      </c>
    </row>
    <row r="18" customFormat="false" ht="15" hidden="false" customHeight="false" outlineLevel="0" collapsed="false">
      <c r="A18" s="14" t="s">
        <v>4098</v>
      </c>
      <c r="B18" s="14" t="s">
        <v>4104</v>
      </c>
      <c r="C18" s="14" t="s">
        <v>462</v>
      </c>
      <c r="D18" s="14" t="s">
        <v>3280</v>
      </c>
      <c r="E18" s="14" t="s">
        <v>56</v>
      </c>
      <c r="F18" s="15" t="n">
        <v>535000</v>
      </c>
      <c r="G18" s="16" t="n">
        <v>0.65</v>
      </c>
      <c r="H18" s="16" t="n">
        <v>1.34</v>
      </c>
      <c r="I18" s="16" t="n">
        <v>0.7648</v>
      </c>
      <c r="J18" s="16" t="n">
        <v>0.53</v>
      </c>
      <c r="K18" s="15" t="n">
        <f aca="false">ROUND(F18/100*G18*H18*I18/J18,2)</f>
        <v>6724.25</v>
      </c>
      <c r="L18" s="15" t="n">
        <v>6724.25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4105</v>
      </c>
      <c r="B19" s="3" t="s">
        <v>4106</v>
      </c>
      <c r="C19" s="3" t="s">
        <v>210</v>
      </c>
      <c r="D19" s="3" t="s">
        <v>4107</v>
      </c>
      <c r="E19" s="3" t="s">
        <v>157</v>
      </c>
      <c r="F19" s="12" t="n">
        <v>220000</v>
      </c>
      <c r="G19" s="13" t="n">
        <v>1.05</v>
      </c>
      <c r="H19" s="13" t="n">
        <v>1.21</v>
      </c>
      <c r="I19" s="13" t="n">
        <v>0.7648</v>
      </c>
      <c r="J19" s="13" t="n">
        <v>0.53</v>
      </c>
      <c r="K19" s="12" t="n">
        <f aca="false">ROUND(F19/100*G19*H19*I19/J19,2)</f>
        <v>4033.38</v>
      </c>
      <c r="L19" s="12" t="n">
        <v>4033.38</v>
      </c>
      <c r="M19" s="12" t="n">
        <f aca="false">L19-K19</f>
        <v>0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4108</v>
      </c>
      <c r="B20" s="14" t="s">
        <v>4109</v>
      </c>
      <c r="C20" s="14" t="s">
        <v>243</v>
      </c>
      <c r="D20" s="14" t="s">
        <v>900</v>
      </c>
      <c r="E20" s="14" t="s">
        <v>56</v>
      </c>
      <c r="F20" s="15" t="n">
        <v>395000</v>
      </c>
      <c r="G20" s="16" t="n">
        <v>0.75</v>
      </c>
      <c r="H20" s="16" t="n">
        <v>1.14</v>
      </c>
      <c r="I20" s="16" t="n">
        <v>0.7648</v>
      </c>
      <c r="J20" s="16" t="n">
        <v>0.53</v>
      </c>
      <c r="K20" s="15" t="n">
        <f aca="false">ROUND(F20/100*G20*H20*I20/J20,2)</f>
        <v>4873.44</v>
      </c>
      <c r="L20" s="15" t="n">
        <v>4873.44</v>
      </c>
      <c r="M20" s="15" t="n">
        <f aca="false">L20-K20</f>
        <v>0</v>
      </c>
      <c r="N20" s="14" t="s">
        <v>61</v>
      </c>
      <c r="O20" s="14" t="s">
        <v>62</v>
      </c>
    </row>
    <row r="21" customFormat="false" ht="15" hidden="false" customHeight="false" outlineLevel="0" collapsed="false">
      <c r="A21" s="3" t="s">
        <v>4110</v>
      </c>
      <c r="B21" s="3" t="s">
        <v>4111</v>
      </c>
      <c r="C21" s="3" t="s">
        <v>892</v>
      </c>
      <c r="D21" s="3" t="s">
        <v>194</v>
      </c>
      <c r="E21" s="3" t="s">
        <v>56</v>
      </c>
      <c r="F21" s="12" t="n">
        <v>960000</v>
      </c>
      <c r="G21" s="13" t="n">
        <v>0.65</v>
      </c>
      <c r="H21" s="13" t="n">
        <v>1.08</v>
      </c>
      <c r="I21" s="13" t="n">
        <v>0.7648</v>
      </c>
      <c r="J21" s="13" t="n">
        <v>0.53</v>
      </c>
      <c r="K21" s="12" t="n">
        <f aca="false">ROUND(F21/100*G21*H21*I21/J21,2)</f>
        <v>9724.79</v>
      </c>
      <c r="L21" s="12" t="n">
        <v>9724.79</v>
      </c>
      <c r="M21" s="12" t="n">
        <f aca="false">L21-K21</f>
        <v>0</v>
      </c>
      <c r="N21" s="3" t="s">
        <v>51</v>
      </c>
      <c r="O21" s="3" t="s">
        <v>52</v>
      </c>
    </row>
    <row r="22" customFormat="false" ht="15" hidden="false" customHeight="false" outlineLevel="0" collapsed="false">
      <c r="A22" s="14" t="s">
        <v>4112</v>
      </c>
      <c r="B22" s="14" t="s">
        <v>4113</v>
      </c>
      <c r="C22" s="14" t="s">
        <v>892</v>
      </c>
      <c r="D22" s="14" t="s">
        <v>4114</v>
      </c>
      <c r="E22" s="14" t="s">
        <v>157</v>
      </c>
      <c r="F22" s="15" t="n">
        <v>1265000</v>
      </c>
      <c r="G22" s="16" t="n">
        <v>0.68</v>
      </c>
      <c r="H22" s="16" t="n">
        <v>1.08</v>
      </c>
      <c r="I22" s="16" t="n">
        <v>0.7648</v>
      </c>
      <c r="J22" s="16" t="n">
        <v>0.53</v>
      </c>
      <c r="K22" s="15" t="n">
        <f aca="false">ROUND(F22/100*G22*H22*I22/J22,2)</f>
        <v>13405.88</v>
      </c>
      <c r="L22" s="15" t="n">
        <v>13405.87</v>
      </c>
      <c r="M22" s="15" t="n">
        <f aca="false">L22-K22</f>
        <v>-0.00999999999839929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4115</v>
      </c>
      <c r="B23" s="3" t="s">
        <v>4116</v>
      </c>
      <c r="C23" s="3" t="s">
        <v>85</v>
      </c>
      <c r="D23" s="3" t="s">
        <v>3911</v>
      </c>
      <c r="E23" s="3" t="s">
        <v>56</v>
      </c>
      <c r="F23" s="12" t="n">
        <v>570000</v>
      </c>
      <c r="G23" s="13" t="n">
        <v>0.65</v>
      </c>
      <c r="H23" s="13" t="n">
        <v>1.28</v>
      </c>
      <c r="I23" s="13" t="n">
        <v>0.7648</v>
      </c>
      <c r="J23" s="13" t="n">
        <v>0.53</v>
      </c>
      <c r="K23" s="12" t="n">
        <f aca="false">ROUND(F23/100*G23*H23*I23/J23,2)</f>
        <v>6843.37</v>
      </c>
      <c r="L23" s="12" t="n">
        <v>6843.37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4083</v>
      </c>
      <c r="B24" s="14" t="s">
        <v>4117</v>
      </c>
      <c r="C24" s="14" t="s">
        <v>48</v>
      </c>
      <c r="D24" s="14" t="s">
        <v>1460</v>
      </c>
      <c r="E24" s="14" t="s">
        <v>157</v>
      </c>
      <c r="F24" s="15" t="n">
        <v>400000</v>
      </c>
      <c r="G24" s="16" t="n">
        <v>0.88</v>
      </c>
      <c r="H24" s="16" t="n">
        <v>1.28</v>
      </c>
      <c r="I24" s="16" t="n">
        <v>0.7648</v>
      </c>
      <c r="J24" s="16" t="n">
        <v>0.53</v>
      </c>
      <c r="K24" s="15" t="n">
        <f aca="false">ROUND(F24/100*G24*H24*I24/J24,2)</f>
        <v>6501.67</v>
      </c>
      <c r="L24" s="15" t="n">
        <v>6501.66</v>
      </c>
      <c r="M24" s="15" t="n">
        <f aca="false">L24-K24</f>
        <v>-0.0100000000002183</v>
      </c>
      <c r="N24" s="14" t="s">
        <v>51</v>
      </c>
      <c r="O24" s="14" t="s">
        <v>52</v>
      </c>
    </row>
    <row r="25" customFormat="false" ht="15" hidden="false" customHeight="false" outlineLevel="0" collapsed="false">
      <c r="A25" s="3" t="s">
        <v>4118</v>
      </c>
      <c r="B25" s="3" t="s">
        <v>4119</v>
      </c>
      <c r="C25" s="3" t="s">
        <v>142</v>
      </c>
      <c r="D25" s="3" t="s">
        <v>1592</v>
      </c>
      <c r="E25" s="3" t="s">
        <v>56</v>
      </c>
      <c r="F25" s="12" t="n">
        <v>545000</v>
      </c>
      <c r="G25" s="13" t="n">
        <v>0.65</v>
      </c>
      <c r="H25" s="13" t="n">
        <v>1.22</v>
      </c>
      <c r="I25" s="13" t="n">
        <v>0.7648</v>
      </c>
      <c r="J25" s="13" t="n">
        <v>0.53</v>
      </c>
      <c r="K25" s="12" t="n">
        <f aca="false">ROUND(F25/100*G25*H25*I25/J25,2)</f>
        <v>6236.51</v>
      </c>
      <c r="L25" s="12" t="n">
        <v>6236.51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4079</v>
      </c>
      <c r="B26" s="14" t="s">
        <v>4120</v>
      </c>
      <c r="C26" s="14" t="s">
        <v>77</v>
      </c>
      <c r="D26" s="14" t="s">
        <v>1365</v>
      </c>
      <c r="E26" s="14" t="s">
        <v>50</v>
      </c>
      <c r="F26" s="15" t="n">
        <v>1035000</v>
      </c>
      <c r="G26" s="16" t="n">
        <v>0.8</v>
      </c>
      <c r="H26" s="16" t="n">
        <v>1.42</v>
      </c>
      <c r="I26" s="16" t="n">
        <v>0.7648</v>
      </c>
      <c r="J26" s="16" t="n">
        <v>0.53</v>
      </c>
      <c r="K26" s="15" t="n">
        <f aca="false">ROUND(F26/100*G26*H26*I26/J26,2)</f>
        <v>16966.44</v>
      </c>
      <c r="L26" s="15" t="n">
        <v>16966.44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4095</v>
      </c>
      <c r="B27" s="3" t="s">
        <v>4121</v>
      </c>
      <c r="C27" s="3" t="s">
        <v>462</v>
      </c>
      <c r="D27" s="3" t="s">
        <v>944</v>
      </c>
      <c r="E27" s="3" t="s">
        <v>56</v>
      </c>
      <c r="F27" s="12" t="n">
        <v>685000</v>
      </c>
      <c r="G27" s="13" t="n">
        <v>0.65</v>
      </c>
      <c r="H27" s="13" t="n">
        <v>1.34</v>
      </c>
      <c r="I27" s="13" t="n">
        <v>0.7648</v>
      </c>
      <c r="J27" s="13" t="n">
        <v>0.53</v>
      </c>
      <c r="K27" s="12" t="n">
        <f aca="false">ROUND(F27/100*G27*H27*I27/J27,2)</f>
        <v>8609.56</v>
      </c>
      <c r="L27" s="12" t="n">
        <v>8609.55</v>
      </c>
      <c r="M27" s="12" t="n">
        <f aca="false">L27-K27</f>
        <v>-0.0100000000002183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4122</v>
      </c>
      <c r="B28" s="14" t="s">
        <v>4123</v>
      </c>
      <c r="C28" s="14" t="s">
        <v>159</v>
      </c>
      <c r="D28" s="14" t="s">
        <v>2391</v>
      </c>
      <c r="E28" s="14" t="s">
        <v>50</v>
      </c>
      <c r="F28" s="15" t="n">
        <v>385000</v>
      </c>
      <c r="G28" s="16" t="n">
        <v>1.15</v>
      </c>
      <c r="H28" s="16" t="n">
        <v>1.15</v>
      </c>
      <c r="I28" s="16" t="n">
        <v>0.7648</v>
      </c>
      <c r="J28" s="16" t="n">
        <v>0.53</v>
      </c>
      <c r="K28" s="15" t="n">
        <f aca="false">ROUND(F28/100*G28*H28*I28/J28,2)</f>
        <v>7347.31</v>
      </c>
      <c r="L28" s="15" t="n">
        <v>7347.31</v>
      </c>
      <c r="M28" s="15" t="n">
        <f aca="false">L28-K28</f>
        <v>0</v>
      </c>
      <c r="N28" s="14" t="s">
        <v>51</v>
      </c>
      <c r="O28" s="14" t="s">
        <v>52</v>
      </c>
    </row>
    <row r="29" customFormat="false" ht="15" hidden="false" customHeight="false" outlineLevel="0" collapsed="false">
      <c r="A29" s="3" t="s">
        <v>4124</v>
      </c>
      <c r="B29" s="3" t="s">
        <v>4125</v>
      </c>
      <c r="C29" s="3" t="s">
        <v>114</v>
      </c>
      <c r="D29" s="3" t="s">
        <v>2929</v>
      </c>
      <c r="E29" s="3" t="s">
        <v>56</v>
      </c>
      <c r="F29" s="12" t="n">
        <v>520000</v>
      </c>
      <c r="G29" s="13" t="n">
        <v>0.65</v>
      </c>
      <c r="H29" s="13" t="n">
        <v>1.36</v>
      </c>
      <c r="I29" s="13" t="n">
        <v>0.7648</v>
      </c>
      <c r="J29" s="13" t="n">
        <v>0.53</v>
      </c>
      <c r="K29" s="12" t="n">
        <f aca="false">ROUND(F29/100*G29*H29*I29/J29,2)</f>
        <v>6633.27</v>
      </c>
      <c r="L29" s="12" t="n">
        <v>6633.27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4124</v>
      </c>
      <c r="B30" s="14" t="s">
        <v>4126</v>
      </c>
      <c r="C30" s="14" t="s">
        <v>114</v>
      </c>
      <c r="D30" s="14" t="s">
        <v>1658</v>
      </c>
      <c r="E30" s="14" t="s">
        <v>56</v>
      </c>
      <c r="F30" s="15" t="n">
        <v>1560000</v>
      </c>
      <c r="G30" s="16" t="n">
        <v>0.55</v>
      </c>
      <c r="H30" s="16" t="n">
        <v>1.36</v>
      </c>
      <c r="I30" s="16" t="n">
        <v>0.7648</v>
      </c>
      <c r="J30" s="16" t="n">
        <v>0.53</v>
      </c>
      <c r="K30" s="15" t="n">
        <f aca="false">ROUND(F30/100*G30*H30*I30/J30,2)</f>
        <v>16838.3</v>
      </c>
      <c r="L30" s="15" t="n">
        <v>16838.3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4127</v>
      </c>
      <c r="B31" s="3" t="s">
        <v>4128</v>
      </c>
      <c r="C31" s="3" t="s">
        <v>93</v>
      </c>
      <c r="D31" s="3" t="s">
        <v>1849</v>
      </c>
      <c r="E31" s="3" t="s">
        <v>56</v>
      </c>
      <c r="F31" s="12" t="n">
        <v>555000</v>
      </c>
      <c r="G31" s="13" t="n">
        <v>0.65</v>
      </c>
      <c r="H31" s="13" t="n">
        <v>1.39</v>
      </c>
      <c r="I31" s="13" t="n">
        <v>0.7648</v>
      </c>
      <c r="J31" s="13" t="n">
        <v>0.53</v>
      </c>
      <c r="K31" s="12" t="n">
        <f aca="false">ROUND(F31/100*G31*H31*I31/J31,2)</f>
        <v>7235.91</v>
      </c>
      <c r="L31" s="12" t="n">
        <v>7235.91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4129</v>
      </c>
      <c r="B32" s="14" t="s">
        <v>4130</v>
      </c>
      <c r="C32" s="14" t="s">
        <v>105</v>
      </c>
      <c r="D32" s="14" t="s">
        <v>2575</v>
      </c>
      <c r="E32" s="14" t="s">
        <v>50</v>
      </c>
      <c r="F32" s="15" t="n">
        <v>1925000</v>
      </c>
      <c r="G32" s="16" t="n">
        <v>0.8</v>
      </c>
      <c r="H32" s="16" t="n">
        <v>0.99</v>
      </c>
      <c r="I32" s="16" t="n">
        <v>0.7648</v>
      </c>
      <c r="J32" s="16" t="n">
        <v>0.53</v>
      </c>
      <c r="K32" s="15" t="n">
        <f aca="false">ROUND(F32/100*G32*H32*I32/J32,2)</f>
        <v>22000.27</v>
      </c>
      <c r="L32" s="15" t="n">
        <v>22000.27</v>
      </c>
      <c r="M32" s="15" t="n">
        <f aca="false">L32-K32</f>
        <v>0</v>
      </c>
      <c r="N32" s="14" t="s">
        <v>51</v>
      </c>
      <c r="O32" s="14" t="s">
        <v>52</v>
      </c>
    </row>
    <row r="33" customFormat="false" ht="15" hidden="false" customHeight="false" outlineLevel="0" collapsed="false">
      <c r="A33" s="3" t="s">
        <v>4131</v>
      </c>
      <c r="B33" s="3" t="s">
        <v>4132</v>
      </c>
      <c r="C33" s="3" t="s">
        <v>196</v>
      </c>
      <c r="D33" s="3" t="s">
        <v>3690</v>
      </c>
      <c r="E33" s="3" t="s">
        <v>74</v>
      </c>
      <c r="F33" s="12" t="n">
        <v>435000</v>
      </c>
      <c r="G33" s="13" t="n">
        <v>0.48</v>
      </c>
      <c r="H33" s="13" t="n">
        <v>1.04</v>
      </c>
      <c r="I33" s="13" t="n">
        <v>0.7648</v>
      </c>
      <c r="J33" s="13" t="n">
        <v>0.53</v>
      </c>
      <c r="K33" s="12" t="n">
        <f aca="false">ROUND(F33/100*G33*H33*I33/J33,2)</f>
        <v>3133.54</v>
      </c>
      <c r="L33" s="12" t="n">
        <v>3133.55</v>
      </c>
      <c r="M33" s="12" t="n">
        <f aca="false">L33-K33</f>
        <v>0.0100000000002183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4110</v>
      </c>
      <c r="B34" s="14" t="s">
        <v>4133</v>
      </c>
      <c r="C34" s="14" t="s">
        <v>48</v>
      </c>
      <c r="D34" s="14" t="s">
        <v>1673</v>
      </c>
      <c r="E34" s="14" t="s">
        <v>74</v>
      </c>
      <c r="F34" s="15" t="n">
        <v>645000</v>
      </c>
      <c r="G34" s="16" t="n">
        <v>0.43</v>
      </c>
      <c r="H34" s="16" t="n">
        <v>1.28</v>
      </c>
      <c r="I34" s="16" t="n">
        <v>0.7648</v>
      </c>
      <c r="J34" s="16" t="n">
        <v>0.53</v>
      </c>
      <c r="K34" s="15" t="n">
        <f aca="false">ROUND(F34/100*G34*H34*I34/J34,2)</f>
        <v>5122.83</v>
      </c>
      <c r="L34" s="15" t="n">
        <v>5122.83</v>
      </c>
      <c r="M34" s="15" t="n">
        <f aca="false">L34-K34</f>
        <v>0</v>
      </c>
      <c r="N34" s="14" t="s">
        <v>61</v>
      </c>
      <c r="O34" s="14" t="s">
        <v>62</v>
      </c>
    </row>
    <row r="35" customFormat="false" ht="15" hidden="false" customHeight="false" outlineLevel="0" collapsed="false">
      <c r="A35" s="3" t="s">
        <v>4134</v>
      </c>
      <c r="B35" s="3" t="s">
        <v>4135</v>
      </c>
      <c r="C35" s="3" t="s">
        <v>93</v>
      </c>
      <c r="D35" s="3" t="s">
        <v>55</v>
      </c>
      <c r="E35" s="3" t="s">
        <v>56</v>
      </c>
      <c r="F35" s="12" t="n">
        <v>345000</v>
      </c>
      <c r="G35" s="13" t="n">
        <v>0.75</v>
      </c>
      <c r="H35" s="13" t="n">
        <v>1.39</v>
      </c>
      <c r="I35" s="13" t="n">
        <v>0.7648</v>
      </c>
      <c r="J35" s="13" t="n">
        <v>0.53</v>
      </c>
      <c r="K35" s="12" t="n">
        <f aca="false">ROUND(F35/100*G35*H35*I35/J35,2)</f>
        <v>5190</v>
      </c>
      <c r="L35" s="12" t="n">
        <v>5189.99</v>
      </c>
      <c r="M35" s="12" t="n">
        <f aca="false">L35-K35</f>
        <v>-0.0100000000002183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4136</v>
      </c>
      <c r="B36" s="14" t="s">
        <v>4137</v>
      </c>
      <c r="C36" s="14" t="s">
        <v>105</v>
      </c>
      <c r="D36" s="14" t="s">
        <v>1479</v>
      </c>
      <c r="E36" s="14" t="s">
        <v>56</v>
      </c>
      <c r="F36" s="15" t="n">
        <v>275000</v>
      </c>
      <c r="G36" s="16" t="n">
        <v>0.75</v>
      </c>
      <c r="H36" s="16" t="n">
        <v>0.99</v>
      </c>
      <c r="I36" s="16" t="n">
        <v>0.7648</v>
      </c>
      <c r="J36" s="16" t="n">
        <v>0.53</v>
      </c>
      <c r="K36" s="15" t="n">
        <f aca="false">ROUND(F36/100*G36*H36*I36/J36,2)</f>
        <v>2946.46</v>
      </c>
      <c r="L36" s="15" t="n">
        <v>2946.46</v>
      </c>
      <c r="M36" s="15" t="n">
        <f aca="false">L36-K36</f>
        <v>0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4138</v>
      </c>
      <c r="B37" s="3" t="s">
        <v>4139</v>
      </c>
      <c r="C37" s="3" t="s">
        <v>117</v>
      </c>
      <c r="D37" s="3" t="s">
        <v>575</v>
      </c>
      <c r="E37" s="3" t="s">
        <v>56</v>
      </c>
      <c r="F37" s="12" t="n">
        <v>365000</v>
      </c>
      <c r="G37" s="13" t="n">
        <v>0.75</v>
      </c>
      <c r="H37" s="13" t="n">
        <v>0.91</v>
      </c>
      <c r="I37" s="13" t="n">
        <v>0.7648</v>
      </c>
      <c r="J37" s="13" t="n">
        <v>0.53</v>
      </c>
      <c r="K37" s="12" t="n">
        <f aca="false">ROUND(F37/100*G37*H37*I37/J37,2)</f>
        <v>3594.74</v>
      </c>
      <c r="L37" s="12" t="n">
        <v>3594.74</v>
      </c>
      <c r="M37" s="12" t="n">
        <f aca="false">L37-K37</f>
        <v>0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4105</v>
      </c>
      <c r="B38" s="14" t="s">
        <v>4140</v>
      </c>
      <c r="C38" s="14" t="s">
        <v>48</v>
      </c>
      <c r="D38" s="14" t="s">
        <v>327</v>
      </c>
      <c r="E38" s="14" t="s">
        <v>56</v>
      </c>
      <c r="F38" s="15" t="n">
        <v>815000</v>
      </c>
      <c r="G38" s="16" t="n">
        <v>0.65</v>
      </c>
      <c r="H38" s="16" t="n">
        <v>1.28</v>
      </c>
      <c r="I38" s="16" t="n">
        <v>0.7648</v>
      </c>
      <c r="J38" s="16" t="n">
        <v>0.53</v>
      </c>
      <c r="K38" s="15" t="n">
        <f aca="false">ROUND(F38/100*G38*H38*I38/J38,2)</f>
        <v>9784.82</v>
      </c>
      <c r="L38" s="15" t="n">
        <v>9784.82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4093</v>
      </c>
      <c r="B39" s="3" t="s">
        <v>4141</v>
      </c>
      <c r="C39" s="3" t="s">
        <v>196</v>
      </c>
      <c r="D39" s="3" t="s">
        <v>4142</v>
      </c>
      <c r="E39" s="3" t="s">
        <v>157</v>
      </c>
      <c r="F39" s="12" t="n">
        <v>745000</v>
      </c>
      <c r="G39" s="13" t="n">
        <v>0.78</v>
      </c>
      <c r="H39" s="13" t="n">
        <v>1.04</v>
      </c>
      <c r="I39" s="13" t="n">
        <v>0.7648</v>
      </c>
      <c r="J39" s="13" t="n">
        <v>0.53</v>
      </c>
      <c r="K39" s="12" t="n">
        <f aca="false">ROUND(F39/100*G39*H39*I39/J39,2)</f>
        <v>8720.8</v>
      </c>
      <c r="L39" s="12" t="n">
        <v>8720.8</v>
      </c>
      <c r="M39" s="12" t="n">
        <f aca="false">L39-K39</f>
        <v>0</v>
      </c>
      <c r="N39" s="3" t="s">
        <v>70</v>
      </c>
      <c r="O39" s="3" t="s">
        <v>52</v>
      </c>
    </row>
    <row r="40" customFormat="false" ht="15" hidden="false" customHeight="false" outlineLevel="0" collapsed="false">
      <c r="A40" s="14" t="s">
        <v>4098</v>
      </c>
      <c r="B40" s="14" t="s">
        <v>4143</v>
      </c>
      <c r="C40" s="14" t="s">
        <v>217</v>
      </c>
      <c r="D40" s="14" t="s">
        <v>1297</v>
      </c>
      <c r="E40" s="14" t="s">
        <v>56</v>
      </c>
      <c r="F40" s="15" t="n">
        <v>520000</v>
      </c>
      <c r="G40" s="16" t="n">
        <v>0.65</v>
      </c>
      <c r="H40" s="16" t="n">
        <v>1.3</v>
      </c>
      <c r="I40" s="16" t="n">
        <v>0.7648</v>
      </c>
      <c r="J40" s="16" t="n">
        <v>0.53</v>
      </c>
      <c r="K40" s="15" t="n">
        <f aca="false">ROUND(F40/100*G40*H40*I40/J40,2)</f>
        <v>6340.62</v>
      </c>
      <c r="L40" s="15" t="n">
        <v>6340.63</v>
      </c>
      <c r="M40" s="15" t="n">
        <f aca="false">L40-K40</f>
        <v>0.0100000000002183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4105</v>
      </c>
      <c r="B41" s="3" t="s">
        <v>4144</v>
      </c>
      <c r="C41" s="3" t="s">
        <v>145</v>
      </c>
      <c r="D41" s="3" t="s">
        <v>218</v>
      </c>
      <c r="E41" s="3" t="s">
        <v>56</v>
      </c>
      <c r="F41" s="12" t="n">
        <v>1950000</v>
      </c>
      <c r="G41" s="13" t="n">
        <v>0.55</v>
      </c>
      <c r="H41" s="13" t="n">
        <v>0.96</v>
      </c>
      <c r="I41" s="13" t="n">
        <v>0.7648</v>
      </c>
      <c r="J41" s="13" t="n">
        <v>0.53</v>
      </c>
      <c r="K41" s="12" t="n">
        <f aca="false">ROUND(F41/100*G41*H41*I41/J41,2)</f>
        <v>14857.32</v>
      </c>
      <c r="L41" s="12" t="n">
        <v>14857.33</v>
      </c>
      <c r="M41" s="12" t="n">
        <f aca="false">L41-K41</f>
        <v>0.0100000000002183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4145</v>
      </c>
      <c r="B42" s="14" t="s">
        <v>4146</v>
      </c>
      <c r="C42" s="14" t="s">
        <v>409</v>
      </c>
      <c r="D42" s="14" t="s">
        <v>4147</v>
      </c>
      <c r="E42" s="14" t="s">
        <v>50</v>
      </c>
      <c r="F42" s="15" t="n">
        <v>395000</v>
      </c>
      <c r="G42" s="16" t="n">
        <v>1.15</v>
      </c>
      <c r="H42" s="16" t="n">
        <v>1.3</v>
      </c>
      <c r="I42" s="16" t="n">
        <v>0.7648</v>
      </c>
      <c r="J42" s="16" t="n">
        <v>0.53</v>
      </c>
      <c r="K42" s="15" t="n">
        <f aca="false">ROUND(F42/100*G42*H42*I42/J42,2)</f>
        <v>8521.39</v>
      </c>
      <c r="L42" s="15" t="n">
        <v>8521.39</v>
      </c>
      <c r="M42" s="15" t="n">
        <f aca="false">L42-K42</f>
        <v>0</v>
      </c>
      <c r="N42" s="14" t="s">
        <v>61</v>
      </c>
      <c r="O42" s="14" t="s">
        <v>62</v>
      </c>
    </row>
    <row r="43" customFormat="false" ht="15" hidden="false" customHeight="false" outlineLevel="0" collapsed="false">
      <c r="A43" s="3" t="s">
        <v>4148</v>
      </c>
      <c r="B43" s="3" t="s">
        <v>4149</v>
      </c>
      <c r="C43" s="3" t="s">
        <v>105</v>
      </c>
      <c r="D43" s="3" t="s">
        <v>978</v>
      </c>
      <c r="E43" s="3" t="s">
        <v>56</v>
      </c>
      <c r="F43" s="12" t="n">
        <v>385000</v>
      </c>
      <c r="G43" s="13" t="n">
        <v>0.75</v>
      </c>
      <c r="H43" s="13" t="n">
        <v>0.99</v>
      </c>
      <c r="I43" s="13" t="n">
        <v>0.7648</v>
      </c>
      <c r="J43" s="13" t="n">
        <v>0.53</v>
      </c>
      <c r="K43" s="12" t="n">
        <f aca="false">ROUND(F43/100*G43*H43*I43/J43,2)</f>
        <v>4125.05</v>
      </c>
      <c r="L43" s="12" t="n">
        <v>4125.05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4122</v>
      </c>
      <c r="B44" s="14" t="s">
        <v>4150</v>
      </c>
      <c r="C44" s="14" t="s">
        <v>105</v>
      </c>
      <c r="D44" s="14" t="s">
        <v>998</v>
      </c>
      <c r="E44" s="14" t="s">
        <v>56</v>
      </c>
      <c r="F44" s="15" t="n">
        <v>995000</v>
      </c>
      <c r="G44" s="16" t="n">
        <v>0.65</v>
      </c>
      <c r="H44" s="16" t="n">
        <v>0.99</v>
      </c>
      <c r="I44" s="16" t="n">
        <v>0.7648</v>
      </c>
      <c r="J44" s="16" t="n">
        <v>0.53</v>
      </c>
      <c r="K44" s="15" t="n">
        <f aca="false">ROUND(F44/100*G44*H44*I44/J44,2)</f>
        <v>9239.4</v>
      </c>
      <c r="L44" s="15" t="n">
        <v>9239.4</v>
      </c>
      <c r="M44" s="15" t="n">
        <f aca="false">L44-K44</f>
        <v>0</v>
      </c>
      <c r="N44" s="14" t="s">
        <v>51</v>
      </c>
      <c r="O44" s="14" t="s">
        <v>52</v>
      </c>
    </row>
    <row r="45" customFormat="false" ht="15" hidden="false" customHeight="false" outlineLevel="0" collapsed="false">
      <c r="A45" s="3" t="s">
        <v>4151</v>
      </c>
      <c r="B45" s="3" t="s">
        <v>4152</v>
      </c>
      <c r="C45" s="3" t="s">
        <v>295</v>
      </c>
      <c r="D45" s="3" t="s">
        <v>1905</v>
      </c>
      <c r="E45" s="3" t="s">
        <v>56</v>
      </c>
      <c r="F45" s="12" t="n">
        <v>760000</v>
      </c>
      <c r="G45" s="13" t="n">
        <v>0.65</v>
      </c>
      <c r="H45" s="13" t="n">
        <v>1.2</v>
      </c>
      <c r="I45" s="13" t="n">
        <v>0.7648</v>
      </c>
      <c r="J45" s="13" t="n">
        <v>0.53</v>
      </c>
      <c r="K45" s="12" t="n">
        <f aca="false">ROUND(F45/100*G45*H45*I45/J45,2)</f>
        <v>8554.22</v>
      </c>
      <c r="L45" s="12" t="n">
        <v>8554.22</v>
      </c>
      <c r="M45" s="12" t="n">
        <f aca="false">L45-K45</f>
        <v>0</v>
      </c>
      <c r="N45" s="3" t="s">
        <v>70</v>
      </c>
      <c r="O45" s="3" t="s">
        <v>52</v>
      </c>
    </row>
    <row r="46" customFormat="false" ht="15" hidden="false" customHeight="false" outlineLevel="0" collapsed="false">
      <c r="A46" s="14" t="s">
        <v>4105</v>
      </c>
      <c r="B46" s="14" t="s">
        <v>4153</v>
      </c>
      <c r="C46" s="14" t="s">
        <v>64</v>
      </c>
      <c r="D46" s="14" t="s">
        <v>4154</v>
      </c>
      <c r="E46" s="14" t="s">
        <v>157</v>
      </c>
      <c r="F46" s="15" t="n">
        <v>1165000</v>
      </c>
      <c r="G46" s="16" t="n">
        <v>0.68</v>
      </c>
      <c r="H46" s="16" t="n">
        <v>1.17</v>
      </c>
      <c r="I46" s="16" t="n">
        <v>0.7648</v>
      </c>
      <c r="J46" s="16" t="n">
        <v>0.53</v>
      </c>
      <c r="K46" s="15" t="n">
        <f aca="false">ROUND(F46/100*G46*H46*I46/J46,2)</f>
        <v>13374.97</v>
      </c>
      <c r="L46" s="15" t="n">
        <v>13374.97</v>
      </c>
      <c r="M46" s="15" t="n">
        <f aca="false">L46-K46</f>
        <v>0</v>
      </c>
      <c r="N46" s="14" t="s">
        <v>51</v>
      </c>
      <c r="O46" s="14" t="s">
        <v>52</v>
      </c>
    </row>
    <row r="47" customFormat="false" ht="15" hidden="false" customHeight="false" outlineLevel="0" collapsed="false">
      <c r="A47" s="3" t="s">
        <v>4138</v>
      </c>
      <c r="B47" s="3" t="s">
        <v>4155</v>
      </c>
      <c r="C47" s="3" t="s">
        <v>77</v>
      </c>
      <c r="D47" s="3" t="s">
        <v>3367</v>
      </c>
      <c r="E47" s="3" t="s">
        <v>74</v>
      </c>
      <c r="F47" s="12" t="n">
        <v>380000</v>
      </c>
      <c r="G47" s="13" t="n">
        <v>0.48</v>
      </c>
      <c r="H47" s="13" t="n">
        <v>1.42</v>
      </c>
      <c r="I47" s="13" t="n">
        <v>0.7648</v>
      </c>
      <c r="J47" s="13" t="n">
        <v>0.53</v>
      </c>
      <c r="K47" s="12" t="n">
        <f aca="false">ROUND(F47/100*G47*H47*I47/J47,2)</f>
        <v>3737.53</v>
      </c>
      <c r="L47" s="12" t="n">
        <v>3737.53</v>
      </c>
      <c r="M47" s="12" t="n">
        <f aca="false">L47-K47</f>
        <v>0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4122</v>
      </c>
      <c r="B48" s="14" t="s">
        <v>4156</v>
      </c>
      <c r="C48" s="14" t="s">
        <v>64</v>
      </c>
      <c r="D48" s="14" t="s">
        <v>1304</v>
      </c>
      <c r="E48" s="14" t="s">
        <v>56</v>
      </c>
      <c r="F48" s="15" t="n">
        <v>830000</v>
      </c>
      <c r="G48" s="16" t="n">
        <v>0.65</v>
      </c>
      <c r="H48" s="16" t="n">
        <v>1.17</v>
      </c>
      <c r="I48" s="16" t="n">
        <v>0.7648</v>
      </c>
      <c r="J48" s="16" t="n">
        <v>0.53</v>
      </c>
      <c r="K48" s="15" t="n">
        <f aca="false">ROUND(F48/100*G48*H48*I48/J48,2)</f>
        <v>9108.55</v>
      </c>
      <c r="L48" s="15" t="n">
        <v>9108.55</v>
      </c>
      <c r="M48" s="15" t="n">
        <f aca="false">L48-K48</f>
        <v>0</v>
      </c>
      <c r="N48" s="14" t="s">
        <v>51</v>
      </c>
      <c r="O48" s="14" t="s">
        <v>52</v>
      </c>
    </row>
    <row r="49" customFormat="false" ht="15" hidden="false" customHeight="false" outlineLevel="0" collapsed="false">
      <c r="A49" s="3" t="s">
        <v>4098</v>
      </c>
      <c r="B49" s="3" t="s">
        <v>4157</v>
      </c>
      <c r="C49" s="3" t="s">
        <v>68</v>
      </c>
      <c r="D49" s="3" t="s">
        <v>745</v>
      </c>
      <c r="E49" s="3" t="s">
        <v>56</v>
      </c>
      <c r="F49" s="12" t="n">
        <v>1130000</v>
      </c>
      <c r="G49" s="13" t="n">
        <v>0.55</v>
      </c>
      <c r="H49" s="13" t="n">
        <v>1.38</v>
      </c>
      <c r="I49" s="13" t="n">
        <v>0.7648</v>
      </c>
      <c r="J49" s="13" t="n">
        <v>0.53</v>
      </c>
      <c r="K49" s="12" t="n">
        <f aca="false">ROUND(F49/100*G49*H49*I49/J49,2)</f>
        <v>12376.34</v>
      </c>
      <c r="L49" s="12" t="n">
        <v>12376.34</v>
      </c>
      <c r="M49" s="12" t="n">
        <f aca="false">L49-K49</f>
        <v>0</v>
      </c>
      <c r="N49" s="3" t="s">
        <v>51</v>
      </c>
      <c r="O49" s="3" t="s">
        <v>52</v>
      </c>
    </row>
    <row r="50" customFormat="false" ht="15" hidden="false" customHeight="false" outlineLevel="0" collapsed="false">
      <c r="A50" s="14" t="s">
        <v>4108</v>
      </c>
      <c r="B50" s="14" t="s">
        <v>4158</v>
      </c>
      <c r="C50" s="14" t="s">
        <v>196</v>
      </c>
      <c r="D50" s="14" t="s">
        <v>160</v>
      </c>
      <c r="E50" s="14" t="s">
        <v>50</v>
      </c>
      <c r="F50" s="15" t="n">
        <v>1095000</v>
      </c>
      <c r="G50" s="16" t="n">
        <v>0.8</v>
      </c>
      <c r="H50" s="16" t="n">
        <v>1.04</v>
      </c>
      <c r="I50" s="16" t="n">
        <v>0.7648</v>
      </c>
      <c r="J50" s="16" t="n">
        <v>0.53</v>
      </c>
      <c r="K50" s="15" t="n">
        <f aca="false">ROUND(F50/100*G50*H50*I50/J50,2)</f>
        <v>13146.48</v>
      </c>
      <c r="L50" s="15" t="n">
        <v>13146.48</v>
      </c>
      <c r="M50" s="15" t="n">
        <f aca="false">L50-K50</f>
        <v>0</v>
      </c>
      <c r="N50" s="14" t="s">
        <v>51</v>
      </c>
      <c r="O50" s="14" t="s">
        <v>52</v>
      </c>
    </row>
    <row r="51" customFormat="false" ht="15" hidden="false" customHeight="false" outlineLevel="0" collapsed="false">
      <c r="A51" s="3" t="s">
        <v>4159</v>
      </c>
      <c r="B51" s="3" t="s">
        <v>4160</v>
      </c>
      <c r="C51" s="3" t="s">
        <v>243</v>
      </c>
      <c r="D51" s="3" t="s">
        <v>615</v>
      </c>
      <c r="E51" s="3" t="s">
        <v>56</v>
      </c>
      <c r="F51" s="12" t="n">
        <v>775000</v>
      </c>
      <c r="G51" s="13" t="n">
        <v>0.65</v>
      </c>
      <c r="H51" s="13" t="n">
        <v>1.14</v>
      </c>
      <c r="I51" s="13" t="n">
        <v>0.7648</v>
      </c>
      <c r="J51" s="13" t="n">
        <v>0.53</v>
      </c>
      <c r="K51" s="12" t="n">
        <f aca="false">ROUND(F51/100*G51*H51*I51/J51,2)</f>
        <v>8286.9</v>
      </c>
      <c r="L51" s="12" t="n">
        <v>8286.9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4145</v>
      </c>
      <c r="B52" s="14" t="s">
        <v>4161</v>
      </c>
      <c r="C52" s="14" t="s">
        <v>266</v>
      </c>
      <c r="D52" s="14" t="s">
        <v>4162</v>
      </c>
      <c r="E52" s="14" t="s">
        <v>56</v>
      </c>
      <c r="F52" s="15" t="n">
        <v>280000</v>
      </c>
      <c r="G52" s="16" t="n">
        <v>0.75</v>
      </c>
      <c r="H52" s="16" t="n">
        <v>1.1</v>
      </c>
      <c r="I52" s="16" t="n">
        <v>0.7648</v>
      </c>
      <c r="J52" s="16" t="n">
        <v>0.53</v>
      </c>
      <c r="K52" s="15" t="n">
        <f aca="false">ROUND(F52/100*G52*H52*I52/J52,2)</f>
        <v>3333.37</v>
      </c>
      <c r="L52" s="15" t="n">
        <v>3333.37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4079</v>
      </c>
      <c r="B53" s="3" t="s">
        <v>4163</v>
      </c>
      <c r="C53" s="3" t="s">
        <v>275</v>
      </c>
      <c r="D53" s="3" t="s">
        <v>4164</v>
      </c>
      <c r="E53" s="3" t="s">
        <v>133</v>
      </c>
      <c r="F53" s="12" t="n">
        <v>945000</v>
      </c>
      <c r="G53" s="13" t="n">
        <v>0.38</v>
      </c>
      <c r="H53" s="13" t="n">
        <v>1.19</v>
      </c>
      <c r="I53" s="13" t="n">
        <v>0.7648</v>
      </c>
      <c r="J53" s="13" t="n">
        <v>0.53</v>
      </c>
      <c r="K53" s="12" t="n">
        <f aca="false">ROUND(F53/100*G53*H53*I53/J53,2)</f>
        <v>6166.44</v>
      </c>
      <c r="L53" s="12" t="n">
        <v>6166.44</v>
      </c>
      <c r="M53" s="12" t="n">
        <f aca="false">L53-K53</f>
        <v>0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4098</v>
      </c>
      <c r="B54" s="14" t="s">
        <v>4165</v>
      </c>
      <c r="C54" s="14" t="s">
        <v>117</v>
      </c>
      <c r="D54" s="14" t="s">
        <v>1335</v>
      </c>
      <c r="E54" s="14" t="s">
        <v>56</v>
      </c>
      <c r="F54" s="15" t="n">
        <v>285000</v>
      </c>
      <c r="G54" s="16" t="n">
        <v>0.75</v>
      </c>
      <c r="H54" s="16" t="n">
        <v>0.91</v>
      </c>
      <c r="I54" s="16" t="n">
        <v>0.7648</v>
      </c>
      <c r="J54" s="16" t="n">
        <v>0.53</v>
      </c>
      <c r="K54" s="15" t="n">
        <f aca="false">ROUND(F54/100*G54*H54*I54/J54,2)</f>
        <v>2806.85</v>
      </c>
      <c r="L54" s="15" t="n">
        <v>2806.85</v>
      </c>
      <c r="M54" s="15" t="n">
        <f aca="false">L54-K54</f>
        <v>0</v>
      </c>
      <c r="N54" s="14" t="s">
        <v>70</v>
      </c>
      <c r="O54" s="14" t="s">
        <v>52</v>
      </c>
    </row>
    <row r="55" customFormat="false" ht="15" hidden="false" customHeight="false" outlineLevel="0" collapsed="false">
      <c r="A55" s="3" t="s">
        <v>4159</v>
      </c>
      <c r="B55" s="3" t="s">
        <v>4166</v>
      </c>
      <c r="C55" s="3" t="s">
        <v>128</v>
      </c>
      <c r="D55" s="3" t="s">
        <v>2398</v>
      </c>
      <c r="E55" s="3" t="s">
        <v>50</v>
      </c>
      <c r="F55" s="12" t="n">
        <v>1110000</v>
      </c>
      <c r="G55" s="13" t="n">
        <v>0.8</v>
      </c>
      <c r="H55" s="13" t="n">
        <v>1.25</v>
      </c>
      <c r="I55" s="13" t="n">
        <v>0.7648</v>
      </c>
      <c r="J55" s="13" t="n">
        <v>0.53</v>
      </c>
      <c r="K55" s="12" t="n">
        <f aca="false">ROUND(F55/100*G55*H55*I55/J55,2)</f>
        <v>16017.51</v>
      </c>
      <c r="L55" s="12" t="n">
        <v>16017.51</v>
      </c>
      <c r="M55" s="12" t="n">
        <f aca="false">L55-K55</f>
        <v>0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4110</v>
      </c>
      <c r="B56" s="14" t="s">
        <v>4167</v>
      </c>
      <c r="C56" s="14" t="s">
        <v>152</v>
      </c>
      <c r="D56" s="14" t="s">
        <v>1877</v>
      </c>
      <c r="E56" s="14" t="s">
        <v>56</v>
      </c>
      <c r="F56" s="15" t="n">
        <v>710000</v>
      </c>
      <c r="G56" s="16" t="n">
        <v>0.65</v>
      </c>
      <c r="H56" s="16" t="n">
        <v>1</v>
      </c>
      <c r="I56" s="16" t="n">
        <v>0.7648</v>
      </c>
      <c r="J56" s="16" t="n">
        <v>0.53</v>
      </c>
      <c r="K56" s="15" t="n">
        <f aca="false">ROUND(F56/100*G56*H56*I56/J56,2)</f>
        <v>6659.53</v>
      </c>
      <c r="L56" s="15" t="n">
        <v>6659.53</v>
      </c>
      <c r="M56" s="15" t="n">
        <f aca="false">L56-K56</f>
        <v>0</v>
      </c>
      <c r="N56" s="14" t="s">
        <v>61</v>
      </c>
      <c r="O56" s="14" t="s">
        <v>62</v>
      </c>
    </row>
    <row r="57" customFormat="false" ht="15" hidden="false" customHeight="false" outlineLevel="0" collapsed="false">
      <c r="A57" s="3" t="s">
        <v>4168</v>
      </c>
      <c r="B57" s="3" t="s">
        <v>4169</v>
      </c>
      <c r="C57" s="3" t="s">
        <v>295</v>
      </c>
      <c r="D57" s="3" t="s">
        <v>109</v>
      </c>
      <c r="E57" s="3" t="s">
        <v>50</v>
      </c>
      <c r="F57" s="12" t="n">
        <v>650000</v>
      </c>
      <c r="G57" s="13" t="n">
        <v>0.95</v>
      </c>
      <c r="H57" s="13" t="n">
        <v>1.2</v>
      </c>
      <c r="I57" s="13" t="n">
        <v>0.7648</v>
      </c>
      <c r="J57" s="13" t="n">
        <v>0.53</v>
      </c>
      <c r="K57" s="12" t="n">
        <f aca="false">ROUND(F57/100*G57*H57*I57/J57,2)</f>
        <v>10692.77</v>
      </c>
      <c r="L57" s="12" t="n">
        <v>10692.77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4134</v>
      </c>
      <c r="B58" s="14" t="s">
        <v>4170</v>
      </c>
      <c r="C58" s="14" t="s">
        <v>128</v>
      </c>
      <c r="D58" s="14" t="s">
        <v>1297</v>
      </c>
      <c r="E58" s="14" t="s">
        <v>56</v>
      </c>
      <c r="F58" s="15" t="n">
        <v>915000</v>
      </c>
      <c r="G58" s="16" t="n">
        <v>0.65</v>
      </c>
      <c r="H58" s="16" t="n">
        <v>1.25</v>
      </c>
      <c r="I58" s="16" t="n">
        <v>0.7648</v>
      </c>
      <c r="J58" s="16" t="n">
        <v>0.53</v>
      </c>
      <c r="K58" s="15" t="n">
        <f aca="false">ROUND(F58/100*G58*H58*I58/J58,2)</f>
        <v>10727.94</v>
      </c>
      <c r="L58" s="15" t="n">
        <v>10727.94</v>
      </c>
      <c r="M58" s="15" t="n">
        <f aca="false">L58-K58</f>
        <v>0</v>
      </c>
      <c r="N58" s="14" t="s">
        <v>70</v>
      </c>
      <c r="O58" s="14" t="s">
        <v>52</v>
      </c>
    </row>
    <row r="59" customFormat="false" ht="15" hidden="false" customHeight="false" outlineLevel="0" collapsed="false">
      <c r="A59" s="3" t="s">
        <v>4083</v>
      </c>
      <c r="B59" s="3" t="s">
        <v>4171</v>
      </c>
      <c r="C59" s="3" t="s">
        <v>462</v>
      </c>
      <c r="D59" s="3" t="s">
        <v>4172</v>
      </c>
      <c r="E59" s="3" t="s">
        <v>74</v>
      </c>
      <c r="F59" s="12" t="n">
        <v>855000</v>
      </c>
      <c r="G59" s="13" t="n">
        <v>0.43</v>
      </c>
      <c r="H59" s="13" t="n">
        <v>1.34</v>
      </c>
      <c r="I59" s="13" t="n">
        <v>0.7648</v>
      </c>
      <c r="J59" s="13" t="n">
        <v>0.53</v>
      </c>
      <c r="K59" s="12" t="n">
        <f aca="false">ROUND(F59/100*G59*H59*I59/J59,2)</f>
        <v>7109.05</v>
      </c>
      <c r="L59" s="12" t="n">
        <v>7109.05</v>
      </c>
      <c r="M59" s="12" t="n">
        <f aca="false">L59-K59</f>
        <v>0</v>
      </c>
      <c r="N59" s="3" t="s">
        <v>61</v>
      </c>
      <c r="O59" s="3" t="s">
        <v>62</v>
      </c>
    </row>
    <row r="60" customFormat="false" ht="15" hidden="false" customHeight="false" outlineLevel="0" collapsed="false">
      <c r="A60" s="14" t="s">
        <v>4079</v>
      </c>
      <c r="B60" s="14" t="s">
        <v>4173</v>
      </c>
      <c r="C60" s="14" t="s">
        <v>85</v>
      </c>
      <c r="D60" s="14" t="s">
        <v>575</v>
      </c>
      <c r="E60" s="14" t="s">
        <v>56</v>
      </c>
      <c r="F60" s="15" t="n">
        <v>465000</v>
      </c>
      <c r="G60" s="16" t="n">
        <v>0.75</v>
      </c>
      <c r="H60" s="16" t="n">
        <v>1.28</v>
      </c>
      <c r="I60" s="16" t="n">
        <v>0.7648</v>
      </c>
      <c r="J60" s="16" t="n">
        <v>0.53</v>
      </c>
      <c r="K60" s="15" t="n">
        <f aca="false">ROUND(F60/100*G60*H60*I60/J60,2)</f>
        <v>6441.64</v>
      </c>
      <c r="L60" s="15" t="n">
        <v>6441.64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4168</v>
      </c>
      <c r="B61" s="3" t="s">
        <v>4174</v>
      </c>
      <c r="C61" s="3" t="s">
        <v>220</v>
      </c>
      <c r="D61" s="3" t="s">
        <v>1537</v>
      </c>
      <c r="E61" s="3" t="s">
        <v>50</v>
      </c>
      <c r="F61" s="12" t="n">
        <v>195000</v>
      </c>
      <c r="G61" s="13" t="n">
        <v>1.42</v>
      </c>
      <c r="H61" s="13" t="n">
        <v>1.01</v>
      </c>
      <c r="I61" s="13" t="n">
        <v>0.7648</v>
      </c>
      <c r="J61" s="13" t="n">
        <v>0.53</v>
      </c>
      <c r="K61" s="12" t="n">
        <f aca="false">ROUND(F61/100*G61*H61*I61/J61,2)</f>
        <v>4035.68</v>
      </c>
      <c r="L61" s="12" t="n">
        <v>4035.67</v>
      </c>
      <c r="M61" s="12" t="n">
        <f aca="false">L61-K61</f>
        <v>-0.00999999999976353</v>
      </c>
      <c r="N61" s="3" t="s">
        <v>61</v>
      </c>
      <c r="O61" s="3" t="s">
        <v>62</v>
      </c>
    </row>
    <row r="62" customFormat="false" ht="15" hidden="false" customHeight="false" outlineLevel="0" collapsed="false">
      <c r="A62" s="14" t="s">
        <v>4095</v>
      </c>
      <c r="B62" s="14" t="s">
        <v>4175</v>
      </c>
      <c r="C62" s="14" t="s">
        <v>217</v>
      </c>
      <c r="D62" s="14" t="s">
        <v>1786</v>
      </c>
      <c r="E62" s="14" t="s">
        <v>56</v>
      </c>
      <c r="F62" s="15" t="n">
        <v>285000</v>
      </c>
      <c r="G62" s="16" t="n">
        <v>0.75</v>
      </c>
      <c r="H62" s="16" t="n">
        <v>1.3</v>
      </c>
      <c r="I62" s="16" t="n">
        <v>0.7648</v>
      </c>
      <c r="J62" s="16" t="n">
        <v>0.53</v>
      </c>
      <c r="K62" s="15" t="n">
        <f aca="false">ROUND(F62/100*G62*H62*I62/J62,2)</f>
        <v>4009.79</v>
      </c>
      <c r="L62" s="15" t="n">
        <v>4009.79</v>
      </c>
      <c r="M62" s="15" t="n">
        <f aca="false">L62-K62</f>
        <v>0</v>
      </c>
      <c r="N62" s="14" t="s">
        <v>51</v>
      </c>
      <c r="O62" s="14" t="s">
        <v>52</v>
      </c>
    </row>
    <row r="63" customFormat="false" ht="15" hidden="false" customHeight="false" outlineLevel="0" collapsed="false">
      <c r="A63" s="3" t="s">
        <v>4145</v>
      </c>
      <c r="B63" s="3" t="s">
        <v>4176</v>
      </c>
      <c r="C63" s="3" t="s">
        <v>217</v>
      </c>
      <c r="D63" s="3" t="s">
        <v>812</v>
      </c>
      <c r="E63" s="3" t="s">
        <v>50</v>
      </c>
      <c r="F63" s="12" t="n">
        <v>870000</v>
      </c>
      <c r="G63" s="13" t="n">
        <v>0.95</v>
      </c>
      <c r="H63" s="13" t="n">
        <v>1.3</v>
      </c>
      <c r="I63" s="13" t="n">
        <v>0.7648</v>
      </c>
      <c r="J63" s="13" t="n">
        <v>0.53</v>
      </c>
      <c r="K63" s="12" t="n">
        <f aca="false">ROUND(F63/100*G63*H63*I63/J63,2)</f>
        <v>15504.52</v>
      </c>
      <c r="L63" s="12" t="n">
        <v>15504.52</v>
      </c>
      <c r="M63" s="12" t="n">
        <f aca="false">L63-K63</f>
        <v>0</v>
      </c>
      <c r="N63" s="3" t="s">
        <v>51</v>
      </c>
      <c r="O63" s="3" t="s">
        <v>52</v>
      </c>
    </row>
    <row r="64" customFormat="false" ht="15" hidden="false" customHeight="false" outlineLevel="0" collapsed="false">
      <c r="A64" s="14" t="s">
        <v>4083</v>
      </c>
      <c r="B64" s="14" t="s">
        <v>4177</v>
      </c>
      <c r="C64" s="14" t="s">
        <v>188</v>
      </c>
      <c r="D64" s="14" t="s">
        <v>1549</v>
      </c>
      <c r="E64" s="14" t="s">
        <v>56</v>
      </c>
      <c r="F64" s="15" t="n">
        <v>275000</v>
      </c>
      <c r="G64" s="16" t="n">
        <v>0.75</v>
      </c>
      <c r="H64" s="16" t="n">
        <v>1.35</v>
      </c>
      <c r="I64" s="16" t="n">
        <v>0.7648</v>
      </c>
      <c r="J64" s="16" t="n">
        <v>0.53</v>
      </c>
      <c r="K64" s="15" t="n">
        <f aca="false">ROUND(F64/100*G64*H64*I64/J64,2)</f>
        <v>4017.91</v>
      </c>
      <c r="L64" s="15" t="n">
        <v>4017.91</v>
      </c>
      <c r="M64" s="15" t="n">
        <f aca="false">L64-K64</f>
        <v>0</v>
      </c>
      <c r="N64" s="14" t="s">
        <v>61</v>
      </c>
      <c r="O64" s="14" t="s">
        <v>62</v>
      </c>
    </row>
    <row r="65" customFormat="false" ht="15" hidden="false" customHeight="false" outlineLevel="0" collapsed="false">
      <c r="A65" s="3" t="s">
        <v>4136</v>
      </c>
      <c r="B65" s="3" t="s">
        <v>4178</v>
      </c>
      <c r="C65" s="3" t="s">
        <v>224</v>
      </c>
      <c r="D65" s="3" t="s">
        <v>1583</v>
      </c>
      <c r="E65" s="3" t="s">
        <v>56</v>
      </c>
      <c r="F65" s="12" t="n">
        <v>440000</v>
      </c>
      <c r="G65" s="13" t="n">
        <v>0.75</v>
      </c>
      <c r="H65" s="13" t="n">
        <v>1.1</v>
      </c>
      <c r="I65" s="13" t="n">
        <v>0.7648</v>
      </c>
      <c r="J65" s="13" t="n">
        <v>0.53</v>
      </c>
      <c r="K65" s="12" t="n">
        <f aca="false">ROUND(F65/100*G65*H65*I65/J65,2)</f>
        <v>5238.16</v>
      </c>
      <c r="L65" s="12" t="n">
        <v>5238.16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4122</v>
      </c>
      <c r="B66" s="14" t="s">
        <v>4179</v>
      </c>
      <c r="C66" s="14" t="s">
        <v>311</v>
      </c>
      <c r="D66" s="14" t="s">
        <v>4180</v>
      </c>
      <c r="E66" s="14" t="s">
        <v>56</v>
      </c>
      <c r="F66" s="15" t="n">
        <v>1950000</v>
      </c>
      <c r="G66" s="16" t="n">
        <v>0.55</v>
      </c>
      <c r="H66" s="16" t="n">
        <v>1.06</v>
      </c>
      <c r="I66" s="16" t="n">
        <v>0.7648</v>
      </c>
      <c r="J66" s="16" t="n">
        <v>0.53</v>
      </c>
      <c r="K66" s="15" t="n">
        <f aca="false">ROUND(F66/100*G66*H66*I66/J66,2)</f>
        <v>16404.96</v>
      </c>
      <c r="L66" s="15" t="n">
        <v>16404.96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4112</v>
      </c>
      <c r="B67" s="3" t="s">
        <v>4181</v>
      </c>
      <c r="C67" s="3" t="s">
        <v>169</v>
      </c>
      <c r="D67" s="3" t="s">
        <v>4182</v>
      </c>
      <c r="E67" s="3" t="s">
        <v>74</v>
      </c>
      <c r="F67" s="12" t="n">
        <v>515000</v>
      </c>
      <c r="G67" s="13" t="n">
        <v>0.43</v>
      </c>
      <c r="H67" s="13" t="n">
        <v>1.07</v>
      </c>
      <c r="I67" s="13" t="n">
        <v>0.7648</v>
      </c>
      <c r="J67" s="13" t="n">
        <v>0.53</v>
      </c>
      <c r="K67" s="12" t="n">
        <f aca="false">ROUND(F67/100*G67*H67*I67/J67,2)</f>
        <v>3419.25</v>
      </c>
      <c r="L67" s="12" t="n">
        <v>3419.25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4145</v>
      </c>
      <c r="B68" s="14" t="s">
        <v>4183</v>
      </c>
      <c r="C68" s="14" t="s">
        <v>224</v>
      </c>
      <c r="D68" s="14" t="s">
        <v>1671</v>
      </c>
      <c r="E68" s="14" t="s">
        <v>50</v>
      </c>
      <c r="F68" s="15" t="n">
        <v>1525000</v>
      </c>
      <c r="G68" s="16" t="n">
        <v>0.8</v>
      </c>
      <c r="H68" s="16" t="n">
        <v>1.1</v>
      </c>
      <c r="I68" s="16" t="n">
        <v>0.7648</v>
      </c>
      <c r="J68" s="16" t="n">
        <v>0.53</v>
      </c>
      <c r="K68" s="15" t="n">
        <f aca="false">ROUND(F68/100*G68*H68*I68/J68,2)</f>
        <v>19365.31</v>
      </c>
      <c r="L68" s="15" t="n">
        <v>19365.31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4151</v>
      </c>
      <c r="B69" s="3" t="s">
        <v>4184</v>
      </c>
      <c r="C69" s="3" t="s">
        <v>409</v>
      </c>
      <c r="D69" s="3" t="s">
        <v>782</v>
      </c>
      <c r="E69" s="3" t="s">
        <v>56</v>
      </c>
      <c r="F69" s="12" t="n">
        <v>375000</v>
      </c>
      <c r="G69" s="13" t="n">
        <v>0.75</v>
      </c>
      <c r="H69" s="13" t="n">
        <v>1.3</v>
      </c>
      <c r="I69" s="13" t="n">
        <v>0.7648</v>
      </c>
      <c r="J69" s="13" t="n">
        <v>0.53</v>
      </c>
      <c r="K69" s="12" t="n">
        <f aca="false">ROUND(F69/100*G69*H69*I69/J69,2)</f>
        <v>5276.04</v>
      </c>
      <c r="L69" s="12" t="n">
        <v>5276.03</v>
      </c>
      <c r="M69" s="12" t="n">
        <f aca="false">L69-K69</f>
        <v>-0.0100000000002183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4129</v>
      </c>
      <c r="B70" s="14" t="s">
        <v>4185</v>
      </c>
      <c r="C70" s="14" t="s">
        <v>417</v>
      </c>
      <c r="D70" s="14" t="s">
        <v>639</v>
      </c>
      <c r="E70" s="14" t="s">
        <v>56</v>
      </c>
      <c r="F70" s="15" t="n">
        <v>1285000</v>
      </c>
      <c r="G70" s="16" t="n">
        <v>0.55</v>
      </c>
      <c r="H70" s="16" t="n">
        <v>1.24</v>
      </c>
      <c r="I70" s="16" t="n">
        <v>0.7648</v>
      </c>
      <c r="J70" s="16" t="n">
        <v>0.53</v>
      </c>
      <c r="K70" s="15" t="n">
        <f aca="false">ROUND(F70/100*G70*H70*I70/J70,2)</f>
        <v>12646.18</v>
      </c>
      <c r="L70" s="15" t="n">
        <v>12646.18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4138</v>
      </c>
      <c r="B71" s="3" t="s">
        <v>4186</v>
      </c>
      <c r="C71" s="3" t="s">
        <v>188</v>
      </c>
      <c r="D71" s="3" t="s">
        <v>2045</v>
      </c>
      <c r="E71" s="3" t="s">
        <v>56</v>
      </c>
      <c r="F71" s="12" t="n">
        <v>825000</v>
      </c>
      <c r="G71" s="13" t="n">
        <v>0.65</v>
      </c>
      <c r="H71" s="13" t="n">
        <v>1.35</v>
      </c>
      <c r="I71" s="13" t="n">
        <v>0.7648</v>
      </c>
      <c r="J71" s="13" t="n">
        <v>0.53</v>
      </c>
      <c r="K71" s="12" t="n">
        <f aca="false">ROUND(F71/100*G71*H71*I71/J71,2)</f>
        <v>10446.55</v>
      </c>
      <c r="L71" s="12" t="n">
        <v>10446.56</v>
      </c>
      <c r="M71" s="12" t="n">
        <f aca="false">L71-K71</f>
        <v>0.0100000000002183</v>
      </c>
      <c r="N71" s="3" t="s">
        <v>51</v>
      </c>
      <c r="O71" s="3" t="s">
        <v>52</v>
      </c>
    </row>
    <row r="72" customFormat="false" ht="15" hidden="false" customHeight="false" outlineLevel="0" collapsed="false">
      <c r="A72" s="14" t="s">
        <v>4168</v>
      </c>
      <c r="B72" s="14" t="s">
        <v>4187</v>
      </c>
      <c r="C72" s="14" t="s">
        <v>68</v>
      </c>
      <c r="D72" s="14" t="s">
        <v>533</v>
      </c>
      <c r="E72" s="14" t="s">
        <v>56</v>
      </c>
      <c r="F72" s="15" t="n">
        <v>1115000</v>
      </c>
      <c r="G72" s="16" t="n">
        <v>0.55</v>
      </c>
      <c r="H72" s="16" t="n">
        <v>1.38</v>
      </c>
      <c r="I72" s="16" t="n">
        <v>0.7648</v>
      </c>
      <c r="J72" s="16" t="n">
        <v>0.53</v>
      </c>
      <c r="K72" s="15" t="n">
        <f aca="false">ROUND(F72/100*G72*H72*I72/J72,2)</f>
        <v>12212.05</v>
      </c>
      <c r="L72" s="15" t="n">
        <v>12212.05</v>
      </c>
      <c r="M72" s="15" t="n">
        <f aca="false">L72-K72</f>
        <v>0</v>
      </c>
      <c r="N72" s="14" t="s">
        <v>61</v>
      </c>
      <c r="O72" s="14" t="s">
        <v>62</v>
      </c>
    </row>
    <row r="73" customFormat="false" ht="15" hidden="false" customHeight="false" outlineLevel="0" collapsed="false">
      <c r="A73" s="3" t="s">
        <v>4188</v>
      </c>
      <c r="B73" s="3" t="s">
        <v>4189</v>
      </c>
      <c r="C73" s="3" t="s">
        <v>210</v>
      </c>
      <c r="D73" s="3" t="s">
        <v>291</v>
      </c>
      <c r="E73" s="3" t="s">
        <v>50</v>
      </c>
      <c r="F73" s="12" t="n">
        <v>835000</v>
      </c>
      <c r="G73" s="13" t="n">
        <v>0.95</v>
      </c>
      <c r="H73" s="13" t="n">
        <v>1.21</v>
      </c>
      <c r="I73" s="13" t="n">
        <v>0.7648</v>
      </c>
      <c r="J73" s="13" t="n">
        <v>0.53</v>
      </c>
      <c r="K73" s="12" t="n">
        <f aca="false">ROUND(F73/100*G73*H73*I73/J73,2)</f>
        <v>13850.56</v>
      </c>
      <c r="L73" s="12" t="n">
        <v>13850.57</v>
      </c>
      <c r="M73" s="12" t="n">
        <f aca="false">L73-K73</f>
        <v>0.0100000000002183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4136</v>
      </c>
      <c r="B74" s="14" t="s">
        <v>4190</v>
      </c>
      <c r="C74" s="14" t="s">
        <v>48</v>
      </c>
      <c r="D74" s="14" t="s">
        <v>498</v>
      </c>
      <c r="E74" s="14" t="s">
        <v>56</v>
      </c>
      <c r="F74" s="15" t="n">
        <v>300000</v>
      </c>
      <c r="G74" s="16" t="n">
        <v>0.75</v>
      </c>
      <c r="H74" s="16" t="n">
        <v>1.28</v>
      </c>
      <c r="I74" s="16" t="n">
        <v>0.7648</v>
      </c>
      <c r="J74" s="16" t="n">
        <v>0.53</v>
      </c>
      <c r="K74" s="15" t="n">
        <f aca="false">ROUND(F74/100*G74*H74*I74/J74,2)</f>
        <v>4155.89</v>
      </c>
      <c r="L74" s="15" t="n">
        <v>4155.89</v>
      </c>
      <c r="M74" s="15" t="n">
        <f aca="false">L74-K74</f>
        <v>0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4110</v>
      </c>
      <c r="B75" s="3" t="s">
        <v>4191</v>
      </c>
      <c r="C75" s="3" t="s">
        <v>210</v>
      </c>
      <c r="D75" s="3" t="s">
        <v>3244</v>
      </c>
      <c r="E75" s="3" t="s">
        <v>50</v>
      </c>
      <c r="F75" s="12" t="n">
        <v>300000</v>
      </c>
      <c r="G75" s="13" t="n">
        <v>1.15</v>
      </c>
      <c r="H75" s="13" t="n">
        <v>1.21</v>
      </c>
      <c r="I75" s="13" t="n">
        <v>0.7648</v>
      </c>
      <c r="J75" s="13" t="n">
        <v>0.53</v>
      </c>
      <c r="K75" s="12" t="n">
        <f aca="false">ROUND(F75/100*G75*H75*I75/J75,2)</f>
        <v>6023.88</v>
      </c>
      <c r="L75" s="12" t="n">
        <v>6023.89</v>
      </c>
      <c r="M75" s="12" t="n">
        <f aca="false">L75-K75</f>
        <v>0.0100000000002183</v>
      </c>
      <c r="N75" s="3" t="s">
        <v>51</v>
      </c>
      <c r="O75" s="3" t="s">
        <v>52</v>
      </c>
    </row>
    <row r="76" customFormat="false" ht="15" hidden="false" customHeight="false" outlineLevel="0" collapsed="false">
      <c r="A76" s="14" t="s">
        <v>4118</v>
      </c>
      <c r="B76" s="14" t="s">
        <v>4192</v>
      </c>
      <c r="C76" s="14" t="s">
        <v>117</v>
      </c>
      <c r="D76" s="14" t="s">
        <v>1640</v>
      </c>
      <c r="E76" s="14" t="s">
        <v>74</v>
      </c>
      <c r="F76" s="15" t="n">
        <v>525000</v>
      </c>
      <c r="G76" s="16" t="n">
        <v>0.43</v>
      </c>
      <c r="H76" s="16" t="n">
        <v>0.91</v>
      </c>
      <c r="I76" s="16" t="n">
        <v>0.7648</v>
      </c>
      <c r="J76" s="16" t="n">
        <v>0.53</v>
      </c>
      <c r="K76" s="15" t="n">
        <f aca="false">ROUND(F76/100*G76*H76*I76/J76,2)</f>
        <v>2964.43</v>
      </c>
      <c r="L76" s="15" t="n">
        <v>2964.43</v>
      </c>
      <c r="M76" s="15" t="n">
        <f aca="false">L76-K76</f>
        <v>0</v>
      </c>
      <c r="N76" s="14" t="s">
        <v>51</v>
      </c>
      <c r="O76" s="14" t="s">
        <v>52</v>
      </c>
    </row>
    <row r="77" customFormat="false" ht="15" hidden="false" customHeight="false" outlineLevel="0" collapsed="false">
      <c r="A77" s="3" t="s">
        <v>4138</v>
      </c>
      <c r="B77" s="3" t="s">
        <v>4193</v>
      </c>
      <c r="C77" s="3" t="s">
        <v>217</v>
      </c>
      <c r="D77" s="3" t="s">
        <v>289</v>
      </c>
      <c r="E77" s="3" t="s">
        <v>56</v>
      </c>
      <c r="F77" s="12" t="n">
        <v>800000</v>
      </c>
      <c r="G77" s="13" t="n">
        <v>0.65</v>
      </c>
      <c r="H77" s="13" t="n">
        <v>1.3</v>
      </c>
      <c r="I77" s="13" t="n">
        <v>0.7648</v>
      </c>
      <c r="J77" s="13" t="n">
        <v>0.53</v>
      </c>
      <c r="K77" s="12" t="n">
        <f aca="false">ROUND(F77/100*G77*H77*I77/J77,2)</f>
        <v>9754.81</v>
      </c>
      <c r="L77" s="12" t="n">
        <v>9754.81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4083</v>
      </c>
      <c r="B78" s="14" t="s">
        <v>4194</v>
      </c>
      <c r="C78" s="14" t="s">
        <v>159</v>
      </c>
      <c r="D78" s="14" t="s">
        <v>2511</v>
      </c>
      <c r="E78" s="14" t="s">
        <v>56</v>
      </c>
      <c r="F78" s="15" t="n">
        <v>515000</v>
      </c>
      <c r="G78" s="16" t="n">
        <v>0.65</v>
      </c>
      <c r="H78" s="16" t="n">
        <v>1.15</v>
      </c>
      <c r="I78" s="16" t="n">
        <v>0.7648</v>
      </c>
      <c r="J78" s="16" t="n">
        <v>0.53</v>
      </c>
      <c r="K78" s="15" t="n">
        <f aca="false">ROUND(F78/100*G78*H78*I78/J78,2)</f>
        <v>5555.08</v>
      </c>
      <c r="L78" s="15" t="n">
        <v>5555.08</v>
      </c>
      <c r="M78" s="15" t="n">
        <f aca="false">L78-K78</f>
        <v>0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4093</v>
      </c>
      <c r="B79" s="3" t="s">
        <v>4195</v>
      </c>
      <c r="C79" s="3" t="s">
        <v>193</v>
      </c>
      <c r="D79" s="3" t="s">
        <v>4196</v>
      </c>
      <c r="E79" s="3" t="s">
        <v>133</v>
      </c>
      <c r="F79" s="12" t="n">
        <v>920000</v>
      </c>
      <c r="G79" s="13" t="n">
        <v>0.38</v>
      </c>
      <c r="H79" s="13" t="n">
        <v>1.25</v>
      </c>
      <c r="I79" s="13" t="n">
        <v>0.7648</v>
      </c>
      <c r="J79" s="13" t="n">
        <v>0.53</v>
      </c>
      <c r="K79" s="12" t="n">
        <f aca="false">ROUND(F79/100*G79*H79*I79/J79,2)</f>
        <v>6305.99</v>
      </c>
      <c r="L79" s="12" t="n">
        <v>6305.99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4115</v>
      </c>
      <c r="B80" s="14" t="s">
        <v>4197</v>
      </c>
      <c r="C80" s="14" t="s">
        <v>892</v>
      </c>
      <c r="D80" s="14" t="s">
        <v>2012</v>
      </c>
      <c r="E80" s="14" t="s">
        <v>56</v>
      </c>
      <c r="F80" s="15" t="n">
        <v>220000</v>
      </c>
      <c r="G80" s="16" t="n">
        <v>0.92</v>
      </c>
      <c r="H80" s="16" t="n">
        <v>1.08</v>
      </c>
      <c r="I80" s="16" t="n">
        <v>0.7648</v>
      </c>
      <c r="J80" s="16" t="n">
        <v>0.53</v>
      </c>
      <c r="K80" s="15" t="n">
        <f aca="false">ROUND(F80/100*G80*H80*I80/J80,2)</f>
        <v>3154.32</v>
      </c>
      <c r="L80" s="15" t="n">
        <v>3154.33</v>
      </c>
      <c r="M80" s="15" t="n">
        <f aca="false">L80-K80</f>
        <v>0.00999999999976353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4145</v>
      </c>
      <c r="B81" s="3" t="s">
        <v>4198</v>
      </c>
      <c r="C81" s="3" t="s">
        <v>237</v>
      </c>
      <c r="D81" s="3" t="s">
        <v>694</v>
      </c>
      <c r="E81" s="3" t="s">
        <v>56</v>
      </c>
      <c r="F81" s="12" t="n">
        <v>900000</v>
      </c>
      <c r="G81" s="13" t="n">
        <v>0.65</v>
      </c>
      <c r="H81" s="13" t="n">
        <v>1.33</v>
      </c>
      <c r="I81" s="13" t="n">
        <v>0.7648</v>
      </c>
      <c r="J81" s="13" t="n">
        <v>0.53</v>
      </c>
      <c r="K81" s="12" t="n">
        <f aca="false">ROUND(F81/100*G81*H81*I81/J81,2)</f>
        <v>11227.41</v>
      </c>
      <c r="L81" s="12" t="n">
        <v>11227.41</v>
      </c>
      <c r="M81" s="12" t="n">
        <f aca="false">L81-K81</f>
        <v>0</v>
      </c>
      <c r="N81" s="3" t="s">
        <v>61</v>
      </c>
      <c r="O81" s="3" t="s">
        <v>62</v>
      </c>
    </row>
    <row r="82" customFormat="false" ht="15" hidden="false" customHeight="false" outlineLevel="0" collapsed="false">
      <c r="A82" s="14" t="s">
        <v>4145</v>
      </c>
      <c r="B82" s="14" t="s">
        <v>4199</v>
      </c>
      <c r="C82" s="14" t="s">
        <v>295</v>
      </c>
      <c r="D82" s="14" t="s">
        <v>1919</v>
      </c>
      <c r="E82" s="14" t="s">
        <v>56</v>
      </c>
      <c r="F82" s="15" t="n">
        <v>475000</v>
      </c>
      <c r="G82" s="16" t="n">
        <v>0.75</v>
      </c>
      <c r="H82" s="16" t="n">
        <v>1.2</v>
      </c>
      <c r="I82" s="16" t="n">
        <v>0.7648</v>
      </c>
      <c r="J82" s="16" t="n">
        <v>0.53</v>
      </c>
      <c r="K82" s="15" t="n">
        <f aca="false">ROUND(F82/100*G82*H82*I82/J82,2)</f>
        <v>6168.91</v>
      </c>
      <c r="L82" s="15" t="n">
        <v>6168.91</v>
      </c>
      <c r="M82" s="15" t="n">
        <f aca="false">L82-K82</f>
        <v>0</v>
      </c>
      <c r="N82" s="14" t="s">
        <v>51</v>
      </c>
      <c r="O82" s="14" t="s">
        <v>52</v>
      </c>
    </row>
    <row r="83" customFormat="false" ht="15" hidden="false" customHeight="false" outlineLevel="0" collapsed="false">
      <c r="A83" s="3" t="s">
        <v>4086</v>
      </c>
      <c r="B83" s="3" t="s">
        <v>4200</v>
      </c>
      <c r="C83" s="3" t="s">
        <v>462</v>
      </c>
      <c r="D83" s="3" t="s">
        <v>2366</v>
      </c>
      <c r="E83" s="3" t="s">
        <v>50</v>
      </c>
      <c r="F83" s="12" t="n">
        <v>505000</v>
      </c>
      <c r="G83" s="13" t="n">
        <v>0.95</v>
      </c>
      <c r="H83" s="13" t="n">
        <v>1.34</v>
      </c>
      <c r="I83" s="13" t="n">
        <v>0.7648</v>
      </c>
      <c r="J83" s="13" t="n">
        <v>0.53</v>
      </c>
      <c r="K83" s="12" t="n">
        <f aca="false">ROUND(F83/100*G83*H83*I83/J83,2)</f>
        <v>9276.66</v>
      </c>
      <c r="L83" s="12" t="n">
        <v>9276.66</v>
      </c>
      <c r="M83" s="12" t="n">
        <f aca="false">L83-K83</f>
        <v>0</v>
      </c>
      <c r="N83" s="3" t="s">
        <v>51</v>
      </c>
      <c r="O83" s="3" t="s">
        <v>52</v>
      </c>
    </row>
    <row r="84" customFormat="false" ht="15" hidden="false" customHeight="false" outlineLevel="0" collapsed="false">
      <c r="A84" s="14" t="s">
        <v>4115</v>
      </c>
      <c r="B84" s="14" t="s">
        <v>4201</v>
      </c>
      <c r="C84" s="14" t="s">
        <v>64</v>
      </c>
      <c r="D84" s="14" t="s">
        <v>2009</v>
      </c>
      <c r="E84" s="14" t="s">
        <v>56</v>
      </c>
      <c r="F84" s="15" t="n">
        <v>890000</v>
      </c>
      <c r="G84" s="16" t="n">
        <v>0.65</v>
      </c>
      <c r="H84" s="16" t="n">
        <v>1.17</v>
      </c>
      <c r="I84" s="16" t="n">
        <v>0.7648</v>
      </c>
      <c r="J84" s="16" t="n">
        <v>0.53</v>
      </c>
      <c r="K84" s="15" t="n">
        <f aca="false">ROUND(F84/100*G84*H84*I84/J84,2)</f>
        <v>9767</v>
      </c>
      <c r="L84" s="15" t="n">
        <v>9767</v>
      </c>
      <c r="M84" s="15" t="n">
        <f aca="false">L84-K84</f>
        <v>0</v>
      </c>
      <c r="N84" s="14" t="s">
        <v>61</v>
      </c>
      <c r="O84" s="14" t="s">
        <v>62</v>
      </c>
    </row>
    <row r="85" customFormat="false" ht="15" hidden="false" customHeight="false" outlineLevel="0" collapsed="false">
      <c r="A85" s="3" t="s">
        <v>4136</v>
      </c>
      <c r="B85" s="3" t="s">
        <v>4202</v>
      </c>
      <c r="C85" s="3" t="s">
        <v>326</v>
      </c>
      <c r="D85" s="3" t="s">
        <v>857</v>
      </c>
      <c r="E85" s="3" t="s">
        <v>56</v>
      </c>
      <c r="F85" s="12" t="n">
        <v>795000</v>
      </c>
      <c r="G85" s="13" t="n">
        <v>0.65</v>
      </c>
      <c r="H85" s="13" t="n">
        <v>1.12</v>
      </c>
      <c r="I85" s="13" t="n">
        <v>0.7648</v>
      </c>
      <c r="J85" s="13" t="n">
        <v>0.53</v>
      </c>
      <c r="K85" s="12" t="n">
        <f aca="false">ROUND(F85/100*G85*H85*I85/J85,2)</f>
        <v>8351.62</v>
      </c>
      <c r="L85" s="12" t="n">
        <v>8351.62</v>
      </c>
      <c r="M85" s="12" t="n">
        <f aca="false">L85-K85</f>
        <v>0</v>
      </c>
      <c r="N85" s="3" t="s">
        <v>70</v>
      </c>
      <c r="O85" s="3" t="s">
        <v>52</v>
      </c>
    </row>
    <row r="86" customFormat="false" ht="15" hidden="false" customHeight="false" outlineLevel="0" collapsed="false">
      <c r="A86" s="14" t="s">
        <v>4151</v>
      </c>
      <c r="B86" s="14" t="s">
        <v>4203</v>
      </c>
      <c r="C86" s="14" t="s">
        <v>230</v>
      </c>
      <c r="D86" s="14" t="s">
        <v>2413</v>
      </c>
      <c r="E86" s="14" t="s">
        <v>50</v>
      </c>
      <c r="F86" s="15" t="n">
        <v>990000</v>
      </c>
      <c r="G86" s="16" t="n">
        <v>0.95</v>
      </c>
      <c r="H86" s="16" t="n">
        <v>1.09</v>
      </c>
      <c r="I86" s="16" t="n">
        <v>0.7648</v>
      </c>
      <c r="J86" s="16" t="n">
        <v>0.53</v>
      </c>
      <c r="K86" s="15" t="n">
        <f aca="false">ROUND(F86/100*G86*H86*I86/J86,2)</f>
        <v>14793.04</v>
      </c>
      <c r="L86" s="15" t="n">
        <v>14793.04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4204</v>
      </c>
      <c r="B87" s="3" t="s">
        <v>4205</v>
      </c>
      <c r="C87" s="3" t="s">
        <v>93</v>
      </c>
      <c r="D87" s="3" t="s">
        <v>4206</v>
      </c>
      <c r="E87" s="3" t="s">
        <v>74</v>
      </c>
      <c r="F87" s="12" t="n">
        <v>145000</v>
      </c>
      <c r="G87" s="13" t="n">
        <v>0.57</v>
      </c>
      <c r="H87" s="13" t="n">
        <v>1.39</v>
      </c>
      <c r="I87" s="13" t="n">
        <v>0.7648</v>
      </c>
      <c r="J87" s="13" t="n">
        <v>0.53</v>
      </c>
      <c r="K87" s="12" t="n">
        <f aca="false">ROUND(F87/100*G87*H87*I87/J87,2)</f>
        <v>1657.79</v>
      </c>
      <c r="L87" s="12" t="n">
        <v>1657.79</v>
      </c>
      <c r="M87" s="12" t="n">
        <f aca="false">L87-K87</f>
        <v>0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4151</v>
      </c>
      <c r="B88" s="14" t="s">
        <v>4207</v>
      </c>
      <c r="C88" s="14" t="s">
        <v>159</v>
      </c>
      <c r="D88" s="14" t="s">
        <v>494</v>
      </c>
      <c r="E88" s="14" t="s">
        <v>56</v>
      </c>
      <c r="F88" s="15" t="n">
        <v>765000</v>
      </c>
      <c r="G88" s="16" t="n">
        <v>0.65</v>
      </c>
      <c r="H88" s="16" t="n">
        <v>1.15</v>
      </c>
      <c r="I88" s="16" t="n">
        <v>0.7648</v>
      </c>
      <c r="J88" s="16" t="n">
        <v>0.53</v>
      </c>
      <c r="K88" s="15" t="n">
        <f aca="false">ROUND(F88/100*G88*H88*I88/J88,2)</f>
        <v>8251.72</v>
      </c>
      <c r="L88" s="15" t="n">
        <v>8251.73</v>
      </c>
      <c r="M88" s="15" t="n">
        <f aca="false">L88-K88</f>
        <v>0.0100000000002183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4079</v>
      </c>
      <c r="B89" s="3" t="s">
        <v>4208</v>
      </c>
      <c r="C89" s="3" t="s">
        <v>131</v>
      </c>
      <c r="D89" s="3" t="s">
        <v>4209</v>
      </c>
      <c r="E89" s="3" t="s">
        <v>133</v>
      </c>
      <c r="F89" s="12" t="n">
        <v>1245000</v>
      </c>
      <c r="G89" s="13" t="n">
        <v>0.34</v>
      </c>
      <c r="H89" s="13" t="n">
        <v>0.95</v>
      </c>
      <c r="I89" s="13" t="n">
        <v>0.7648</v>
      </c>
      <c r="J89" s="13" t="n">
        <v>0.53</v>
      </c>
      <c r="K89" s="12" t="n">
        <f aca="false">ROUND(F89/100*G89*H89*I89/J89,2)</f>
        <v>5802.88</v>
      </c>
      <c r="L89" s="12" t="n">
        <v>5802.88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4112</v>
      </c>
      <c r="B90" s="14" t="s">
        <v>4210</v>
      </c>
      <c r="C90" s="14" t="s">
        <v>224</v>
      </c>
      <c r="D90" s="14" t="s">
        <v>780</v>
      </c>
      <c r="E90" s="14" t="s">
        <v>56</v>
      </c>
      <c r="F90" s="15" t="n">
        <v>305000</v>
      </c>
      <c r="G90" s="16" t="n">
        <v>0.75</v>
      </c>
      <c r="H90" s="16" t="n">
        <v>1.1</v>
      </c>
      <c r="I90" s="16" t="n">
        <v>0.7648</v>
      </c>
      <c r="J90" s="16" t="n">
        <v>0.53</v>
      </c>
      <c r="K90" s="15" t="n">
        <f aca="false">ROUND(F90/100*G90*H90*I90/J90,2)</f>
        <v>3631</v>
      </c>
      <c r="L90" s="15" t="n">
        <v>3631</v>
      </c>
      <c r="M90" s="15" t="n">
        <f aca="false">L90-K90</f>
        <v>0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4100</v>
      </c>
      <c r="B91" s="3" t="s">
        <v>4211</v>
      </c>
      <c r="C91" s="3" t="s">
        <v>224</v>
      </c>
      <c r="D91" s="3" t="s">
        <v>433</v>
      </c>
      <c r="E91" s="3" t="s">
        <v>56</v>
      </c>
      <c r="F91" s="12" t="n">
        <v>365000</v>
      </c>
      <c r="G91" s="13" t="n">
        <v>0.75</v>
      </c>
      <c r="H91" s="13" t="n">
        <v>1.1</v>
      </c>
      <c r="I91" s="13" t="n">
        <v>0.7648</v>
      </c>
      <c r="J91" s="13" t="n">
        <v>0.53</v>
      </c>
      <c r="K91" s="12" t="n">
        <f aca="false">ROUND(F91/100*G91*H91*I91/J91,2)</f>
        <v>4345.29</v>
      </c>
      <c r="L91" s="12" t="n">
        <v>4345.29</v>
      </c>
      <c r="M91" s="12" t="n">
        <f aca="false">L91-K91</f>
        <v>0</v>
      </c>
      <c r="N91" s="3" t="s">
        <v>51</v>
      </c>
      <c r="O91" s="3" t="s">
        <v>52</v>
      </c>
    </row>
    <row r="92" customFormat="false" ht="15" hidden="false" customHeight="false" outlineLevel="0" collapsed="false">
      <c r="A92" s="14" t="s">
        <v>4079</v>
      </c>
      <c r="B92" s="14" t="s">
        <v>4212</v>
      </c>
      <c r="C92" s="14" t="s">
        <v>435</v>
      </c>
      <c r="D92" s="14" t="s">
        <v>1288</v>
      </c>
      <c r="E92" s="14" t="s">
        <v>56</v>
      </c>
      <c r="F92" s="15" t="n">
        <v>760000</v>
      </c>
      <c r="G92" s="16" t="n">
        <v>0.65</v>
      </c>
      <c r="H92" s="16" t="n">
        <v>1.13</v>
      </c>
      <c r="I92" s="16" t="n">
        <v>0.7648</v>
      </c>
      <c r="J92" s="16" t="n">
        <v>0.53</v>
      </c>
      <c r="K92" s="15" t="n">
        <f aca="false">ROUND(F92/100*G92*H92*I92/J92,2)</f>
        <v>8055.22</v>
      </c>
      <c r="L92" s="15" t="n">
        <v>8055.22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4122</v>
      </c>
      <c r="B93" s="3" t="s">
        <v>4213</v>
      </c>
      <c r="C93" s="3" t="s">
        <v>278</v>
      </c>
      <c r="D93" s="3" t="s">
        <v>1549</v>
      </c>
      <c r="E93" s="3" t="s">
        <v>56</v>
      </c>
      <c r="F93" s="12" t="n">
        <v>585000</v>
      </c>
      <c r="G93" s="13" t="n">
        <v>0.65</v>
      </c>
      <c r="H93" s="13" t="n">
        <v>0.98</v>
      </c>
      <c r="I93" s="13" t="n">
        <v>0.7648</v>
      </c>
      <c r="J93" s="13" t="n">
        <v>0.53</v>
      </c>
      <c r="K93" s="12" t="n">
        <f aca="false">ROUND(F93/100*G93*H93*I93/J93,2)</f>
        <v>5377.34</v>
      </c>
      <c r="L93" s="12" t="n">
        <v>5377.34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4145</v>
      </c>
      <c r="B94" s="14" t="s">
        <v>4214</v>
      </c>
      <c r="C94" s="14" t="s">
        <v>220</v>
      </c>
      <c r="D94" s="14" t="s">
        <v>1553</v>
      </c>
      <c r="E94" s="14" t="s">
        <v>50</v>
      </c>
      <c r="F94" s="15" t="n">
        <v>430000</v>
      </c>
      <c r="G94" s="16" t="n">
        <v>1.15</v>
      </c>
      <c r="H94" s="16" t="n">
        <v>1.01</v>
      </c>
      <c r="I94" s="16" t="n">
        <v>0.7648</v>
      </c>
      <c r="J94" s="16" t="n">
        <v>0.53</v>
      </c>
      <c r="K94" s="15" t="n">
        <f aca="false">ROUND(F94/100*G94*H94*I94/J94,2)</f>
        <v>7207.09</v>
      </c>
      <c r="L94" s="15" t="n">
        <v>7207.09</v>
      </c>
      <c r="M94" s="15" t="n">
        <f aca="false">L94-K94</f>
        <v>0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4108</v>
      </c>
      <c r="B95" s="3" t="s">
        <v>4215</v>
      </c>
      <c r="C95" s="3" t="s">
        <v>152</v>
      </c>
      <c r="D95" s="3" t="s">
        <v>1432</v>
      </c>
      <c r="E95" s="3" t="s">
        <v>56</v>
      </c>
      <c r="F95" s="12" t="n">
        <v>395000</v>
      </c>
      <c r="G95" s="13" t="n">
        <v>0.75</v>
      </c>
      <c r="H95" s="13" t="n">
        <v>1</v>
      </c>
      <c r="I95" s="13" t="n">
        <v>0.7648</v>
      </c>
      <c r="J95" s="13" t="n">
        <v>0.53</v>
      </c>
      <c r="K95" s="12" t="n">
        <f aca="false">ROUND(F95/100*G95*H95*I95/J95,2)</f>
        <v>4274.94</v>
      </c>
      <c r="L95" s="12" t="n">
        <v>4274.94</v>
      </c>
      <c r="M95" s="12" t="n">
        <f aca="false">L95-K95</f>
        <v>0</v>
      </c>
      <c r="N95" s="3" t="s">
        <v>61</v>
      </c>
      <c r="O95" s="3" t="s">
        <v>62</v>
      </c>
    </row>
    <row r="96" customFormat="false" ht="15" hidden="false" customHeight="false" outlineLevel="0" collapsed="false">
      <c r="A96" s="14" t="s">
        <v>4168</v>
      </c>
      <c r="B96" s="14" t="s">
        <v>4216</v>
      </c>
      <c r="C96" s="14" t="s">
        <v>217</v>
      </c>
      <c r="D96" s="14" t="s">
        <v>4217</v>
      </c>
      <c r="E96" s="14" t="s">
        <v>74</v>
      </c>
      <c r="F96" s="15" t="n">
        <v>910000</v>
      </c>
      <c r="G96" s="16" t="n">
        <v>0.43</v>
      </c>
      <c r="H96" s="16" t="n">
        <v>1.3</v>
      </c>
      <c r="I96" s="16" t="n">
        <v>0.7648</v>
      </c>
      <c r="J96" s="16" t="n">
        <v>0.53</v>
      </c>
      <c r="K96" s="15" t="n">
        <f aca="false">ROUND(F96/100*G96*H96*I96/J96,2)</f>
        <v>7340.49</v>
      </c>
      <c r="L96" s="15" t="n">
        <v>7340.49</v>
      </c>
      <c r="M96" s="15" t="n">
        <f aca="false">L96-K96</f>
        <v>0</v>
      </c>
      <c r="N96" s="14" t="s">
        <v>61</v>
      </c>
      <c r="O96" s="14" t="s">
        <v>62</v>
      </c>
    </row>
    <row r="97" customFormat="false" ht="15" hidden="false" customHeight="false" outlineLevel="0" collapsed="false">
      <c r="A97" s="3" t="s">
        <v>4204</v>
      </c>
      <c r="B97" s="3" t="s">
        <v>4218</v>
      </c>
      <c r="C97" s="3" t="s">
        <v>77</v>
      </c>
      <c r="D97" s="3" t="s">
        <v>1669</v>
      </c>
      <c r="E97" s="3" t="s">
        <v>56</v>
      </c>
      <c r="F97" s="12" t="n">
        <v>195000</v>
      </c>
      <c r="G97" s="13" t="n">
        <v>0.92</v>
      </c>
      <c r="H97" s="13" t="n">
        <v>1.42</v>
      </c>
      <c r="I97" s="13" t="n">
        <v>0.7648</v>
      </c>
      <c r="J97" s="13" t="n">
        <v>0.53</v>
      </c>
      <c r="K97" s="12" t="n">
        <f aca="false">ROUND(F97/100*G97*H97*I97/J97,2)</f>
        <v>3676.06</v>
      </c>
      <c r="L97" s="12" t="n">
        <v>3676.06</v>
      </c>
      <c r="M97" s="12" t="n">
        <f aca="false">L97-K97</f>
        <v>0</v>
      </c>
      <c r="N97" s="3" t="s">
        <v>61</v>
      </c>
      <c r="O97" s="3" t="s">
        <v>62</v>
      </c>
    </row>
    <row r="98" customFormat="false" ht="15" hidden="false" customHeight="false" outlineLevel="0" collapsed="false">
      <c r="A98" s="14" t="s">
        <v>4112</v>
      </c>
      <c r="B98" s="14" t="s">
        <v>4219</v>
      </c>
      <c r="C98" s="14" t="s">
        <v>326</v>
      </c>
      <c r="D98" s="14" t="s">
        <v>1675</v>
      </c>
      <c r="E98" s="14" t="s">
        <v>56</v>
      </c>
      <c r="F98" s="15" t="n">
        <v>630000</v>
      </c>
      <c r="G98" s="16" t="n">
        <v>0.65</v>
      </c>
      <c r="H98" s="16" t="n">
        <v>1.12</v>
      </c>
      <c r="I98" s="16" t="n">
        <v>0.7648</v>
      </c>
      <c r="J98" s="16" t="n">
        <v>0.53</v>
      </c>
      <c r="K98" s="15" t="n">
        <f aca="false">ROUND(F98/100*G98*H98*I98/J98,2)</f>
        <v>6618.26</v>
      </c>
      <c r="L98" s="15" t="n">
        <v>6618.26</v>
      </c>
      <c r="M98" s="15" t="n">
        <f aca="false">L98-K98</f>
        <v>0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4115</v>
      </c>
      <c r="B99" s="3" t="s">
        <v>4220</v>
      </c>
      <c r="C99" s="3" t="s">
        <v>93</v>
      </c>
      <c r="D99" s="3" t="s">
        <v>3855</v>
      </c>
      <c r="E99" s="3" t="s">
        <v>50</v>
      </c>
      <c r="F99" s="12" t="n">
        <v>485000</v>
      </c>
      <c r="G99" s="13" t="n">
        <v>1.15</v>
      </c>
      <c r="H99" s="13" t="n">
        <v>1.39</v>
      </c>
      <c r="I99" s="13" t="n">
        <v>0.7648</v>
      </c>
      <c r="J99" s="13" t="n">
        <v>0.53</v>
      </c>
      <c r="K99" s="12" t="n">
        <f aca="false">ROUND(F99/100*G99*H99*I99/J99,2)</f>
        <v>11187.33</v>
      </c>
      <c r="L99" s="12" t="n">
        <v>11187.33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4118</v>
      </c>
      <c r="B100" s="14" t="s">
        <v>4221</v>
      </c>
      <c r="C100" s="14" t="s">
        <v>131</v>
      </c>
      <c r="D100" s="14" t="s">
        <v>2190</v>
      </c>
      <c r="E100" s="14" t="s">
        <v>50</v>
      </c>
      <c r="F100" s="15" t="n">
        <v>600000</v>
      </c>
      <c r="G100" s="16" t="n">
        <v>0.95</v>
      </c>
      <c r="H100" s="16" t="n">
        <v>0.95</v>
      </c>
      <c r="I100" s="16" t="n">
        <v>0.7648</v>
      </c>
      <c r="J100" s="16" t="n">
        <v>0.53</v>
      </c>
      <c r="K100" s="15" t="n">
        <f aca="false">ROUND(F100/100*G100*H100*I100/J100,2)</f>
        <v>7813.95</v>
      </c>
      <c r="L100" s="15" t="n">
        <v>7813.95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4188</v>
      </c>
      <c r="B101" s="3" t="s">
        <v>4222</v>
      </c>
      <c r="C101" s="3" t="s">
        <v>139</v>
      </c>
      <c r="D101" s="3" t="s">
        <v>423</v>
      </c>
      <c r="E101" s="3" t="s">
        <v>56</v>
      </c>
      <c r="F101" s="12" t="n">
        <v>1010000</v>
      </c>
      <c r="G101" s="13" t="n">
        <v>0.55</v>
      </c>
      <c r="H101" s="13" t="n">
        <v>1.23</v>
      </c>
      <c r="I101" s="13" t="n">
        <v>0.7648</v>
      </c>
      <c r="J101" s="13" t="n">
        <v>0.53</v>
      </c>
      <c r="K101" s="12" t="n">
        <f aca="false">ROUND(F101/100*G101*H101*I101/J101,2)</f>
        <v>9859.64</v>
      </c>
      <c r="L101" s="12" t="n">
        <v>9859.64</v>
      </c>
      <c r="M101" s="12" t="n">
        <f aca="false">L101-K101</f>
        <v>0</v>
      </c>
      <c r="N101" s="3" t="s">
        <v>61</v>
      </c>
      <c r="O101" s="3" t="s">
        <v>62</v>
      </c>
    </row>
    <row r="102" customFormat="false" ht="15" hidden="false" customHeight="false" outlineLevel="0" collapsed="false">
      <c r="A102" s="14" t="s">
        <v>4118</v>
      </c>
      <c r="B102" s="14" t="s">
        <v>4223</v>
      </c>
      <c r="C102" s="14" t="s">
        <v>169</v>
      </c>
      <c r="D102" s="14" t="s">
        <v>4224</v>
      </c>
      <c r="E102" s="14" t="s">
        <v>74</v>
      </c>
      <c r="F102" s="15" t="n">
        <v>310000</v>
      </c>
      <c r="G102" s="16" t="n">
        <v>0.48</v>
      </c>
      <c r="H102" s="16" t="n">
        <v>1.07</v>
      </c>
      <c r="I102" s="16" t="n">
        <v>0.7648</v>
      </c>
      <c r="J102" s="16" t="n">
        <v>0.53</v>
      </c>
      <c r="K102" s="15" t="n">
        <f aca="false">ROUND(F102/100*G102*H102*I102/J102,2)</f>
        <v>2297.52</v>
      </c>
      <c r="L102" s="15" t="n">
        <v>2297.52</v>
      </c>
      <c r="M102" s="15" t="n">
        <f aca="false">L102-K102</f>
        <v>0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4108</v>
      </c>
      <c r="B103" s="3" t="s">
        <v>4225</v>
      </c>
      <c r="C103" s="3" t="s">
        <v>366</v>
      </c>
      <c r="D103" s="3" t="s">
        <v>682</v>
      </c>
      <c r="E103" s="3" t="s">
        <v>56</v>
      </c>
      <c r="F103" s="12" t="n">
        <v>455000</v>
      </c>
      <c r="G103" s="13" t="n">
        <v>0.75</v>
      </c>
      <c r="H103" s="13" t="n">
        <v>1.26</v>
      </c>
      <c r="I103" s="13" t="n">
        <v>0.7648</v>
      </c>
      <c r="J103" s="13" t="n">
        <v>0.53</v>
      </c>
      <c r="K103" s="12" t="n">
        <f aca="false">ROUND(F103/100*G103*H103*I103/J103,2)</f>
        <v>6204.62</v>
      </c>
      <c r="L103" s="12" t="n">
        <v>6204.62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4079</v>
      </c>
      <c r="B104" s="14" t="s">
        <v>4226</v>
      </c>
      <c r="C104" s="14" t="s">
        <v>48</v>
      </c>
      <c r="D104" s="14" t="s">
        <v>4227</v>
      </c>
      <c r="E104" s="14" t="s">
        <v>74</v>
      </c>
      <c r="F104" s="15" t="n">
        <v>835000</v>
      </c>
      <c r="G104" s="16" t="n">
        <v>0.43</v>
      </c>
      <c r="H104" s="16" t="n">
        <v>1.28</v>
      </c>
      <c r="I104" s="16" t="n">
        <v>0.7648</v>
      </c>
      <c r="J104" s="16" t="n">
        <v>0.53</v>
      </c>
      <c r="K104" s="15" t="n">
        <f aca="false">ROUND(F104/100*G104*H104*I104/J104,2)</f>
        <v>6631.88</v>
      </c>
      <c r="L104" s="15" t="n">
        <v>6631.89</v>
      </c>
      <c r="M104" s="15" t="n">
        <f aca="false">L104-K104</f>
        <v>0.0100000000002183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4086</v>
      </c>
      <c r="B105" s="3" t="s">
        <v>4228</v>
      </c>
      <c r="C105" s="3" t="s">
        <v>59</v>
      </c>
      <c r="D105" s="3" t="s">
        <v>431</v>
      </c>
      <c r="E105" s="3" t="s">
        <v>56</v>
      </c>
      <c r="F105" s="12" t="n">
        <v>270000</v>
      </c>
      <c r="G105" s="13" t="n">
        <v>0.75</v>
      </c>
      <c r="H105" s="13" t="n">
        <v>0.97</v>
      </c>
      <c r="I105" s="13" t="n">
        <v>0.7648</v>
      </c>
      <c r="J105" s="13" t="n">
        <v>0.53</v>
      </c>
      <c r="K105" s="12" t="n">
        <f aca="false">ROUND(F105/100*G105*H105*I105/J105,2)</f>
        <v>2834.45</v>
      </c>
      <c r="L105" s="12" t="n">
        <v>2834.45</v>
      </c>
      <c r="M105" s="12" t="n">
        <f aca="false">L105-K105</f>
        <v>0</v>
      </c>
      <c r="N105" s="3" t="s">
        <v>51</v>
      </c>
      <c r="O105" s="3" t="s">
        <v>52</v>
      </c>
    </row>
    <row r="106" customFormat="false" ht="15" hidden="false" customHeight="false" outlineLevel="0" collapsed="false">
      <c r="A106" s="14" t="s">
        <v>4168</v>
      </c>
      <c r="B106" s="14" t="s">
        <v>4229</v>
      </c>
      <c r="C106" s="14" t="s">
        <v>892</v>
      </c>
      <c r="D106" s="14" t="s">
        <v>4230</v>
      </c>
      <c r="E106" s="14" t="s">
        <v>133</v>
      </c>
      <c r="F106" s="15" t="n">
        <v>1130000</v>
      </c>
      <c r="G106" s="16" t="n">
        <v>0.34</v>
      </c>
      <c r="H106" s="16" t="n">
        <v>1.08</v>
      </c>
      <c r="I106" s="16" t="n">
        <v>0.7648</v>
      </c>
      <c r="J106" s="16" t="n">
        <v>0.53</v>
      </c>
      <c r="K106" s="15" t="n">
        <f aca="false">ROUND(F106/100*G106*H106*I106/J106,2)</f>
        <v>5987.6</v>
      </c>
      <c r="L106" s="15" t="n">
        <v>5987.6</v>
      </c>
      <c r="M106" s="15" t="n">
        <f aca="false">L106-K106</f>
        <v>0</v>
      </c>
      <c r="N106" s="14" t="s">
        <v>51</v>
      </c>
      <c r="O106" s="14" t="s">
        <v>52</v>
      </c>
    </row>
    <row r="107" customFormat="false" ht="15" hidden="false" customHeight="false" outlineLevel="0" collapsed="false">
      <c r="A107" s="3" t="s">
        <v>4105</v>
      </c>
      <c r="B107" s="3" t="s">
        <v>4231</v>
      </c>
      <c r="C107" s="3" t="s">
        <v>64</v>
      </c>
      <c r="D107" s="3" t="s">
        <v>2081</v>
      </c>
      <c r="E107" s="3" t="s">
        <v>56</v>
      </c>
      <c r="F107" s="12" t="n">
        <v>635000</v>
      </c>
      <c r="G107" s="13" t="n">
        <v>0.65</v>
      </c>
      <c r="H107" s="13" t="n">
        <v>1.17</v>
      </c>
      <c r="I107" s="13" t="n">
        <v>0.7648</v>
      </c>
      <c r="J107" s="13" t="n">
        <v>0.53</v>
      </c>
      <c r="K107" s="12" t="n">
        <f aca="false">ROUND(F107/100*G107*H107*I107/J107,2)</f>
        <v>6968.59</v>
      </c>
      <c r="L107" s="12" t="n">
        <v>6968.59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4115</v>
      </c>
      <c r="B108" s="14" t="s">
        <v>4232</v>
      </c>
      <c r="C108" s="14" t="s">
        <v>210</v>
      </c>
      <c r="D108" s="14" t="s">
        <v>2840</v>
      </c>
      <c r="E108" s="14" t="s">
        <v>56</v>
      </c>
      <c r="F108" s="15" t="n">
        <v>410000</v>
      </c>
      <c r="G108" s="16" t="n">
        <v>0.75</v>
      </c>
      <c r="H108" s="16" t="n">
        <v>1.21</v>
      </c>
      <c r="I108" s="16" t="n">
        <v>0.7648</v>
      </c>
      <c r="J108" s="16" t="n">
        <v>0.53</v>
      </c>
      <c r="K108" s="15" t="n">
        <f aca="false">ROUND(F108/100*G108*H108*I108/J108,2)</f>
        <v>5369.11</v>
      </c>
      <c r="L108" s="15" t="n">
        <v>5369.11</v>
      </c>
      <c r="M108" s="15" t="n">
        <f aca="false">L108-K108</f>
        <v>0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4115</v>
      </c>
      <c r="B109" s="3" t="s">
        <v>4233</v>
      </c>
      <c r="C109" s="3" t="s">
        <v>114</v>
      </c>
      <c r="D109" s="3" t="s">
        <v>2199</v>
      </c>
      <c r="E109" s="3" t="s">
        <v>56</v>
      </c>
      <c r="F109" s="12" t="n">
        <v>275000</v>
      </c>
      <c r="G109" s="13" t="n">
        <v>0.75</v>
      </c>
      <c r="H109" s="13" t="n">
        <v>1.36</v>
      </c>
      <c r="I109" s="13" t="n">
        <v>0.7648</v>
      </c>
      <c r="J109" s="13" t="n">
        <v>0.53</v>
      </c>
      <c r="K109" s="12" t="n">
        <f aca="false">ROUND(F109/100*G109*H109*I109/J109,2)</f>
        <v>4047.67</v>
      </c>
      <c r="L109" s="12" t="n">
        <v>4047.67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4129</v>
      </c>
      <c r="B110" s="14" t="s">
        <v>4234</v>
      </c>
      <c r="C110" s="14" t="s">
        <v>159</v>
      </c>
      <c r="D110" s="14" t="s">
        <v>2686</v>
      </c>
      <c r="E110" s="14" t="s">
        <v>74</v>
      </c>
      <c r="F110" s="15" t="n">
        <v>660000</v>
      </c>
      <c r="G110" s="16" t="n">
        <v>0.43</v>
      </c>
      <c r="H110" s="16" t="n">
        <v>1.15</v>
      </c>
      <c r="I110" s="16" t="n">
        <v>0.7648</v>
      </c>
      <c r="J110" s="16" t="n">
        <v>0.53</v>
      </c>
      <c r="K110" s="15" t="n">
        <f aca="false">ROUND(F110/100*G110*H110*I110/J110,2)</f>
        <v>4709.58</v>
      </c>
      <c r="L110" s="15" t="n">
        <v>4709.58</v>
      </c>
      <c r="M110" s="15" t="n">
        <f aca="false">L110-K110</f>
        <v>0</v>
      </c>
      <c r="N110" s="14" t="s">
        <v>61</v>
      </c>
      <c r="O110" s="14" t="s">
        <v>62</v>
      </c>
    </row>
    <row r="111" customFormat="false" ht="15" hidden="false" customHeight="false" outlineLevel="0" collapsed="false">
      <c r="A111" s="3" t="s">
        <v>4079</v>
      </c>
      <c r="B111" s="3" t="s">
        <v>4235</v>
      </c>
      <c r="C111" s="3" t="s">
        <v>230</v>
      </c>
      <c r="D111" s="3" t="s">
        <v>511</v>
      </c>
      <c r="E111" s="3" t="s">
        <v>56</v>
      </c>
      <c r="F111" s="12" t="n">
        <v>490000</v>
      </c>
      <c r="G111" s="13" t="n">
        <v>0.75</v>
      </c>
      <c r="H111" s="13" t="n">
        <v>1.09</v>
      </c>
      <c r="I111" s="13" t="n">
        <v>0.7648</v>
      </c>
      <c r="J111" s="13" t="n">
        <v>0.53</v>
      </c>
      <c r="K111" s="12" t="n">
        <f aca="false">ROUND(F111/100*G111*H111*I111/J111,2)</f>
        <v>5780.37</v>
      </c>
      <c r="L111" s="12" t="n">
        <v>5780.37</v>
      </c>
      <c r="M111" s="12" t="n">
        <f aca="false">L111-K111</f>
        <v>0</v>
      </c>
      <c r="N111" s="3" t="s">
        <v>51</v>
      </c>
      <c r="O111" s="3" t="s">
        <v>52</v>
      </c>
    </row>
    <row r="112" customFormat="false" ht="15" hidden="false" customHeight="false" outlineLevel="0" collapsed="false">
      <c r="A112" s="14" t="s">
        <v>4115</v>
      </c>
      <c r="B112" s="14" t="s">
        <v>4236</v>
      </c>
      <c r="C112" s="14" t="s">
        <v>887</v>
      </c>
      <c r="D112" s="14" t="s">
        <v>814</v>
      </c>
      <c r="E112" s="14" t="s">
        <v>56</v>
      </c>
      <c r="F112" s="15" t="n">
        <v>1030000</v>
      </c>
      <c r="G112" s="16" t="n">
        <v>0.55</v>
      </c>
      <c r="H112" s="16" t="n">
        <v>1.37</v>
      </c>
      <c r="I112" s="16" t="n">
        <v>0.7648</v>
      </c>
      <c r="J112" s="16" t="n">
        <v>0.53</v>
      </c>
      <c r="K112" s="15" t="n">
        <f aca="false">ROUND(F112/100*G112*H112*I112/J112,2)</f>
        <v>11199.34</v>
      </c>
      <c r="L112" s="15" t="n">
        <v>11199.34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4134</v>
      </c>
      <c r="B113" s="3" t="s">
        <v>4237</v>
      </c>
      <c r="C113" s="3" t="s">
        <v>220</v>
      </c>
      <c r="D113" s="3" t="s">
        <v>143</v>
      </c>
      <c r="E113" s="3" t="s">
        <v>56</v>
      </c>
      <c r="F113" s="12" t="n">
        <v>920000</v>
      </c>
      <c r="G113" s="13" t="n">
        <v>0.65</v>
      </c>
      <c r="H113" s="13" t="n">
        <v>1.01</v>
      </c>
      <c r="I113" s="13" t="n">
        <v>0.7648</v>
      </c>
      <c r="J113" s="13" t="n">
        <v>0.53</v>
      </c>
      <c r="K113" s="12" t="n">
        <f aca="false">ROUND(F113/100*G113*H113*I113/J113,2)</f>
        <v>8715.55</v>
      </c>
      <c r="L113" s="12" t="n">
        <v>8715.55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4115</v>
      </c>
      <c r="B114" s="14" t="s">
        <v>4238</v>
      </c>
      <c r="C114" s="14" t="s">
        <v>217</v>
      </c>
      <c r="D114" s="14" t="s">
        <v>4239</v>
      </c>
      <c r="E114" s="14" t="s">
        <v>74</v>
      </c>
      <c r="F114" s="15" t="n">
        <v>580000</v>
      </c>
      <c r="G114" s="16" t="n">
        <v>0.43</v>
      </c>
      <c r="H114" s="16" t="n">
        <v>1.3</v>
      </c>
      <c r="I114" s="16" t="n">
        <v>0.7648</v>
      </c>
      <c r="J114" s="16" t="n">
        <v>0.53</v>
      </c>
      <c r="K114" s="15" t="n">
        <f aca="false">ROUND(F114/100*G114*H114*I114/J114,2)</f>
        <v>4678.56</v>
      </c>
      <c r="L114" s="15" t="n">
        <v>4678.56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4136</v>
      </c>
      <c r="B115" s="3" t="s">
        <v>4240</v>
      </c>
      <c r="C115" s="3" t="s">
        <v>89</v>
      </c>
      <c r="D115" s="3" t="s">
        <v>494</v>
      </c>
      <c r="E115" s="3" t="s">
        <v>56</v>
      </c>
      <c r="F115" s="12" t="n">
        <v>505000</v>
      </c>
      <c r="G115" s="13" t="n">
        <v>0.65</v>
      </c>
      <c r="H115" s="13" t="n">
        <v>1.35</v>
      </c>
      <c r="I115" s="13" t="n">
        <v>0.7648</v>
      </c>
      <c r="J115" s="13" t="n">
        <v>0.53</v>
      </c>
      <c r="K115" s="12" t="n">
        <f aca="false">ROUND(F115/100*G115*H115*I115/J115,2)</f>
        <v>6394.56</v>
      </c>
      <c r="L115" s="12" t="n">
        <v>6394.55</v>
      </c>
      <c r="M115" s="12" t="n">
        <f aca="false">L115-K115</f>
        <v>-0.0100000000002183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4118</v>
      </c>
      <c r="B116" s="14" t="s">
        <v>4241</v>
      </c>
      <c r="C116" s="14" t="s">
        <v>174</v>
      </c>
      <c r="D116" s="14" t="s">
        <v>4242</v>
      </c>
      <c r="E116" s="14" t="s">
        <v>50</v>
      </c>
      <c r="F116" s="15" t="n">
        <v>430000</v>
      </c>
      <c r="G116" s="16" t="n">
        <v>1.15</v>
      </c>
      <c r="H116" s="16" t="n">
        <v>1.55</v>
      </c>
      <c r="I116" s="16" t="n">
        <v>0.7648</v>
      </c>
      <c r="J116" s="16" t="n">
        <v>0.53</v>
      </c>
      <c r="K116" s="15" t="n">
        <f aca="false">ROUND(F116/100*G116*H116*I116/J116,2)</f>
        <v>11060.38</v>
      </c>
      <c r="L116" s="15" t="n">
        <v>11060.38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4105</v>
      </c>
      <c r="B117" s="3" t="s">
        <v>4243</v>
      </c>
      <c r="C117" s="3" t="s">
        <v>85</v>
      </c>
      <c r="D117" s="3" t="s">
        <v>1081</v>
      </c>
      <c r="E117" s="3" t="s">
        <v>50</v>
      </c>
      <c r="F117" s="12" t="n">
        <v>1950000</v>
      </c>
      <c r="G117" s="13" t="n">
        <v>0.8</v>
      </c>
      <c r="H117" s="13" t="n">
        <v>1.28</v>
      </c>
      <c r="I117" s="13" t="n">
        <v>0.7648</v>
      </c>
      <c r="J117" s="13" t="n">
        <v>0.53</v>
      </c>
      <c r="K117" s="12" t="n">
        <f aca="false">ROUND(F117/100*G117*H117*I117/J117,2)</f>
        <v>28814.2</v>
      </c>
      <c r="L117" s="12" t="n">
        <v>28814.2</v>
      </c>
      <c r="M117" s="12" t="n">
        <f aca="false">L117-K117</f>
        <v>0</v>
      </c>
      <c r="N117" s="3" t="s">
        <v>70</v>
      </c>
      <c r="O117" s="3" t="s">
        <v>52</v>
      </c>
    </row>
    <row r="118" customFormat="false" ht="15" hidden="false" customHeight="false" outlineLevel="0" collapsed="false">
      <c r="A118" s="14" t="s">
        <v>4131</v>
      </c>
      <c r="B118" s="14" t="s">
        <v>4244</v>
      </c>
      <c r="C118" s="14" t="s">
        <v>77</v>
      </c>
      <c r="D118" s="14" t="s">
        <v>507</v>
      </c>
      <c r="E118" s="14" t="s">
        <v>50</v>
      </c>
      <c r="F118" s="15" t="n">
        <v>360000</v>
      </c>
      <c r="G118" s="16" t="n">
        <v>1.15</v>
      </c>
      <c r="H118" s="16" t="n">
        <v>1.42</v>
      </c>
      <c r="I118" s="16" t="n">
        <v>0.7648</v>
      </c>
      <c r="J118" s="16" t="n">
        <v>0.53</v>
      </c>
      <c r="K118" s="15" t="n">
        <f aca="false">ROUND(F118/100*G118*H118*I118/J118,2)</f>
        <v>8483.22</v>
      </c>
      <c r="L118" s="15" t="n">
        <v>8483.22</v>
      </c>
      <c r="M118" s="15" t="n">
        <f aca="false">L118-K118</f>
        <v>0</v>
      </c>
      <c r="N118" s="14" t="s">
        <v>70</v>
      </c>
      <c r="O118" s="14" t="s">
        <v>52</v>
      </c>
    </row>
    <row r="119" customFormat="false" ht="15" hidden="false" customHeight="false" outlineLevel="0" collapsed="false">
      <c r="A119" s="3" t="s">
        <v>4100</v>
      </c>
      <c r="B119" s="3" t="s">
        <v>4245</v>
      </c>
      <c r="C119" s="3" t="s">
        <v>108</v>
      </c>
      <c r="D119" s="3" t="s">
        <v>4162</v>
      </c>
      <c r="E119" s="3" t="s">
        <v>56</v>
      </c>
      <c r="F119" s="12" t="n">
        <v>500000</v>
      </c>
      <c r="G119" s="13" t="n">
        <v>0.65</v>
      </c>
      <c r="H119" s="13" t="n">
        <v>0.93</v>
      </c>
      <c r="I119" s="13" t="n">
        <v>0.7648</v>
      </c>
      <c r="J119" s="13" t="n">
        <v>0.53</v>
      </c>
      <c r="K119" s="12" t="n">
        <f aca="false">ROUND(F119/100*G119*H119*I119/J119,2)</f>
        <v>4361.52</v>
      </c>
      <c r="L119" s="12" t="n">
        <v>4361.52</v>
      </c>
      <c r="M119" s="12" t="n">
        <f aca="false">L119-K119</f>
        <v>0</v>
      </c>
      <c r="N119" s="3" t="s">
        <v>61</v>
      </c>
      <c r="O119" s="3" t="s">
        <v>62</v>
      </c>
    </row>
    <row r="120" customFormat="false" ht="15" hidden="false" customHeight="false" outlineLevel="0" collapsed="false">
      <c r="A120" s="14" t="s">
        <v>4204</v>
      </c>
      <c r="B120" s="14" t="s">
        <v>4246</v>
      </c>
      <c r="C120" s="14" t="s">
        <v>77</v>
      </c>
      <c r="D120" s="14" t="s">
        <v>398</v>
      </c>
      <c r="E120" s="14" t="s">
        <v>56</v>
      </c>
      <c r="F120" s="15" t="n">
        <v>700000</v>
      </c>
      <c r="G120" s="16" t="n">
        <v>0.65</v>
      </c>
      <c r="H120" s="16" t="n">
        <v>1.42</v>
      </c>
      <c r="I120" s="16" t="n">
        <v>0.7648</v>
      </c>
      <c r="J120" s="16" t="n">
        <v>0.53</v>
      </c>
      <c r="K120" s="15" t="n">
        <f aca="false">ROUND(F120/100*G120*H120*I120/J120,2)</f>
        <v>9323.34</v>
      </c>
      <c r="L120" s="15" t="n">
        <v>9323.35</v>
      </c>
      <c r="M120" s="15" t="n">
        <f aca="false">L120-K120</f>
        <v>0.0100000000002183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4088</v>
      </c>
      <c r="B121" s="3" t="s">
        <v>4247</v>
      </c>
      <c r="C121" s="3" t="s">
        <v>159</v>
      </c>
      <c r="D121" s="3" t="s">
        <v>2725</v>
      </c>
      <c r="E121" s="3" t="s">
        <v>50</v>
      </c>
      <c r="F121" s="12" t="n">
        <v>960000</v>
      </c>
      <c r="G121" s="13" t="n">
        <v>0.95</v>
      </c>
      <c r="H121" s="13" t="n">
        <v>1.15</v>
      </c>
      <c r="I121" s="13" t="n">
        <v>0.7648</v>
      </c>
      <c r="J121" s="13" t="n">
        <v>0.53</v>
      </c>
      <c r="K121" s="12" t="n">
        <f aca="false">ROUND(F121/100*G121*H121*I121/J121,2)</f>
        <v>15134.38</v>
      </c>
      <c r="L121" s="12" t="n">
        <v>15134.38</v>
      </c>
      <c r="M121" s="12" t="n">
        <f aca="false">L121-K121</f>
        <v>0</v>
      </c>
      <c r="N121" s="3" t="s">
        <v>51</v>
      </c>
      <c r="O121" s="3" t="s">
        <v>52</v>
      </c>
    </row>
    <row r="122" customFormat="false" ht="15" hidden="false" customHeight="false" outlineLevel="0" collapsed="false">
      <c r="A122" s="14" t="s">
        <v>4148</v>
      </c>
      <c r="B122" s="14" t="s">
        <v>4248</v>
      </c>
      <c r="C122" s="14" t="s">
        <v>117</v>
      </c>
      <c r="D122" s="14" t="s">
        <v>1912</v>
      </c>
      <c r="E122" s="14" t="s">
        <v>50</v>
      </c>
      <c r="F122" s="15" t="n">
        <v>260000</v>
      </c>
      <c r="G122" s="16" t="n">
        <v>1.15</v>
      </c>
      <c r="H122" s="16" t="n">
        <v>0.91</v>
      </c>
      <c r="I122" s="16" t="n">
        <v>0.7648</v>
      </c>
      <c r="J122" s="16" t="n">
        <v>0.53</v>
      </c>
      <c r="K122" s="15" t="n">
        <f aca="false">ROUND(F122/100*G122*H122*I122/J122,2)</f>
        <v>3926.31</v>
      </c>
      <c r="L122" s="15" t="n">
        <v>3926.31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4108</v>
      </c>
      <c r="B123" s="3" t="s">
        <v>4249</v>
      </c>
      <c r="C123" s="3" t="s">
        <v>892</v>
      </c>
      <c r="D123" s="3" t="s">
        <v>1332</v>
      </c>
      <c r="E123" s="3" t="s">
        <v>50</v>
      </c>
      <c r="F123" s="12" t="n">
        <v>435000</v>
      </c>
      <c r="G123" s="13" t="n">
        <v>1.15</v>
      </c>
      <c r="H123" s="13" t="n">
        <v>1.08</v>
      </c>
      <c r="I123" s="13" t="n">
        <v>0.7648</v>
      </c>
      <c r="J123" s="13" t="n">
        <v>0.53</v>
      </c>
      <c r="K123" s="12" t="n">
        <f aca="false">ROUND(F123/100*G123*H123*I123/J123,2)</f>
        <v>7796.2</v>
      </c>
      <c r="L123" s="12" t="n">
        <v>7796.2</v>
      </c>
      <c r="M123" s="12" t="n">
        <f aca="false">L123-K123</f>
        <v>0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4095</v>
      </c>
      <c r="B124" s="14" t="s">
        <v>4250</v>
      </c>
      <c r="C124" s="14" t="s">
        <v>68</v>
      </c>
      <c r="D124" s="14" t="s">
        <v>2012</v>
      </c>
      <c r="E124" s="14" t="s">
        <v>56</v>
      </c>
      <c r="F124" s="15" t="n">
        <v>485000</v>
      </c>
      <c r="G124" s="16" t="n">
        <v>0.75</v>
      </c>
      <c r="H124" s="16" t="n">
        <v>1.38</v>
      </c>
      <c r="I124" s="16" t="n">
        <v>0.7648</v>
      </c>
      <c r="J124" s="16" t="n">
        <v>0.53</v>
      </c>
      <c r="K124" s="15" t="n">
        <f aca="false">ROUND(F124/100*G124*H124*I124/J124,2)</f>
        <v>7243.59</v>
      </c>
      <c r="L124" s="15" t="n">
        <v>7243.6</v>
      </c>
      <c r="M124" s="15" t="n">
        <f aca="false">L124-K124</f>
        <v>0.0100000000002183</v>
      </c>
      <c r="N124" s="14" t="s">
        <v>61</v>
      </c>
      <c r="O124" s="14" t="s">
        <v>62</v>
      </c>
    </row>
    <row r="125" customFormat="false" ht="15" hidden="false" customHeight="false" outlineLevel="0" collapsed="false">
      <c r="A125" s="3" t="s">
        <v>4138</v>
      </c>
      <c r="B125" s="3" t="s">
        <v>4251</v>
      </c>
      <c r="C125" s="3" t="s">
        <v>184</v>
      </c>
      <c r="D125" s="3" t="s">
        <v>1682</v>
      </c>
      <c r="E125" s="3" t="s">
        <v>50</v>
      </c>
      <c r="F125" s="12" t="n">
        <v>585000</v>
      </c>
      <c r="G125" s="13" t="n">
        <v>0.95</v>
      </c>
      <c r="H125" s="13" t="n">
        <v>1.02</v>
      </c>
      <c r="I125" s="13" t="n">
        <v>0.7648</v>
      </c>
      <c r="J125" s="13" t="n">
        <v>0.53</v>
      </c>
      <c r="K125" s="12" t="n">
        <f aca="false">ROUND(F125/100*G125*H125*I125/J125,2)</f>
        <v>8179.97</v>
      </c>
      <c r="L125" s="12" t="n">
        <v>8179.97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4131</v>
      </c>
      <c r="B126" s="14" t="s">
        <v>4252</v>
      </c>
      <c r="C126" s="14" t="s">
        <v>196</v>
      </c>
      <c r="D126" s="14" t="s">
        <v>1292</v>
      </c>
      <c r="E126" s="14" t="s">
        <v>56</v>
      </c>
      <c r="F126" s="15" t="n">
        <v>570000</v>
      </c>
      <c r="G126" s="16" t="n">
        <v>0.65</v>
      </c>
      <c r="H126" s="16" t="n">
        <v>1.04</v>
      </c>
      <c r="I126" s="16" t="n">
        <v>0.7648</v>
      </c>
      <c r="J126" s="16" t="n">
        <v>0.53</v>
      </c>
      <c r="K126" s="15" t="n">
        <f aca="false">ROUND(F126/100*G126*H126*I126/J126,2)</f>
        <v>5560.24</v>
      </c>
      <c r="L126" s="15" t="n">
        <v>5560.24</v>
      </c>
      <c r="M126" s="15" t="n">
        <f aca="false">L126-K126</f>
        <v>0</v>
      </c>
      <c r="N126" s="14" t="s">
        <v>70</v>
      </c>
      <c r="O126" s="14" t="s">
        <v>52</v>
      </c>
    </row>
    <row r="127" customFormat="false" ht="15" hidden="false" customHeight="false" outlineLevel="0" collapsed="false">
      <c r="A127" s="3" t="s">
        <v>4112</v>
      </c>
      <c r="B127" s="3" t="s">
        <v>4253</v>
      </c>
      <c r="C127" s="3" t="s">
        <v>243</v>
      </c>
      <c r="D127" s="3" t="s">
        <v>2708</v>
      </c>
      <c r="E127" s="3" t="s">
        <v>56</v>
      </c>
      <c r="F127" s="12" t="n">
        <v>525000</v>
      </c>
      <c r="G127" s="13" t="n">
        <v>0.65</v>
      </c>
      <c r="H127" s="13" t="n">
        <v>1.14</v>
      </c>
      <c r="I127" s="13" t="n">
        <v>0.7648</v>
      </c>
      <c r="J127" s="13" t="n">
        <v>0.53</v>
      </c>
      <c r="K127" s="12" t="n">
        <f aca="false">ROUND(F127/100*G127*H127*I127/J127,2)</f>
        <v>5613.7</v>
      </c>
      <c r="L127" s="12" t="n">
        <v>5613.7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4115</v>
      </c>
      <c r="B128" s="14" t="s">
        <v>4254</v>
      </c>
      <c r="C128" s="14" t="s">
        <v>48</v>
      </c>
      <c r="D128" s="14" t="s">
        <v>1831</v>
      </c>
      <c r="E128" s="14" t="s">
        <v>56</v>
      </c>
      <c r="F128" s="15" t="n">
        <v>410000</v>
      </c>
      <c r="G128" s="16" t="n">
        <v>0.75</v>
      </c>
      <c r="H128" s="16" t="n">
        <v>1.28</v>
      </c>
      <c r="I128" s="16" t="n">
        <v>0.7648</v>
      </c>
      <c r="J128" s="16" t="n">
        <v>0.53</v>
      </c>
      <c r="K128" s="15" t="n">
        <f aca="false">ROUND(F128/100*G128*H128*I128/J128,2)</f>
        <v>5679.72</v>
      </c>
      <c r="L128" s="15" t="n">
        <v>5679.73</v>
      </c>
      <c r="M128" s="15" t="n">
        <f aca="false">L128-K128</f>
        <v>0.00999999999930878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4151</v>
      </c>
      <c r="B129" s="3" t="s">
        <v>4255</v>
      </c>
      <c r="C129" s="3" t="s">
        <v>89</v>
      </c>
      <c r="D129" s="3" t="s">
        <v>812</v>
      </c>
      <c r="E129" s="3" t="s">
        <v>50</v>
      </c>
      <c r="F129" s="12" t="n">
        <v>450000</v>
      </c>
      <c r="G129" s="13" t="n">
        <v>1.15</v>
      </c>
      <c r="H129" s="13" t="n">
        <v>1.35</v>
      </c>
      <c r="I129" s="13" t="n">
        <v>0.7648</v>
      </c>
      <c r="J129" s="13" t="n">
        <v>0.53</v>
      </c>
      <c r="K129" s="12" t="n">
        <f aca="false">ROUND(F129/100*G129*H129*I129/J129,2)</f>
        <v>10081.29</v>
      </c>
      <c r="L129" s="12" t="n">
        <v>10081.29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4088</v>
      </c>
      <c r="B130" s="14" t="s">
        <v>4256</v>
      </c>
      <c r="C130" s="14" t="s">
        <v>159</v>
      </c>
      <c r="D130" s="14" t="s">
        <v>1045</v>
      </c>
      <c r="E130" s="14" t="s">
        <v>50</v>
      </c>
      <c r="F130" s="15" t="n">
        <v>1950000</v>
      </c>
      <c r="G130" s="16" t="n">
        <v>0.8</v>
      </c>
      <c r="H130" s="16" t="n">
        <v>1.15</v>
      </c>
      <c r="I130" s="16" t="n">
        <v>0.7648</v>
      </c>
      <c r="J130" s="16" t="n">
        <v>0.53</v>
      </c>
      <c r="K130" s="15" t="n">
        <f aca="false">ROUND(F130/100*G130*H130*I130/J130,2)</f>
        <v>25887.76</v>
      </c>
      <c r="L130" s="15" t="n">
        <v>25887.76</v>
      </c>
      <c r="M130" s="15" t="n">
        <f aca="false">L130-K130</f>
        <v>0</v>
      </c>
      <c r="N130" s="14" t="s">
        <v>51</v>
      </c>
      <c r="O130" s="14" t="s">
        <v>52</v>
      </c>
    </row>
    <row r="131" customFormat="false" ht="15" hidden="false" customHeight="false" outlineLevel="0" collapsed="false">
      <c r="A131" s="3" t="s">
        <v>4151</v>
      </c>
      <c r="B131" s="3" t="s">
        <v>4257</v>
      </c>
      <c r="C131" s="3" t="s">
        <v>114</v>
      </c>
      <c r="D131" s="3" t="s">
        <v>55</v>
      </c>
      <c r="E131" s="3" t="s">
        <v>56</v>
      </c>
      <c r="F131" s="12" t="n">
        <v>1175000</v>
      </c>
      <c r="G131" s="13" t="n">
        <v>0.55</v>
      </c>
      <c r="H131" s="13" t="n">
        <v>1.36</v>
      </c>
      <c r="I131" s="13" t="n">
        <v>0.7648</v>
      </c>
      <c r="J131" s="13" t="n">
        <v>0.53</v>
      </c>
      <c r="K131" s="12" t="n">
        <f aca="false">ROUND(F131/100*G131*H131*I131/J131,2)</f>
        <v>12682.69</v>
      </c>
      <c r="L131" s="12" t="n">
        <v>12682.69</v>
      </c>
      <c r="M131" s="12" t="n">
        <f aca="false">L131-K131</f>
        <v>0</v>
      </c>
      <c r="N131" s="3" t="s">
        <v>61</v>
      </c>
      <c r="O131" s="3" t="s">
        <v>62</v>
      </c>
    </row>
    <row r="132" customFormat="false" ht="15" hidden="false" customHeight="false" outlineLevel="0" collapsed="false">
      <c r="A132" s="14" t="s">
        <v>4093</v>
      </c>
      <c r="B132" s="14" t="s">
        <v>4258</v>
      </c>
      <c r="C132" s="14" t="s">
        <v>169</v>
      </c>
      <c r="D132" s="14" t="s">
        <v>2577</v>
      </c>
      <c r="E132" s="14" t="s">
        <v>74</v>
      </c>
      <c r="F132" s="15" t="n">
        <v>1120000</v>
      </c>
      <c r="G132" s="16" t="n">
        <v>0.38</v>
      </c>
      <c r="H132" s="16" t="n">
        <v>1.07</v>
      </c>
      <c r="I132" s="16" t="n">
        <v>0.7648</v>
      </c>
      <c r="J132" s="16" t="n">
        <v>0.53</v>
      </c>
      <c r="K132" s="15" t="n">
        <f aca="false">ROUND(F132/100*G132*H132*I132/J132,2)</f>
        <v>6571.39</v>
      </c>
      <c r="L132" s="15" t="n">
        <v>6571.39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4151</v>
      </c>
      <c r="B133" s="3" t="s">
        <v>4259</v>
      </c>
      <c r="C133" s="3" t="s">
        <v>81</v>
      </c>
      <c r="D133" s="3" t="s">
        <v>2308</v>
      </c>
      <c r="E133" s="3" t="s">
        <v>74</v>
      </c>
      <c r="F133" s="12" t="n">
        <v>240000</v>
      </c>
      <c r="G133" s="13" t="n">
        <v>0.57</v>
      </c>
      <c r="H133" s="13" t="n">
        <v>1.27</v>
      </c>
      <c r="I133" s="13" t="n">
        <v>0.7648</v>
      </c>
      <c r="J133" s="13" t="n">
        <v>0.53</v>
      </c>
      <c r="K133" s="12" t="n">
        <f aca="false">ROUND(F133/100*G133*H133*I133/J133,2)</f>
        <v>2507.04</v>
      </c>
      <c r="L133" s="12" t="n">
        <v>2507.04</v>
      </c>
      <c r="M133" s="12" t="n">
        <f aca="false">L133-K133</f>
        <v>0</v>
      </c>
      <c r="N133" s="3" t="s">
        <v>51</v>
      </c>
      <c r="O133" s="3" t="s">
        <v>52</v>
      </c>
    </row>
    <row r="134" customFormat="false" ht="15" hidden="false" customHeight="false" outlineLevel="0" collapsed="false">
      <c r="A134" s="14" t="s">
        <v>4108</v>
      </c>
      <c r="B134" s="14" t="s">
        <v>4260</v>
      </c>
      <c r="C134" s="14" t="s">
        <v>305</v>
      </c>
      <c r="D134" s="14" t="s">
        <v>165</v>
      </c>
      <c r="E134" s="14" t="s">
        <v>56</v>
      </c>
      <c r="F134" s="15" t="n">
        <v>1200000</v>
      </c>
      <c r="G134" s="16" t="n">
        <v>0.55</v>
      </c>
      <c r="H134" s="16" t="n">
        <v>1.12</v>
      </c>
      <c r="I134" s="16" t="n">
        <v>0.7648</v>
      </c>
      <c r="J134" s="16" t="n">
        <v>0.53</v>
      </c>
      <c r="K134" s="15" t="n">
        <f aca="false">ROUND(F134/100*G134*H134*I134/J134,2)</f>
        <v>10666.8</v>
      </c>
      <c r="L134" s="15" t="n">
        <v>10666.8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4138</v>
      </c>
      <c r="B135" s="3" t="s">
        <v>4261</v>
      </c>
      <c r="C135" s="3" t="s">
        <v>417</v>
      </c>
      <c r="D135" s="3" t="s">
        <v>1276</v>
      </c>
      <c r="E135" s="3" t="s">
        <v>56</v>
      </c>
      <c r="F135" s="12" t="n">
        <v>510000</v>
      </c>
      <c r="G135" s="13" t="n">
        <v>0.65</v>
      </c>
      <c r="H135" s="13" t="n">
        <v>1.24</v>
      </c>
      <c r="I135" s="13" t="n">
        <v>0.7648</v>
      </c>
      <c r="J135" s="13" t="n">
        <v>0.53</v>
      </c>
      <c r="K135" s="12" t="n">
        <f aca="false">ROUND(F135/100*G135*H135*I135/J135,2)</f>
        <v>5931.67</v>
      </c>
      <c r="L135" s="12" t="n">
        <v>5931.67</v>
      </c>
      <c r="M135" s="12" t="n">
        <f aca="false">L135-K135</f>
        <v>0</v>
      </c>
      <c r="N135" s="3" t="s">
        <v>61</v>
      </c>
      <c r="O135" s="3" t="s">
        <v>62</v>
      </c>
    </row>
    <row r="136" customFormat="false" ht="15" hidden="false" customHeight="false" outlineLevel="0" collapsed="false">
      <c r="A136" s="14" t="s">
        <v>4168</v>
      </c>
      <c r="B136" s="14" t="s">
        <v>4262</v>
      </c>
      <c r="C136" s="14" t="s">
        <v>266</v>
      </c>
      <c r="D136" s="14" t="s">
        <v>1713</v>
      </c>
      <c r="E136" s="14" t="s">
        <v>133</v>
      </c>
      <c r="F136" s="15" t="n">
        <v>660000</v>
      </c>
      <c r="G136" s="16" t="n">
        <v>0.38</v>
      </c>
      <c r="H136" s="16" t="n">
        <v>1.1</v>
      </c>
      <c r="I136" s="16" t="n">
        <v>0.7648</v>
      </c>
      <c r="J136" s="16" t="n">
        <v>0.53</v>
      </c>
      <c r="K136" s="15" t="n">
        <f aca="false">ROUND(F136/100*G136*H136*I136/J136,2)</f>
        <v>3981</v>
      </c>
      <c r="L136" s="15" t="n">
        <v>3981</v>
      </c>
      <c r="M136" s="15" t="n">
        <f aca="false">L136-K136</f>
        <v>0</v>
      </c>
      <c r="N136" s="14" t="s">
        <v>61</v>
      </c>
      <c r="O136" s="14" t="s">
        <v>62</v>
      </c>
    </row>
    <row r="137" customFormat="false" ht="15" hidden="false" customHeight="false" outlineLevel="0" collapsed="false">
      <c r="A137" s="3" t="s">
        <v>4129</v>
      </c>
      <c r="B137" s="3" t="s">
        <v>4263</v>
      </c>
      <c r="C137" s="3" t="s">
        <v>462</v>
      </c>
      <c r="D137" s="3" t="s">
        <v>902</v>
      </c>
      <c r="E137" s="3" t="s">
        <v>50</v>
      </c>
      <c r="F137" s="12" t="n">
        <v>1950000</v>
      </c>
      <c r="G137" s="13" t="n">
        <v>0.8</v>
      </c>
      <c r="H137" s="13" t="n">
        <v>1.34</v>
      </c>
      <c r="I137" s="13" t="n">
        <v>0.7648</v>
      </c>
      <c r="J137" s="13" t="n">
        <v>0.53</v>
      </c>
      <c r="K137" s="12" t="n">
        <f aca="false">ROUND(F137/100*G137*H137*I137/J137,2)</f>
        <v>30164.87</v>
      </c>
      <c r="L137" s="12" t="n">
        <v>30164.87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4115</v>
      </c>
      <c r="B138" s="14" t="s">
        <v>4264</v>
      </c>
      <c r="C138" s="14" t="s">
        <v>48</v>
      </c>
      <c r="D138" s="14" t="s">
        <v>3877</v>
      </c>
      <c r="E138" s="14" t="s">
        <v>74</v>
      </c>
      <c r="F138" s="15" t="n">
        <v>160000</v>
      </c>
      <c r="G138" s="16" t="n">
        <v>0.57</v>
      </c>
      <c r="H138" s="16" t="n">
        <v>1.28</v>
      </c>
      <c r="I138" s="16" t="n">
        <v>0.7648</v>
      </c>
      <c r="J138" s="16" t="n">
        <v>0.53</v>
      </c>
      <c r="K138" s="15" t="n">
        <f aca="false">ROUND(F138/100*G138*H138*I138/J138,2)</f>
        <v>1684.52</v>
      </c>
      <c r="L138" s="15" t="n">
        <v>1684.53</v>
      </c>
      <c r="M138" s="15" t="n">
        <f aca="false">L138-K138</f>
        <v>0.00999999999999091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4188</v>
      </c>
      <c r="B139" s="3" t="s">
        <v>4265</v>
      </c>
      <c r="C139" s="3" t="s">
        <v>48</v>
      </c>
      <c r="D139" s="3" t="s">
        <v>1565</v>
      </c>
      <c r="E139" s="3" t="s">
        <v>50</v>
      </c>
      <c r="F139" s="12" t="n">
        <v>1950000</v>
      </c>
      <c r="G139" s="13" t="n">
        <v>0.8</v>
      </c>
      <c r="H139" s="13" t="n">
        <v>1.28</v>
      </c>
      <c r="I139" s="13" t="n">
        <v>0.7648</v>
      </c>
      <c r="J139" s="13" t="n">
        <v>0.53</v>
      </c>
      <c r="K139" s="12" t="n">
        <f aca="false">ROUND(F139/100*G139*H139*I139/J139,2)</f>
        <v>28814.2</v>
      </c>
      <c r="L139" s="12" t="n">
        <v>28814.2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4083</v>
      </c>
      <c r="B140" s="14" t="s">
        <v>4266</v>
      </c>
      <c r="C140" s="14" t="s">
        <v>68</v>
      </c>
      <c r="D140" s="14" t="s">
        <v>842</v>
      </c>
      <c r="E140" s="14" t="s">
        <v>56</v>
      </c>
      <c r="F140" s="15" t="n">
        <v>570000</v>
      </c>
      <c r="G140" s="16" t="n">
        <v>0.65</v>
      </c>
      <c r="H140" s="16" t="n">
        <v>1.38</v>
      </c>
      <c r="I140" s="16" t="n">
        <v>0.7648</v>
      </c>
      <c r="J140" s="16" t="n">
        <v>0.53</v>
      </c>
      <c r="K140" s="15" t="n">
        <f aca="false">ROUND(F140/100*G140*H140*I140/J140,2)</f>
        <v>7378.01</v>
      </c>
      <c r="L140" s="15" t="n">
        <v>7378.01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4145</v>
      </c>
      <c r="B141" s="3" t="s">
        <v>4267</v>
      </c>
      <c r="C141" s="3" t="s">
        <v>300</v>
      </c>
      <c r="D141" s="3" t="s">
        <v>364</v>
      </c>
      <c r="E141" s="3" t="s">
        <v>56</v>
      </c>
      <c r="F141" s="12" t="n">
        <v>360000</v>
      </c>
      <c r="G141" s="13" t="n">
        <v>0.75</v>
      </c>
      <c r="H141" s="13" t="n">
        <v>1.11</v>
      </c>
      <c r="I141" s="13" t="n">
        <v>0.7648</v>
      </c>
      <c r="J141" s="13" t="n">
        <v>0.53</v>
      </c>
      <c r="K141" s="12" t="n">
        <f aca="false">ROUND(F141/100*G141*H141*I141/J141,2)</f>
        <v>4324.73</v>
      </c>
      <c r="L141" s="12" t="n">
        <v>4324.73</v>
      </c>
      <c r="M141" s="12" t="n">
        <f aca="false">L141-K141</f>
        <v>0</v>
      </c>
      <c r="N141" s="3" t="s">
        <v>51</v>
      </c>
      <c r="O141" s="3" t="s">
        <v>52</v>
      </c>
    </row>
    <row r="142" customFormat="false" ht="15" hidden="false" customHeight="false" outlineLevel="0" collapsed="false">
      <c r="A142" s="14" t="s">
        <v>4138</v>
      </c>
      <c r="B142" s="14" t="s">
        <v>4268</v>
      </c>
      <c r="C142" s="14" t="s">
        <v>108</v>
      </c>
      <c r="D142" s="14" t="s">
        <v>1285</v>
      </c>
      <c r="E142" s="14" t="s">
        <v>50</v>
      </c>
      <c r="F142" s="15" t="n">
        <v>1680000</v>
      </c>
      <c r="G142" s="16" t="n">
        <v>0.8</v>
      </c>
      <c r="H142" s="16" t="n">
        <v>0.93</v>
      </c>
      <c r="I142" s="16" t="n">
        <v>0.7648</v>
      </c>
      <c r="J142" s="16" t="n">
        <v>0.53</v>
      </c>
      <c r="K142" s="15" t="n">
        <f aca="false">ROUND(F142/100*G142*H142*I142/J142,2)</f>
        <v>18036.58</v>
      </c>
      <c r="L142" s="15" t="n">
        <v>18036.58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4159</v>
      </c>
      <c r="B143" s="3" t="s">
        <v>4269</v>
      </c>
      <c r="C143" s="3" t="s">
        <v>48</v>
      </c>
      <c r="D143" s="3" t="s">
        <v>3280</v>
      </c>
      <c r="E143" s="3" t="s">
        <v>56</v>
      </c>
      <c r="F143" s="12" t="n">
        <v>365000</v>
      </c>
      <c r="G143" s="13" t="n">
        <v>0.75</v>
      </c>
      <c r="H143" s="13" t="n">
        <v>1.28</v>
      </c>
      <c r="I143" s="13" t="n">
        <v>0.7648</v>
      </c>
      <c r="J143" s="13" t="n">
        <v>0.53</v>
      </c>
      <c r="K143" s="12" t="n">
        <f aca="false">ROUND(F143/100*G143*H143*I143/J143,2)</f>
        <v>5056.34</v>
      </c>
      <c r="L143" s="12" t="n">
        <v>5056.34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4204</v>
      </c>
      <c r="B144" s="14" t="s">
        <v>4270</v>
      </c>
      <c r="C144" s="14" t="s">
        <v>220</v>
      </c>
      <c r="D144" s="14" t="s">
        <v>2411</v>
      </c>
      <c r="E144" s="14" t="s">
        <v>56</v>
      </c>
      <c r="F144" s="15" t="n">
        <v>1305000</v>
      </c>
      <c r="G144" s="16" t="n">
        <v>0.55</v>
      </c>
      <c r="H144" s="16" t="n">
        <v>1.01</v>
      </c>
      <c r="I144" s="16" t="n">
        <v>0.7648</v>
      </c>
      <c r="J144" s="16" t="n">
        <v>0.53</v>
      </c>
      <c r="K144" s="15" t="n">
        <f aca="false">ROUND(F144/100*G144*H144*I144/J144,2)</f>
        <v>10460.84</v>
      </c>
      <c r="L144" s="15" t="n">
        <v>10460.84</v>
      </c>
      <c r="M144" s="15" t="n">
        <f aca="false">L144-K144</f>
        <v>0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4204</v>
      </c>
      <c r="B145" s="3" t="s">
        <v>4271</v>
      </c>
      <c r="C145" s="3" t="s">
        <v>159</v>
      </c>
      <c r="D145" s="3" t="s">
        <v>2368</v>
      </c>
      <c r="E145" s="3" t="s">
        <v>56</v>
      </c>
      <c r="F145" s="12" t="n">
        <v>930000</v>
      </c>
      <c r="G145" s="13" t="n">
        <v>0.65</v>
      </c>
      <c r="H145" s="13" t="n">
        <v>1.15</v>
      </c>
      <c r="I145" s="13" t="n">
        <v>0.7648</v>
      </c>
      <c r="J145" s="13" t="n">
        <v>0.53</v>
      </c>
      <c r="K145" s="12" t="n">
        <f aca="false">ROUND(F145/100*G145*H145*I145/J145,2)</f>
        <v>10031.51</v>
      </c>
      <c r="L145" s="12" t="n">
        <v>10031.51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4134</v>
      </c>
      <c r="B146" s="14" t="s">
        <v>4272</v>
      </c>
      <c r="C146" s="14" t="s">
        <v>77</v>
      </c>
      <c r="D146" s="14" t="s">
        <v>1112</v>
      </c>
      <c r="E146" s="14" t="s">
        <v>50</v>
      </c>
      <c r="F146" s="15" t="n">
        <v>525000</v>
      </c>
      <c r="G146" s="16" t="n">
        <v>0.95</v>
      </c>
      <c r="H146" s="16" t="n">
        <v>1.42</v>
      </c>
      <c r="I146" s="16" t="n">
        <v>0.7648</v>
      </c>
      <c r="J146" s="16" t="n">
        <v>0.53</v>
      </c>
      <c r="K146" s="15" t="n">
        <f aca="false">ROUND(F146/100*G146*H146*I146/J146,2)</f>
        <v>10219.82</v>
      </c>
      <c r="L146" s="15" t="n">
        <v>10219.82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4110</v>
      </c>
      <c r="B147" s="3" t="s">
        <v>4273</v>
      </c>
      <c r="C147" s="3" t="s">
        <v>68</v>
      </c>
      <c r="D147" s="3" t="s">
        <v>3771</v>
      </c>
      <c r="E147" s="3" t="s">
        <v>157</v>
      </c>
      <c r="F147" s="12" t="n">
        <v>210000</v>
      </c>
      <c r="G147" s="13" t="n">
        <v>1.05</v>
      </c>
      <c r="H147" s="13" t="n">
        <v>1.38</v>
      </c>
      <c r="I147" s="13" t="n">
        <v>0.7648</v>
      </c>
      <c r="J147" s="13" t="n">
        <v>0.53</v>
      </c>
      <c r="K147" s="12" t="n">
        <f aca="false">ROUND(F147/100*G147*H147*I147/J147,2)</f>
        <v>4390.96</v>
      </c>
      <c r="L147" s="12" t="n">
        <v>4390.96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4129</v>
      </c>
      <c r="B148" s="14" t="s">
        <v>4274</v>
      </c>
      <c r="C148" s="14" t="s">
        <v>169</v>
      </c>
      <c r="D148" s="14" t="s">
        <v>153</v>
      </c>
      <c r="E148" s="14" t="s">
        <v>56</v>
      </c>
      <c r="F148" s="15" t="n">
        <v>370000</v>
      </c>
      <c r="G148" s="16" t="n">
        <v>0.75</v>
      </c>
      <c r="H148" s="16" t="n">
        <v>1.07</v>
      </c>
      <c r="I148" s="16" t="n">
        <v>0.7648</v>
      </c>
      <c r="J148" s="16" t="n">
        <v>0.53</v>
      </c>
      <c r="K148" s="15" t="n">
        <f aca="false">ROUND(F148/100*G148*H148*I148/J148,2)</f>
        <v>4284.68</v>
      </c>
      <c r="L148" s="15" t="n">
        <v>4284.68</v>
      </c>
      <c r="M148" s="15" t="n">
        <f aca="false">L148-K148</f>
        <v>0</v>
      </c>
      <c r="N148" s="14" t="s">
        <v>61</v>
      </c>
      <c r="O148" s="14" t="s">
        <v>62</v>
      </c>
    </row>
    <row r="149" customFormat="false" ht="15" hidden="false" customHeight="false" outlineLevel="0" collapsed="false">
      <c r="A149" s="3" t="s">
        <v>4108</v>
      </c>
      <c r="B149" s="3" t="s">
        <v>4275</v>
      </c>
      <c r="C149" s="3" t="s">
        <v>145</v>
      </c>
      <c r="D149" s="3" t="s">
        <v>1332</v>
      </c>
      <c r="E149" s="3" t="s">
        <v>50</v>
      </c>
      <c r="F149" s="12" t="n">
        <v>250000</v>
      </c>
      <c r="G149" s="13" t="n">
        <v>1.15</v>
      </c>
      <c r="H149" s="13" t="n">
        <v>0.96</v>
      </c>
      <c r="I149" s="13" t="n">
        <v>0.7648</v>
      </c>
      <c r="J149" s="13" t="n">
        <v>0.53</v>
      </c>
      <c r="K149" s="12" t="n">
        <f aca="false">ROUND(F149/100*G149*H149*I149/J149,2)</f>
        <v>3982.73</v>
      </c>
      <c r="L149" s="12" t="n">
        <v>3982.73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4131</v>
      </c>
      <c r="B150" s="14" t="s">
        <v>4276</v>
      </c>
      <c r="C150" s="14" t="s">
        <v>89</v>
      </c>
      <c r="D150" s="14" t="s">
        <v>2492</v>
      </c>
      <c r="E150" s="14" t="s">
        <v>56</v>
      </c>
      <c r="F150" s="15" t="n">
        <v>775000</v>
      </c>
      <c r="G150" s="16" t="n">
        <v>0.65</v>
      </c>
      <c r="H150" s="16" t="n">
        <v>1.35</v>
      </c>
      <c r="I150" s="16" t="n">
        <v>0.7648</v>
      </c>
      <c r="J150" s="16" t="n">
        <v>0.53</v>
      </c>
      <c r="K150" s="15" t="n">
        <f aca="false">ROUND(F150/100*G150*H150*I150/J150,2)</f>
        <v>9813.43</v>
      </c>
      <c r="L150" s="15" t="n">
        <v>9813.43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4168</v>
      </c>
      <c r="B151" s="3" t="s">
        <v>4277</v>
      </c>
      <c r="C151" s="3" t="s">
        <v>230</v>
      </c>
      <c r="D151" s="3" t="s">
        <v>256</v>
      </c>
      <c r="E151" s="3" t="s">
        <v>56</v>
      </c>
      <c r="F151" s="12" t="n">
        <v>445000</v>
      </c>
      <c r="G151" s="13" t="n">
        <v>0.75</v>
      </c>
      <c r="H151" s="13" t="n">
        <v>1.09</v>
      </c>
      <c r="I151" s="13" t="n">
        <v>0.7648</v>
      </c>
      <c r="J151" s="13" t="n">
        <v>0.53</v>
      </c>
      <c r="K151" s="12" t="n">
        <f aca="false">ROUND(F151/100*G151*H151*I151/J151,2)</f>
        <v>5249.52</v>
      </c>
      <c r="L151" s="12" t="n">
        <v>5249.53</v>
      </c>
      <c r="M151" s="12" t="n">
        <f aca="false">L151-K151</f>
        <v>0.00999999999930878</v>
      </c>
      <c r="N151" s="3" t="s">
        <v>70</v>
      </c>
      <c r="O151" s="3" t="s">
        <v>52</v>
      </c>
    </row>
    <row r="152" customFormat="false" ht="15" hidden="false" customHeight="false" outlineLevel="0" collapsed="false">
      <c r="A152" s="14" t="s">
        <v>4124</v>
      </c>
      <c r="B152" s="14" t="s">
        <v>4278</v>
      </c>
      <c r="C152" s="14" t="s">
        <v>366</v>
      </c>
      <c r="D152" s="14" t="s">
        <v>2925</v>
      </c>
      <c r="E152" s="14" t="s">
        <v>50</v>
      </c>
      <c r="F152" s="15" t="n">
        <v>1950000</v>
      </c>
      <c r="G152" s="16" t="n">
        <v>0.8</v>
      </c>
      <c r="H152" s="16" t="n">
        <v>1.26</v>
      </c>
      <c r="I152" s="16" t="n">
        <v>0.7648</v>
      </c>
      <c r="J152" s="16" t="n">
        <v>0.53</v>
      </c>
      <c r="K152" s="15" t="n">
        <f aca="false">ROUND(F152/100*G152*H152*I152/J152,2)</f>
        <v>28363.98</v>
      </c>
      <c r="L152" s="15" t="n">
        <v>28363.98</v>
      </c>
      <c r="M152" s="15" t="n">
        <f aca="false">L152-K152</f>
        <v>0</v>
      </c>
      <c r="N152" s="14" t="s">
        <v>70</v>
      </c>
      <c r="O152" s="14" t="s">
        <v>52</v>
      </c>
    </row>
    <row r="153" customFormat="false" ht="15" hidden="false" customHeight="false" outlineLevel="0" collapsed="false">
      <c r="A153" s="3" t="s">
        <v>4098</v>
      </c>
      <c r="B153" s="3" t="s">
        <v>4279</v>
      </c>
      <c r="C153" s="3" t="s">
        <v>93</v>
      </c>
      <c r="D153" s="3" t="s">
        <v>4180</v>
      </c>
      <c r="E153" s="3" t="s">
        <v>56</v>
      </c>
      <c r="F153" s="12" t="n">
        <v>755000</v>
      </c>
      <c r="G153" s="13" t="n">
        <v>0.65</v>
      </c>
      <c r="H153" s="13" t="n">
        <v>1.39</v>
      </c>
      <c r="I153" s="13" t="n">
        <v>0.7648</v>
      </c>
      <c r="J153" s="13" t="n">
        <v>0.53</v>
      </c>
      <c r="K153" s="12" t="n">
        <f aca="false">ROUND(F153/100*G153*H153*I153/J153,2)</f>
        <v>9843.44</v>
      </c>
      <c r="L153" s="12" t="n">
        <v>9843.44</v>
      </c>
      <c r="M153" s="12" t="n">
        <f aca="false">L153-K153</f>
        <v>0</v>
      </c>
      <c r="N153" s="3" t="s">
        <v>61</v>
      </c>
      <c r="O153" s="3" t="s">
        <v>62</v>
      </c>
    </row>
    <row r="154" customFormat="false" ht="15" hidden="false" customHeight="false" outlineLevel="0" collapsed="false">
      <c r="A154" s="14" t="s">
        <v>4100</v>
      </c>
      <c r="B154" s="14" t="s">
        <v>4280</v>
      </c>
      <c r="C154" s="14" t="s">
        <v>220</v>
      </c>
      <c r="D154" s="14" t="s">
        <v>1919</v>
      </c>
      <c r="E154" s="14" t="s">
        <v>56</v>
      </c>
      <c r="F154" s="15" t="n">
        <v>410000</v>
      </c>
      <c r="G154" s="16" t="n">
        <v>0.75</v>
      </c>
      <c r="H154" s="16" t="n">
        <v>1.01</v>
      </c>
      <c r="I154" s="16" t="n">
        <v>0.7648</v>
      </c>
      <c r="J154" s="16" t="n">
        <v>0.53</v>
      </c>
      <c r="K154" s="15" t="n">
        <f aca="false">ROUND(F154/100*G154*H154*I154/J154,2)</f>
        <v>4481.66</v>
      </c>
      <c r="L154" s="15" t="n">
        <v>4481.66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4083</v>
      </c>
      <c r="B155" s="3" t="s">
        <v>4281</v>
      </c>
      <c r="C155" s="3" t="s">
        <v>275</v>
      </c>
      <c r="D155" s="3" t="s">
        <v>2727</v>
      </c>
      <c r="E155" s="3" t="s">
        <v>56</v>
      </c>
      <c r="F155" s="12" t="n">
        <v>460000</v>
      </c>
      <c r="G155" s="13" t="n">
        <v>0.75</v>
      </c>
      <c r="H155" s="13" t="n">
        <v>1.19</v>
      </c>
      <c r="I155" s="13" t="n">
        <v>0.7648</v>
      </c>
      <c r="J155" s="13" t="n">
        <v>0.53</v>
      </c>
      <c r="K155" s="12" t="n">
        <f aca="false">ROUND(F155/100*G155*H155*I155/J155,2)</f>
        <v>5924.31</v>
      </c>
      <c r="L155" s="12" t="n">
        <v>5924.32</v>
      </c>
      <c r="M155" s="12" t="n">
        <f aca="false">L155-K155</f>
        <v>0.00999999999930878</v>
      </c>
      <c r="N155" s="3" t="s">
        <v>51</v>
      </c>
      <c r="O155" s="3" t="s">
        <v>52</v>
      </c>
    </row>
    <row r="156" customFormat="false" ht="15" hidden="false" customHeight="false" outlineLevel="0" collapsed="false">
      <c r="A156" s="14" t="s">
        <v>4083</v>
      </c>
      <c r="B156" s="14" t="s">
        <v>4282</v>
      </c>
      <c r="C156" s="14" t="s">
        <v>77</v>
      </c>
      <c r="D156" s="14" t="s">
        <v>4283</v>
      </c>
      <c r="E156" s="14" t="s">
        <v>74</v>
      </c>
      <c r="F156" s="15" t="n">
        <v>395000</v>
      </c>
      <c r="G156" s="16" t="n">
        <v>0.48</v>
      </c>
      <c r="H156" s="16" t="n">
        <v>1.42</v>
      </c>
      <c r="I156" s="16" t="n">
        <v>0.7648</v>
      </c>
      <c r="J156" s="16" t="n">
        <v>0.53</v>
      </c>
      <c r="K156" s="15" t="n">
        <f aca="false">ROUND(F156/100*G156*H156*I156/J156,2)</f>
        <v>3885.07</v>
      </c>
      <c r="L156" s="15" t="n">
        <v>3885.07</v>
      </c>
      <c r="M156" s="15" t="n">
        <f aca="false">L156-K156</f>
        <v>0</v>
      </c>
      <c r="N156" s="14" t="s">
        <v>51</v>
      </c>
      <c r="O156" s="14" t="s">
        <v>52</v>
      </c>
    </row>
    <row r="157" customFormat="false" ht="15" hidden="false" customHeight="false" outlineLevel="0" collapsed="false">
      <c r="A157" s="3" t="s">
        <v>4118</v>
      </c>
      <c r="B157" s="3" t="s">
        <v>4284</v>
      </c>
      <c r="C157" s="3" t="s">
        <v>462</v>
      </c>
      <c r="D157" s="3" t="s">
        <v>4285</v>
      </c>
      <c r="E157" s="3" t="s">
        <v>74</v>
      </c>
      <c r="F157" s="12" t="n">
        <v>510000</v>
      </c>
      <c r="G157" s="13" t="n">
        <v>0.43</v>
      </c>
      <c r="H157" s="13" t="n">
        <v>1.34</v>
      </c>
      <c r="I157" s="13" t="n">
        <v>0.7648</v>
      </c>
      <c r="J157" s="13" t="n">
        <v>0.53</v>
      </c>
      <c r="K157" s="12" t="n">
        <f aca="false">ROUND(F157/100*G157*H157*I157/J157,2)</f>
        <v>4240.48</v>
      </c>
      <c r="L157" s="12" t="n">
        <v>4240.49</v>
      </c>
      <c r="M157" s="12" t="n">
        <f aca="false">L157-K157</f>
        <v>0.0100000000002183</v>
      </c>
      <c r="N157" s="3" t="s">
        <v>51</v>
      </c>
      <c r="O157" s="3" t="s">
        <v>52</v>
      </c>
    </row>
    <row r="158" customFormat="false" ht="15" hidden="false" customHeight="false" outlineLevel="0" collapsed="false">
      <c r="A158" s="14" t="s">
        <v>4168</v>
      </c>
      <c r="B158" s="14" t="s">
        <v>4286</v>
      </c>
      <c r="C158" s="14" t="s">
        <v>278</v>
      </c>
      <c r="D158" s="14" t="s">
        <v>4287</v>
      </c>
      <c r="E158" s="14" t="s">
        <v>50</v>
      </c>
      <c r="F158" s="15" t="n">
        <v>765000</v>
      </c>
      <c r="G158" s="16" t="n">
        <v>0.95</v>
      </c>
      <c r="H158" s="16" t="n">
        <v>0.98</v>
      </c>
      <c r="I158" s="16" t="n">
        <v>0.7648</v>
      </c>
      <c r="J158" s="16" t="n">
        <v>0.53</v>
      </c>
      <c r="K158" s="15" t="n">
        <f aca="false">ROUND(F158/100*G158*H158*I158/J158,2)</f>
        <v>10277.4</v>
      </c>
      <c r="L158" s="15" t="n">
        <v>10277.4</v>
      </c>
      <c r="M158" s="15" t="n">
        <f aca="false">L158-K158</f>
        <v>0</v>
      </c>
      <c r="N158" s="14" t="s">
        <v>61</v>
      </c>
      <c r="O158" s="14" t="s">
        <v>62</v>
      </c>
    </row>
    <row r="159" customFormat="false" ht="15" hidden="false" customHeight="false" outlineLevel="0" collapsed="false">
      <c r="A159" s="3" t="s">
        <v>4081</v>
      </c>
      <c r="B159" s="3" t="s">
        <v>4288</v>
      </c>
      <c r="C159" s="3" t="s">
        <v>196</v>
      </c>
      <c r="D159" s="3" t="s">
        <v>4289</v>
      </c>
      <c r="E159" s="3" t="s">
        <v>157</v>
      </c>
      <c r="F159" s="12" t="n">
        <v>265000</v>
      </c>
      <c r="G159" s="13" t="n">
        <v>0.88</v>
      </c>
      <c r="H159" s="13" t="n">
        <v>1.04</v>
      </c>
      <c r="I159" s="13" t="n">
        <v>0.7648</v>
      </c>
      <c r="J159" s="13" t="n">
        <v>0.53</v>
      </c>
      <c r="K159" s="12" t="n">
        <f aca="false">ROUND(F159/100*G159*H159*I159/J159,2)</f>
        <v>3499.72</v>
      </c>
      <c r="L159" s="12" t="n">
        <v>3499.72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4122</v>
      </c>
      <c r="B160" s="14" t="s">
        <v>4290</v>
      </c>
      <c r="C160" s="14" t="s">
        <v>114</v>
      </c>
      <c r="D160" s="14" t="s">
        <v>496</v>
      </c>
      <c r="E160" s="14" t="s">
        <v>56</v>
      </c>
      <c r="F160" s="15" t="n">
        <v>290000</v>
      </c>
      <c r="G160" s="16" t="n">
        <v>0.75</v>
      </c>
      <c r="H160" s="16" t="n">
        <v>1.36</v>
      </c>
      <c r="I160" s="16" t="n">
        <v>0.7648</v>
      </c>
      <c r="J160" s="16" t="n">
        <v>0.53</v>
      </c>
      <c r="K160" s="15" t="n">
        <f aca="false">ROUND(F160/100*G160*H160*I160/J160,2)</f>
        <v>4268.45</v>
      </c>
      <c r="L160" s="15" t="n">
        <v>4268.45</v>
      </c>
      <c r="M160" s="15" t="n">
        <f aca="false">L160-K160</f>
        <v>0</v>
      </c>
      <c r="N160" s="14" t="s">
        <v>61</v>
      </c>
      <c r="O160" s="14" t="s">
        <v>62</v>
      </c>
    </row>
    <row r="161" customFormat="false" ht="15" hidden="false" customHeight="false" outlineLevel="0" collapsed="false">
      <c r="A161" s="3" t="s">
        <v>4138</v>
      </c>
      <c r="B161" s="3" t="s">
        <v>4291</v>
      </c>
      <c r="C161" s="3" t="s">
        <v>230</v>
      </c>
      <c r="D161" s="3" t="s">
        <v>1933</v>
      </c>
      <c r="E161" s="3" t="s">
        <v>74</v>
      </c>
      <c r="F161" s="12" t="n">
        <v>595000</v>
      </c>
      <c r="G161" s="13" t="n">
        <v>0.43</v>
      </c>
      <c r="H161" s="13" t="n">
        <v>1.09</v>
      </c>
      <c r="I161" s="13" t="n">
        <v>0.7648</v>
      </c>
      <c r="J161" s="13" t="n">
        <v>0.53</v>
      </c>
      <c r="K161" s="12" t="n">
        <f aca="false">ROUND(F161/100*G161*H161*I161/J161,2)</f>
        <v>4024.24</v>
      </c>
      <c r="L161" s="12" t="n">
        <v>4024.24</v>
      </c>
      <c r="M161" s="12" t="n">
        <f aca="false">L161-K161</f>
        <v>0</v>
      </c>
      <c r="N161" s="3" t="s">
        <v>51</v>
      </c>
      <c r="O161" s="3" t="s">
        <v>52</v>
      </c>
    </row>
    <row r="162" customFormat="false" ht="15" hidden="false" customHeight="false" outlineLevel="0" collapsed="false">
      <c r="A162" s="14" t="s">
        <v>4100</v>
      </c>
      <c r="B162" s="14" t="s">
        <v>4292</v>
      </c>
      <c r="C162" s="14" t="s">
        <v>136</v>
      </c>
      <c r="D162" s="14" t="s">
        <v>178</v>
      </c>
      <c r="E162" s="14" t="s">
        <v>56</v>
      </c>
      <c r="F162" s="15" t="n">
        <v>570000</v>
      </c>
      <c r="G162" s="16" t="n">
        <v>0.65</v>
      </c>
      <c r="H162" s="16" t="n">
        <v>1.32</v>
      </c>
      <c r="I162" s="16" t="n">
        <v>0.7648</v>
      </c>
      <c r="J162" s="16" t="n">
        <v>0.53</v>
      </c>
      <c r="K162" s="15" t="n">
        <f aca="false">ROUND(F162/100*G162*H162*I162/J162,2)</f>
        <v>7057.23</v>
      </c>
      <c r="L162" s="15" t="n">
        <v>7057.23</v>
      </c>
      <c r="M162" s="15" t="n">
        <f aca="false">L162-K162</f>
        <v>0</v>
      </c>
      <c r="N162" s="14" t="s">
        <v>61</v>
      </c>
      <c r="O162" s="14" t="s">
        <v>62</v>
      </c>
    </row>
    <row r="163" customFormat="false" ht="15" hidden="false" customHeight="false" outlineLevel="0" collapsed="false">
      <c r="A163" s="3" t="s">
        <v>4122</v>
      </c>
      <c r="B163" s="3" t="s">
        <v>4293</v>
      </c>
      <c r="C163" s="3" t="s">
        <v>217</v>
      </c>
      <c r="D163" s="3" t="s">
        <v>2356</v>
      </c>
      <c r="E163" s="3" t="s">
        <v>74</v>
      </c>
      <c r="F163" s="12" t="n">
        <v>925000</v>
      </c>
      <c r="G163" s="13" t="n">
        <v>0.43</v>
      </c>
      <c r="H163" s="13" t="n">
        <v>1.3</v>
      </c>
      <c r="I163" s="13" t="n">
        <v>0.7648</v>
      </c>
      <c r="J163" s="13" t="n">
        <v>0.53</v>
      </c>
      <c r="K163" s="12" t="n">
        <f aca="false">ROUND(F163/100*G163*H163*I163/J163,2)</f>
        <v>7461.49</v>
      </c>
      <c r="L163" s="12" t="n">
        <v>7461.49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4115</v>
      </c>
      <c r="B164" s="14" t="s">
        <v>4294</v>
      </c>
      <c r="C164" s="14" t="s">
        <v>462</v>
      </c>
      <c r="D164" s="14" t="s">
        <v>970</v>
      </c>
      <c r="E164" s="14" t="s">
        <v>56</v>
      </c>
      <c r="F164" s="15" t="n">
        <v>165000</v>
      </c>
      <c r="G164" s="16" t="n">
        <v>0.92</v>
      </c>
      <c r="H164" s="16" t="n">
        <v>1.34</v>
      </c>
      <c r="I164" s="16" t="n">
        <v>0.7648</v>
      </c>
      <c r="J164" s="16" t="n">
        <v>0.53</v>
      </c>
      <c r="K164" s="15" t="n">
        <f aca="false">ROUND(F164/100*G164*H164*I164/J164,2)</f>
        <v>2935.27</v>
      </c>
      <c r="L164" s="15" t="n">
        <v>2935.27</v>
      </c>
      <c r="M164" s="15" t="n">
        <f aca="false">L164-K164</f>
        <v>0</v>
      </c>
      <c r="N164" s="14" t="s">
        <v>61</v>
      </c>
      <c r="O164" s="14" t="s">
        <v>62</v>
      </c>
    </row>
    <row r="165" customFormat="false" ht="15" hidden="false" customHeight="false" outlineLevel="0" collapsed="false">
      <c r="A165" s="3" t="s">
        <v>4081</v>
      </c>
      <c r="B165" s="3" t="s">
        <v>4295</v>
      </c>
      <c r="C165" s="3" t="s">
        <v>117</v>
      </c>
      <c r="D165" s="3" t="s">
        <v>2738</v>
      </c>
      <c r="E165" s="3" t="s">
        <v>56</v>
      </c>
      <c r="F165" s="12" t="n">
        <v>1350000</v>
      </c>
      <c r="G165" s="13" t="n">
        <v>0.55</v>
      </c>
      <c r="H165" s="13" t="n">
        <v>0.91</v>
      </c>
      <c r="I165" s="13" t="n">
        <v>0.7648</v>
      </c>
      <c r="J165" s="13" t="n">
        <v>0.53</v>
      </c>
      <c r="K165" s="12" t="n">
        <f aca="false">ROUND(F165/100*G165*H165*I165/J165,2)</f>
        <v>9750.12</v>
      </c>
      <c r="L165" s="12" t="n">
        <v>9750.11</v>
      </c>
      <c r="M165" s="12" t="n">
        <f aca="false">L165-K165</f>
        <v>-0.0100000000002183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4100</v>
      </c>
      <c r="B166" s="14" t="s">
        <v>4296</v>
      </c>
      <c r="C166" s="14" t="s">
        <v>217</v>
      </c>
      <c r="D166" s="14" t="s">
        <v>4297</v>
      </c>
      <c r="E166" s="14" t="s">
        <v>157</v>
      </c>
      <c r="F166" s="15" t="n">
        <v>565000</v>
      </c>
      <c r="G166" s="16" t="n">
        <v>0.78</v>
      </c>
      <c r="H166" s="16" t="n">
        <v>1.3</v>
      </c>
      <c r="I166" s="16" t="n">
        <v>0.7648</v>
      </c>
      <c r="J166" s="16" t="n">
        <v>0.53</v>
      </c>
      <c r="K166" s="15" t="n">
        <f aca="false">ROUND(F166/100*G166*H166*I166/J166,2)</f>
        <v>8267.2</v>
      </c>
      <c r="L166" s="15" t="n">
        <v>8267.2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4151</v>
      </c>
      <c r="B167" s="3" t="s">
        <v>4298</v>
      </c>
      <c r="C167" s="3" t="s">
        <v>77</v>
      </c>
      <c r="D167" s="3" t="s">
        <v>1889</v>
      </c>
      <c r="E167" s="3" t="s">
        <v>56</v>
      </c>
      <c r="F167" s="12" t="n">
        <v>195000</v>
      </c>
      <c r="G167" s="13" t="n">
        <v>0.92</v>
      </c>
      <c r="H167" s="13" t="n">
        <v>1.42</v>
      </c>
      <c r="I167" s="13" t="n">
        <v>0.7648</v>
      </c>
      <c r="J167" s="13" t="n">
        <v>0.53</v>
      </c>
      <c r="K167" s="12" t="n">
        <f aca="false">ROUND(F167/100*G167*H167*I167/J167,2)</f>
        <v>3676.06</v>
      </c>
      <c r="L167" s="12" t="n">
        <v>3676.06</v>
      </c>
      <c r="M167" s="12" t="n">
        <f aca="false">L167-K167</f>
        <v>0</v>
      </c>
      <c r="N167" s="3" t="s">
        <v>61</v>
      </c>
      <c r="O167" s="3" t="s">
        <v>62</v>
      </c>
    </row>
    <row r="168" customFormat="false" ht="15" hidden="false" customHeight="false" outlineLevel="0" collapsed="false">
      <c r="A168" s="14" t="s">
        <v>4188</v>
      </c>
      <c r="B168" s="14" t="s">
        <v>4299</v>
      </c>
      <c r="C168" s="14" t="s">
        <v>278</v>
      </c>
      <c r="D168" s="14" t="s">
        <v>1854</v>
      </c>
      <c r="E168" s="14" t="s">
        <v>56</v>
      </c>
      <c r="F168" s="15" t="n">
        <v>385000</v>
      </c>
      <c r="G168" s="16" t="n">
        <v>0.75</v>
      </c>
      <c r="H168" s="16" t="n">
        <v>0.98</v>
      </c>
      <c r="I168" s="16" t="n">
        <v>0.7648</v>
      </c>
      <c r="J168" s="16" t="n">
        <v>0.53</v>
      </c>
      <c r="K168" s="15" t="n">
        <f aca="false">ROUND(F168/100*G168*H168*I168/J168,2)</f>
        <v>4083.38</v>
      </c>
      <c r="L168" s="15" t="n">
        <v>4083.38</v>
      </c>
      <c r="M168" s="15" t="n">
        <f aca="false">L168-K168</f>
        <v>0</v>
      </c>
      <c r="N168" s="14" t="s">
        <v>70</v>
      </c>
      <c r="O168" s="14" t="s">
        <v>52</v>
      </c>
    </row>
    <row r="169" customFormat="false" ht="15" hidden="false" customHeight="false" outlineLevel="0" collapsed="false">
      <c r="A169" s="3" t="s">
        <v>4204</v>
      </c>
      <c r="B169" s="3" t="s">
        <v>4300</v>
      </c>
      <c r="C169" s="3" t="s">
        <v>188</v>
      </c>
      <c r="D169" s="3" t="s">
        <v>2843</v>
      </c>
      <c r="E169" s="3" t="s">
        <v>50</v>
      </c>
      <c r="F169" s="12" t="n">
        <v>640000</v>
      </c>
      <c r="G169" s="13" t="n">
        <v>0.95</v>
      </c>
      <c r="H169" s="13" t="n">
        <v>1.35</v>
      </c>
      <c r="I169" s="13" t="n">
        <v>0.7648</v>
      </c>
      <c r="J169" s="13" t="n">
        <v>0.53</v>
      </c>
      <c r="K169" s="12" t="n">
        <f aca="false">ROUND(F169/100*G169*H169*I169/J169,2)</f>
        <v>11844.3</v>
      </c>
      <c r="L169" s="12" t="n">
        <v>11844.3</v>
      </c>
      <c r="M169" s="12" t="n">
        <f aca="false">L169-K169</f>
        <v>0</v>
      </c>
      <c r="N169" s="3" t="s">
        <v>51</v>
      </c>
      <c r="O169" s="3" t="s">
        <v>52</v>
      </c>
    </row>
    <row r="170" customFormat="false" ht="15" hidden="false" customHeight="false" outlineLevel="0" collapsed="false">
      <c r="A170" s="14" t="s">
        <v>4115</v>
      </c>
      <c r="B170" s="14" t="s">
        <v>4301</v>
      </c>
      <c r="C170" s="14" t="s">
        <v>217</v>
      </c>
      <c r="D170" s="14" t="s">
        <v>4302</v>
      </c>
      <c r="E170" s="14" t="s">
        <v>74</v>
      </c>
      <c r="F170" s="15" t="n">
        <v>635000</v>
      </c>
      <c r="G170" s="16" t="n">
        <v>0.43</v>
      </c>
      <c r="H170" s="16" t="n">
        <v>1.3</v>
      </c>
      <c r="I170" s="16" t="n">
        <v>0.7648</v>
      </c>
      <c r="J170" s="16" t="n">
        <v>0.53</v>
      </c>
      <c r="K170" s="15" t="n">
        <f aca="false">ROUND(F170/100*G170*H170*I170/J170,2)</f>
        <v>5122.21</v>
      </c>
      <c r="L170" s="15" t="n">
        <v>5122.21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4110</v>
      </c>
      <c r="B171" s="3" t="s">
        <v>4303</v>
      </c>
      <c r="C171" s="3" t="s">
        <v>48</v>
      </c>
      <c r="D171" s="3" t="s">
        <v>802</v>
      </c>
      <c r="E171" s="3" t="s">
        <v>56</v>
      </c>
      <c r="F171" s="12" t="n">
        <v>470000</v>
      </c>
      <c r="G171" s="13" t="n">
        <v>0.75</v>
      </c>
      <c r="H171" s="13" t="n">
        <v>1.28</v>
      </c>
      <c r="I171" s="13" t="n">
        <v>0.7648</v>
      </c>
      <c r="J171" s="13" t="n">
        <v>0.53</v>
      </c>
      <c r="K171" s="12" t="n">
        <f aca="false">ROUND(F171/100*G171*H171*I171/J171,2)</f>
        <v>6510.9</v>
      </c>
      <c r="L171" s="12" t="n">
        <v>6510.9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4118</v>
      </c>
      <c r="B172" s="14" t="s">
        <v>4304</v>
      </c>
      <c r="C172" s="14" t="s">
        <v>275</v>
      </c>
      <c r="D172" s="14" t="s">
        <v>1272</v>
      </c>
      <c r="E172" s="14" t="s">
        <v>74</v>
      </c>
      <c r="F172" s="15" t="n">
        <v>725000</v>
      </c>
      <c r="G172" s="16" t="n">
        <v>0.43</v>
      </c>
      <c r="H172" s="16" t="n">
        <v>1.19</v>
      </c>
      <c r="I172" s="16" t="n">
        <v>0.7648</v>
      </c>
      <c r="J172" s="16" t="n">
        <v>0.53</v>
      </c>
      <c r="K172" s="15" t="n">
        <f aca="false">ROUND(F172/100*G172*H172*I172/J172,2)</f>
        <v>5353.35</v>
      </c>
      <c r="L172" s="15" t="n">
        <v>5353.35</v>
      </c>
      <c r="M172" s="15" t="n">
        <f aca="false">L172-K172</f>
        <v>0</v>
      </c>
      <c r="N172" s="14" t="s">
        <v>70</v>
      </c>
      <c r="O172" s="14" t="s">
        <v>52</v>
      </c>
    </row>
    <row r="173" customFormat="false" ht="15" hidden="false" customHeight="false" outlineLevel="0" collapsed="false">
      <c r="A173" s="3" t="s">
        <v>4124</v>
      </c>
      <c r="B173" s="3" t="s">
        <v>4305</v>
      </c>
      <c r="C173" s="3" t="s">
        <v>136</v>
      </c>
      <c r="D173" s="3" t="s">
        <v>4306</v>
      </c>
      <c r="E173" s="3" t="s">
        <v>50</v>
      </c>
      <c r="F173" s="12" t="n">
        <v>1325000</v>
      </c>
      <c r="G173" s="13" t="n">
        <v>0.8</v>
      </c>
      <c r="H173" s="13" t="n">
        <v>1.32</v>
      </c>
      <c r="I173" s="13" t="n">
        <v>0.7648</v>
      </c>
      <c r="J173" s="13" t="n">
        <v>0.53</v>
      </c>
      <c r="K173" s="12" t="n">
        <f aca="false">ROUND(F173/100*G173*H173*I173/J173,2)</f>
        <v>20190.72</v>
      </c>
      <c r="L173" s="12" t="n">
        <v>20190.72</v>
      </c>
      <c r="M173" s="12" t="n">
        <f aca="false">L173-K173</f>
        <v>0</v>
      </c>
      <c r="N173" s="3" t="s">
        <v>70</v>
      </c>
      <c r="O173" s="3" t="s">
        <v>52</v>
      </c>
    </row>
    <row r="174" customFormat="false" ht="15" hidden="false" customHeight="false" outlineLevel="0" collapsed="false">
      <c r="A174" s="14" t="s">
        <v>4168</v>
      </c>
      <c r="B174" s="14" t="s">
        <v>4307</v>
      </c>
      <c r="C174" s="14" t="s">
        <v>174</v>
      </c>
      <c r="D174" s="14" t="s">
        <v>4090</v>
      </c>
      <c r="E174" s="14" t="s">
        <v>50</v>
      </c>
      <c r="F174" s="15" t="n">
        <v>320000</v>
      </c>
      <c r="G174" s="16" t="n">
        <v>1.15</v>
      </c>
      <c r="H174" s="16" t="n">
        <v>1.55</v>
      </c>
      <c r="I174" s="16" t="n">
        <v>0.7648</v>
      </c>
      <c r="J174" s="16" t="n">
        <v>0.53</v>
      </c>
      <c r="K174" s="15" t="n">
        <f aca="false">ROUND(F174/100*G174*H174*I174/J174,2)</f>
        <v>8230.98</v>
      </c>
      <c r="L174" s="15" t="n">
        <v>8230.98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4188</v>
      </c>
      <c r="B175" s="3" t="s">
        <v>4308</v>
      </c>
      <c r="C175" s="3" t="s">
        <v>64</v>
      </c>
      <c r="D175" s="3" t="s">
        <v>2225</v>
      </c>
      <c r="E175" s="3" t="s">
        <v>56</v>
      </c>
      <c r="F175" s="12" t="n">
        <v>360000</v>
      </c>
      <c r="G175" s="13" t="n">
        <v>0.75</v>
      </c>
      <c r="H175" s="13" t="n">
        <v>1.17</v>
      </c>
      <c r="I175" s="13" t="n">
        <v>0.7648</v>
      </c>
      <c r="J175" s="13" t="n">
        <v>0.53</v>
      </c>
      <c r="K175" s="12" t="n">
        <f aca="false">ROUND(F175/100*G175*H175*I175/J175,2)</f>
        <v>4558.5</v>
      </c>
      <c r="L175" s="12" t="n">
        <v>4558.5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4151</v>
      </c>
      <c r="B176" s="14" t="s">
        <v>4309</v>
      </c>
      <c r="C176" s="14" t="s">
        <v>145</v>
      </c>
      <c r="D176" s="14" t="s">
        <v>817</v>
      </c>
      <c r="E176" s="14" t="s">
        <v>56</v>
      </c>
      <c r="F176" s="15" t="n">
        <v>200000</v>
      </c>
      <c r="G176" s="16" t="n">
        <v>0.92</v>
      </c>
      <c r="H176" s="16" t="n">
        <v>0.96</v>
      </c>
      <c r="I176" s="16" t="n">
        <v>0.7648</v>
      </c>
      <c r="J176" s="16" t="n">
        <v>0.53</v>
      </c>
      <c r="K176" s="15" t="n">
        <f aca="false">ROUND(F176/100*G176*H176*I176/J176,2)</f>
        <v>2548.95</v>
      </c>
      <c r="L176" s="15" t="n">
        <v>2548.95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4138</v>
      </c>
      <c r="B177" s="3" t="s">
        <v>4310</v>
      </c>
      <c r="C177" s="3" t="s">
        <v>892</v>
      </c>
      <c r="D177" s="3" t="s">
        <v>521</v>
      </c>
      <c r="E177" s="3" t="s">
        <v>50</v>
      </c>
      <c r="F177" s="12" t="n">
        <v>1950000</v>
      </c>
      <c r="G177" s="13" t="n">
        <v>0.8</v>
      </c>
      <c r="H177" s="13" t="n">
        <v>1.08</v>
      </c>
      <c r="I177" s="13" t="n">
        <v>0.7648</v>
      </c>
      <c r="J177" s="13" t="n">
        <v>0.53</v>
      </c>
      <c r="K177" s="12" t="n">
        <f aca="false">ROUND(F177/100*G177*H177*I177/J177,2)</f>
        <v>24311.98</v>
      </c>
      <c r="L177" s="12" t="n">
        <v>24311.98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4188</v>
      </c>
      <c r="B178" s="14" t="s">
        <v>4311</v>
      </c>
      <c r="C178" s="14" t="s">
        <v>48</v>
      </c>
      <c r="D178" s="14" t="s">
        <v>429</v>
      </c>
      <c r="E178" s="14" t="s">
        <v>56</v>
      </c>
      <c r="F178" s="15" t="n">
        <v>530000</v>
      </c>
      <c r="G178" s="16" t="n">
        <v>0.65</v>
      </c>
      <c r="H178" s="16" t="n">
        <v>1.28</v>
      </c>
      <c r="I178" s="16" t="n">
        <v>0.7648</v>
      </c>
      <c r="J178" s="16" t="n">
        <v>0.53</v>
      </c>
      <c r="K178" s="15" t="n">
        <f aca="false">ROUND(F178/100*G178*H178*I178/J178,2)</f>
        <v>6363.14</v>
      </c>
      <c r="L178" s="15" t="n">
        <v>6363.14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4188</v>
      </c>
      <c r="B179" s="3" t="s">
        <v>4312</v>
      </c>
      <c r="C179" s="3" t="s">
        <v>114</v>
      </c>
      <c r="D179" s="3" t="s">
        <v>240</v>
      </c>
      <c r="E179" s="3" t="s">
        <v>56</v>
      </c>
      <c r="F179" s="12" t="n">
        <v>1075000</v>
      </c>
      <c r="G179" s="13" t="n">
        <v>0.55</v>
      </c>
      <c r="H179" s="13" t="n">
        <v>1.36</v>
      </c>
      <c r="I179" s="13" t="n">
        <v>0.7648</v>
      </c>
      <c r="J179" s="13" t="n">
        <v>0.53</v>
      </c>
      <c r="K179" s="12" t="n">
        <f aca="false">ROUND(F179/100*G179*H179*I179/J179,2)</f>
        <v>11603.31</v>
      </c>
      <c r="L179" s="12" t="n">
        <v>11603.32</v>
      </c>
      <c r="M179" s="12" t="n">
        <f aca="false">L179-K179</f>
        <v>0.0100000000002183</v>
      </c>
      <c r="N179" s="3" t="s">
        <v>61</v>
      </c>
      <c r="O179" s="3" t="s">
        <v>62</v>
      </c>
    </row>
    <row r="180" customFormat="false" ht="15" hidden="false" customHeight="false" outlineLevel="0" collapsed="false">
      <c r="A180" s="14" t="s">
        <v>4118</v>
      </c>
      <c r="B180" s="14" t="s">
        <v>4313</v>
      </c>
      <c r="C180" s="14" t="s">
        <v>300</v>
      </c>
      <c r="D180" s="14" t="s">
        <v>4180</v>
      </c>
      <c r="E180" s="14" t="s">
        <v>56</v>
      </c>
      <c r="F180" s="15" t="n">
        <v>825000</v>
      </c>
      <c r="G180" s="16" t="n">
        <v>0.65</v>
      </c>
      <c r="H180" s="16" t="n">
        <v>1.11</v>
      </c>
      <c r="I180" s="16" t="n">
        <v>0.7648</v>
      </c>
      <c r="J180" s="16" t="n">
        <v>0.53</v>
      </c>
      <c r="K180" s="15" t="n">
        <f aca="false">ROUND(F180/100*G180*H180*I180/J180,2)</f>
        <v>8589.39</v>
      </c>
      <c r="L180" s="15" t="n">
        <v>8589.39</v>
      </c>
      <c r="M180" s="15" t="n">
        <f aca="false">L180-K180</f>
        <v>0</v>
      </c>
      <c r="N180" s="14" t="s">
        <v>51</v>
      </c>
      <c r="O180" s="14" t="s">
        <v>52</v>
      </c>
    </row>
    <row r="181" customFormat="false" ht="15" hidden="false" customHeight="false" outlineLevel="0" collapsed="false">
      <c r="A181" s="3" t="s">
        <v>4112</v>
      </c>
      <c r="B181" s="3" t="s">
        <v>4314</v>
      </c>
      <c r="C181" s="3" t="s">
        <v>85</v>
      </c>
      <c r="D181" s="3" t="s">
        <v>3259</v>
      </c>
      <c r="E181" s="3" t="s">
        <v>157</v>
      </c>
      <c r="F181" s="12" t="n">
        <v>250000</v>
      </c>
      <c r="G181" s="13" t="n">
        <v>0.88</v>
      </c>
      <c r="H181" s="13" t="n">
        <v>1.28</v>
      </c>
      <c r="I181" s="13" t="n">
        <v>0.7648</v>
      </c>
      <c r="J181" s="13" t="n">
        <v>0.53</v>
      </c>
      <c r="K181" s="12" t="n">
        <f aca="false">ROUND(F181/100*G181*H181*I181/J181,2)</f>
        <v>4063.54</v>
      </c>
      <c r="L181" s="12" t="n">
        <v>4063.54</v>
      </c>
      <c r="M181" s="12" t="n">
        <f aca="false">L181-K181</f>
        <v>0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4122</v>
      </c>
      <c r="B182" s="14" t="s">
        <v>4315</v>
      </c>
      <c r="C182" s="14" t="s">
        <v>145</v>
      </c>
      <c r="D182" s="14" t="s">
        <v>1637</v>
      </c>
      <c r="E182" s="14" t="s">
        <v>56</v>
      </c>
      <c r="F182" s="15" t="n">
        <v>340000</v>
      </c>
      <c r="G182" s="16" t="n">
        <v>0.75</v>
      </c>
      <c r="H182" s="16" t="n">
        <v>0.96</v>
      </c>
      <c r="I182" s="16" t="n">
        <v>0.7648</v>
      </c>
      <c r="J182" s="16" t="n">
        <v>0.53</v>
      </c>
      <c r="K182" s="15" t="n">
        <f aca="false">ROUND(F182/100*G182*H182*I182/J182,2)</f>
        <v>3532.51</v>
      </c>
      <c r="L182" s="15" t="n">
        <v>3532.51</v>
      </c>
      <c r="M182" s="15" t="n">
        <f aca="false">L182-K182</f>
        <v>0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4079</v>
      </c>
      <c r="B183" s="3" t="s">
        <v>4316</v>
      </c>
      <c r="C183" s="3" t="s">
        <v>230</v>
      </c>
      <c r="D183" s="3" t="s">
        <v>1496</v>
      </c>
      <c r="E183" s="3" t="s">
        <v>56</v>
      </c>
      <c r="F183" s="12" t="n">
        <v>820000</v>
      </c>
      <c r="G183" s="13" t="n">
        <v>0.65</v>
      </c>
      <c r="H183" s="13" t="n">
        <v>1.09</v>
      </c>
      <c r="I183" s="13" t="n">
        <v>0.7648</v>
      </c>
      <c r="J183" s="13" t="n">
        <v>0.53</v>
      </c>
      <c r="K183" s="12" t="n">
        <f aca="false">ROUND(F183/100*G183*H183*I183/J183,2)</f>
        <v>8383.51</v>
      </c>
      <c r="L183" s="12" t="n">
        <v>8383.51</v>
      </c>
      <c r="M183" s="12" t="n">
        <f aca="false">L183-K183</f>
        <v>0</v>
      </c>
      <c r="N183" s="3" t="s">
        <v>70</v>
      </c>
      <c r="O183" s="3" t="s">
        <v>52</v>
      </c>
    </row>
    <row r="184" customFormat="false" ht="15" hidden="false" customHeight="false" outlineLevel="0" collapsed="false">
      <c r="A184" s="14" t="s">
        <v>4204</v>
      </c>
      <c r="B184" s="14" t="s">
        <v>4317</v>
      </c>
      <c r="C184" s="14" t="s">
        <v>64</v>
      </c>
      <c r="D184" s="14" t="s">
        <v>4318</v>
      </c>
      <c r="E184" s="14" t="s">
        <v>133</v>
      </c>
      <c r="F184" s="15" t="n">
        <v>1950000</v>
      </c>
      <c r="G184" s="16" t="n">
        <v>0.34</v>
      </c>
      <c r="H184" s="16" t="n">
        <v>1.17</v>
      </c>
      <c r="I184" s="16" t="n">
        <v>0.7648</v>
      </c>
      <c r="J184" s="16" t="n">
        <v>0.53</v>
      </c>
      <c r="K184" s="15" t="n">
        <f aca="false">ROUND(F184/100*G184*H184*I184/J184,2)</f>
        <v>11193.64</v>
      </c>
      <c r="L184" s="15" t="n">
        <v>11193.64</v>
      </c>
      <c r="M184" s="15" t="n">
        <f aca="false">L184-K184</f>
        <v>0</v>
      </c>
      <c r="N184" s="14" t="s">
        <v>70</v>
      </c>
      <c r="O184" s="14" t="s">
        <v>52</v>
      </c>
    </row>
    <row r="185" customFormat="false" ht="15" hidden="false" customHeight="false" outlineLevel="0" collapsed="false">
      <c r="A185" s="3" t="s">
        <v>4079</v>
      </c>
      <c r="B185" s="3" t="s">
        <v>4319</v>
      </c>
      <c r="C185" s="3" t="s">
        <v>210</v>
      </c>
      <c r="D185" s="3" t="s">
        <v>810</v>
      </c>
      <c r="E185" s="3" t="s">
        <v>56</v>
      </c>
      <c r="F185" s="12" t="n">
        <v>520000</v>
      </c>
      <c r="G185" s="13" t="n">
        <v>0.65</v>
      </c>
      <c r="H185" s="13" t="n">
        <v>1.21</v>
      </c>
      <c r="I185" s="13" t="n">
        <v>0.7648</v>
      </c>
      <c r="J185" s="13" t="n">
        <v>0.53</v>
      </c>
      <c r="K185" s="12" t="n">
        <f aca="false">ROUND(F185/100*G185*H185*I185/J185,2)</f>
        <v>5901.66</v>
      </c>
      <c r="L185" s="12" t="n">
        <v>5901.66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4129</v>
      </c>
      <c r="B186" s="14" t="s">
        <v>4320</v>
      </c>
      <c r="C186" s="14" t="s">
        <v>145</v>
      </c>
      <c r="D186" s="14" t="s">
        <v>3065</v>
      </c>
      <c r="E186" s="14" t="s">
        <v>50</v>
      </c>
      <c r="F186" s="15" t="n">
        <v>890000</v>
      </c>
      <c r="G186" s="16" t="n">
        <v>0.95</v>
      </c>
      <c r="H186" s="16" t="n">
        <v>0.96</v>
      </c>
      <c r="I186" s="16" t="n">
        <v>0.7648</v>
      </c>
      <c r="J186" s="16" t="n">
        <v>0.53</v>
      </c>
      <c r="K186" s="15" t="n">
        <f aca="false">ROUND(F186/100*G186*H186*I186/J186,2)</f>
        <v>11712.7</v>
      </c>
      <c r="L186" s="15" t="n">
        <v>11712.7</v>
      </c>
      <c r="M186" s="15" t="n">
        <f aca="false">L186-K186</f>
        <v>0</v>
      </c>
      <c r="N186" s="14" t="s">
        <v>51</v>
      </c>
      <c r="O186" s="14" t="s">
        <v>52</v>
      </c>
    </row>
    <row r="187" customFormat="false" ht="15" hidden="false" customHeight="false" outlineLevel="0" collapsed="false">
      <c r="A187" s="3" t="s">
        <v>4095</v>
      </c>
      <c r="B187" s="3" t="s">
        <v>4321</v>
      </c>
      <c r="C187" s="3" t="s">
        <v>93</v>
      </c>
      <c r="D187" s="3" t="s">
        <v>3624</v>
      </c>
      <c r="E187" s="3" t="s">
        <v>50</v>
      </c>
      <c r="F187" s="12" t="n">
        <v>1950000</v>
      </c>
      <c r="G187" s="13" t="n">
        <v>0.8</v>
      </c>
      <c r="H187" s="13" t="n">
        <v>1.39</v>
      </c>
      <c r="I187" s="13" t="n">
        <v>0.7648</v>
      </c>
      <c r="J187" s="13" t="n">
        <v>0.53</v>
      </c>
      <c r="K187" s="12" t="n">
        <f aca="false">ROUND(F187/100*G187*H187*I187/J187,2)</f>
        <v>31290.42</v>
      </c>
      <c r="L187" s="12" t="n">
        <v>31290.42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4168</v>
      </c>
      <c r="B188" s="14" t="s">
        <v>4322</v>
      </c>
      <c r="C188" s="14" t="s">
        <v>230</v>
      </c>
      <c r="D188" s="14" t="s">
        <v>642</v>
      </c>
      <c r="E188" s="14" t="s">
        <v>56</v>
      </c>
      <c r="F188" s="15" t="n">
        <v>1070000</v>
      </c>
      <c r="G188" s="16" t="n">
        <v>0.55</v>
      </c>
      <c r="H188" s="16" t="n">
        <v>1.09</v>
      </c>
      <c r="I188" s="16" t="n">
        <v>0.7648</v>
      </c>
      <c r="J188" s="16" t="n">
        <v>0.53</v>
      </c>
      <c r="K188" s="15" t="n">
        <f aca="false">ROUND(F188/100*G188*H188*I188/J188,2)</f>
        <v>9256.46</v>
      </c>
      <c r="L188" s="15" t="n">
        <v>9256.46</v>
      </c>
      <c r="M188" s="15" t="n">
        <f aca="false">L188-K188</f>
        <v>0</v>
      </c>
      <c r="N188" s="14" t="s">
        <v>61</v>
      </c>
      <c r="O188" s="14" t="s">
        <v>62</v>
      </c>
    </row>
    <row r="189" customFormat="false" ht="15" hidden="false" customHeight="false" outlineLevel="0" collapsed="false">
      <c r="A189" s="3" t="s">
        <v>4151</v>
      </c>
      <c r="B189" s="3" t="s">
        <v>4323</v>
      </c>
      <c r="C189" s="3" t="s">
        <v>128</v>
      </c>
      <c r="D189" s="3" t="s">
        <v>1718</v>
      </c>
      <c r="E189" s="3" t="s">
        <v>74</v>
      </c>
      <c r="F189" s="12" t="n">
        <v>870000</v>
      </c>
      <c r="G189" s="13" t="n">
        <v>0.43</v>
      </c>
      <c r="H189" s="13" t="n">
        <v>1.25</v>
      </c>
      <c r="I189" s="13" t="n">
        <v>0.7648</v>
      </c>
      <c r="J189" s="13" t="n">
        <v>0.53</v>
      </c>
      <c r="K189" s="12" t="n">
        <f aca="false">ROUND(F189/100*G189*H189*I189/J189,2)</f>
        <v>6747.92</v>
      </c>
      <c r="L189" s="12" t="n">
        <v>6747.91</v>
      </c>
      <c r="M189" s="12" t="n">
        <f aca="false">L189-K189</f>
        <v>-0.0100000000002183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4131</v>
      </c>
      <c r="B190" s="14" t="s">
        <v>4324</v>
      </c>
      <c r="C190" s="14" t="s">
        <v>93</v>
      </c>
      <c r="D190" s="14" t="s">
        <v>888</v>
      </c>
      <c r="E190" s="14" t="s">
        <v>56</v>
      </c>
      <c r="F190" s="15" t="n">
        <v>410000</v>
      </c>
      <c r="G190" s="16" t="n">
        <v>0.75</v>
      </c>
      <c r="H190" s="16" t="n">
        <v>1.39</v>
      </c>
      <c r="I190" s="16" t="n">
        <v>0.7648</v>
      </c>
      <c r="J190" s="16" t="n">
        <v>0.53</v>
      </c>
      <c r="K190" s="15" t="n">
        <f aca="false">ROUND(F190/100*G190*H190*I190/J190,2)</f>
        <v>6167.82</v>
      </c>
      <c r="L190" s="15" t="n">
        <v>6167.82</v>
      </c>
      <c r="M190" s="15" t="n">
        <f aca="false">L190-K190</f>
        <v>0</v>
      </c>
      <c r="N190" s="14" t="s">
        <v>51</v>
      </c>
      <c r="O190" s="14" t="s">
        <v>52</v>
      </c>
    </row>
    <row r="191" customFormat="false" ht="15" hidden="false" customHeight="false" outlineLevel="0" collapsed="false">
      <c r="A191" s="3" t="s">
        <v>4138</v>
      </c>
      <c r="B191" s="3" t="s">
        <v>4325</v>
      </c>
      <c r="C191" s="3" t="s">
        <v>409</v>
      </c>
      <c r="D191" s="3" t="s">
        <v>1335</v>
      </c>
      <c r="E191" s="3" t="s">
        <v>56</v>
      </c>
      <c r="F191" s="12" t="n">
        <v>820000</v>
      </c>
      <c r="G191" s="13" t="n">
        <v>0.65</v>
      </c>
      <c r="H191" s="13" t="n">
        <v>1.3</v>
      </c>
      <c r="I191" s="13" t="n">
        <v>0.7648</v>
      </c>
      <c r="J191" s="13" t="n">
        <v>0.53</v>
      </c>
      <c r="K191" s="12" t="n">
        <f aca="false">ROUND(F191/100*G191*H191*I191/J191,2)</f>
        <v>9998.68</v>
      </c>
      <c r="L191" s="12" t="n">
        <v>9998.67</v>
      </c>
      <c r="M191" s="12" t="n">
        <f aca="false">L191-K191</f>
        <v>-0.0100000000002183</v>
      </c>
      <c r="N191" s="3" t="s">
        <v>61</v>
      </c>
      <c r="O191" s="3" t="s">
        <v>62</v>
      </c>
    </row>
    <row r="192" customFormat="false" ht="15" hidden="false" customHeight="false" outlineLevel="0" collapsed="false">
      <c r="A192" s="14" t="s">
        <v>4098</v>
      </c>
      <c r="B192" s="14" t="s">
        <v>4326</v>
      </c>
      <c r="C192" s="14" t="s">
        <v>159</v>
      </c>
      <c r="D192" s="14" t="s">
        <v>4327</v>
      </c>
      <c r="E192" s="14" t="s">
        <v>157</v>
      </c>
      <c r="F192" s="15" t="n">
        <v>555000</v>
      </c>
      <c r="G192" s="16" t="n">
        <v>0.78</v>
      </c>
      <c r="H192" s="16" t="n">
        <v>1.15</v>
      </c>
      <c r="I192" s="16" t="n">
        <v>0.7648</v>
      </c>
      <c r="J192" s="16" t="n">
        <v>0.53</v>
      </c>
      <c r="K192" s="15" t="n">
        <f aca="false">ROUND(F192/100*G192*H192*I192/J192,2)</f>
        <v>7183.85</v>
      </c>
      <c r="L192" s="15" t="n">
        <v>7183.85</v>
      </c>
      <c r="M192" s="15" t="n">
        <f aca="false">L192-K192</f>
        <v>0</v>
      </c>
      <c r="N192" s="14" t="s">
        <v>70</v>
      </c>
      <c r="O192" s="14" t="s">
        <v>52</v>
      </c>
    </row>
    <row r="193" customFormat="false" ht="15" hidden="false" customHeight="false" outlineLevel="0" collapsed="false">
      <c r="A193" s="3" t="s">
        <v>4088</v>
      </c>
      <c r="B193" s="3" t="s">
        <v>4328</v>
      </c>
      <c r="C193" s="3" t="s">
        <v>210</v>
      </c>
      <c r="D193" s="3" t="s">
        <v>1335</v>
      </c>
      <c r="E193" s="3" t="s">
        <v>56</v>
      </c>
      <c r="F193" s="12" t="n">
        <v>370000</v>
      </c>
      <c r="G193" s="13" t="n">
        <v>0.75</v>
      </c>
      <c r="H193" s="13" t="n">
        <v>1.21</v>
      </c>
      <c r="I193" s="13" t="n">
        <v>0.7648</v>
      </c>
      <c r="J193" s="13" t="n">
        <v>0.53</v>
      </c>
      <c r="K193" s="12" t="n">
        <f aca="false">ROUND(F193/100*G193*H193*I193/J193,2)</f>
        <v>4845.3</v>
      </c>
      <c r="L193" s="12" t="n">
        <v>4845.3</v>
      </c>
      <c r="M193" s="12" t="n">
        <f aca="false">L193-K193</f>
        <v>0</v>
      </c>
      <c r="N193" s="3" t="s">
        <v>61</v>
      </c>
      <c r="O193" s="3" t="s">
        <v>62</v>
      </c>
    </row>
    <row r="194" customFormat="false" ht="15" hidden="false" customHeight="false" outlineLevel="0" collapsed="false">
      <c r="A194" s="14" t="s">
        <v>4093</v>
      </c>
      <c r="B194" s="14" t="s">
        <v>4329</v>
      </c>
      <c r="C194" s="14" t="s">
        <v>48</v>
      </c>
      <c r="D194" s="14" t="s">
        <v>4330</v>
      </c>
      <c r="E194" s="14" t="s">
        <v>133</v>
      </c>
      <c r="F194" s="15" t="n">
        <v>1950000</v>
      </c>
      <c r="G194" s="16" t="n">
        <v>0.34</v>
      </c>
      <c r="H194" s="16" t="n">
        <v>1.28</v>
      </c>
      <c r="I194" s="16" t="n">
        <v>0.7648</v>
      </c>
      <c r="J194" s="16" t="n">
        <v>0.53</v>
      </c>
      <c r="K194" s="15" t="n">
        <f aca="false">ROUND(F194/100*G194*H194*I194/J194,2)</f>
        <v>12246.04</v>
      </c>
      <c r="L194" s="15" t="n">
        <v>12246.04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4110</v>
      </c>
      <c r="B195" s="3" t="s">
        <v>4331</v>
      </c>
      <c r="C195" s="3" t="s">
        <v>117</v>
      </c>
      <c r="D195" s="3" t="s">
        <v>728</v>
      </c>
      <c r="E195" s="3" t="s">
        <v>56</v>
      </c>
      <c r="F195" s="12" t="n">
        <v>225000</v>
      </c>
      <c r="G195" s="13" t="n">
        <v>0.92</v>
      </c>
      <c r="H195" s="13" t="n">
        <v>0.91</v>
      </c>
      <c r="I195" s="13" t="n">
        <v>0.7648</v>
      </c>
      <c r="J195" s="13" t="n">
        <v>0.53</v>
      </c>
      <c r="K195" s="12" t="n">
        <f aca="false">ROUND(F195/100*G195*H195*I195/J195,2)</f>
        <v>2718.21</v>
      </c>
      <c r="L195" s="12" t="n">
        <v>2718.21</v>
      </c>
      <c r="M195" s="12" t="n">
        <f aca="false">L195-K195</f>
        <v>0</v>
      </c>
      <c r="N195" s="3" t="s">
        <v>61</v>
      </c>
      <c r="O195" s="3" t="s">
        <v>62</v>
      </c>
    </row>
    <row r="196" customFormat="false" ht="15" hidden="false" customHeight="false" outlineLevel="0" collapsed="false">
      <c r="A196" s="14" t="s">
        <v>4129</v>
      </c>
      <c r="B196" s="14" t="s">
        <v>4332</v>
      </c>
      <c r="C196" s="14" t="s">
        <v>184</v>
      </c>
      <c r="D196" s="14" t="s">
        <v>1276</v>
      </c>
      <c r="E196" s="14" t="s">
        <v>56</v>
      </c>
      <c r="F196" s="15" t="n">
        <v>290000</v>
      </c>
      <c r="G196" s="16" t="n">
        <v>0.75</v>
      </c>
      <c r="H196" s="16" t="n">
        <v>1.02</v>
      </c>
      <c r="I196" s="16" t="n">
        <v>0.7648</v>
      </c>
      <c r="J196" s="16" t="n">
        <v>0.53</v>
      </c>
      <c r="K196" s="15" t="n">
        <f aca="false">ROUND(F196/100*G196*H196*I196/J196,2)</f>
        <v>3201.34</v>
      </c>
      <c r="L196" s="15" t="n">
        <v>3201.34</v>
      </c>
      <c r="M196" s="15" t="n">
        <f aca="false">L196-K196</f>
        <v>0</v>
      </c>
      <c r="N196" s="14" t="s">
        <v>61</v>
      </c>
      <c r="O196" s="14" t="s">
        <v>62</v>
      </c>
    </row>
    <row r="197" customFormat="false" ht="15" hidden="false" customHeight="false" outlineLevel="0" collapsed="false">
      <c r="A197" s="3" t="s">
        <v>4204</v>
      </c>
      <c r="B197" s="3" t="s">
        <v>4333</v>
      </c>
      <c r="C197" s="3" t="s">
        <v>117</v>
      </c>
      <c r="D197" s="3" t="s">
        <v>296</v>
      </c>
      <c r="E197" s="3" t="s">
        <v>74</v>
      </c>
      <c r="F197" s="12" t="n">
        <v>280000</v>
      </c>
      <c r="G197" s="13" t="n">
        <v>0.48</v>
      </c>
      <c r="H197" s="13" t="n">
        <v>0.91</v>
      </c>
      <c r="I197" s="13" t="n">
        <v>0.7648</v>
      </c>
      <c r="J197" s="13" t="n">
        <v>0.53</v>
      </c>
      <c r="K197" s="12" t="n">
        <f aca="false">ROUND(F197/100*G197*H197*I197/J197,2)</f>
        <v>1764.87</v>
      </c>
      <c r="L197" s="12" t="n">
        <v>1764.87</v>
      </c>
      <c r="M197" s="12" t="n">
        <f aca="false">L197-K197</f>
        <v>0</v>
      </c>
      <c r="N197" s="3" t="s">
        <v>61</v>
      </c>
      <c r="O197" s="3" t="s">
        <v>62</v>
      </c>
    </row>
    <row r="198" customFormat="false" ht="15" hidden="false" customHeight="false" outlineLevel="0" collapsed="false">
      <c r="A198" s="14" t="s">
        <v>4124</v>
      </c>
      <c r="B198" s="14" t="s">
        <v>4334</v>
      </c>
      <c r="C198" s="14" t="s">
        <v>77</v>
      </c>
      <c r="D198" s="14" t="s">
        <v>360</v>
      </c>
      <c r="E198" s="14" t="s">
        <v>56</v>
      </c>
      <c r="F198" s="15" t="n">
        <v>800000</v>
      </c>
      <c r="G198" s="16" t="n">
        <v>0.65</v>
      </c>
      <c r="H198" s="16" t="n">
        <v>1.42</v>
      </c>
      <c r="I198" s="16" t="n">
        <v>0.7648</v>
      </c>
      <c r="J198" s="16" t="n">
        <v>0.53</v>
      </c>
      <c r="K198" s="15" t="n">
        <f aca="false">ROUND(F198/100*G198*H198*I198/J198,2)</f>
        <v>10655.25</v>
      </c>
      <c r="L198" s="15" t="n">
        <v>10655.25</v>
      </c>
      <c r="M198" s="15" t="n">
        <f aca="false">L198-K198</f>
        <v>0</v>
      </c>
      <c r="N198" s="14" t="s">
        <v>61</v>
      </c>
      <c r="O198" s="14" t="s">
        <v>62</v>
      </c>
    </row>
    <row r="199" customFormat="false" ht="15" hidden="false" customHeight="false" outlineLevel="0" collapsed="false">
      <c r="A199" s="3" t="s">
        <v>4112</v>
      </c>
      <c r="B199" s="3" t="s">
        <v>4335</v>
      </c>
      <c r="C199" s="3" t="s">
        <v>159</v>
      </c>
      <c r="D199" s="3" t="s">
        <v>1786</v>
      </c>
      <c r="E199" s="3" t="s">
        <v>56</v>
      </c>
      <c r="F199" s="12" t="n">
        <v>390000</v>
      </c>
      <c r="G199" s="13" t="n">
        <v>0.75</v>
      </c>
      <c r="H199" s="13" t="n">
        <v>1.15</v>
      </c>
      <c r="I199" s="13" t="n">
        <v>0.7648</v>
      </c>
      <c r="J199" s="13" t="n">
        <v>0.53</v>
      </c>
      <c r="K199" s="12" t="n">
        <f aca="false">ROUND(F199/100*G199*H199*I199/J199,2)</f>
        <v>4853.95</v>
      </c>
      <c r="L199" s="12" t="n">
        <v>4853.96</v>
      </c>
      <c r="M199" s="12" t="n">
        <f aca="false">L199-K199</f>
        <v>0.0100000000002183</v>
      </c>
      <c r="N199" s="3" t="s">
        <v>61</v>
      </c>
      <c r="O199" s="3" t="s">
        <v>62</v>
      </c>
    </row>
    <row r="200" customFormat="false" ht="15" hidden="false" customHeight="false" outlineLevel="0" collapsed="false">
      <c r="A200" s="14" t="s">
        <v>4129</v>
      </c>
      <c r="B200" s="14" t="s">
        <v>4336</v>
      </c>
      <c r="C200" s="14" t="s">
        <v>462</v>
      </c>
      <c r="D200" s="14" t="s">
        <v>648</v>
      </c>
      <c r="E200" s="14" t="s">
        <v>56</v>
      </c>
      <c r="F200" s="15" t="n">
        <v>520000</v>
      </c>
      <c r="G200" s="16" t="n">
        <v>0.65</v>
      </c>
      <c r="H200" s="16" t="n">
        <v>1.34</v>
      </c>
      <c r="I200" s="16" t="n">
        <v>0.7648</v>
      </c>
      <c r="J200" s="16" t="n">
        <v>0.53</v>
      </c>
      <c r="K200" s="15" t="n">
        <f aca="false">ROUND(F200/100*G200*H200*I200/J200,2)</f>
        <v>6535.72</v>
      </c>
      <c r="L200" s="15" t="n">
        <v>6535.72</v>
      </c>
      <c r="M200" s="15" t="n">
        <f aca="false">L200-K200</f>
        <v>0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4122</v>
      </c>
      <c r="B201" s="3" t="s">
        <v>4337</v>
      </c>
      <c r="C201" s="3" t="s">
        <v>266</v>
      </c>
      <c r="D201" s="3" t="s">
        <v>2721</v>
      </c>
      <c r="E201" s="3" t="s">
        <v>50</v>
      </c>
      <c r="F201" s="12" t="n">
        <v>835000</v>
      </c>
      <c r="G201" s="13" t="n">
        <v>0.95</v>
      </c>
      <c r="H201" s="13" t="n">
        <v>1.1</v>
      </c>
      <c r="I201" s="13" t="n">
        <v>0.7648</v>
      </c>
      <c r="J201" s="13" t="n">
        <v>0.53</v>
      </c>
      <c r="K201" s="12" t="n">
        <f aca="false">ROUND(F201/100*G201*H201*I201/J201,2)</f>
        <v>12591.42</v>
      </c>
      <c r="L201" s="12" t="n">
        <v>12591.42</v>
      </c>
      <c r="M201" s="12" t="n">
        <f aca="false">L201-K201</f>
        <v>0</v>
      </c>
      <c r="N201" s="3" t="s">
        <v>51</v>
      </c>
      <c r="O201" s="3" t="s">
        <v>52</v>
      </c>
    </row>
    <row r="202" customFormat="false" ht="15" hidden="false" customHeight="false" outlineLevel="0" collapsed="false">
      <c r="A202" s="14" t="s">
        <v>4105</v>
      </c>
      <c r="B202" s="14" t="s">
        <v>4338</v>
      </c>
      <c r="C202" s="14" t="s">
        <v>159</v>
      </c>
      <c r="D202" s="14" t="s">
        <v>423</v>
      </c>
      <c r="E202" s="14" t="s">
        <v>56</v>
      </c>
      <c r="F202" s="15" t="n">
        <v>505000</v>
      </c>
      <c r="G202" s="16" t="n">
        <v>0.65</v>
      </c>
      <c r="H202" s="16" t="n">
        <v>1.15</v>
      </c>
      <c r="I202" s="16" t="n">
        <v>0.7648</v>
      </c>
      <c r="J202" s="16" t="n">
        <v>0.53</v>
      </c>
      <c r="K202" s="15" t="n">
        <f aca="false">ROUND(F202/100*G202*H202*I202/J202,2)</f>
        <v>5447.22</v>
      </c>
      <c r="L202" s="15" t="n">
        <v>5447.22</v>
      </c>
      <c r="M202" s="15" t="n">
        <f aca="false">L202-K202</f>
        <v>0</v>
      </c>
      <c r="N202" s="14" t="s">
        <v>61</v>
      </c>
      <c r="O202" s="14" t="s">
        <v>62</v>
      </c>
    </row>
    <row r="203" customFormat="false" ht="15" hidden="false" customHeight="false" outlineLevel="0" collapsed="false">
      <c r="A203" s="3" t="s">
        <v>4100</v>
      </c>
      <c r="B203" s="3" t="s">
        <v>4339</v>
      </c>
      <c r="C203" s="3" t="s">
        <v>114</v>
      </c>
      <c r="D203" s="3" t="s">
        <v>1323</v>
      </c>
      <c r="E203" s="3" t="s">
        <v>50</v>
      </c>
      <c r="F203" s="12" t="n">
        <v>885000</v>
      </c>
      <c r="G203" s="13" t="n">
        <v>0.95</v>
      </c>
      <c r="H203" s="13" t="n">
        <v>1.36</v>
      </c>
      <c r="I203" s="13" t="n">
        <v>0.7648</v>
      </c>
      <c r="J203" s="13" t="n">
        <v>0.53</v>
      </c>
      <c r="K203" s="12" t="n">
        <f aca="false">ROUND(F203/100*G203*H203*I203/J203,2)</f>
        <v>16499.77</v>
      </c>
      <c r="L203" s="12" t="n">
        <v>16499.76</v>
      </c>
      <c r="M203" s="12" t="n">
        <f aca="false">L203-K203</f>
        <v>-0.0100000000020373</v>
      </c>
      <c r="N203" s="3" t="s">
        <v>61</v>
      </c>
      <c r="O203" s="3" t="s">
        <v>62</v>
      </c>
    </row>
    <row r="204" customFormat="false" ht="15" hidden="false" customHeight="false" outlineLevel="0" collapsed="false">
      <c r="A204" s="14" t="s">
        <v>4129</v>
      </c>
      <c r="B204" s="14" t="s">
        <v>4340</v>
      </c>
      <c r="C204" s="14" t="s">
        <v>159</v>
      </c>
      <c r="D204" s="14" t="s">
        <v>814</v>
      </c>
      <c r="E204" s="14" t="s">
        <v>56</v>
      </c>
      <c r="F204" s="15" t="n">
        <v>695000</v>
      </c>
      <c r="G204" s="16" t="n">
        <v>0.65</v>
      </c>
      <c r="H204" s="16" t="n">
        <v>1.15</v>
      </c>
      <c r="I204" s="16" t="n">
        <v>0.7648</v>
      </c>
      <c r="J204" s="16" t="n">
        <v>0.53</v>
      </c>
      <c r="K204" s="15" t="n">
        <f aca="false">ROUND(F204/100*G204*H204*I204/J204,2)</f>
        <v>7496.66</v>
      </c>
      <c r="L204" s="15" t="n">
        <v>7496.66</v>
      </c>
      <c r="M204" s="15" t="n">
        <f aca="false">L204-K204</f>
        <v>0</v>
      </c>
      <c r="N204" s="14" t="s">
        <v>51</v>
      </c>
      <c r="O204" s="14" t="s">
        <v>52</v>
      </c>
    </row>
    <row r="205" customFormat="false" ht="15" hidden="false" customHeight="false" outlineLevel="0" collapsed="false">
      <c r="A205" s="3" t="s">
        <v>4124</v>
      </c>
      <c r="B205" s="3" t="s">
        <v>4341</v>
      </c>
      <c r="C205" s="3" t="s">
        <v>77</v>
      </c>
      <c r="D205" s="3" t="s">
        <v>1442</v>
      </c>
      <c r="E205" s="3" t="s">
        <v>50</v>
      </c>
      <c r="F205" s="12" t="n">
        <v>1950000</v>
      </c>
      <c r="G205" s="13" t="n">
        <v>0.8</v>
      </c>
      <c r="H205" s="13" t="n">
        <v>1.42</v>
      </c>
      <c r="I205" s="13" t="n">
        <v>0.7648</v>
      </c>
      <c r="J205" s="13" t="n">
        <v>0.53</v>
      </c>
      <c r="K205" s="12" t="n">
        <f aca="false">ROUND(F205/100*G205*H205*I205/J205,2)</f>
        <v>31965.75</v>
      </c>
      <c r="L205" s="12" t="n">
        <v>31965.76</v>
      </c>
      <c r="M205" s="12" t="n">
        <f aca="false">L205-K205</f>
        <v>0.00999999999839929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4079</v>
      </c>
      <c r="B206" s="14" t="s">
        <v>4342</v>
      </c>
      <c r="C206" s="14" t="s">
        <v>462</v>
      </c>
      <c r="D206" s="14" t="s">
        <v>3427</v>
      </c>
      <c r="E206" s="14" t="s">
        <v>133</v>
      </c>
      <c r="F206" s="15" t="n">
        <v>995000</v>
      </c>
      <c r="G206" s="16" t="n">
        <v>0.38</v>
      </c>
      <c r="H206" s="16" t="n">
        <v>1.34</v>
      </c>
      <c r="I206" s="16" t="n">
        <v>0.7648</v>
      </c>
      <c r="J206" s="16" t="n">
        <v>0.53</v>
      </c>
      <c r="K206" s="15" t="n">
        <f aca="false">ROUND(F206/100*G206*H206*I206/J206,2)</f>
        <v>7311.11</v>
      </c>
      <c r="L206" s="15" t="n">
        <v>7311.11</v>
      </c>
      <c r="M206" s="15" t="n">
        <f aca="false">L206-K206</f>
        <v>0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4127</v>
      </c>
      <c r="B207" s="3" t="s">
        <v>4343</v>
      </c>
      <c r="C207" s="3" t="s">
        <v>48</v>
      </c>
      <c r="D207" s="3" t="s">
        <v>318</v>
      </c>
      <c r="E207" s="3" t="s">
        <v>56</v>
      </c>
      <c r="F207" s="12" t="n">
        <v>805000</v>
      </c>
      <c r="G207" s="13" t="n">
        <v>0.65</v>
      </c>
      <c r="H207" s="13" t="n">
        <v>1.28</v>
      </c>
      <c r="I207" s="13" t="n">
        <v>0.7648</v>
      </c>
      <c r="J207" s="13" t="n">
        <v>0.53</v>
      </c>
      <c r="K207" s="12" t="n">
        <f aca="false">ROUND(F207/100*G207*H207*I207/J207,2)</f>
        <v>9664.76</v>
      </c>
      <c r="L207" s="12" t="n">
        <v>9664.76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4086</v>
      </c>
      <c r="B208" s="14" t="s">
        <v>4344</v>
      </c>
      <c r="C208" s="14" t="s">
        <v>295</v>
      </c>
      <c r="D208" s="14" t="s">
        <v>2653</v>
      </c>
      <c r="E208" s="14" t="s">
        <v>56</v>
      </c>
      <c r="F208" s="15" t="n">
        <v>650000</v>
      </c>
      <c r="G208" s="16" t="n">
        <v>0.65</v>
      </c>
      <c r="H208" s="16" t="n">
        <v>1.2</v>
      </c>
      <c r="I208" s="16" t="n">
        <v>0.7648</v>
      </c>
      <c r="J208" s="16" t="n">
        <v>0.53</v>
      </c>
      <c r="K208" s="15" t="n">
        <f aca="false">ROUND(F208/100*G208*H208*I208/J208,2)</f>
        <v>7316.11</v>
      </c>
      <c r="L208" s="15" t="n">
        <v>7316.11</v>
      </c>
      <c r="M208" s="15" t="n">
        <f aca="false">L208-K208</f>
        <v>0</v>
      </c>
      <c r="N208" s="14" t="s">
        <v>61</v>
      </c>
      <c r="O208" s="14" t="s">
        <v>62</v>
      </c>
    </row>
    <row r="209" customFormat="false" ht="15" hidden="false" customHeight="false" outlineLevel="0" collapsed="false">
      <c r="A209" s="3" t="s">
        <v>4188</v>
      </c>
      <c r="B209" s="3" t="s">
        <v>4345</v>
      </c>
      <c r="C209" s="3" t="s">
        <v>409</v>
      </c>
      <c r="D209" s="3" t="s">
        <v>354</v>
      </c>
      <c r="E209" s="3" t="s">
        <v>56</v>
      </c>
      <c r="F209" s="12" t="n">
        <v>585000</v>
      </c>
      <c r="G209" s="13" t="n">
        <v>0.65</v>
      </c>
      <c r="H209" s="13" t="n">
        <v>1.3</v>
      </c>
      <c r="I209" s="13" t="n">
        <v>0.7648</v>
      </c>
      <c r="J209" s="13" t="n">
        <v>0.53</v>
      </c>
      <c r="K209" s="12" t="n">
        <f aca="false">ROUND(F209/100*G209*H209*I209/J209,2)</f>
        <v>7133.2</v>
      </c>
      <c r="L209" s="12" t="n">
        <v>7133.21</v>
      </c>
      <c r="M209" s="12" t="n">
        <f aca="false">L209-K209</f>
        <v>0.0100000000002183</v>
      </c>
      <c r="N209" s="3" t="s">
        <v>51</v>
      </c>
      <c r="O209" s="3" t="s">
        <v>52</v>
      </c>
    </row>
    <row r="210" customFormat="false" ht="15" hidden="false" customHeight="false" outlineLevel="0" collapsed="false">
      <c r="A210" s="14" t="s">
        <v>4134</v>
      </c>
      <c r="B210" s="14" t="s">
        <v>4346</v>
      </c>
      <c r="C210" s="14" t="s">
        <v>105</v>
      </c>
      <c r="D210" s="14" t="s">
        <v>885</v>
      </c>
      <c r="E210" s="14" t="s">
        <v>56</v>
      </c>
      <c r="F210" s="15" t="n">
        <v>1045000</v>
      </c>
      <c r="G210" s="16" t="n">
        <v>0.55</v>
      </c>
      <c r="H210" s="16" t="n">
        <v>0.99</v>
      </c>
      <c r="I210" s="16" t="n">
        <v>0.7648</v>
      </c>
      <c r="J210" s="16" t="n">
        <v>0.53</v>
      </c>
      <c r="K210" s="15" t="n">
        <f aca="false">ROUND(F210/100*G210*H210*I210/J210,2)</f>
        <v>8210.81</v>
      </c>
      <c r="L210" s="15" t="n">
        <v>8210.82</v>
      </c>
      <c r="M210" s="15" t="n">
        <f aca="false">L210-K210</f>
        <v>0.0100000000002183</v>
      </c>
      <c r="N210" s="14" t="s">
        <v>61</v>
      </c>
      <c r="O210" s="14" t="s">
        <v>62</v>
      </c>
    </row>
    <row r="211" customFormat="false" ht="15" hidden="false" customHeight="false" outlineLevel="0" collapsed="false">
      <c r="A211" s="3" t="s">
        <v>4108</v>
      </c>
      <c r="B211" s="3" t="s">
        <v>4347</v>
      </c>
      <c r="C211" s="3" t="s">
        <v>145</v>
      </c>
      <c r="D211" s="3" t="s">
        <v>385</v>
      </c>
      <c r="E211" s="3" t="s">
        <v>56</v>
      </c>
      <c r="F211" s="12" t="n">
        <v>315000</v>
      </c>
      <c r="G211" s="13" t="n">
        <v>0.75</v>
      </c>
      <c r="H211" s="13" t="n">
        <v>0.96</v>
      </c>
      <c r="I211" s="13" t="n">
        <v>0.7648</v>
      </c>
      <c r="J211" s="13" t="n">
        <v>0.53</v>
      </c>
      <c r="K211" s="12" t="n">
        <f aca="false">ROUND(F211/100*G211*H211*I211/J211,2)</f>
        <v>3272.77</v>
      </c>
      <c r="L211" s="12" t="n">
        <v>3272.77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4151</v>
      </c>
      <c r="B212" s="14" t="s">
        <v>4348</v>
      </c>
      <c r="C212" s="14" t="s">
        <v>300</v>
      </c>
      <c r="D212" s="14" t="s">
        <v>285</v>
      </c>
      <c r="E212" s="14" t="s">
        <v>56</v>
      </c>
      <c r="F212" s="15" t="n">
        <v>965000</v>
      </c>
      <c r="G212" s="16" t="n">
        <v>0.65</v>
      </c>
      <c r="H212" s="16" t="n">
        <v>1.11</v>
      </c>
      <c r="I212" s="16" t="n">
        <v>0.7648</v>
      </c>
      <c r="J212" s="16" t="n">
        <v>0.53</v>
      </c>
      <c r="K212" s="15" t="n">
        <f aca="false">ROUND(F212/100*G212*H212*I212/J212,2)</f>
        <v>10046.98</v>
      </c>
      <c r="L212" s="15" t="n">
        <v>10046.99</v>
      </c>
      <c r="M212" s="15" t="n">
        <f aca="false">L212-K212</f>
        <v>0.0100000000002183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4148</v>
      </c>
      <c r="B213" s="3" t="s">
        <v>4349</v>
      </c>
      <c r="C213" s="3" t="s">
        <v>224</v>
      </c>
      <c r="D213" s="3" t="s">
        <v>393</v>
      </c>
      <c r="E213" s="3" t="s">
        <v>50</v>
      </c>
      <c r="F213" s="12" t="n">
        <v>605000</v>
      </c>
      <c r="G213" s="13" t="n">
        <v>0.95</v>
      </c>
      <c r="H213" s="13" t="n">
        <v>1.1</v>
      </c>
      <c r="I213" s="13" t="n">
        <v>0.7648</v>
      </c>
      <c r="J213" s="13" t="n">
        <v>0.53</v>
      </c>
      <c r="K213" s="12" t="n">
        <f aca="false">ROUND(F213/100*G213*H213*I213/J213,2)</f>
        <v>9123.13</v>
      </c>
      <c r="L213" s="12" t="n">
        <v>9123.12</v>
      </c>
      <c r="M213" s="12" t="n">
        <f aca="false">L213-K213</f>
        <v>-0.00999999999839929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4088</v>
      </c>
      <c r="B214" s="14" t="s">
        <v>4350</v>
      </c>
      <c r="C214" s="14" t="s">
        <v>435</v>
      </c>
      <c r="D214" s="14" t="s">
        <v>865</v>
      </c>
      <c r="E214" s="14" t="s">
        <v>50</v>
      </c>
      <c r="F214" s="15" t="n">
        <v>465000</v>
      </c>
      <c r="G214" s="16" t="n">
        <v>1.15</v>
      </c>
      <c r="H214" s="16" t="n">
        <v>1.13</v>
      </c>
      <c r="I214" s="16" t="n">
        <v>0.7648</v>
      </c>
      <c r="J214" s="16" t="n">
        <v>0.53</v>
      </c>
      <c r="K214" s="15" t="n">
        <f aca="false">ROUND(F214/100*G214*H214*I214/J214,2)</f>
        <v>8719.69</v>
      </c>
      <c r="L214" s="15" t="n">
        <v>8719.69</v>
      </c>
      <c r="M214" s="15" t="n">
        <f aca="false">L214-K214</f>
        <v>0</v>
      </c>
      <c r="N214" s="14" t="s">
        <v>51</v>
      </c>
      <c r="O214" s="14" t="s">
        <v>52</v>
      </c>
    </row>
    <row r="215" customFormat="false" ht="15" hidden="false" customHeight="false" outlineLevel="0" collapsed="false">
      <c r="A215" s="3" t="s">
        <v>4204</v>
      </c>
      <c r="B215" s="3" t="s">
        <v>4351</v>
      </c>
      <c r="C215" s="3" t="s">
        <v>48</v>
      </c>
      <c r="D215" s="3" t="s">
        <v>1010</v>
      </c>
      <c r="E215" s="3" t="s">
        <v>56</v>
      </c>
      <c r="F215" s="12" t="n">
        <v>590000</v>
      </c>
      <c r="G215" s="13" t="n">
        <v>0.65</v>
      </c>
      <c r="H215" s="13" t="n">
        <v>1.28</v>
      </c>
      <c r="I215" s="13" t="n">
        <v>0.7648</v>
      </c>
      <c r="J215" s="13" t="n">
        <v>0.53</v>
      </c>
      <c r="K215" s="12" t="n">
        <f aca="false">ROUND(F215/100*G215*H215*I215/J215,2)</f>
        <v>7083.49</v>
      </c>
      <c r="L215" s="12" t="n">
        <v>7083.49</v>
      </c>
      <c r="M215" s="12" t="n">
        <f aca="false">L215-K215</f>
        <v>0</v>
      </c>
      <c r="N215" s="3" t="s">
        <v>61</v>
      </c>
      <c r="O215" s="3" t="s">
        <v>62</v>
      </c>
    </row>
    <row r="216" customFormat="false" ht="15" hidden="false" customHeight="false" outlineLevel="0" collapsed="false">
      <c r="A216" s="14" t="s">
        <v>4083</v>
      </c>
      <c r="B216" s="14" t="s">
        <v>4352</v>
      </c>
      <c r="C216" s="14" t="s">
        <v>48</v>
      </c>
      <c r="D216" s="14" t="s">
        <v>1146</v>
      </c>
      <c r="E216" s="14" t="s">
        <v>56</v>
      </c>
      <c r="F216" s="15" t="n">
        <v>680000</v>
      </c>
      <c r="G216" s="16" t="n">
        <v>0.65</v>
      </c>
      <c r="H216" s="16" t="n">
        <v>1.28</v>
      </c>
      <c r="I216" s="16" t="n">
        <v>0.7648</v>
      </c>
      <c r="J216" s="16" t="n">
        <v>0.53</v>
      </c>
      <c r="K216" s="15" t="n">
        <f aca="false">ROUND(F216/100*G216*H216*I216/J216,2)</f>
        <v>8164.02</v>
      </c>
      <c r="L216" s="15" t="n">
        <v>8164.03</v>
      </c>
      <c r="M216" s="15" t="n">
        <f aca="false">L216-K216</f>
        <v>0.00999999999930878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4168</v>
      </c>
      <c r="B217" s="3" t="s">
        <v>4353</v>
      </c>
      <c r="C217" s="3" t="s">
        <v>48</v>
      </c>
      <c r="D217" s="3" t="s">
        <v>118</v>
      </c>
      <c r="E217" s="3" t="s">
        <v>56</v>
      </c>
      <c r="F217" s="12" t="n">
        <v>335000</v>
      </c>
      <c r="G217" s="13" t="n">
        <v>0.75</v>
      </c>
      <c r="H217" s="13" t="n">
        <v>1.28</v>
      </c>
      <c r="I217" s="13" t="n">
        <v>0.7648</v>
      </c>
      <c r="J217" s="13" t="n">
        <v>0.53</v>
      </c>
      <c r="K217" s="12" t="n">
        <f aca="false">ROUND(F217/100*G217*H217*I217/J217,2)</f>
        <v>4640.75</v>
      </c>
      <c r="L217" s="12" t="n">
        <v>4640.75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4136</v>
      </c>
      <c r="B218" s="14" t="s">
        <v>4354</v>
      </c>
      <c r="C218" s="14" t="s">
        <v>89</v>
      </c>
      <c r="D218" s="14" t="s">
        <v>60</v>
      </c>
      <c r="E218" s="14" t="s">
        <v>56</v>
      </c>
      <c r="F218" s="15" t="n">
        <v>230000</v>
      </c>
      <c r="G218" s="16" t="n">
        <v>0.92</v>
      </c>
      <c r="H218" s="16" t="n">
        <v>1.35</v>
      </c>
      <c r="I218" s="16" t="n">
        <v>0.7648</v>
      </c>
      <c r="J218" s="16" t="n">
        <v>0.53</v>
      </c>
      <c r="K218" s="15" t="n">
        <f aca="false">ROUND(F218/100*G218*H218*I218/J218,2)</f>
        <v>4122.13</v>
      </c>
      <c r="L218" s="15" t="n">
        <v>4122.13</v>
      </c>
      <c r="M218" s="15" t="n">
        <f aca="false">L218-K218</f>
        <v>0</v>
      </c>
      <c r="N218" s="14" t="s">
        <v>70</v>
      </c>
      <c r="O218" s="14" t="s">
        <v>52</v>
      </c>
    </row>
    <row r="219" customFormat="false" ht="15" hidden="false" customHeight="false" outlineLevel="0" collapsed="false">
      <c r="A219" s="3" t="s">
        <v>4086</v>
      </c>
      <c r="B219" s="3" t="s">
        <v>4355</v>
      </c>
      <c r="C219" s="3" t="s">
        <v>117</v>
      </c>
      <c r="D219" s="3" t="s">
        <v>240</v>
      </c>
      <c r="E219" s="3" t="s">
        <v>56</v>
      </c>
      <c r="F219" s="12" t="n">
        <v>340000</v>
      </c>
      <c r="G219" s="13" t="n">
        <v>0.75</v>
      </c>
      <c r="H219" s="13" t="n">
        <v>0.91</v>
      </c>
      <c r="I219" s="13" t="n">
        <v>0.7648</v>
      </c>
      <c r="J219" s="13" t="n">
        <v>0.53</v>
      </c>
      <c r="K219" s="12" t="n">
        <f aca="false">ROUND(F219/100*G219*H219*I219/J219,2)</f>
        <v>3348.53</v>
      </c>
      <c r="L219" s="12" t="n">
        <v>3348.52</v>
      </c>
      <c r="M219" s="12" t="n">
        <f aca="false">L219-K219</f>
        <v>-0.0100000000002183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4115</v>
      </c>
      <c r="B220" s="14" t="s">
        <v>4356</v>
      </c>
      <c r="C220" s="14" t="s">
        <v>887</v>
      </c>
      <c r="D220" s="14" t="s">
        <v>143</v>
      </c>
      <c r="E220" s="14" t="s">
        <v>56</v>
      </c>
      <c r="F220" s="15" t="n">
        <v>285000</v>
      </c>
      <c r="G220" s="16" t="n">
        <v>0.75</v>
      </c>
      <c r="H220" s="16" t="n">
        <v>1.37</v>
      </c>
      <c r="I220" s="16" t="n">
        <v>0.7648</v>
      </c>
      <c r="J220" s="16" t="n">
        <v>0.53</v>
      </c>
      <c r="K220" s="15" t="n">
        <f aca="false">ROUND(F220/100*G220*H220*I220/J220,2)</f>
        <v>4225.7</v>
      </c>
      <c r="L220" s="15" t="n">
        <v>4225.7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4134</v>
      </c>
      <c r="B221" s="3" t="s">
        <v>4357</v>
      </c>
      <c r="C221" s="3" t="s">
        <v>409</v>
      </c>
      <c r="D221" s="3" t="s">
        <v>944</v>
      </c>
      <c r="E221" s="3" t="s">
        <v>56</v>
      </c>
      <c r="F221" s="12" t="n">
        <v>1185000</v>
      </c>
      <c r="G221" s="13" t="n">
        <v>0.55</v>
      </c>
      <c r="H221" s="13" t="n">
        <v>1.3</v>
      </c>
      <c r="I221" s="13" t="n">
        <v>0.7648</v>
      </c>
      <c r="J221" s="13" t="n">
        <v>0.53</v>
      </c>
      <c r="K221" s="12" t="n">
        <f aca="false">ROUND(F221/100*G221*H221*I221/J221,2)</f>
        <v>12226.34</v>
      </c>
      <c r="L221" s="12" t="n">
        <v>12226.34</v>
      </c>
      <c r="M221" s="12" t="n">
        <f aca="false">L221-K221</f>
        <v>0</v>
      </c>
      <c r="N221" s="3" t="s">
        <v>51</v>
      </c>
      <c r="O221" s="3" t="s">
        <v>52</v>
      </c>
    </row>
    <row r="222" customFormat="false" ht="15" hidden="false" customHeight="false" outlineLevel="0" collapsed="false">
      <c r="A222" s="14" t="s">
        <v>4118</v>
      </c>
      <c r="B222" s="14" t="s">
        <v>4358</v>
      </c>
      <c r="C222" s="14" t="s">
        <v>174</v>
      </c>
      <c r="D222" s="14" t="s">
        <v>2757</v>
      </c>
      <c r="E222" s="14" t="s">
        <v>56</v>
      </c>
      <c r="F222" s="15" t="n">
        <v>1375000</v>
      </c>
      <c r="G222" s="16" t="n">
        <v>0.55</v>
      </c>
      <c r="H222" s="16" t="n">
        <v>1.55</v>
      </c>
      <c r="I222" s="16" t="n">
        <v>0.7648</v>
      </c>
      <c r="J222" s="16" t="n">
        <v>0.53</v>
      </c>
      <c r="K222" s="15" t="n">
        <f aca="false">ROUND(F222/100*G222*H222*I222/J222,2)</f>
        <v>16914.89</v>
      </c>
      <c r="L222" s="15" t="n">
        <v>16914.89</v>
      </c>
      <c r="M222" s="15" t="n">
        <f aca="false">L222-K222</f>
        <v>0</v>
      </c>
      <c r="N222" s="14" t="s">
        <v>51</v>
      </c>
      <c r="O222" s="14" t="s">
        <v>52</v>
      </c>
    </row>
    <row r="223" customFormat="false" ht="15" hidden="false" customHeight="false" outlineLevel="0" collapsed="false">
      <c r="A223" s="3" t="s">
        <v>4159</v>
      </c>
      <c r="B223" s="3" t="s">
        <v>4359</v>
      </c>
      <c r="C223" s="3" t="s">
        <v>305</v>
      </c>
      <c r="D223" s="3" t="s">
        <v>427</v>
      </c>
      <c r="E223" s="3" t="s">
        <v>56</v>
      </c>
      <c r="F223" s="12" t="n">
        <v>500000</v>
      </c>
      <c r="G223" s="13" t="n">
        <v>0.65</v>
      </c>
      <c r="H223" s="13" t="n">
        <v>1.12</v>
      </c>
      <c r="I223" s="13" t="n">
        <v>0.7648</v>
      </c>
      <c r="J223" s="13" t="n">
        <v>0.53</v>
      </c>
      <c r="K223" s="12" t="n">
        <f aca="false">ROUND(F223/100*G223*H223*I223/J223,2)</f>
        <v>5252.59</v>
      </c>
      <c r="L223" s="12" t="n">
        <v>5252.59</v>
      </c>
      <c r="M223" s="12" t="n">
        <f aca="false">L223-K223</f>
        <v>0</v>
      </c>
      <c r="N223" s="3" t="s">
        <v>51</v>
      </c>
      <c r="O223" s="3" t="s">
        <v>52</v>
      </c>
    </row>
    <row r="224" customFormat="false" ht="15" hidden="false" customHeight="false" outlineLevel="0" collapsed="false">
      <c r="A224" s="14" t="s">
        <v>4079</v>
      </c>
      <c r="B224" s="14" t="s">
        <v>4360</v>
      </c>
      <c r="C224" s="14" t="s">
        <v>68</v>
      </c>
      <c r="D224" s="14" t="s">
        <v>3169</v>
      </c>
      <c r="E224" s="14" t="s">
        <v>74</v>
      </c>
      <c r="F224" s="15" t="n">
        <v>615000</v>
      </c>
      <c r="G224" s="16" t="n">
        <v>0.43</v>
      </c>
      <c r="H224" s="16" t="n">
        <v>1.38</v>
      </c>
      <c r="I224" s="16" t="n">
        <v>0.7648</v>
      </c>
      <c r="J224" s="16" t="n">
        <v>0.53</v>
      </c>
      <c r="K224" s="15" t="n">
        <f aca="false">ROUND(F224/100*G224*H224*I224/J224,2)</f>
        <v>5266.17</v>
      </c>
      <c r="L224" s="15" t="n">
        <v>5266.17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4086</v>
      </c>
      <c r="B225" s="3" t="s">
        <v>4361</v>
      </c>
      <c r="C225" s="3" t="s">
        <v>159</v>
      </c>
      <c r="D225" s="3" t="s">
        <v>642</v>
      </c>
      <c r="E225" s="3" t="s">
        <v>56</v>
      </c>
      <c r="F225" s="12" t="n">
        <v>860000</v>
      </c>
      <c r="G225" s="13" t="n">
        <v>0.65</v>
      </c>
      <c r="H225" s="13" t="n">
        <v>1.15</v>
      </c>
      <c r="I225" s="13" t="n">
        <v>0.7648</v>
      </c>
      <c r="J225" s="13" t="n">
        <v>0.53</v>
      </c>
      <c r="K225" s="12" t="n">
        <f aca="false">ROUND(F225/100*G225*H225*I225/J225,2)</f>
        <v>9276.45</v>
      </c>
      <c r="L225" s="12" t="n">
        <v>9276.45</v>
      </c>
      <c r="M225" s="12" t="n">
        <f aca="false">L225-K225</f>
        <v>0</v>
      </c>
      <c r="N225" s="3" t="s">
        <v>51</v>
      </c>
      <c r="O225" s="3" t="s">
        <v>52</v>
      </c>
    </row>
    <row r="226" customFormat="false" ht="15" hidden="false" customHeight="false" outlineLevel="0" collapsed="false">
      <c r="A226" s="14" t="s">
        <v>4098</v>
      </c>
      <c r="B226" s="14" t="s">
        <v>4362</v>
      </c>
      <c r="C226" s="14" t="s">
        <v>89</v>
      </c>
      <c r="D226" s="14" t="s">
        <v>2679</v>
      </c>
      <c r="E226" s="14" t="s">
        <v>56</v>
      </c>
      <c r="F226" s="15" t="n">
        <v>615000</v>
      </c>
      <c r="G226" s="16" t="n">
        <v>0.65</v>
      </c>
      <c r="H226" s="16" t="n">
        <v>1.35</v>
      </c>
      <c r="I226" s="16" t="n">
        <v>0.7648</v>
      </c>
      <c r="J226" s="16" t="n">
        <v>0.53</v>
      </c>
      <c r="K226" s="15" t="n">
        <f aca="false">ROUND(F226/100*G226*H226*I226/J226,2)</f>
        <v>7787.43</v>
      </c>
      <c r="L226" s="15" t="n">
        <v>7787.43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4079</v>
      </c>
      <c r="B227" s="3" t="s">
        <v>4363</v>
      </c>
      <c r="C227" s="3" t="s">
        <v>326</v>
      </c>
      <c r="D227" s="3" t="s">
        <v>675</v>
      </c>
      <c r="E227" s="3" t="s">
        <v>56</v>
      </c>
      <c r="F227" s="12" t="n">
        <v>265000</v>
      </c>
      <c r="G227" s="13" t="n">
        <v>0.75</v>
      </c>
      <c r="H227" s="13" t="n">
        <v>1.12</v>
      </c>
      <c r="I227" s="13" t="n">
        <v>0.7648</v>
      </c>
      <c r="J227" s="13" t="n">
        <v>0.53</v>
      </c>
      <c r="K227" s="12" t="n">
        <f aca="false">ROUND(F227/100*G227*H227*I227/J227,2)</f>
        <v>3212.16</v>
      </c>
      <c r="L227" s="12" t="n">
        <v>3212.16</v>
      </c>
      <c r="M227" s="12" t="n">
        <f aca="false">L227-K227</f>
        <v>0</v>
      </c>
      <c r="N227" s="3" t="s">
        <v>51</v>
      </c>
      <c r="O227" s="3" t="s">
        <v>52</v>
      </c>
    </row>
    <row r="228" customFormat="false" ht="15" hidden="false" customHeight="false" outlineLevel="0" collapsed="false">
      <c r="A228" s="14" t="s">
        <v>4093</v>
      </c>
      <c r="B228" s="14" t="s">
        <v>4364</v>
      </c>
      <c r="C228" s="14" t="s">
        <v>105</v>
      </c>
      <c r="D228" s="14" t="s">
        <v>393</v>
      </c>
      <c r="E228" s="14" t="s">
        <v>50</v>
      </c>
      <c r="F228" s="15" t="n">
        <v>765000</v>
      </c>
      <c r="G228" s="16" t="n">
        <v>0.95</v>
      </c>
      <c r="H228" s="16" t="n">
        <v>0.99</v>
      </c>
      <c r="I228" s="16" t="n">
        <v>0.7648</v>
      </c>
      <c r="J228" s="16" t="n">
        <v>0.53</v>
      </c>
      <c r="K228" s="15" t="n">
        <f aca="false">ROUND(F228/100*G228*H228*I228/J228,2)</f>
        <v>10382.27</v>
      </c>
      <c r="L228" s="15" t="n">
        <v>10382.27</v>
      </c>
      <c r="M228" s="15" t="n">
        <f aca="false">L228-K228</f>
        <v>0</v>
      </c>
      <c r="N228" s="14" t="s">
        <v>61</v>
      </c>
      <c r="O228" s="14" t="s">
        <v>62</v>
      </c>
    </row>
    <row r="229" customFormat="false" ht="15" hidden="false" customHeight="false" outlineLevel="0" collapsed="false">
      <c r="A229" s="3" t="s">
        <v>4127</v>
      </c>
      <c r="B229" s="3" t="s">
        <v>4365</v>
      </c>
      <c r="C229" s="3" t="s">
        <v>278</v>
      </c>
      <c r="D229" s="3" t="s">
        <v>3242</v>
      </c>
      <c r="E229" s="3" t="s">
        <v>56</v>
      </c>
      <c r="F229" s="12" t="n">
        <v>345000</v>
      </c>
      <c r="G229" s="13" t="n">
        <v>0.75</v>
      </c>
      <c r="H229" s="13" t="n">
        <v>0.98</v>
      </c>
      <c r="I229" s="13" t="n">
        <v>0.7648</v>
      </c>
      <c r="J229" s="13" t="n">
        <v>0.53</v>
      </c>
      <c r="K229" s="12" t="n">
        <f aca="false">ROUND(F229/100*G229*H229*I229/J229,2)</f>
        <v>3659.14</v>
      </c>
      <c r="L229" s="12" t="n">
        <v>3659.13</v>
      </c>
      <c r="M229" s="12" t="n">
        <f aca="false">L229-K229</f>
        <v>-0.00999999999976353</v>
      </c>
      <c r="N229" s="3" t="s">
        <v>51</v>
      </c>
      <c r="O229" s="3" t="s">
        <v>52</v>
      </c>
    </row>
    <row r="230" customFormat="false" ht="15" hidden="false" customHeight="false" outlineLevel="0" collapsed="false">
      <c r="A230" s="14" t="s">
        <v>4204</v>
      </c>
      <c r="B230" s="14" t="s">
        <v>4366</v>
      </c>
      <c r="C230" s="14" t="s">
        <v>224</v>
      </c>
      <c r="D230" s="14" t="s">
        <v>1213</v>
      </c>
      <c r="E230" s="14" t="s">
        <v>56</v>
      </c>
      <c r="F230" s="15" t="n">
        <v>190000</v>
      </c>
      <c r="G230" s="16" t="n">
        <v>0.92</v>
      </c>
      <c r="H230" s="16" t="n">
        <v>1.1</v>
      </c>
      <c r="I230" s="16" t="n">
        <v>0.7648</v>
      </c>
      <c r="J230" s="16" t="n">
        <v>0.53</v>
      </c>
      <c r="K230" s="15" t="n">
        <f aca="false">ROUND(F230/100*G230*H230*I230/J230,2)</f>
        <v>2774.64</v>
      </c>
      <c r="L230" s="15" t="n">
        <v>2774.63</v>
      </c>
      <c r="M230" s="15" t="n">
        <f aca="false">L230-K230</f>
        <v>-0.00999999999976353</v>
      </c>
      <c r="N230" s="14" t="s">
        <v>61</v>
      </c>
      <c r="O230" s="14" t="s">
        <v>62</v>
      </c>
    </row>
    <row r="231" customFormat="false" ht="15" hidden="false" customHeight="false" outlineLevel="0" collapsed="false">
      <c r="A231" s="3" t="s">
        <v>4127</v>
      </c>
      <c r="B231" s="3" t="s">
        <v>4367</v>
      </c>
      <c r="C231" s="3" t="s">
        <v>159</v>
      </c>
      <c r="D231" s="3" t="s">
        <v>1503</v>
      </c>
      <c r="E231" s="3" t="s">
        <v>50</v>
      </c>
      <c r="F231" s="12" t="n">
        <v>1545000</v>
      </c>
      <c r="G231" s="13" t="n">
        <v>0.8</v>
      </c>
      <c r="H231" s="13" t="n">
        <v>1.15</v>
      </c>
      <c r="I231" s="13" t="n">
        <v>0.7648</v>
      </c>
      <c r="J231" s="13" t="n">
        <v>0.53</v>
      </c>
      <c r="K231" s="12" t="n">
        <f aca="false">ROUND(F231/100*G231*H231*I231/J231,2)</f>
        <v>20511.07</v>
      </c>
      <c r="L231" s="12" t="n">
        <v>20511.07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4108</v>
      </c>
      <c r="B232" s="14" t="s">
        <v>4368</v>
      </c>
      <c r="C232" s="14" t="s">
        <v>48</v>
      </c>
      <c r="D232" s="14" t="s">
        <v>494</v>
      </c>
      <c r="E232" s="14" t="s">
        <v>56</v>
      </c>
      <c r="F232" s="15" t="n">
        <v>1510000</v>
      </c>
      <c r="G232" s="16" t="n">
        <v>0.55</v>
      </c>
      <c r="H232" s="16" t="n">
        <v>1.28</v>
      </c>
      <c r="I232" s="16" t="n">
        <v>0.7648</v>
      </c>
      <c r="J232" s="16" t="n">
        <v>0.53</v>
      </c>
      <c r="K232" s="15" t="n">
        <f aca="false">ROUND(F232/100*G232*H232*I232/J232,2)</f>
        <v>15339.87</v>
      </c>
      <c r="L232" s="15" t="n">
        <v>15339.87</v>
      </c>
      <c r="M232" s="15" t="n">
        <f aca="false">L232-K232</f>
        <v>0</v>
      </c>
      <c r="N232" s="14" t="s">
        <v>51</v>
      </c>
      <c r="O232" s="14" t="s">
        <v>52</v>
      </c>
    </row>
    <row r="233" customFormat="false" ht="15" hidden="false" customHeight="false" outlineLevel="0" collapsed="false">
      <c r="A233" s="3" t="s">
        <v>4148</v>
      </c>
      <c r="B233" s="3" t="s">
        <v>4369</v>
      </c>
      <c r="C233" s="3" t="s">
        <v>159</v>
      </c>
      <c r="D233" s="3" t="s">
        <v>4370</v>
      </c>
      <c r="E233" s="3" t="s">
        <v>50</v>
      </c>
      <c r="F233" s="12" t="n">
        <v>1015000</v>
      </c>
      <c r="G233" s="13" t="n">
        <v>0.8</v>
      </c>
      <c r="H233" s="13" t="n">
        <v>1.15</v>
      </c>
      <c r="I233" s="13" t="n">
        <v>0.7648</v>
      </c>
      <c r="J233" s="13" t="n">
        <v>0.53</v>
      </c>
      <c r="K233" s="12" t="n">
        <f aca="false">ROUND(F233/100*G233*H233*I233/J233,2)</f>
        <v>13474.91</v>
      </c>
      <c r="L233" s="12" t="n">
        <v>13474.91</v>
      </c>
      <c r="M233" s="12" t="n">
        <f aca="false">L233-K233</f>
        <v>0</v>
      </c>
      <c r="N233" s="3" t="s">
        <v>61</v>
      </c>
      <c r="O233" s="3" t="s">
        <v>62</v>
      </c>
    </row>
    <row r="234" customFormat="false" ht="15" hidden="false" customHeight="false" outlineLevel="0" collapsed="false">
      <c r="A234" s="14" t="s">
        <v>4081</v>
      </c>
      <c r="B234" s="14" t="s">
        <v>4371</v>
      </c>
      <c r="C234" s="14" t="s">
        <v>224</v>
      </c>
      <c r="D234" s="14" t="s">
        <v>3026</v>
      </c>
      <c r="E234" s="14" t="s">
        <v>56</v>
      </c>
      <c r="F234" s="15" t="n">
        <v>275000</v>
      </c>
      <c r="G234" s="16" t="n">
        <v>0.75</v>
      </c>
      <c r="H234" s="16" t="n">
        <v>1.1</v>
      </c>
      <c r="I234" s="16" t="n">
        <v>0.7648</v>
      </c>
      <c r="J234" s="16" t="n">
        <v>0.53</v>
      </c>
      <c r="K234" s="15" t="n">
        <f aca="false">ROUND(F234/100*G234*H234*I234/J234,2)</f>
        <v>3273.85</v>
      </c>
      <c r="L234" s="15" t="n">
        <v>3273.85</v>
      </c>
      <c r="M234" s="15" t="n">
        <f aca="false">L234-K234</f>
        <v>0</v>
      </c>
      <c r="N234" s="14" t="s">
        <v>61</v>
      </c>
      <c r="O234" s="14" t="s">
        <v>62</v>
      </c>
    </row>
    <row r="235" customFormat="false" ht="15" hidden="false" customHeight="false" outlineLevel="0" collapsed="false">
      <c r="A235" s="3" t="s">
        <v>4110</v>
      </c>
      <c r="B235" s="3" t="s">
        <v>4372</v>
      </c>
      <c r="C235" s="3" t="s">
        <v>237</v>
      </c>
      <c r="D235" s="3" t="s">
        <v>1139</v>
      </c>
      <c r="E235" s="3" t="s">
        <v>56</v>
      </c>
      <c r="F235" s="12" t="n">
        <v>1015000</v>
      </c>
      <c r="G235" s="13" t="n">
        <v>0.55</v>
      </c>
      <c r="H235" s="13" t="n">
        <v>1.33</v>
      </c>
      <c r="I235" s="13" t="n">
        <v>0.7648</v>
      </c>
      <c r="J235" s="13" t="n">
        <v>0.53</v>
      </c>
      <c r="K235" s="12" t="n">
        <f aca="false">ROUND(F235/100*G235*H235*I235/J235,2)</f>
        <v>10714.02</v>
      </c>
      <c r="L235" s="12" t="n">
        <v>10714.02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4086</v>
      </c>
      <c r="B236" s="14" t="s">
        <v>4373</v>
      </c>
      <c r="C236" s="14" t="s">
        <v>196</v>
      </c>
      <c r="D236" s="14" t="s">
        <v>3807</v>
      </c>
      <c r="E236" s="14" t="s">
        <v>133</v>
      </c>
      <c r="F236" s="15" t="n">
        <v>1625000</v>
      </c>
      <c r="G236" s="16" t="n">
        <v>0.34</v>
      </c>
      <c r="H236" s="16" t="n">
        <v>1.04</v>
      </c>
      <c r="I236" s="16" t="n">
        <v>0.7648</v>
      </c>
      <c r="J236" s="16" t="n">
        <v>0.53</v>
      </c>
      <c r="K236" s="15" t="n">
        <f aca="false">ROUND(F236/100*G236*H236*I236/J236,2)</f>
        <v>8291.59</v>
      </c>
      <c r="L236" s="15" t="n">
        <v>8291.59</v>
      </c>
      <c r="M236" s="15" t="n">
        <f aca="false">L236-K236</f>
        <v>0</v>
      </c>
      <c r="N236" s="14" t="s">
        <v>61</v>
      </c>
      <c r="O236" s="14" t="s">
        <v>62</v>
      </c>
    </row>
    <row r="237" customFormat="false" ht="15" hidden="false" customHeight="false" outlineLevel="0" collapsed="false">
      <c r="A237" s="3" t="s">
        <v>4095</v>
      </c>
      <c r="B237" s="3" t="s">
        <v>4374</v>
      </c>
      <c r="C237" s="3" t="s">
        <v>188</v>
      </c>
      <c r="D237" s="3" t="s">
        <v>2594</v>
      </c>
      <c r="E237" s="3" t="s">
        <v>56</v>
      </c>
      <c r="F237" s="12" t="n">
        <v>1100000</v>
      </c>
      <c r="G237" s="13" t="n">
        <v>0.55</v>
      </c>
      <c r="H237" s="13" t="n">
        <v>1.35</v>
      </c>
      <c r="I237" s="13" t="n">
        <v>0.7648</v>
      </c>
      <c r="J237" s="13" t="n">
        <v>0.53</v>
      </c>
      <c r="K237" s="12" t="n">
        <f aca="false">ROUND(F237/100*G237*H237*I237/J237,2)</f>
        <v>11785.86</v>
      </c>
      <c r="L237" s="12" t="n">
        <v>11785.86</v>
      </c>
      <c r="M237" s="12" t="n">
        <f aca="false">L237-K237</f>
        <v>0</v>
      </c>
      <c r="N237" s="3" t="s">
        <v>51</v>
      </c>
      <c r="O237" s="3" t="s">
        <v>52</v>
      </c>
    </row>
    <row r="238" customFormat="false" ht="15" hidden="false" customHeight="false" outlineLevel="0" collapsed="false">
      <c r="A238" s="14" t="s">
        <v>4136</v>
      </c>
      <c r="B238" s="14" t="s">
        <v>4375</v>
      </c>
      <c r="C238" s="14" t="s">
        <v>237</v>
      </c>
      <c r="D238" s="14" t="s">
        <v>4376</v>
      </c>
      <c r="E238" s="14" t="s">
        <v>56</v>
      </c>
      <c r="F238" s="15" t="n">
        <v>950000</v>
      </c>
      <c r="G238" s="16" t="n">
        <v>0.65</v>
      </c>
      <c r="H238" s="16" t="n">
        <v>1.33</v>
      </c>
      <c r="I238" s="16" t="n">
        <v>0.7648</v>
      </c>
      <c r="J238" s="16" t="n">
        <v>0.53</v>
      </c>
      <c r="K238" s="15" t="n">
        <f aca="false">ROUND(F238/100*G238*H238*I238/J238,2)</f>
        <v>11851.15</v>
      </c>
      <c r="L238" s="15" t="n">
        <v>11851.15</v>
      </c>
      <c r="M238" s="15" t="n">
        <f aca="false">L238-K238</f>
        <v>0</v>
      </c>
      <c r="N238" s="14" t="s">
        <v>70</v>
      </c>
      <c r="O238" s="14" t="s">
        <v>52</v>
      </c>
    </row>
    <row r="239" customFormat="false" ht="15" hidden="false" customHeight="false" outlineLevel="0" collapsed="false">
      <c r="A239" s="3" t="s">
        <v>4122</v>
      </c>
      <c r="B239" s="3" t="s">
        <v>4377</v>
      </c>
      <c r="C239" s="3" t="s">
        <v>128</v>
      </c>
      <c r="D239" s="3" t="s">
        <v>1771</v>
      </c>
      <c r="E239" s="3" t="s">
        <v>56</v>
      </c>
      <c r="F239" s="12" t="n">
        <v>1465000</v>
      </c>
      <c r="G239" s="13" t="n">
        <v>0.55</v>
      </c>
      <c r="H239" s="13" t="n">
        <v>1.25</v>
      </c>
      <c r="I239" s="13" t="n">
        <v>0.7648</v>
      </c>
      <c r="J239" s="13" t="n">
        <v>0.53</v>
      </c>
      <c r="K239" s="12" t="n">
        <f aca="false">ROUND(F239/100*G239*H239*I239/J239,2)</f>
        <v>14533.91</v>
      </c>
      <c r="L239" s="12" t="n">
        <v>14533.91</v>
      </c>
      <c r="M239" s="12" t="n">
        <f aca="false">L239-K239</f>
        <v>0</v>
      </c>
      <c r="N239" s="3" t="s">
        <v>61</v>
      </c>
      <c r="O239" s="3" t="s">
        <v>62</v>
      </c>
    </row>
    <row r="240" customFormat="false" ht="15" hidden="false" customHeight="false" outlineLevel="0" collapsed="false">
      <c r="A240" s="14" t="s">
        <v>4088</v>
      </c>
      <c r="B240" s="14" t="s">
        <v>4378</v>
      </c>
      <c r="C240" s="14" t="s">
        <v>237</v>
      </c>
      <c r="D240" s="14" t="s">
        <v>897</v>
      </c>
      <c r="E240" s="14" t="s">
        <v>74</v>
      </c>
      <c r="F240" s="15" t="n">
        <v>800000</v>
      </c>
      <c r="G240" s="16" t="n">
        <v>0.43</v>
      </c>
      <c r="H240" s="16" t="n">
        <v>1.33</v>
      </c>
      <c r="I240" s="16" t="n">
        <v>0.7648</v>
      </c>
      <c r="J240" s="16" t="n">
        <v>0.53</v>
      </c>
      <c r="K240" s="15" t="n">
        <f aca="false">ROUND(F240/100*G240*H240*I240/J240,2)</f>
        <v>6602.1</v>
      </c>
      <c r="L240" s="15" t="n">
        <v>6602.1</v>
      </c>
      <c r="M240" s="15" t="n">
        <f aca="false">L240-K240</f>
        <v>0</v>
      </c>
      <c r="N240" s="14" t="s">
        <v>61</v>
      </c>
      <c r="O240" s="14" t="s">
        <v>62</v>
      </c>
    </row>
    <row r="241" customFormat="false" ht="15" hidden="false" customHeight="false" outlineLevel="0" collapsed="false">
      <c r="A241" s="3" t="s">
        <v>4159</v>
      </c>
      <c r="B241" s="3" t="s">
        <v>4379</v>
      </c>
      <c r="C241" s="3" t="s">
        <v>278</v>
      </c>
      <c r="D241" s="3" t="s">
        <v>1370</v>
      </c>
      <c r="E241" s="3" t="s">
        <v>157</v>
      </c>
      <c r="F241" s="12" t="n">
        <v>425000</v>
      </c>
      <c r="G241" s="13" t="n">
        <v>0.88</v>
      </c>
      <c r="H241" s="13" t="n">
        <v>0.98</v>
      </c>
      <c r="I241" s="13" t="n">
        <v>0.7648</v>
      </c>
      <c r="J241" s="13" t="n">
        <v>0.53</v>
      </c>
      <c r="K241" s="12" t="n">
        <f aca="false">ROUND(F241/100*G241*H241*I241/J241,2)</f>
        <v>5288.95</v>
      </c>
      <c r="L241" s="12" t="n">
        <v>5288.95</v>
      </c>
      <c r="M241" s="12" t="n">
        <f aca="false">L241-K241</f>
        <v>0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4118</v>
      </c>
      <c r="B242" s="14" t="s">
        <v>4380</v>
      </c>
      <c r="C242" s="14" t="s">
        <v>159</v>
      </c>
      <c r="D242" s="14" t="s">
        <v>1297</v>
      </c>
      <c r="E242" s="14" t="s">
        <v>56</v>
      </c>
      <c r="F242" s="15" t="n">
        <v>465000</v>
      </c>
      <c r="G242" s="16" t="n">
        <v>0.75</v>
      </c>
      <c r="H242" s="16" t="n">
        <v>1.15</v>
      </c>
      <c r="I242" s="16" t="n">
        <v>0.7648</v>
      </c>
      <c r="J242" s="16" t="n">
        <v>0.53</v>
      </c>
      <c r="K242" s="15" t="n">
        <f aca="false">ROUND(F242/100*G242*H242*I242/J242,2)</f>
        <v>5787.41</v>
      </c>
      <c r="L242" s="15" t="n">
        <v>5787.41</v>
      </c>
      <c r="M242" s="15" t="n">
        <f aca="false">L242-K242</f>
        <v>0</v>
      </c>
      <c r="N242" s="14" t="s">
        <v>51</v>
      </c>
      <c r="O242" s="14" t="s">
        <v>52</v>
      </c>
    </row>
    <row r="243" customFormat="false" ht="15" hidden="false" customHeight="false" outlineLevel="0" collapsed="false">
      <c r="A243" s="3" t="s">
        <v>4188</v>
      </c>
      <c r="B243" s="3" t="s">
        <v>4381</v>
      </c>
      <c r="C243" s="3" t="s">
        <v>85</v>
      </c>
      <c r="D243" s="3" t="s">
        <v>4382</v>
      </c>
      <c r="E243" s="3" t="s">
        <v>74</v>
      </c>
      <c r="F243" s="12" t="n">
        <v>590000</v>
      </c>
      <c r="G243" s="13" t="n">
        <v>0.43</v>
      </c>
      <c r="H243" s="13" t="n">
        <v>1.28</v>
      </c>
      <c r="I243" s="13" t="n">
        <v>0.7648</v>
      </c>
      <c r="J243" s="13" t="n">
        <v>0.53</v>
      </c>
      <c r="K243" s="12" t="n">
        <f aca="false">ROUND(F243/100*G243*H243*I243/J243,2)</f>
        <v>4686</v>
      </c>
      <c r="L243" s="12" t="n">
        <v>4686</v>
      </c>
      <c r="M243" s="12" t="n">
        <f aca="false">L243-K243</f>
        <v>0</v>
      </c>
      <c r="N243" s="3" t="s">
        <v>51</v>
      </c>
      <c r="O243" s="3" t="s">
        <v>52</v>
      </c>
    </row>
    <row r="244" customFormat="false" ht="15" hidden="false" customHeight="false" outlineLevel="0" collapsed="false">
      <c r="A244" s="14" t="s">
        <v>4136</v>
      </c>
      <c r="B244" s="14" t="s">
        <v>4383</v>
      </c>
      <c r="C244" s="14" t="s">
        <v>114</v>
      </c>
      <c r="D244" s="14" t="s">
        <v>140</v>
      </c>
      <c r="E244" s="14" t="s">
        <v>74</v>
      </c>
      <c r="F244" s="15" t="n">
        <v>250000</v>
      </c>
      <c r="G244" s="16" t="n">
        <v>0.48</v>
      </c>
      <c r="H244" s="16" t="n">
        <v>1.36</v>
      </c>
      <c r="I244" s="16" t="n">
        <v>0.7648</v>
      </c>
      <c r="J244" s="16" t="n">
        <v>0.53</v>
      </c>
      <c r="K244" s="15" t="n">
        <f aca="false">ROUND(F244/100*G244*H244*I244/J244,2)</f>
        <v>2355.01</v>
      </c>
      <c r="L244" s="15" t="n">
        <v>2355.01</v>
      </c>
      <c r="M244" s="15" t="n">
        <f aca="false">L244-K244</f>
        <v>0</v>
      </c>
      <c r="N244" s="14" t="s">
        <v>51</v>
      </c>
      <c r="O244" s="14" t="s">
        <v>52</v>
      </c>
    </row>
    <row r="245" customFormat="false" ht="15" hidden="false" customHeight="false" outlineLevel="0" collapsed="false">
      <c r="A245" s="3" t="s">
        <v>4115</v>
      </c>
      <c r="B245" s="3" t="s">
        <v>4384</v>
      </c>
      <c r="C245" s="3" t="s">
        <v>243</v>
      </c>
      <c r="D245" s="3" t="s">
        <v>4385</v>
      </c>
      <c r="E245" s="3" t="s">
        <v>157</v>
      </c>
      <c r="F245" s="12" t="n">
        <v>1395000</v>
      </c>
      <c r="G245" s="13" t="n">
        <v>0.68</v>
      </c>
      <c r="H245" s="13" t="n">
        <v>1.14</v>
      </c>
      <c r="I245" s="13" t="n">
        <v>0.7648</v>
      </c>
      <c r="J245" s="13" t="n">
        <v>0.53</v>
      </c>
      <c r="K245" s="12" t="n">
        <f aca="false">ROUND(F245/100*G245*H245*I245/J245,2)</f>
        <v>15604.86</v>
      </c>
      <c r="L245" s="12" t="n">
        <v>15604.86</v>
      </c>
      <c r="M245" s="12" t="n">
        <f aca="false">L245-K245</f>
        <v>0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4093</v>
      </c>
      <c r="B246" s="14" t="s">
        <v>4386</v>
      </c>
      <c r="C246" s="14" t="s">
        <v>139</v>
      </c>
      <c r="D246" s="14" t="s">
        <v>402</v>
      </c>
      <c r="E246" s="14" t="s">
        <v>56</v>
      </c>
      <c r="F246" s="15" t="n">
        <v>1195000</v>
      </c>
      <c r="G246" s="16" t="n">
        <v>0.55</v>
      </c>
      <c r="H246" s="16" t="n">
        <v>1.23</v>
      </c>
      <c r="I246" s="16" t="n">
        <v>0.7648</v>
      </c>
      <c r="J246" s="16" t="n">
        <v>0.53</v>
      </c>
      <c r="K246" s="15" t="n">
        <f aca="false">ROUND(F246/100*G246*H246*I246/J246,2)</f>
        <v>11665.62</v>
      </c>
      <c r="L246" s="15" t="n">
        <v>11665.62</v>
      </c>
      <c r="M246" s="15" t="n">
        <f aca="false">L246-K246</f>
        <v>0</v>
      </c>
      <c r="N246" s="14" t="s">
        <v>51</v>
      </c>
      <c r="O246" s="14" t="s">
        <v>52</v>
      </c>
    </row>
    <row r="247" customFormat="false" ht="15" hidden="false" customHeight="false" outlineLevel="0" collapsed="false">
      <c r="A247" s="3" t="s">
        <v>4112</v>
      </c>
      <c r="B247" s="3" t="s">
        <v>4387</v>
      </c>
      <c r="C247" s="3" t="s">
        <v>48</v>
      </c>
      <c r="D247" s="3" t="s">
        <v>741</v>
      </c>
      <c r="E247" s="3" t="s">
        <v>56</v>
      </c>
      <c r="F247" s="12" t="n">
        <v>620000</v>
      </c>
      <c r="G247" s="13" t="n">
        <v>0.65</v>
      </c>
      <c r="H247" s="13" t="n">
        <v>1.28</v>
      </c>
      <c r="I247" s="13" t="n">
        <v>0.7648</v>
      </c>
      <c r="J247" s="13" t="n">
        <v>0.53</v>
      </c>
      <c r="K247" s="12" t="n">
        <f aca="false">ROUND(F247/100*G247*H247*I247/J247,2)</f>
        <v>7443.67</v>
      </c>
      <c r="L247" s="12" t="n">
        <v>7443.67</v>
      </c>
      <c r="M247" s="12" t="n">
        <f aca="false">L247-K247</f>
        <v>0</v>
      </c>
      <c r="N247" s="3" t="s">
        <v>61</v>
      </c>
      <c r="O247" s="3" t="s">
        <v>62</v>
      </c>
    </row>
    <row r="248" customFormat="false" ht="15" hidden="false" customHeight="false" outlineLevel="0" collapsed="false">
      <c r="A248" s="14" t="s">
        <v>4134</v>
      </c>
      <c r="B248" s="14" t="s">
        <v>4388</v>
      </c>
      <c r="C248" s="14" t="s">
        <v>174</v>
      </c>
      <c r="D248" s="14" t="s">
        <v>2176</v>
      </c>
      <c r="E248" s="14" t="s">
        <v>50</v>
      </c>
      <c r="F248" s="15" t="n">
        <v>1950000</v>
      </c>
      <c r="G248" s="16" t="n">
        <v>0.8</v>
      </c>
      <c r="H248" s="16" t="n">
        <v>1.55</v>
      </c>
      <c r="I248" s="16" t="n">
        <v>0.7648</v>
      </c>
      <c r="J248" s="16" t="n">
        <v>0.53</v>
      </c>
      <c r="K248" s="15" t="n">
        <f aca="false">ROUND(F248/100*G248*H248*I248/J248,2)</f>
        <v>34892.2</v>
      </c>
      <c r="L248" s="15" t="n">
        <v>34892.2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4081</v>
      </c>
      <c r="B249" s="3" t="s">
        <v>4389</v>
      </c>
      <c r="C249" s="3" t="s">
        <v>114</v>
      </c>
      <c r="D249" s="3" t="s">
        <v>2153</v>
      </c>
      <c r="E249" s="3" t="s">
        <v>50</v>
      </c>
      <c r="F249" s="12" t="n">
        <v>1540000</v>
      </c>
      <c r="G249" s="13" t="n">
        <v>0.8</v>
      </c>
      <c r="H249" s="13" t="n">
        <v>1.36</v>
      </c>
      <c r="I249" s="13" t="n">
        <v>0.7648</v>
      </c>
      <c r="J249" s="13" t="n">
        <v>0.53</v>
      </c>
      <c r="K249" s="12" t="n">
        <f aca="false">ROUND(F249/100*G249*H249*I249/J249,2)</f>
        <v>24178.07</v>
      </c>
      <c r="L249" s="12" t="n">
        <v>24178.07</v>
      </c>
      <c r="M249" s="12" t="n">
        <f aca="false">L249-K249</f>
        <v>0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4100</v>
      </c>
      <c r="B250" s="14" t="s">
        <v>4390</v>
      </c>
      <c r="C250" s="14" t="s">
        <v>159</v>
      </c>
      <c r="D250" s="14" t="s">
        <v>153</v>
      </c>
      <c r="E250" s="14" t="s">
        <v>56</v>
      </c>
      <c r="F250" s="15" t="n">
        <v>1660000</v>
      </c>
      <c r="G250" s="16" t="n">
        <v>0.55</v>
      </c>
      <c r="H250" s="16" t="n">
        <v>1.15</v>
      </c>
      <c r="I250" s="16" t="n">
        <v>0.7648</v>
      </c>
      <c r="J250" s="16" t="n">
        <v>0.53</v>
      </c>
      <c r="K250" s="15" t="n">
        <f aca="false">ROUND(F250/100*G250*H250*I250/J250,2)</f>
        <v>15150.98</v>
      </c>
      <c r="L250" s="15" t="n">
        <v>15150.98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4168</v>
      </c>
      <c r="B251" s="3" t="s">
        <v>4391</v>
      </c>
      <c r="C251" s="3" t="s">
        <v>193</v>
      </c>
      <c r="D251" s="3" t="s">
        <v>402</v>
      </c>
      <c r="E251" s="3" t="s">
        <v>56</v>
      </c>
      <c r="F251" s="12" t="n">
        <v>1195000</v>
      </c>
      <c r="G251" s="13" t="n">
        <v>0.55</v>
      </c>
      <c r="H251" s="13" t="n">
        <v>1.25</v>
      </c>
      <c r="I251" s="13" t="n">
        <v>0.7648</v>
      </c>
      <c r="J251" s="13" t="n">
        <v>0.53</v>
      </c>
      <c r="K251" s="12" t="n">
        <f aca="false">ROUND(F251/100*G251*H251*I251/J251,2)</f>
        <v>11855.3</v>
      </c>
      <c r="L251" s="12" t="n">
        <v>11855.3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4086</v>
      </c>
      <c r="B252" s="14" t="s">
        <v>4392</v>
      </c>
      <c r="C252" s="14" t="s">
        <v>131</v>
      </c>
      <c r="D252" s="14" t="s">
        <v>378</v>
      </c>
      <c r="E252" s="14" t="s">
        <v>56</v>
      </c>
      <c r="F252" s="15" t="n">
        <v>310000</v>
      </c>
      <c r="G252" s="16" t="n">
        <v>0.75</v>
      </c>
      <c r="H252" s="16" t="n">
        <v>0.95</v>
      </c>
      <c r="I252" s="16" t="n">
        <v>0.7648</v>
      </c>
      <c r="J252" s="16" t="n">
        <v>0.53</v>
      </c>
      <c r="K252" s="15" t="n">
        <f aca="false">ROUND(F252/100*G252*H252*I252/J252,2)</f>
        <v>3187.27</v>
      </c>
      <c r="L252" s="15" t="n">
        <v>3187.27</v>
      </c>
      <c r="M252" s="15" t="n">
        <f aca="false">L252-K252</f>
        <v>0</v>
      </c>
      <c r="N252" s="14" t="s">
        <v>61</v>
      </c>
      <c r="O252" s="14" t="s">
        <v>62</v>
      </c>
    </row>
    <row r="253" customFormat="false" ht="15" hidden="false" customHeight="false" outlineLevel="0" collapsed="false">
      <c r="A253" s="3" t="s">
        <v>4086</v>
      </c>
      <c r="B253" s="3" t="s">
        <v>4393</v>
      </c>
      <c r="C253" s="3" t="s">
        <v>193</v>
      </c>
      <c r="D253" s="3" t="s">
        <v>1883</v>
      </c>
      <c r="E253" s="3" t="s">
        <v>56</v>
      </c>
      <c r="F253" s="12" t="n">
        <v>335000</v>
      </c>
      <c r="G253" s="13" t="n">
        <v>0.75</v>
      </c>
      <c r="H253" s="13" t="n">
        <v>1.25</v>
      </c>
      <c r="I253" s="13" t="n">
        <v>0.7648</v>
      </c>
      <c r="J253" s="13" t="n">
        <v>0.53</v>
      </c>
      <c r="K253" s="12" t="n">
        <f aca="false">ROUND(F253/100*G253*H253*I253/J253,2)</f>
        <v>4531.98</v>
      </c>
      <c r="L253" s="12" t="n">
        <v>4531.98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4138</v>
      </c>
      <c r="B254" s="14" t="s">
        <v>4394</v>
      </c>
      <c r="C254" s="14" t="s">
        <v>139</v>
      </c>
      <c r="D254" s="14" t="s">
        <v>1690</v>
      </c>
      <c r="E254" s="14" t="s">
        <v>56</v>
      </c>
      <c r="F254" s="15" t="n">
        <v>360000</v>
      </c>
      <c r="G254" s="16" t="n">
        <v>0.75</v>
      </c>
      <c r="H254" s="16" t="n">
        <v>1.23</v>
      </c>
      <c r="I254" s="16" t="n">
        <v>0.7648</v>
      </c>
      <c r="J254" s="16" t="n">
        <v>0.53</v>
      </c>
      <c r="K254" s="15" t="n">
        <f aca="false">ROUND(F254/100*G254*H254*I254/J254,2)</f>
        <v>4792.27</v>
      </c>
      <c r="L254" s="15" t="n">
        <v>4792.27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4081</v>
      </c>
      <c r="B255" s="3" t="s">
        <v>4395</v>
      </c>
      <c r="C255" s="3" t="s">
        <v>210</v>
      </c>
      <c r="D255" s="3" t="s">
        <v>906</v>
      </c>
      <c r="E255" s="3" t="s">
        <v>157</v>
      </c>
      <c r="F255" s="12" t="n">
        <v>1055000</v>
      </c>
      <c r="G255" s="13" t="n">
        <v>0.68</v>
      </c>
      <c r="H255" s="13" t="n">
        <v>1.21</v>
      </c>
      <c r="I255" s="13" t="n">
        <v>0.7648</v>
      </c>
      <c r="J255" s="13" t="n">
        <v>0.53</v>
      </c>
      <c r="K255" s="12" t="n">
        <f aca="false">ROUND(F255/100*G255*H255*I255/J255,2)</f>
        <v>12526.18</v>
      </c>
      <c r="L255" s="12" t="n">
        <v>12526.19</v>
      </c>
      <c r="M255" s="12" t="n">
        <f aca="false">L255-K255</f>
        <v>0.0100000000002183</v>
      </c>
      <c r="N255" s="3" t="s">
        <v>61</v>
      </c>
      <c r="O255" s="3" t="s">
        <v>62</v>
      </c>
    </row>
    <row r="256" customFormat="false" ht="15" hidden="false" customHeight="false" outlineLevel="0" collapsed="false">
      <c r="A256" s="14" t="s">
        <v>4095</v>
      </c>
      <c r="B256" s="14" t="s">
        <v>4396</v>
      </c>
      <c r="C256" s="14" t="s">
        <v>142</v>
      </c>
      <c r="D256" s="14" t="s">
        <v>4397</v>
      </c>
      <c r="E256" s="14" t="s">
        <v>56</v>
      </c>
      <c r="F256" s="15" t="n">
        <v>525000</v>
      </c>
      <c r="G256" s="16" t="n">
        <v>0.65</v>
      </c>
      <c r="H256" s="16" t="n">
        <v>1.22</v>
      </c>
      <c r="I256" s="16" t="n">
        <v>0.7648</v>
      </c>
      <c r="J256" s="16" t="n">
        <v>0.53</v>
      </c>
      <c r="K256" s="15" t="n">
        <f aca="false">ROUND(F256/100*G256*H256*I256/J256,2)</f>
        <v>6007.65</v>
      </c>
      <c r="L256" s="15" t="n">
        <v>6007.65</v>
      </c>
      <c r="M256" s="15" t="n">
        <f aca="false">L256-K256</f>
        <v>0</v>
      </c>
      <c r="N256" s="14" t="s">
        <v>70</v>
      </c>
      <c r="O256" s="14" t="s">
        <v>52</v>
      </c>
    </row>
    <row r="257" customFormat="false" ht="15" hidden="false" customHeight="false" outlineLevel="0" collapsed="false">
      <c r="A257" s="3" t="s">
        <v>4095</v>
      </c>
      <c r="B257" s="3" t="s">
        <v>4398</v>
      </c>
      <c r="C257" s="3" t="s">
        <v>77</v>
      </c>
      <c r="D257" s="3" t="s">
        <v>3518</v>
      </c>
      <c r="E257" s="3" t="s">
        <v>56</v>
      </c>
      <c r="F257" s="12" t="n">
        <v>565000</v>
      </c>
      <c r="G257" s="13" t="n">
        <v>0.65</v>
      </c>
      <c r="H257" s="13" t="n">
        <v>1.42</v>
      </c>
      <c r="I257" s="13" t="n">
        <v>0.7648</v>
      </c>
      <c r="J257" s="13" t="n">
        <v>0.53</v>
      </c>
      <c r="K257" s="12" t="n">
        <f aca="false">ROUND(F257/100*G257*H257*I257/J257,2)</f>
        <v>7525.27</v>
      </c>
      <c r="L257" s="12" t="n">
        <v>7525.27</v>
      </c>
      <c r="M257" s="12" t="n">
        <f aca="false">L257-K257</f>
        <v>0</v>
      </c>
      <c r="N257" s="3" t="s">
        <v>61</v>
      </c>
      <c r="O257" s="3" t="s">
        <v>62</v>
      </c>
    </row>
    <row r="258" customFormat="false" ht="15" hidden="false" customHeight="false" outlineLevel="0" collapsed="false">
      <c r="A258" s="14" t="s">
        <v>4086</v>
      </c>
      <c r="B258" s="14" t="s">
        <v>4399</v>
      </c>
      <c r="C258" s="14" t="s">
        <v>120</v>
      </c>
      <c r="D258" s="14" t="s">
        <v>923</v>
      </c>
      <c r="E258" s="14" t="s">
        <v>56</v>
      </c>
      <c r="F258" s="15" t="n">
        <v>265000</v>
      </c>
      <c r="G258" s="16" t="n">
        <v>0.75</v>
      </c>
      <c r="H258" s="16" t="n">
        <v>1.15</v>
      </c>
      <c r="I258" s="16" t="n">
        <v>0.7648</v>
      </c>
      <c r="J258" s="16" t="n">
        <v>0.53</v>
      </c>
      <c r="K258" s="15" t="n">
        <f aca="false">ROUND(F258/100*G258*H258*I258/J258,2)</f>
        <v>3298.2</v>
      </c>
      <c r="L258" s="15" t="n">
        <v>3298.2</v>
      </c>
      <c r="M258" s="15" t="n">
        <f aca="false">L258-K258</f>
        <v>0</v>
      </c>
      <c r="N258" s="14" t="s">
        <v>70</v>
      </c>
      <c r="O258" s="14" t="s">
        <v>52</v>
      </c>
    </row>
    <row r="259" customFormat="false" ht="15" hidden="false" customHeight="false" outlineLevel="0" collapsed="false">
      <c r="A259" s="3" t="s">
        <v>4127</v>
      </c>
      <c r="B259" s="3" t="s">
        <v>4400</v>
      </c>
      <c r="C259" s="3" t="s">
        <v>159</v>
      </c>
      <c r="D259" s="3" t="s">
        <v>1512</v>
      </c>
      <c r="E259" s="3" t="s">
        <v>56</v>
      </c>
      <c r="F259" s="12" t="n">
        <v>645000</v>
      </c>
      <c r="G259" s="13" t="n">
        <v>0.65</v>
      </c>
      <c r="H259" s="13" t="n">
        <v>1.15</v>
      </c>
      <c r="I259" s="13" t="n">
        <v>0.7648</v>
      </c>
      <c r="J259" s="13" t="n">
        <v>0.53</v>
      </c>
      <c r="K259" s="12" t="n">
        <f aca="false">ROUND(F259/100*G259*H259*I259/J259,2)</f>
        <v>6957.34</v>
      </c>
      <c r="L259" s="12" t="n">
        <v>6957.33</v>
      </c>
      <c r="M259" s="12" t="n">
        <f aca="false">L259-K259</f>
        <v>-0.0100000000002183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4188</v>
      </c>
      <c r="B260" s="14" t="s">
        <v>4401</v>
      </c>
      <c r="C260" s="14" t="s">
        <v>159</v>
      </c>
      <c r="D260" s="14" t="s">
        <v>986</v>
      </c>
      <c r="E260" s="14" t="s">
        <v>56</v>
      </c>
      <c r="F260" s="15" t="n">
        <v>235000</v>
      </c>
      <c r="G260" s="16" t="n">
        <v>0.92</v>
      </c>
      <c r="H260" s="16" t="n">
        <v>1.15</v>
      </c>
      <c r="I260" s="16" t="n">
        <v>0.7648</v>
      </c>
      <c r="J260" s="16" t="n">
        <v>0.53</v>
      </c>
      <c r="K260" s="15" t="n">
        <f aca="false">ROUND(F260/100*G260*H260*I260/J260,2)</f>
        <v>3587.78</v>
      </c>
      <c r="L260" s="15" t="n">
        <v>3587.78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4204</v>
      </c>
      <c r="B261" s="3" t="s">
        <v>4402</v>
      </c>
      <c r="C261" s="3" t="s">
        <v>326</v>
      </c>
      <c r="D261" s="3" t="s">
        <v>4403</v>
      </c>
      <c r="E261" s="3" t="s">
        <v>50</v>
      </c>
      <c r="F261" s="12" t="n">
        <v>1135000</v>
      </c>
      <c r="G261" s="13" t="n">
        <v>0.8</v>
      </c>
      <c r="H261" s="13" t="n">
        <v>1.12</v>
      </c>
      <c r="I261" s="13" t="n">
        <v>0.7648</v>
      </c>
      <c r="J261" s="13" t="n">
        <v>0.53</v>
      </c>
      <c r="K261" s="12" t="n">
        <f aca="false">ROUND(F261/100*G261*H261*I261/J261,2)</f>
        <v>14674.92</v>
      </c>
      <c r="L261" s="12" t="n">
        <v>14674.92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4159</v>
      </c>
      <c r="B262" s="14" t="s">
        <v>4404</v>
      </c>
      <c r="C262" s="14" t="s">
        <v>131</v>
      </c>
      <c r="D262" s="14" t="s">
        <v>4405</v>
      </c>
      <c r="E262" s="14" t="s">
        <v>74</v>
      </c>
      <c r="F262" s="15" t="n">
        <v>685000</v>
      </c>
      <c r="G262" s="16" t="n">
        <v>0.43</v>
      </c>
      <c r="H262" s="16" t="n">
        <v>0.95</v>
      </c>
      <c r="I262" s="16" t="n">
        <v>0.7648</v>
      </c>
      <c r="J262" s="16" t="n">
        <v>0.53</v>
      </c>
      <c r="K262" s="15" t="n">
        <f aca="false">ROUND(F262/100*G262*H262*I262/J262,2)</f>
        <v>4037.89</v>
      </c>
      <c r="L262" s="15" t="n">
        <v>4037.89</v>
      </c>
      <c r="M262" s="15" t="n">
        <f aca="false">L262-K262</f>
        <v>0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4095</v>
      </c>
      <c r="B263" s="3" t="s">
        <v>4406</v>
      </c>
      <c r="C263" s="3" t="s">
        <v>159</v>
      </c>
      <c r="D263" s="3" t="s">
        <v>1045</v>
      </c>
      <c r="E263" s="3" t="s">
        <v>50</v>
      </c>
      <c r="F263" s="12" t="n">
        <v>1560000</v>
      </c>
      <c r="G263" s="13" t="n">
        <v>0.8</v>
      </c>
      <c r="H263" s="13" t="n">
        <v>1.15</v>
      </c>
      <c r="I263" s="13" t="n">
        <v>0.7648</v>
      </c>
      <c r="J263" s="13" t="n">
        <v>0.53</v>
      </c>
      <c r="K263" s="12" t="n">
        <f aca="false">ROUND(F263/100*G263*H263*I263/J263,2)</f>
        <v>20710.21</v>
      </c>
      <c r="L263" s="12" t="n">
        <v>20710.21</v>
      </c>
      <c r="M263" s="12" t="n">
        <f aca="false">L263-K263</f>
        <v>0</v>
      </c>
      <c r="N263" s="3" t="s">
        <v>51</v>
      </c>
      <c r="O263" s="3" t="s">
        <v>52</v>
      </c>
    </row>
    <row r="264" customFormat="false" ht="15" hidden="false" customHeight="false" outlineLevel="0" collapsed="false">
      <c r="A264" s="14" t="s">
        <v>4115</v>
      </c>
      <c r="B264" s="14" t="s">
        <v>4407</v>
      </c>
      <c r="C264" s="14" t="s">
        <v>117</v>
      </c>
      <c r="D264" s="14" t="s">
        <v>800</v>
      </c>
      <c r="E264" s="14" t="s">
        <v>56</v>
      </c>
      <c r="F264" s="15" t="n">
        <v>395000</v>
      </c>
      <c r="G264" s="16" t="n">
        <v>0.75</v>
      </c>
      <c r="H264" s="16" t="n">
        <v>0.91</v>
      </c>
      <c r="I264" s="16" t="n">
        <v>0.7648</v>
      </c>
      <c r="J264" s="16" t="n">
        <v>0.53</v>
      </c>
      <c r="K264" s="15" t="n">
        <f aca="false">ROUND(F264/100*G264*H264*I264/J264,2)</f>
        <v>3890.2</v>
      </c>
      <c r="L264" s="15" t="n">
        <v>3890.2</v>
      </c>
      <c r="M264" s="15" t="n">
        <f aca="false">L264-K264</f>
        <v>0</v>
      </c>
      <c r="N264" s="14" t="s">
        <v>70</v>
      </c>
      <c r="O264" s="14" t="s">
        <v>52</v>
      </c>
    </row>
    <row r="265" customFormat="false" ht="15" hidden="false" customHeight="false" outlineLevel="0" collapsed="false">
      <c r="A265" s="3" t="s">
        <v>4138</v>
      </c>
      <c r="B265" s="3" t="s">
        <v>4408</v>
      </c>
      <c r="C265" s="3" t="s">
        <v>48</v>
      </c>
      <c r="D265" s="3" t="s">
        <v>2757</v>
      </c>
      <c r="E265" s="3" t="s">
        <v>56</v>
      </c>
      <c r="F265" s="12" t="n">
        <v>235000</v>
      </c>
      <c r="G265" s="13" t="n">
        <v>0.92</v>
      </c>
      <c r="H265" s="13" t="n">
        <v>1.28</v>
      </c>
      <c r="I265" s="13" t="n">
        <v>0.7648</v>
      </c>
      <c r="J265" s="13" t="n">
        <v>0.53</v>
      </c>
      <c r="K265" s="12" t="n">
        <f aca="false">ROUND(F265/100*G265*H265*I265/J265,2)</f>
        <v>3993.35</v>
      </c>
      <c r="L265" s="12" t="n">
        <v>3993.35</v>
      </c>
      <c r="M265" s="12" t="n">
        <f aca="false">L265-K265</f>
        <v>0</v>
      </c>
      <c r="N265" s="3" t="s">
        <v>61</v>
      </c>
      <c r="O265" s="3" t="s">
        <v>62</v>
      </c>
    </row>
    <row r="266" customFormat="false" ht="15" hidden="false" customHeight="false" outlineLevel="0" collapsed="false">
      <c r="A266" s="14" t="s">
        <v>4168</v>
      </c>
      <c r="B266" s="14" t="s">
        <v>4409</v>
      </c>
      <c r="C266" s="14" t="s">
        <v>462</v>
      </c>
      <c r="D266" s="14" t="s">
        <v>4242</v>
      </c>
      <c r="E266" s="14" t="s">
        <v>50</v>
      </c>
      <c r="F266" s="15" t="n">
        <v>805000</v>
      </c>
      <c r="G266" s="16" t="n">
        <v>0.95</v>
      </c>
      <c r="H266" s="16" t="n">
        <v>1.34</v>
      </c>
      <c r="I266" s="16" t="n">
        <v>0.7648</v>
      </c>
      <c r="J266" s="16" t="n">
        <v>0.53</v>
      </c>
      <c r="K266" s="15" t="n">
        <f aca="false">ROUND(F266/100*G266*H266*I266/J266,2)</f>
        <v>14787.55</v>
      </c>
      <c r="L266" s="15" t="n">
        <v>14787.55</v>
      </c>
      <c r="M266" s="15" t="n">
        <f aca="false">L266-K266</f>
        <v>0</v>
      </c>
      <c r="N266" s="14" t="s">
        <v>61</v>
      </c>
      <c r="O266" s="14" t="s">
        <v>62</v>
      </c>
    </row>
    <row r="267" customFormat="false" ht="15" hidden="false" customHeight="false" outlineLevel="0" collapsed="false">
      <c r="A267" s="3" t="s">
        <v>4110</v>
      </c>
      <c r="B267" s="3" t="s">
        <v>4410</v>
      </c>
      <c r="C267" s="3" t="s">
        <v>366</v>
      </c>
      <c r="D267" s="3" t="s">
        <v>296</v>
      </c>
      <c r="E267" s="3" t="s">
        <v>74</v>
      </c>
      <c r="F267" s="12" t="n">
        <v>1750000</v>
      </c>
      <c r="G267" s="13" t="n">
        <v>0.38</v>
      </c>
      <c r="H267" s="13" t="n">
        <v>1.26</v>
      </c>
      <c r="I267" s="13" t="n">
        <v>0.7648</v>
      </c>
      <c r="J267" s="13" t="n">
        <v>0.53</v>
      </c>
      <c r="K267" s="12" t="n">
        <f aca="false">ROUND(F267/100*G267*H267*I267/J267,2)</f>
        <v>12091.06</v>
      </c>
      <c r="L267" s="12" t="n">
        <v>12091.05</v>
      </c>
      <c r="M267" s="12" t="n">
        <f aca="false">L267-K267</f>
        <v>-0.0100000000002183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4115</v>
      </c>
      <c r="B268" s="14" t="s">
        <v>4411</v>
      </c>
      <c r="C268" s="14" t="s">
        <v>81</v>
      </c>
      <c r="D268" s="14" t="s">
        <v>4412</v>
      </c>
      <c r="E268" s="14" t="s">
        <v>74</v>
      </c>
      <c r="F268" s="15" t="n">
        <v>335000</v>
      </c>
      <c r="G268" s="16" t="n">
        <v>0.48</v>
      </c>
      <c r="H268" s="16" t="n">
        <v>1.27</v>
      </c>
      <c r="I268" s="16" t="n">
        <v>0.7648</v>
      </c>
      <c r="J268" s="16" t="n">
        <v>0.53</v>
      </c>
      <c r="K268" s="15" t="n">
        <f aca="false">ROUND(F268/100*G268*H268*I268/J268,2)</f>
        <v>2946.88</v>
      </c>
      <c r="L268" s="15" t="n">
        <v>2946.87</v>
      </c>
      <c r="M268" s="15" t="n">
        <f aca="false">L268-K268</f>
        <v>-0.0100000000002183</v>
      </c>
      <c r="N268" s="14" t="s">
        <v>61</v>
      </c>
      <c r="O268" s="14" t="s">
        <v>62</v>
      </c>
    </row>
    <row r="269" customFormat="false" ht="15" hidden="false" customHeight="false" outlineLevel="0" collapsed="false">
      <c r="A269" s="3" t="s">
        <v>4138</v>
      </c>
      <c r="B269" s="3" t="s">
        <v>4413</v>
      </c>
      <c r="C269" s="3" t="s">
        <v>275</v>
      </c>
      <c r="D269" s="3" t="s">
        <v>3764</v>
      </c>
      <c r="E269" s="3" t="s">
        <v>50</v>
      </c>
      <c r="F269" s="12" t="n">
        <v>1820000</v>
      </c>
      <c r="G269" s="13" t="n">
        <v>0.8</v>
      </c>
      <c r="H269" s="13" t="n">
        <v>1.19</v>
      </c>
      <c r="I269" s="13" t="n">
        <v>0.7648</v>
      </c>
      <c r="J269" s="13" t="n">
        <v>0.53</v>
      </c>
      <c r="K269" s="12" t="n">
        <f aca="false">ROUND(F269/100*G269*H269*I269/J269,2)</f>
        <v>25002.32</v>
      </c>
      <c r="L269" s="12" t="n">
        <v>25002.32</v>
      </c>
      <c r="M269" s="12" t="n">
        <f aca="false">L269-K269</f>
        <v>0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4088</v>
      </c>
      <c r="B270" s="14" t="s">
        <v>4414</v>
      </c>
      <c r="C270" s="14" t="s">
        <v>117</v>
      </c>
      <c r="D270" s="14" t="s">
        <v>2059</v>
      </c>
      <c r="E270" s="14" t="s">
        <v>56</v>
      </c>
      <c r="F270" s="15" t="n">
        <v>405000</v>
      </c>
      <c r="G270" s="16" t="n">
        <v>0.75</v>
      </c>
      <c r="H270" s="16" t="n">
        <v>0.91</v>
      </c>
      <c r="I270" s="16" t="n">
        <v>0.7648</v>
      </c>
      <c r="J270" s="16" t="n">
        <v>0.53</v>
      </c>
      <c r="K270" s="15" t="n">
        <f aca="false">ROUND(F270/100*G270*H270*I270/J270,2)</f>
        <v>3988.68</v>
      </c>
      <c r="L270" s="15" t="n">
        <v>3988.68</v>
      </c>
      <c r="M270" s="15" t="n">
        <f aca="false">L270-K270</f>
        <v>0</v>
      </c>
      <c r="N270" s="14" t="s">
        <v>51</v>
      </c>
      <c r="O270" s="14" t="s">
        <v>52</v>
      </c>
    </row>
    <row r="271" customFormat="false" ht="15" hidden="false" customHeight="false" outlineLevel="0" collapsed="false">
      <c r="A271" s="3" t="s">
        <v>4118</v>
      </c>
      <c r="B271" s="3" t="s">
        <v>4415</v>
      </c>
      <c r="C271" s="3" t="s">
        <v>174</v>
      </c>
      <c r="D271" s="3" t="s">
        <v>1682</v>
      </c>
      <c r="E271" s="3" t="s">
        <v>50</v>
      </c>
      <c r="F271" s="12" t="n">
        <v>625000</v>
      </c>
      <c r="G271" s="13" t="n">
        <v>0.95</v>
      </c>
      <c r="H271" s="13" t="n">
        <v>1.55</v>
      </c>
      <c r="I271" s="13" t="n">
        <v>0.7648</v>
      </c>
      <c r="J271" s="13" t="n">
        <v>0.53</v>
      </c>
      <c r="K271" s="12" t="n">
        <f aca="false">ROUND(F271/100*G271*H271*I271/J271,2)</f>
        <v>13280.28</v>
      </c>
      <c r="L271" s="12" t="n">
        <v>13280.29</v>
      </c>
      <c r="M271" s="12" t="n">
        <f aca="false">L271-K271</f>
        <v>0.0100000000002183</v>
      </c>
      <c r="N271" s="3" t="s">
        <v>51</v>
      </c>
      <c r="O271" s="3" t="s">
        <v>52</v>
      </c>
    </row>
    <row r="272" customFormat="false" ht="15" hidden="false" customHeight="false" outlineLevel="0" collapsed="false">
      <c r="A272" s="14" t="s">
        <v>4134</v>
      </c>
      <c r="B272" s="14" t="s">
        <v>4416</v>
      </c>
      <c r="C272" s="14" t="s">
        <v>142</v>
      </c>
      <c r="D272" s="14" t="s">
        <v>757</v>
      </c>
      <c r="E272" s="14" t="s">
        <v>56</v>
      </c>
      <c r="F272" s="15" t="n">
        <v>170000</v>
      </c>
      <c r="G272" s="16" t="n">
        <v>0.92</v>
      </c>
      <c r="H272" s="16" t="n">
        <v>1.22</v>
      </c>
      <c r="I272" s="16" t="n">
        <v>0.7648</v>
      </c>
      <c r="J272" s="16" t="n">
        <v>0.53</v>
      </c>
      <c r="K272" s="15" t="n">
        <f aca="false">ROUND(F272/100*G272*H272*I272/J272,2)</f>
        <v>2753.4</v>
      </c>
      <c r="L272" s="15" t="n">
        <v>2753.39</v>
      </c>
      <c r="M272" s="15" t="n">
        <f aca="false">L272-K272</f>
        <v>-0.0100000000002183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4093</v>
      </c>
      <c r="B273" s="3" t="s">
        <v>4417</v>
      </c>
      <c r="C273" s="3" t="s">
        <v>89</v>
      </c>
      <c r="D273" s="3" t="s">
        <v>937</v>
      </c>
      <c r="E273" s="3" t="s">
        <v>56</v>
      </c>
      <c r="F273" s="12" t="n">
        <v>245000</v>
      </c>
      <c r="G273" s="13" t="n">
        <v>0.92</v>
      </c>
      <c r="H273" s="13" t="n">
        <v>1.35</v>
      </c>
      <c r="I273" s="13" t="n">
        <v>0.7648</v>
      </c>
      <c r="J273" s="13" t="n">
        <v>0.53</v>
      </c>
      <c r="K273" s="12" t="n">
        <f aca="false">ROUND(F273/100*G273*H273*I273/J273,2)</f>
        <v>4390.96</v>
      </c>
      <c r="L273" s="12" t="n">
        <v>4390.96</v>
      </c>
      <c r="M273" s="12" t="n">
        <f aca="false">L273-K273</f>
        <v>0</v>
      </c>
      <c r="N273" s="3" t="s">
        <v>51</v>
      </c>
      <c r="O273" s="3" t="s">
        <v>52</v>
      </c>
    </row>
    <row r="274" customFormat="false" ht="15" hidden="false" customHeight="false" outlineLevel="0" collapsed="false">
      <c r="A274" s="14" t="s">
        <v>4093</v>
      </c>
      <c r="B274" s="14" t="s">
        <v>4418</v>
      </c>
      <c r="C274" s="14" t="s">
        <v>142</v>
      </c>
      <c r="D274" s="14" t="s">
        <v>1317</v>
      </c>
      <c r="E274" s="14" t="s">
        <v>50</v>
      </c>
      <c r="F274" s="15" t="n">
        <v>1950000</v>
      </c>
      <c r="G274" s="16" t="n">
        <v>0.8</v>
      </c>
      <c r="H274" s="16" t="n">
        <v>1.22</v>
      </c>
      <c r="I274" s="16" t="n">
        <v>0.7648</v>
      </c>
      <c r="J274" s="16" t="n">
        <v>0.53</v>
      </c>
      <c r="K274" s="15" t="n">
        <f aca="false">ROUND(F274/100*G274*H274*I274/J274,2)</f>
        <v>27463.54</v>
      </c>
      <c r="L274" s="15" t="n">
        <v>27463.53</v>
      </c>
      <c r="M274" s="15" t="n">
        <f aca="false">L274-K274</f>
        <v>-0.0100000000020373</v>
      </c>
      <c r="N274" s="14" t="s">
        <v>61</v>
      </c>
      <c r="O274" s="14" t="s">
        <v>62</v>
      </c>
    </row>
    <row r="275" customFormat="false" ht="15" hidden="false" customHeight="false" outlineLevel="0" collapsed="false">
      <c r="A275" s="3" t="s">
        <v>4131</v>
      </c>
      <c r="B275" s="3" t="s">
        <v>4419</v>
      </c>
      <c r="C275" s="3" t="s">
        <v>48</v>
      </c>
      <c r="D275" s="3" t="s">
        <v>1527</v>
      </c>
      <c r="E275" s="3" t="s">
        <v>56</v>
      </c>
      <c r="F275" s="12" t="n">
        <v>380000</v>
      </c>
      <c r="G275" s="13" t="n">
        <v>0.75</v>
      </c>
      <c r="H275" s="13" t="n">
        <v>1.28</v>
      </c>
      <c r="I275" s="13" t="n">
        <v>0.7648</v>
      </c>
      <c r="J275" s="13" t="n">
        <v>0.53</v>
      </c>
      <c r="K275" s="12" t="n">
        <f aca="false">ROUND(F275/100*G275*H275*I275/J275,2)</f>
        <v>5264.13</v>
      </c>
      <c r="L275" s="12" t="n">
        <v>5264.13</v>
      </c>
      <c r="M275" s="12" t="n">
        <f aca="false">L275-K275</f>
        <v>0</v>
      </c>
      <c r="N275" s="3" t="s">
        <v>61</v>
      </c>
      <c r="O275" s="3" t="s">
        <v>62</v>
      </c>
    </row>
    <row r="276" customFormat="false" ht="15" hidden="false" customHeight="false" outlineLevel="0" collapsed="false">
      <c r="A276" s="14" t="s">
        <v>4122</v>
      </c>
      <c r="B276" s="14" t="s">
        <v>4420</v>
      </c>
      <c r="C276" s="14" t="s">
        <v>81</v>
      </c>
      <c r="D276" s="14" t="s">
        <v>642</v>
      </c>
      <c r="E276" s="14" t="s">
        <v>56</v>
      </c>
      <c r="F276" s="15" t="n">
        <v>595000</v>
      </c>
      <c r="G276" s="16" t="n">
        <v>0.65</v>
      </c>
      <c r="H276" s="16" t="n">
        <v>1.27</v>
      </c>
      <c r="I276" s="16" t="n">
        <v>0.7648</v>
      </c>
      <c r="J276" s="16" t="n">
        <v>0.53</v>
      </c>
      <c r="K276" s="15" t="n">
        <f aca="false">ROUND(F276/100*G276*H276*I276/J276,2)</f>
        <v>7087.71</v>
      </c>
      <c r="L276" s="15" t="n">
        <v>7087.72</v>
      </c>
      <c r="M276" s="15" t="n">
        <f aca="false">L276-K276</f>
        <v>0.0100000000002183</v>
      </c>
      <c r="N276" s="14" t="s">
        <v>51</v>
      </c>
      <c r="O276" s="14" t="s">
        <v>52</v>
      </c>
    </row>
    <row r="277" customFormat="false" ht="15" hidden="false" customHeight="false" outlineLevel="0" collapsed="false">
      <c r="A277" s="3" t="s">
        <v>4110</v>
      </c>
      <c r="B277" s="3" t="s">
        <v>4421</v>
      </c>
      <c r="C277" s="3" t="s">
        <v>89</v>
      </c>
      <c r="D277" s="3" t="s">
        <v>2009</v>
      </c>
      <c r="E277" s="3" t="s">
        <v>56</v>
      </c>
      <c r="F277" s="12" t="n">
        <v>1435000</v>
      </c>
      <c r="G277" s="13" t="n">
        <v>0.55</v>
      </c>
      <c r="H277" s="13" t="n">
        <v>1.35</v>
      </c>
      <c r="I277" s="13" t="n">
        <v>0.7648</v>
      </c>
      <c r="J277" s="13" t="n">
        <v>0.53</v>
      </c>
      <c r="K277" s="12" t="n">
        <f aca="false">ROUND(F277/100*G277*H277*I277/J277,2)</f>
        <v>15375.19</v>
      </c>
      <c r="L277" s="12" t="n">
        <v>15375.19</v>
      </c>
      <c r="M277" s="12" t="n">
        <f aca="false">L277-K277</f>
        <v>0</v>
      </c>
      <c r="N277" s="3" t="s">
        <v>61</v>
      </c>
      <c r="O277" s="3" t="s">
        <v>62</v>
      </c>
    </row>
    <row r="278" customFormat="false" ht="15" hidden="false" customHeight="false" outlineLevel="0" collapsed="false">
      <c r="A278" s="14" t="s">
        <v>4122</v>
      </c>
      <c r="B278" s="14" t="s">
        <v>4422</v>
      </c>
      <c r="C278" s="14" t="s">
        <v>409</v>
      </c>
      <c r="D278" s="14" t="s">
        <v>4423</v>
      </c>
      <c r="E278" s="14" t="s">
        <v>157</v>
      </c>
      <c r="F278" s="15" t="n">
        <v>600000</v>
      </c>
      <c r="G278" s="16" t="n">
        <v>0.78</v>
      </c>
      <c r="H278" s="16" t="n">
        <v>1.3</v>
      </c>
      <c r="I278" s="16" t="n">
        <v>0.7648</v>
      </c>
      <c r="J278" s="16" t="n">
        <v>0.53</v>
      </c>
      <c r="K278" s="15" t="n">
        <f aca="false">ROUND(F278/100*G278*H278*I278/J278,2)</f>
        <v>8779.33</v>
      </c>
      <c r="L278" s="15" t="n">
        <v>8779.33</v>
      </c>
      <c r="M278" s="15" t="n">
        <f aca="false">L278-K278</f>
        <v>0</v>
      </c>
      <c r="N278" s="14" t="s">
        <v>51</v>
      </c>
      <c r="O278" s="14" t="s">
        <v>52</v>
      </c>
    </row>
    <row r="279" customFormat="false" ht="15" hidden="false" customHeight="false" outlineLevel="0" collapsed="false">
      <c r="A279" s="3" t="s">
        <v>4088</v>
      </c>
      <c r="B279" s="3" t="s">
        <v>4424</v>
      </c>
      <c r="C279" s="3" t="s">
        <v>217</v>
      </c>
      <c r="D279" s="3" t="s">
        <v>1510</v>
      </c>
      <c r="E279" s="3" t="s">
        <v>74</v>
      </c>
      <c r="F279" s="12" t="n">
        <v>1335000</v>
      </c>
      <c r="G279" s="13" t="n">
        <v>0.38</v>
      </c>
      <c r="H279" s="13" t="n">
        <v>1.3</v>
      </c>
      <c r="I279" s="13" t="n">
        <v>0.7648</v>
      </c>
      <c r="J279" s="13" t="n">
        <v>0.53</v>
      </c>
      <c r="K279" s="12" t="n">
        <f aca="false">ROUND(F279/100*G279*H279*I279/J279,2)</f>
        <v>9516.57</v>
      </c>
      <c r="L279" s="12" t="n">
        <v>9516.57</v>
      </c>
      <c r="M279" s="12" t="n">
        <f aca="false">L279-K279</f>
        <v>0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4188</v>
      </c>
      <c r="B280" s="14" t="s">
        <v>4425</v>
      </c>
      <c r="C280" s="14" t="s">
        <v>77</v>
      </c>
      <c r="D280" s="14" t="s">
        <v>4242</v>
      </c>
      <c r="E280" s="14" t="s">
        <v>50</v>
      </c>
      <c r="F280" s="15" t="n">
        <v>390000</v>
      </c>
      <c r="G280" s="16" t="n">
        <v>1.15</v>
      </c>
      <c r="H280" s="16" t="n">
        <v>1.42</v>
      </c>
      <c r="I280" s="16" t="n">
        <v>0.7648</v>
      </c>
      <c r="J280" s="16" t="n">
        <v>0.53</v>
      </c>
      <c r="K280" s="15" t="n">
        <f aca="false">ROUND(F280/100*G280*H280*I280/J280,2)</f>
        <v>9190.15</v>
      </c>
      <c r="L280" s="15" t="n">
        <v>9190.16</v>
      </c>
      <c r="M280" s="15" t="n">
        <f aca="false">L280-K280</f>
        <v>0.0100000000002183</v>
      </c>
      <c r="N280" s="14" t="s">
        <v>61</v>
      </c>
      <c r="O280" s="14" t="s">
        <v>62</v>
      </c>
    </row>
    <row r="281" customFormat="false" ht="15" hidden="false" customHeight="false" outlineLevel="0" collapsed="false">
      <c r="A281" s="3" t="s">
        <v>4151</v>
      </c>
      <c r="B281" s="3" t="s">
        <v>4426</v>
      </c>
      <c r="C281" s="3" t="s">
        <v>230</v>
      </c>
      <c r="D281" s="3" t="s">
        <v>2141</v>
      </c>
      <c r="E281" s="3" t="s">
        <v>50</v>
      </c>
      <c r="F281" s="12" t="n">
        <v>1560000</v>
      </c>
      <c r="G281" s="13" t="n">
        <v>0.8</v>
      </c>
      <c r="H281" s="13" t="n">
        <v>1.09</v>
      </c>
      <c r="I281" s="13" t="n">
        <v>0.7648</v>
      </c>
      <c r="J281" s="13" t="n">
        <v>0.53</v>
      </c>
      <c r="K281" s="12" t="n">
        <f aca="false">ROUND(F281/100*G281*H281*I281/J281,2)</f>
        <v>19629.67</v>
      </c>
      <c r="L281" s="12" t="n">
        <v>19629.68</v>
      </c>
      <c r="M281" s="12" t="n">
        <f aca="false">L281-K281</f>
        <v>0.0100000000020373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4108</v>
      </c>
      <c r="B282" s="14" t="s">
        <v>4427</v>
      </c>
      <c r="C282" s="14" t="s">
        <v>81</v>
      </c>
      <c r="D282" s="14" t="s">
        <v>1039</v>
      </c>
      <c r="E282" s="14" t="s">
        <v>74</v>
      </c>
      <c r="F282" s="15" t="n">
        <v>1580000</v>
      </c>
      <c r="G282" s="16" t="n">
        <v>0.38</v>
      </c>
      <c r="H282" s="16" t="n">
        <v>1.27</v>
      </c>
      <c r="I282" s="16" t="n">
        <v>0.7648</v>
      </c>
      <c r="J282" s="16" t="n">
        <v>0.53</v>
      </c>
      <c r="K282" s="15" t="n">
        <f aca="false">ROUND(F282/100*G282*H282*I282/J282,2)</f>
        <v>11003.13</v>
      </c>
      <c r="L282" s="15" t="n">
        <v>11003.13</v>
      </c>
      <c r="M282" s="15" t="n">
        <f aca="false">L282-K282</f>
        <v>0</v>
      </c>
      <c r="N282" s="14" t="s">
        <v>61</v>
      </c>
      <c r="O282" s="14" t="s">
        <v>62</v>
      </c>
    </row>
    <row r="283" customFormat="false" ht="15" hidden="false" customHeight="false" outlineLevel="0" collapsed="false">
      <c r="A283" s="3" t="s">
        <v>4098</v>
      </c>
      <c r="B283" s="3" t="s">
        <v>4428</v>
      </c>
      <c r="C283" s="3" t="s">
        <v>105</v>
      </c>
      <c r="D283" s="3" t="s">
        <v>871</v>
      </c>
      <c r="E283" s="3" t="s">
        <v>56</v>
      </c>
      <c r="F283" s="12" t="n">
        <v>160000</v>
      </c>
      <c r="G283" s="13" t="n">
        <v>0.92</v>
      </c>
      <c r="H283" s="13" t="n">
        <v>0.99</v>
      </c>
      <c r="I283" s="13" t="n">
        <v>0.7648</v>
      </c>
      <c r="J283" s="13" t="n">
        <v>0.53</v>
      </c>
      <c r="K283" s="12" t="n">
        <f aca="false">ROUND(F283/100*G283*H283*I283/J283,2)</f>
        <v>2102.88</v>
      </c>
      <c r="L283" s="12" t="n">
        <v>2102.88</v>
      </c>
      <c r="M283" s="12" t="n">
        <f aca="false">L283-K283</f>
        <v>0</v>
      </c>
      <c r="N283" s="3" t="s">
        <v>61</v>
      </c>
      <c r="O283" s="3" t="s">
        <v>62</v>
      </c>
    </row>
    <row r="284" customFormat="false" ht="15" hidden="false" customHeight="false" outlineLevel="0" collapsed="false">
      <c r="A284" s="14" t="s">
        <v>4118</v>
      </c>
      <c r="B284" s="14" t="s">
        <v>4429</v>
      </c>
      <c r="C284" s="14" t="s">
        <v>169</v>
      </c>
      <c r="D284" s="14" t="s">
        <v>778</v>
      </c>
      <c r="E284" s="14" t="s">
        <v>50</v>
      </c>
      <c r="F284" s="15" t="n">
        <v>1950000</v>
      </c>
      <c r="G284" s="16" t="n">
        <v>0.8</v>
      </c>
      <c r="H284" s="16" t="n">
        <v>1.07</v>
      </c>
      <c r="I284" s="16" t="n">
        <v>0.7648</v>
      </c>
      <c r="J284" s="16" t="n">
        <v>0.53</v>
      </c>
      <c r="K284" s="15" t="n">
        <f aca="false">ROUND(F284/100*G284*H284*I284/J284,2)</f>
        <v>24086.87</v>
      </c>
      <c r="L284" s="15" t="n">
        <v>24086.87</v>
      </c>
      <c r="M284" s="15" t="n">
        <f aca="false">L284-K284</f>
        <v>0</v>
      </c>
      <c r="N284" s="14" t="s">
        <v>61</v>
      </c>
      <c r="O284" s="14" t="s">
        <v>62</v>
      </c>
    </row>
    <row r="285" customFormat="false" ht="15" hidden="false" customHeight="false" outlineLevel="0" collapsed="false">
      <c r="A285" s="3" t="s">
        <v>4105</v>
      </c>
      <c r="B285" s="3" t="s">
        <v>4430</v>
      </c>
      <c r="C285" s="3" t="s">
        <v>196</v>
      </c>
      <c r="D285" s="3" t="s">
        <v>1081</v>
      </c>
      <c r="E285" s="3" t="s">
        <v>50</v>
      </c>
      <c r="F285" s="12" t="n">
        <v>890000</v>
      </c>
      <c r="G285" s="13" t="n">
        <v>0.95</v>
      </c>
      <c r="H285" s="13" t="n">
        <v>1.04</v>
      </c>
      <c r="I285" s="13" t="n">
        <v>0.7648</v>
      </c>
      <c r="J285" s="13" t="n">
        <v>0.53</v>
      </c>
      <c r="K285" s="12" t="n">
        <f aca="false">ROUND(F285/100*G285*H285*I285/J285,2)</f>
        <v>12688.75</v>
      </c>
      <c r="L285" s="12" t="n">
        <v>12688.75</v>
      </c>
      <c r="M285" s="12" t="n">
        <f aca="false">L285-K285</f>
        <v>0</v>
      </c>
      <c r="N285" s="3" t="s">
        <v>61</v>
      </c>
      <c r="O285" s="3" t="s">
        <v>62</v>
      </c>
    </row>
    <row r="286" customFormat="false" ht="15" hidden="false" customHeight="false" outlineLevel="0" collapsed="false">
      <c r="A286" s="14" t="s">
        <v>4105</v>
      </c>
      <c r="B286" s="14" t="s">
        <v>4431</v>
      </c>
      <c r="C286" s="14" t="s">
        <v>435</v>
      </c>
      <c r="D286" s="14" t="s">
        <v>298</v>
      </c>
      <c r="E286" s="14" t="s">
        <v>56</v>
      </c>
      <c r="F286" s="15" t="n">
        <v>280000</v>
      </c>
      <c r="G286" s="16" t="n">
        <v>0.75</v>
      </c>
      <c r="H286" s="16" t="n">
        <v>1.13</v>
      </c>
      <c r="I286" s="16" t="n">
        <v>0.7648</v>
      </c>
      <c r="J286" s="16" t="n">
        <v>0.53</v>
      </c>
      <c r="K286" s="15" t="n">
        <f aca="false">ROUND(F286/100*G286*H286*I286/J286,2)</f>
        <v>3424.28</v>
      </c>
      <c r="L286" s="15" t="n">
        <v>3424.28</v>
      </c>
      <c r="M286" s="15" t="n">
        <f aca="false">L286-K286</f>
        <v>0</v>
      </c>
      <c r="N286" s="14" t="s">
        <v>61</v>
      </c>
      <c r="O286" s="14" t="s">
        <v>62</v>
      </c>
    </row>
    <row r="287" customFormat="false" ht="15" hidden="false" customHeight="false" outlineLevel="0" collapsed="false">
      <c r="A287" s="3" t="s">
        <v>4115</v>
      </c>
      <c r="B287" s="3" t="s">
        <v>4432</v>
      </c>
      <c r="C287" s="3" t="s">
        <v>89</v>
      </c>
      <c r="D287" s="3" t="s">
        <v>4433</v>
      </c>
      <c r="E287" s="3" t="s">
        <v>133</v>
      </c>
      <c r="F287" s="12" t="n">
        <v>775000</v>
      </c>
      <c r="G287" s="13" t="n">
        <v>0.38</v>
      </c>
      <c r="H287" s="13" t="n">
        <v>1.35</v>
      </c>
      <c r="I287" s="13" t="n">
        <v>0.7648</v>
      </c>
      <c r="J287" s="13" t="n">
        <v>0.53</v>
      </c>
      <c r="K287" s="12" t="n">
        <f aca="false">ROUND(F287/100*G287*H287*I287/J287,2)</f>
        <v>5737.08</v>
      </c>
      <c r="L287" s="12" t="n">
        <v>5737.09</v>
      </c>
      <c r="M287" s="12" t="n">
        <f aca="false">L287-K287</f>
        <v>0.0100000000002183</v>
      </c>
      <c r="N287" s="3" t="s">
        <v>70</v>
      </c>
      <c r="O287" s="3" t="s">
        <v>52</v>
      </c>
    </row>
    <row r="288" customFormat="false" ht="15" hidden="false" customHeight="false" outlineLevel="0" collapsed="false">
      <c r="A288" s="14" t="s">
        <v>4131</v>
      </c>
      <c r="B288" s="14" t="s">
        <v>4434</v>
      </c>
      <c r="C288" s="14" t="s">
        <v>193</v>
      </c>
      <c r="D288" s="14" t="s">
        <v>293</v>
      </c>
      <c r="E288" s="14" t="s">
        <v>56</v>
      </c>
      <c r="F288" s="15" t="n">
        <v>255000</v>
      </c>
      <c r="G288" s="16" t="n">
        <v>0.75</v>
      </c>
      <c r="H288" s="16" t="n">
        <v>1.25</v>
      </c>
      <c r="I288" s="16" t="n">
        <v>0.7648</v>
      </c>
      <c r="J288" s="16" t="n">
        <v>0.53</v>
      </c>
      <c r="K288" s="15" t="n">
        <f aca="false">ROUND(F288/100*G288*H288*I288/J288,2)</f>
        <v>3449.72</v>
      </c>
      <c r="L288" s="15" t="n">
        <v>3449.71</v>
      </c>
      <c r="M288" s="15" t="n">
        <f aca="false">L288-K288</f>
        <v>-0.00999999999976353</v>
      </c>
      <c r="N288" s="14" t="s">
        <v>61</v>
      </c>
      <c r="O288" s="14" t="s">
        <v>62</v>
      </c>
    </row>
    <row r="289" customFormat="false" ht="15" hidden="false" customHeight="false" outlineLevel="0" collapsed="false">
      <c r="A289" s="3" t="s">
        <v>4148</v>
      </c>
      <c r="B289" s="3" t="s">
        <v>4435</v>
      </c>
      <c r="C289" s="3" t="s">
        <v>366</v>
      </c>
      <c r="D289" s="3" t="s">
        <v>1190</v>
      </c>
      <c r="E289" s="3" t="s">
        <v>50</v>
      </c>
      <c r="F289" s="12" t="n">
        <v>635000</v>
      </c>
      <c r="G289" s="13" t="n">
        <v>0.95</v>
      </c>
      <c r="H289" s="13" t="n">
        <v>1.26</v>
      </c>
      <c r="I289" s="13" t="n">
        <v>0.7648</v>
      </c>
      <c r="J289" s="13" t="n">
        <v>0.53</v>
      </c>
      <c r="K289" s="12" t="n">
        <f aca="false">ROUND(F289/100*G289*H289*I289/J289,2)</f>
        <v>10968.31</v>
      </c>
      <c r="L289" s="12" t="n">
        <v>10968.32</v>
      </c>
      <c r="M289" s="12" t="n">
        <f aca="false">L289-K289</f>
        <v>0.0100000000002183</v>
      </c>
      <c r="N289" s="3" t="s">
        <v>61</v>
      </c>
      <c r="O289" s="3" t="s">
        <v>62</v>
      </c>
    </row>
    <row r="290" customFormat="false" ht="15" hidden="false" customHeight="false" outlineLevel="0" collapsed="false">
      <c r="A290" s="14" t="s">
        <v>4079</v>
      </c>
      <c r="B290" s="14" t="s">
        <v>4436</v>
      </c>
      <c r="C290" s="14" t="s">
        <v>93</v>
      </c>
      <c r="D290" s="14" t="s">
        <v>4437</v>
      </c>
      <c r="E290" s="14" t="s">
        <v>50</v>
      </c>
      <c r="F290" s="15" t="n">
        <v>1950000</v>
      </c>
      <c r="G290" s="16" t="n">
        <v>0.8</v>
      </c>
      <c r="H290" s="16" t="n">
        <v>1.39</v>
      </c>
      <c r="I290" s="16" t="n">
        <v>0.7648</v>
      </c>
      <c r="J290" s="16" t="n">
        <v>0.53</v>
      </c>
      <c r="K290" s="15" t="n">
        <f aca="false">ROUND(F290/100*G290*H290*I290/J290,2)</f>
        <v>31290.42</v>
      </c>
      <c r="L290" s="15" t="n">
        <v>31290.42</v>
      </c>
      <c r="M290" s="15" t="n">
        <f aca="false">L290-K290</f>
        <v>0</v>
      </c>
      <c r="N290" s="14" t="s">
        <v>61</v>
      </c>
      <c r="O290" s="14" t="s">
        <v>62</v>
      </c>
    </row>
    <row r="291" customFormat="false" ht="15" hidden="false" customHeight="false" outlineLevel="0" collapsed="false">
      <c r="A291" s="3" t="s">
        <v>4168</v>
      </c>
      <c r="B291" s="3" t="s">
        <v>4438</v>
      </c>
      <c r="C291" s="3" t="s">
        <v>217</v>
      </c>
      <c r="D291" s="3" t="s">
        <v>1335</v>
      </c>
      <c r="E291" s="3" t="s">
        <v>56</v>
      </c>
      <c r="F291" s="12" t="n">
        <v>715000</v>
      </c>
      <c r="G291" s="13" t="n">
        <v>0.65</v>
      </c>
      <c r="H291" s="13" t="n">
        <v>1.3</v>
      </c>
      <c r="I291" s="13" t="n">
        <v>0.7648</v>
      </c>
      <c r="J291" s="13" t="n">
        <v>0.53</v>
      </c>
      <c r="K291" s="12" t="n">
        <f aca="false">ROUND(F291/100*G291*H291*I291/J291,2)</f>
        <v>8718.36</v>
      </c>
      <c r="L291" s="12" t="n">
        <v>8718.36</v>
      </c>
      <c r="M291" s="12" t="n">
        <f aca="false">L291-K291</f>
        <v>0</v>
      </c>
      <c r="N291" s="3" t="s">
        <v>61</v>
      </c>
      <c r="O291" s="3" t="s">
        <v>62</v>
      </c>
    </row>
    <row r="292" customFormat="false" ht="15" hidden="false" customHeight="false" outlineLevel="0" collapsed="false">
      <c r="A292" s="14" t="s">
        <v>4148</v>
      </c>
      <c r="B292" s="14" t="s">
        <v>4439</v>
      </c>
      <c r="C292" s="14" t="s">
        <v>142</v>
      </c>
      <c r="D292" s="14" t="s">
        <v>1360</v>
      </c>
      <c r="E292" s="14" t="s">
        <v>56</v>
      </c>
      <c r="F292" s="15" t="n">
        <v>615000</v>
      </c>
      <c r="G292" s="16" t="n">
        <v>0.65</v>
      </c>
      <c r="H292" s="16" t="n">
        <v>1.22</v>
      </c>
      <c r="I292" s="16" t="n">
        <v>0.7648</v>
      </c>
      <c r="J292" s="16" t="n">
        <v>0.53</v>
      </c>
      <c r="K292" s="15" t="n">
        <f aca="false">ROUND(F292/100*G292*H292*I292/J292,2)</f>
        <v>7037.53</v>
      </c>
      <c r="L292" s="15" t="n">
        <v>7037.53</v>
      </c>
      <c r="M292" s="15" t="n">
        <f aca="false">L292-K292</f>
        <v>0</v>
      </c>
      <c r="N292" s="14" t="s">
        <v>61</v>
      </c>
      <c r="O292" s="14" t="s">
        <v>62</v>
      </c>
    </row>
    <row r="293" customFormat="false" ht="15" hidden="false" customHeight="false" outlineLevel="0" collapsed="false">
      <c r="A293" s="3" t="s">
        <v>4134</v>
      </c>
      <c r="B293" s="3" t="s">
        <v>4440</v>
      </c>
      <c r="C293" s="3" t="s">
        <v>210</v>
      </c>
      <c r="D293" s="3" t="s">
        <v>1049</v>
      </c>
      <c r="E293" s="3" t="s">
        <v>56</v>
      </c>
      <c r="F293" s="12" t="n">
        <v>430000</v>
      </c>
      <c r="G293" s="13" t="n">
        <v>0.75</v>
      </c>
      <c r="H293" s="13" t="n">
        <v>1.21</v>
      </c>
      <c r="I293" s="13" t="n">
        <v>0.7648</v>
      </c>
      <c r="J293" s="13" t="n">
        <v>0.53</v>
      </c>
      <c r="K293" s="12" t="n">
        <f aca="false">ROUND(F293/100*G293*H293*I293/J293,2)</f>
        <v>5631.02</v>
      </c>
      <c r="L293" s="12" t="n">
        <v>5631.02</v>
      </c>
      <c r="M293" s="12" t="n">
        <f aca="false">L293-K293</f>
        <v>0</v>
      </c>
      <c r="N293" s="3" t="s">
        <v>61</v>
      </c>
      <c r="O293" s="3" t="s">
        <v>62</v>
      </c>
    </row>
    <row r="294" customFormat="false" ht="15" hidden="false" customHeight="false" outlineLevel="0" collapsed="false">
      <c r="A294" s="14" t="s">
        <v>4131</v>
      </c>
      <c r="B294" s="14" t="s">
        <v>4441</v>
      </c>
      <c r="C294" s="14" t="s">
        <v>159</v>
      </c>
      <c r="D294" s="14" t="s">
        <v>4330</v>
      </c>
      <c r="E294" s="14" t="s">
        <v>133</v>
      </c>
      <c r="F294" s="15" t="n">
        <v>775000</v>
      </c>
      <c r="G294" s="16" t="n">
        <v>0.38</v>
      </c>
      <c r="H294" s="16" t="n">
        <v>1.15</v>
      </c>
      <c r="I294" s="16" t="n">
        <v>0.7648</v>
      </c>
      <c r="J294" s="16" t="n">
        <v>0.53</v>
      </c>
      <c r="K294" s="15" t="n">
        <f aca="false">ROUND(F294/100*G294*H294*I294/J294,2)</f>
        <v>4887.14</v>
      </c>
      <c r="L294" s="15" t="n">
        <v>4887.14</v>
      </c>
      <c r="M294" s="15" t="n">
        <f aca="false">L294-K294</f>
        <v>0</v>
      </c>
      <c r="N294" s="14" t="s">
        <v>61</v>
      </c>
      <c r="O294" s="14" t="s">
        <v>62</v>
      </c>
    </row>
    <row r="295" customFormat="false" ht="15" hidden="false" customHeight="false" outlineLevel="0" collapsed="false">
      <c r="A295" s="3" t="s">
        <v>4188</v>
      </c>
      <c r="B295" s="3" t="s">
        <v>4442</v>
      </c>
      <c r="C295" s="3" t="s">
        <v>108</v>
      </c>
      <c r="D295" s="3" t="s">
        <v>4443</v>
      </c>
      <c r="E295" s="3" t="s">
        <v>74</v>
      </c>
      <c r="F295" s="12" t="n">
        <v>1315000</v>
      </c>
      <c r="G295" s="13" t="n">
        <v>0.38</v>
      </c>
      <c r="H295" s="13" t="n">
        <v>0.93</v>
      </c>
      <c r="I295" s="13" t="n">
        <v>0.7648</v>
      </c>
      <c r="J295" s="13" t="n">
        <v>0.53</v>
      </c>
      <c r="K295" s="12" t="n">
        <f aca="false">ROUND(F295/100*G295*H295*I295/J295,2)</f>
        <v>6706.01</v>
      </c>
      <c r="L295" s="12" t="n">
        <v>6706.01</v>
      </c>
      <c r="M295" s="12" t="n">
        <f aca="false">L295-K295</f>
        <v>0</v>
      </c>
      <c r="N295" s="3" t="s">
        <v>61</v>
      </c>
      <c r="O295" s="3" t="s">
        <v>62</v>
      </c>
    </row>
    <row r="296" customFormat="false" ht="15" hidden="false" customHeight="false" outlineLevel="0" collapsed="false">
      <c r="A296" s="14" t="s">
        <v>4124</v>
      </c>
      <c r="B296" s="14" t="s">
        <v>4444</v>
      </c>
      <c r="C296" s="14" t="s">
        <v>152</v>
      </c>
      <c r="D296" s="14" t="s">
        <v>694</v>
      </c>
      <c r="E296" s="14" t="s">
        <v>56</v>
      </c>
      <c r="F296" s="15" t="n">
        <v>350000</v>
      </c>
      <c r="G296" s="16" t="n">
        <v>0.75</v>
      </c>
      <c r="H296" s="16" t="n">
        <v>1</v>
      </c>
      <c r="I296" s="16" t="n">
        <v>0.7648</v>
      </c>
      <c r="J296" s="16" t="n">
        <v>0.53</v>
      </c>
      <c r="K296" s="15" t="n">
        <f aca="false">ROUND(F296/100*G296*H296*I296/J296,2)</f>
        <v>3787.92</v>
      </c>
      <c r="L296" s="15" t="n">
        <v>3787.92</v>
      </c>
      <c r="M296" s="15" t="n">
        <f aca="false">L296-K296</f>
        <v>0</v>
      </c>
      <c r="N296" s="14" t="s">
        <v>61</v>
      </c>
      <c r="O296" s="14" t="s">
        <v>62</v>
      </c>
    </row>
    <row r="297" customFormat="false" ht="15" hidden="false" customHeight="false" outlineLevel="0" collapsed="false">
      <c r="A297" s="3" t="s">
        <v>4131</v>
      </c>
      <c r="B297" s="3" t="s">
        <v>4445</v>
      </c>
      <c r="C297" s="3" t="s">
        <v>237</v>
      </c>
      <c r="D297" s="3" t="s">
        <v>1422</v>
      </c>
      <c r="E297" s="3" t="s">
        <v>56</v>
      </c>
      <c r="F297" s="12" t="n">
        <v>670000</v>
      </c>
      <c r="G297" s="13" t="n">
        <v>0.65</v>
      </c>
      <c r="H297" s="13" t="n">
        <v>1.33</v>
      </c>
      <c r="I297" s="13" t="n">
        <v>0.7648</v>
      </c>
      <c r="J297" s="13" t="n">
        <v>0.53</v>
      </c>
      <c r="K297" s="12" t="n">
        <f aca="false">ROUND(F297/100*G297*H297*I297/J297,2)</f>
        <v>8358.18</v>
      </c>
      <c r="L297" s="12" t="n">
        <v>8358.18</v>
      </c>
      <c r="M297" s="12" t="n">
        <f aca="false">L297-K297</f>
        <v>0</v>
      </c>
      <c r="N297" s="3" t="s">
        <v>61</v>
      </c>
      <c r="O297" s="3" t="s">
        <v>62</v>
      </c>
    </row>
    <row r="298" customFormat="false" ht="15" hidden="false" customHeight="false" outlineLevel="0" collapsed="false">
      <c r="A298" s="14" t="s">
        <v>4131</v>
      </c>
      <c r="B298" s="14" t="s">
        <v>4446</v>
      </c>
      <c r="C298" s="14" t="s">
        <v>77</v>
      </c>
      <c r="D298" s="14" t="s">
        <v>782</v>
      </c>
      <c r="E298" s="14" t="s">
        <v>56</v>
      </c>
      <c r="F298" s="15" t="n">
        <v>765000</v>
      </c>
      <c r="G298" s="16" t="n">
        <v>0.65</v>
      </c>
      <c r="H298" s="16" t="n">
        <v>1.42</v>
      </c>
      <c r="I298" s="16" t="n">
        <v>0.7648</v>
      </c>
      <c r="J298" s="16" t="n">
        <v>0.53</v>
      </c>
      <c r="K298" s="15" t="n">
        <f aca="false">ROUND(F298/100*G298*H298*I298/J298,2)</f>
        <v>10189.08</v>
      </c>
      <c r="L298" s="15" t="n">
        <v>10189.09</v>
      </c>
      <c r="M298" s="15" t="n">
        <f aca="false">L298-K298</f>
        <v>0.0100000000002183</v>
      </c>
      <c r="N298" s="14" t="s">
        <v>61</v>
      </c>
      <c r="O298" s="14" t="s">
        <v>62</v>
      </c>
    </row>
    <row r="299" customFormat="false" ht="15" hidden="false" customHeight="false" outlineLevel="0" collapsed="false">
      <c r="A299" s="3" t="s">
        <v>4148</v>
      </c>
      <c r="B299" s="3" t="s">
        <v>4447</v>
      </c>
      <c r="C299" s="3" t="s">
        <v>174</v>
      </c>
      <c r="D299" s="3" t="s">
        <v>2872</v>
      </c>
      <c r="E299" s="3" t="s">
        <v>56</v>
      </c>
      <c r="F299" s="12" t="n">
        <v>300000</v>
      </c>
      <c r="G299" s="13" t="n">
        <v>0.75</v>
      </c>
      <c r="H299" s="13" t="n">
        <v>1.55</v>
      </c>
      <c r="I299" s="13" t="n">
        <v>0.7648</v>
      </c>
      <c r="J299" s="13" t="n">
        <v>0.53</v>
      </c>
      <c r="K299" s="12" t="n">
        <f aca="false">ROUND(F299/100*G299*H299*I299/J299,2)</f>
        <v>5032.53</v>
      </c>
      <c r="L299" s="12" t="n">
        <v>5032.53</v>
      </c>
      <c r="M299" s="12" t="n">
        <f aca="false">L299-K299</f>
        <v>0</v>
      </c>
      <c r="N299" s="3" t="s">
        <v>61</v>
      </c>
      <c r="O299" s="3" t="s">
        <v>62</v>
      </c>
    </row>
    <row r="300" customFormat="false" ht="15" hidden="false" customHeight="false" outlineLevel="0" collapsed="false">
      <c r="A300" s="14" t="s">
        <v>4108</v>
      </c>
      <c r="B300" s="14" t="s">
        <v>4448</v>
      </c>
      <c r="C300" s="14" t="s">
        <v>159</v>
      </c>
      <c r="D300" s="14" t="s">
        <v>1498</v>
      </c>
      <c r="E300" s="14" t="s">
        <v>56</v>
      </c>
      <c r="F300" s="15" t="n">
        <v>1045000</v>
      </c>
      <c r="G300" s="16" t="n">
        <v>0.55</v>
      </c>
      <c r="H300" s="16" t="n">
        <v>1.15</v>
      </c>
      <c r="I300" s="16" t="n">
        <v>0.7648</v>
      </c>
      <c r="J300" s="16" t="n">
        <v>0.53</v>
      </c>
      <c r="K300" s="15" t="n">
        <f aca="false">ROUND(F300/100*G300*H300*I300/J300,2)</f>
        <v>9537.81</v>
      </c>
      <c r="L300" s="15" t="n">
        <v>9537.81</v>
      </c>
      <c r="M300" s="15" t="n">
        <f aca="false">L300-K300</f>
        <v>0</v>
      </c>
      <c r="N300" s="14" t="s">
        <v>61</v>
      </c>
      <c r="O300" s="14" t="s">
        <v>62</v>
      </c>
    </row>
    <row r="301" customFormat="false" ht="15" hidden="false" customHeight="false" outlineLevel="0" collapsed="false">
      <c r="A301" s="3" t="s">
        <v>4081</v>
      </c>
      <c r="B301" s="3" t="s">
        <v>4449</v>
      </c>
      <c r="C301" s="3" t="s">
        <v>59</v>
      </c>
      <c r="D301" s="3" t="s">
        <v>3932</v>
      </c>
      <c r="E301" s="3" t="s">
        <v>133</v>
      </c>
      <c r="F301" s="12" t="n">
        <v>1950000</v>
      </c>
      <c r="G301" s="13" t="n">
        <v>0.34</v>
      </c>
      <c r="H301" s="13" t="n">
        <v>0.97</v>
      </c>
      <c r="I301" s="13" t="n">
        <v>0.7648</v>
      </c>
      <c r="J301" s="13" t="n">
        <v>0.53</v>
      </c>
      <c r="K301" s="12" t="n">
        <f aca="false">ROUND(F301/100*G301*H301*I301/J301,2)</f>
        <v>9280.2</v>
      </c>
      <c r="L301" s="12" t="n">
        <v>9280.2</v>
      </c>
      <c r="M301" s="12" t="n">
        <f aca="false">L301-K301</f>
        <v>0</v>
      </c>
      <c r="N301" s="3" t="s">
        <v>61</v>
      </c>
      <c r="O301" s="3" t="s">
        <v>62</v>
      </c>
    </row>
    <row r="302" customFormat="false" ht="15" hidden="false" customHeight="false" outlineLevel="0" collapsed="false">
      <c r="A302" s="14" t="s">
        <v>4204</v>
      </c>
      <c r="B302" s="14" t="s">
        <v>4450</v>
      </c>
      <c r="C302" s="14" t="s">
        <v>188</v>
      </c>
      <c r="D302" s="14" t="s">
        <v>350</v>
      </c>
      <c r="E302" s="14" t="s">
        <v>56</v>
      </c>
      <c r="F302" s="15" t="n">
        <v>540000</v>
      </c>
      <c r="G302" s="16" t="n">
        <v>0.65</v>
      </c>
      <c r="H302" s="16" t="n">
        <v>1.35</v>
      </c>
      <c r="I302" s="16" t="n">
        <v>0.7648</v>
      </c>
      <c r="J302" s="16" t="n">
        <v>0.53</v>
      </c>
      <c r="K302" s="15" t="n">
        <f aca="false">ROUND(F302/100*G302*H302*I302/J302,2)</f>
        <v>6837.74</v>
      </c>
      <c r="L302" s="15" t="n">
        <v>6837.75</v>
      </c>
      <c r="M302" s="15" t="n">
        <f aca="false">L302-K302</f>
        <v>0.0100000000002183</v>
      </c>
      <c r="N302" s="14" t="s">
        <v>61</v>
      </c>
      <c r="O302" s="14" t="s">
        <v>62</v>
      </c>
    </row>
    <row r="303" customFormat="false" ht="15" hidden="false" customHeight="false" outlineLevel="0" collapsed="false">
      <c r="A303" s="3" t="s">
        <v>4093</v>
      </c>
      <c r="B303" s="3" t="s">
        <v>4451</v>
      </c>
      <c r="C303" s="3" t="s">
        <v>68</v>
      </c>
      <c r="D303" s="3" t="s">
        <v>4452</v>
      </c>
      <c r="E303" s="3" t="s">
        <v>133</v>
      </c>
      <c r="F303" s="12" t="n">
        <v>900000</v>
      </c>
      <c r="G303" s="13" t="n">
        <v>0.38</v>
      </c>
      <c r="H303" s="13" t="n">
        <v>1.38</v>
      </c>
      <c r="I303" s="13" t="n">
        <v>0.7648</v>
      </c>
      <c r="J303" s="13" t="n">
        <v>0.53</v>
      </c>
      <c r="K303" s="12" t="n">
        <f aca="false">ROUND(F303/100*G303*H303*I303/J303,2)</f>
        <v>6810.47</v>
      </c>
      <c r="L303" s="12" t="n">
        <v>6810.48</v>
      </c>
      <c r="M303" s="12" t="n">
        <f aca="false">L303-K303</f>
        <v>0.00999999999930878</v>
      </c>
      <c r="N303" s="3" t="s">
        <v>61</v>
      </c>
      <c r="O303" s="3" t="s">
        <v>62</v>
      </c>
    </row>
    <row r="304" customFormat="false" ht="15" hidden="false" customHeight="false" outlineLevel="0" collapsed="false">
      <c r="A304" s="14" t="s">
        <v>4086</v>
      </c>
      <c r="B304" s="14" t="s">
        <v>4453</v>
      </c>
      <c r="C304" s="14" t="s">
        <v>48</v>
      </c>
      <c r="D304" s="14" t="s">
        <v>624</v>
      </c>
      <c r="E304" s="14" t="s">
        <v>56</v>
      </c>
      <c r="F304" s="15" t="n">
        <v>655000</v>
      </c>
      <c r="G304" s="16" t="n">
        <v>0.65</v>
      </c>
      <c r="H304" s="16" t="n">
        <v>1.28</v>
      </c>
      <c r="I304" s="16" t="n">
        <v>0.7648</v>
      </c>
      <c r="J304" s="16" t="n">
        <v>0.53</v>
      </c>
      <c r="K304" s="15" t="n">
        <f aca="false">ROUND(F304/100*G304*H304*I304/J304,2)</f>
        <v>7863.88</v>
      </c>
      <c r="L304" s="15" t="n">
        <v>7863.87</v>
      </c>
      <c r="M304" s="15" t="n">
        <f aca="false">L304-K304</f>
        <v>-0.0100000000002183</v>
      </c>
      <c r="N304" s="14" t="s">
        <v>61</v>
      </c>
      <c r="O304" s="14" t="s">
        <v>62</v>
      </c>
    </row>
    <row r="305" customFormat="false" ht="15" hidden="false" customHeight="false" outlineLevel="0" collapsed="false">
      <c r="A305" s="3" t="s">
        <v>4159</v>
      </c>
      <c r="B305" s="3" t="s">
        <v>4454</v>
      </c>
      <c r="C305" s="3" t="s">
        <v>275</v>
      </c>
      <c r="D305" s="3" t="s">
        <v>2486</v>
      </c>
      <c r="E305" s="3" t="s">
        <v>56</v>
      </c>
      <c r="F305" s="12" t="n">
        <v>860000</v>
      </c>
      <c r="G305" s="13" t="n">
        <v>0.65</v>
      </c>
      <c r="H305" s="13" t="n">
        <v>1.19</v>
      </c>
      <c r="I305" s="13" t="n">
        <v>0.7648</v>
      </c>
      <c r="J305" s="13" t="n">
        <v>0.53</v>
      </c>
      <c r="K305" s="12" t="n">
        <f aca="false">ROUND(F305/100*G305*H305*I305/J305,2)</f>
        <v>9599.11</v>
      </c>
      <c r="L305" s="12" t="n">
        <v>9599.1</v>
      </c>
      <c r="M305" s="12" t="n">
        <f aca="false">L305-K305</f>
        <v>-0.0100000000002183</v>
      </c>
      <c r="N305" s="3" t="s">
        <v>61</v>
      </c>
      <c r="O305" s="3" t="s">
        <v>62</v>
      </c>
    </row>
    <row r="306" customFormat="false" ht="15" hidden="false" customHeight="false" outlineLevel="0" collapsed="false">
      <c r="A306" s="14" t="s">
        <v>4093</v>
      </c>
      <c r="B306" s="14" t="s">
        <v>4455</v>
      </c>
      <c r="C306" s="14" t="s">
        <v>93</v>
      </c>
      <c r="D306" s="14" t="s">
        <v>1319</v>
      </c>
      <c r="E306" s="14" t="s">
        <v>133</v>
      </c>
      <c r="F306" s="15" t="n">
        <v>1250000</v>
      </c>
      <c r="G306" s="16" t="n">
        <v>0.34</v>
      </c>
      <c r="H306" s="16" t="n">
        <v>1.39</v>
      </c>
      <c r="I306" s="16" t="n">
        <v>0.7648</v>
      </c>
      <c r="J306" s="16" t="n">
        <v>0.53</v>
      </c>
      <c r="K306" s="15" t="n">
        <f aca="false">ROUND(F306/100*G306*H306*I306/J306,2)</f>
        <v>8524.63</v>
      </c>
      <c r="L306" s="15" t="n">
        <v>8524.64</v>
      </c>
      <c r="M306" s="15" t="n">
        <f aca="false">L306-K306</f>
        <v>0.0100000000002183</v>
      </c>
      <c r="N306" s="14" t="s">
        <v>61</v>
      </c>
      <c r="O306" s="14" t="s">
        <v>62</v>
      </c>
    </row>
    <row r="307" customFormat="false" ht="15" hidden="false" customHeight="false" outlineLevel="0" collapsed="false">
      <c r="A307" s="3" t="s">
        <v>4083</v>
      </c>
      <c r="B307" s="3" t="s">
        <v>4456</v>
      </c>
      <c r="C307" s="3" t="s">
        <v>77</v>
      </c>
      <c r="D307" s="3" t="s">
        <v>659</v>
      </c>
      <c r="E307" s="3" t="s">
        <v>56</v>
      </c>
      <c r="F307" s="12" t="n">
        <v>400000</v>
      </c>
      <c r="G307" s="13" t="n">
        <v>0.75</v>
      </c>
      <c r="H307" s="13" t="n">
        <v>1.42</v>
      </c>
      <c r="I307" s="13" t="n">
        <v>0.7648</v>
      </c>
      <c r="J307" s="13" t="n">
        <v>0.53</v>
      </c>
      <c r="K307" s="12" t="n">
        <f aca="false">ROUND(F307/100*G307*H307*I307/J307,2)</f>
        <v>6147.26</v>
      </c>
      <c r="L307" s="12" t="n">
        <v>6147.26</v>
      </c>
      <c r="M307" s="12" t="n">
        <f aca="false">L307-K307</f>
        <v>0</v>
      </c>
      <c r="N307" s="3" t="s">
        <v>61</v>
      </c>
      <c r="O307" s="3" t="s">
        <v>62</v>
      </c>
    </row>
    <row r="308" customFormat="false" ht="15" hidden="false" customHeight="false" outlineLevel="0" collapsed="false">
      <c r="A308" s="14" t="s">
        <v>4086</v>
      </c>
      <c r="B308" s="14" t="s">
        <v>4457</v>
      </c>
      <c r="C308" s="14" t="s">
        <v>85</v>
      </c>
      <c r="D308" s="14" t="s">
        <v>904</v>
      </c>
      <c r="E308" s="14" t="s">
        <v>50</v>
      </c>
      <c r="F308" s="15" t="n">
        <v>825000</v>
      </c>
      <c r="G308" s="16" t="n">
        <v>0.95</v>
      </c>
      <c r="H308" s="16" t="n">
        <v>1.28</v>
      </c>
      <c r="I308" s="16" t="n">
        <v>0.7648</v>
      </c>
      <c r="J308" s="16" t="n">
        <v>0.53</v>
      </c>
      <c r="K308" s="15" t="n">
        <f aca="false">ROUND(F308/100*G308*H308*I308/J308,2)</f>
        <v>14476.37</v>
      </c>
      <c r="L308" s="15" t="n">
        <v>14476.36</v>
      </c>
      <c r="M308" s="15" t="n">
        <f aca="false">L308-K308</f>
        <v>-0.0100000000002183</v>
      </c>
      <c r="N308" s="14" t="s">
        <v>61</v>
      </c>
      <c r="O308" s="14" t="s">
        <v>62</v>
      </c>
    </row>
    <row r="309" customFormat="false" ht="15" hidden="false" customHeight="false" outlineLevel="0" collapsed="false">
      <c r="A309" s="3" t="s">
        <v>4095</v>
      </c>
      <c r="B309" s="3" t="s">
        <v>4458</v>
      </c>
      <c r="C309" s="3" t="s">
        <v>210</v>
      </c>
      <c r="D309" s="3" t="s">
        <v>3301</v>
      </c>
      <c r="E309" s="3" t="s">
        <v>50</v>
      </c>
      <c r="F309" s="12" t="n">
        <v>870000</v>
      </c>
      <c r="G309" s="13" t="n">
        <v>0.95</v>
      </c>
      <c r="H309" s="13" t="n">
        <v>1.21</v>
      </c>
      <c r="I309" s="13" t="n">
        <v>0.7648</v>
      </c>
      <c r="J309" s="13" t="n">
        <v>0.53</v>
      </c>
      <c r="K309" s="12" t="n">
        <f aca="false">ROUND(F309/100*G309*H309*I309/J309,2)</f>
        <v>14431.13</v>
      </c>
      <c r="L309" s="12" t="n">
        <v>14431.13</v>
      </c>
      <c r="M309" s="12" t="n">
        <f aca="false">L309-K309</f>
        <v>0</v>
      </c>
      <c r="N309" s="3" t="s">
        <v>51</v>
      </c>
      <c r="O309" s="3" t="s">
        <v>52</v>
      </c>
    </row>
    <row r="310" customFormat="false" ht="15" hidden="false" customHeight="false" outlineLevel="0" collapsed="false">
      <c r="A310" s="14" t="s">
        <v>4093</v>
      </c>
      <c r="B310" s="14" t="s">
        <v>4459</v>
      </c>
      <c r="C310" s="14" t="s">
        <v>48</v>
      </c>
      <c r="D310" s="14" t="s">
        <v>4460</v>
      </c>
      <c r="E310" s="14" t="s">
        <v>50</v>
      </c>
      <c r="F310" s="15" t="n">
        <v>810000</v>
      </c>
      <c r="G310" s="16" t="n">
        <v>0.95</v>
      </c>
      <c r="H310" s="16" t="n">
        <v>1.28</v>
      </c>
      <c r="I310" s="16" t="n">
        <v>0.7648</v>
      </c>
      <c r="J310" s="16" t="n">
        <v>0.53</v>
      </c>
      <c r="K310" s="15" t="n">
        <f aca="false">ROUND(F310/100*G310*H310*I310/J310,2)</f>
        <v>14213.16</v>
      </c>
      <c r="L310" s="15" t="n">
        <v>14213.16</v>
      </c>
      <c r="M310" s="15" t="n">
        <f aca="false">L310-K310</f>
        <v>0</v>
      </c>
      <c r="N310" s="14" t="s">
        <v>61</v>
      </c>
      <c r="O310" s="14" t="s">
        <v>62</v>
      </c>
    </row>
    <row r="311" customFormat="false" ht="15" hidden="false" customHeight="false" outlineLevel="0" collapsed="false">
      <c r="A311" s="3" t="s">
        <v>4136</v>
      </c>
      <c r="B311" s="3" t="s">
        <v>4461</v>
      </c>
      <c r="C311" s="3" t="s">
        <v>77</v>
      </c>
      <c r="D311" s="3" t="s">
        <v>4462</v>
      </c>
      <c r="E311" s="3" t="s">
        <v>50</v>
      </c>
      <c r="F311" s="12" t="n">
        <v>1640000</v>
      </c>
      <c r="G311" s="13" t="n">
        <v>0.8</v>
      </c>
      <c r="H311" s="13" t="n">
        <v>1.42</v>
      </c>
      <c r="I311" s="13" t="n">
        <v>0.7648</v>
      </c>
      <c r="J311" s="13" t="n">
        <v>0.53</v>
      </c>
      <c r="K311" s="12" t="n">
        <f aca="false">ROUND(F311/100*G311*H311*I311/J311,2)</f>
        <v>26884.02</v>
      </c>
      <c r="L311" s="12" t="n">
        <v>26884.02</v>
      </c>
      <c r="M311" s="12" t="n">
        <f aca="false">L311-K311</f>
        <v>0</v>
      </c>
      <c r="N311" s="3" t="s">
        <v>70</v>
      </c>
      <c r="O311" s="3" t="s">
        <v>52</v>
      </c>
    </row>
    <row r="312" customFormat="false" ht="15" hidden="false" customHeight="false" outlineLevel="0" collapsed="false">
      <c r="A312" s="14" t="s">
        <v>4131</v>
      </c>
      <c r="B312" s="14" t="s">
        <v>4463</v>
      </c>
      <c r="C312" s="14" t="s">
        <v>59</v>
      </c>
      <c r="D312" s="14" t="s">
        <v>1406</v>
      </c>
      <c r="E312" s="14" t="s">
        <v>133</v>
      </c>
      <c r="F312" s="15" t="n">
        <v>1950000</v>
      </c>
      <c r="G312" s="16" t="n">
        <v>0.34</v>
      </c>
      <c r="H312" s="16" t="n">
        <v>0.97</v>
      </c>
      <c r="I312" s="16" t="n">
        <v>0.7648</v>
      </c>
      <c r="J312" s="16" t="n">
        <v>0.53</v>
      </c>
      <c r="K312" s="15" t="n">
        <f aca="false">ROUND(F312/100*G312*H312*I312/J312,2)</f>
        <v>9280.2</v>
      </c>
      <c r="L312" s="15" t="n">
        <v>9280.2</v>
      </c>
      <c r="M312" s="15" t="n">
        <f aca="false">L312-K312</f>
        <v>0</v>
      </c>
      <c r="N312" s="14" t="s">
        <v>61</v>
      </c>
      <c r="O312" s="14" t="s">
        <v>62</v>
      </c>
    </row>
    <row r="313" customFormat="false" ht="15" hidden="false" customHeight="false" outlineLevel="0" collapsed="false">
      <c r="A313" s="3" t="s">
        <v>4124</v>
      </c>
      <c r="B313" s="3" t="s">
        <v>4464</v>
      </c>
      <c r="C313" s="3" t="s">
        <v>131</v>
      </c>
      <c r="D313" s="3" t="s">
        <v>1872</v>
      </c>
      <c r="E313" s="3" t="s">
        <v>50</v>
      </c>
      <c r="F313" s="12" t="n">
        <v>725000</v>
      </c>
      <c r="G313" s="13" t="n">
        <v>0.95</v>
      </c>
      <c r="H313" s="13" t="n">
        <v>0.95</v>
      </c>
      <c r="I313" s="13" t="n">
        <v>0.7648</v>
      </c>
      <c r="J313" s="13" t="n">
        <v>0.53</v>
      </c>
      <c r="K313" s="12" t="n">
        <f aca="false">ROUND(F313/100*G313*H313*I313/J313,2)</f>
        <v>9441.85</v>
      </c>
      <c r="L313" s="12" t="n">
        <v>9441.85</v>
      </c>
      <c r="M313" s="12" t="n">
        <f aca="false">L313-K313</f>
        <v>0</v>
      </c>
      <c r="N313" s="3" t="s">
        <v>61</v>
      </c>
      <c r="O313" s="3" t="s">
        <v>62</v>
      </c>
    </row>
    <row r="314" customFormat="false" ht="15" hidden="false" customHeight="false" outlineLevel="0" collapsed="false">
      <c r="A314" s="14" t="s">
        <v>4115</v>
      </c>
      <c r="B314" s="14" t="s">
        <v>4465</v>
      </c>
      <c r="C314" s="14" t="s">
        <v>93</v>
      </c>
      <c r="D314" s="14" t="s">
        <v>2620</v>
      </c>
      <c r="E314" s="14" t="s">
        <v>50</v>
      </c>
      <c r="F314" s="15" t="n">
        <v>490000</v>
      </c>
      <c r="G314" s="16" t="n">
        <v>1.15</v>
      </c>
      <c r="H314" s="16" t="n">
        <v>1.39</v>
      </c>
      <c r="I314" s="16" t="n">
        <v>0.7648</v>
      </c>
      <c r="J314" s="16" t="n">
        <v>0.53</v>
      </c>
      <c r="K314" s="15" t="n">
        <f aca="false">ROUND(F314/100*G314*H314*I314/J314,2)</f>
        <v>11302.66</v>
      </c>
      <c r="L314" s="15" t="n">
        <v>11302.66</v>
      </c>
      <c r="M314" s="15" t="n">
        <f aca="false">L314-K314</f>
        <v>0</v>
      </c>
      <c r="N314" s="14" t="s">
        <v>61</v>
      </c>
      <c r="O314" s="14" t="s">
        <v>62</v>
      </c>
    </row>
    <row r="315" customFormat="false" ht="15" hidden="false" customHeight="false" outlineLevel="0" collapsed="false">
      <c r="A315" s="3" t="s">
        <v>4145</v>
      </c>
      <c r="B315" s="3" t="s">
        <v>4466</v>
      </c>
      <c r="C315" s="3" t="s">
        <v>142</v>
      </c>
      <c r="D315" s="3" t="s">
        <v>2700</v>
      </c>
      <c r="E315" s="3" t="s">
        <v>56</v>
      </c>
      <c r="F315" s="12" t="n">
        <v>1065000</v>
      </c>
      <c r="G315" s="13" t="n">
        <v>0.55</v>
      </c>
      <c r="H315" s="13" t="n">
        <v>1.22</v>
      </c>
      <c r="I315" s="13" t="n">
        <v>0.7648</v>
      </c>
      <c r="J315" s="13" t="n">
        <v>0.53</v>
      </c>
      <c r="K315" s="12" t="n">
        <f aca="false">ROUND(F315/100*G315*H315*I315/J315,2)</f>
        <v>10312.03</v>
      </c>
      <c r="L315" s="12" t="n">
        <v>10312.03</v>
      </c>
      <c r="M315" s="12" t="n">
        <f aca="false">L315-K315</f>
        <v>0</v>
      </c>
      <c r="N315" s="3" t="s">
        <v>61</v>
      </c>
      <c r="O315" s="3" t="s">
        <v>62</v>
      </c>
    </row>
    <row r="316" customFormat="false" ht="15" hidden="false" customHeight="false" outlineLevel="0" collapsed="false">
      <c r="A316" s="14" t="s">
        <v>4136</v>
      </c>
      <c r="B316" s="14" t="s">
        <v>4467</v>
      </c>
      <c r="C316" s="14" t="s">
        <v>217</v>
      </c>
      <c r="D316" s="14" t="s">
        <v>4468</v>
      </c>
      <c r="E316" s="14" t="s">
        <v>157</v>
      </c>
      <c r="F316" s="15" t="n">
        <v>510000</v>
      </c>
      <c r="G316" s="16" t="n">
        <v>0.78</v>
      </c>
      <c r="H316" s="16" t="n">
        <v>1.3</v>
      </c>
      <c r="I316" s="16" t="n">
        <v>0.7648</v>
      </c>
      <c r="J316" s="16" t="n">
        <v>0.53</v>
      </c>
      <c r="K316" s="15" t="n">
        <f aca="false">ROUND(F316/100*G316*H316*I316/J316,2)</f>
        <v>7462.43</v>
      </c>
      <c r="L316" s="15" t="n">
        <v>7462.43</v>
      </c>
      <c r="M316" s="15" t="n">
        <f aca="false">L316-K316</f>
        <v>0</v>
      </c>
      <c r="N316" s="14" t="s">
        <v>61</v>
      </c>
      <c r="O316" s="14" t="s">
        <v>62</v>
      </c>
    </row>
    <row r="317" customFormat="false" ht="15" hidden="false" customHeight="false" outlineLevel="0" collapsed="false">
      <c r="A317" s="3" t="s">
        <v>4145</v>
      </c>
      <c r="B317" s="3" t="s">
        <v>4469</v>
      </c>
      <c r="C317" s="3" t="s">
        <v>417</v>
      </c>
      <c r="D317" s="3" t="s">
        <v>2575</v>
      </c>
      <c r="E317" s="3" t="s">
        <v>50</v>
      </c>
      <c r="F317" s="12" t="n">
        <v>510000</v>
      </c>
      <c r="G317" s="13" t="n">
        <v>0.95</v>
      </c>
      <c r="H317" s="13" t="n">
        <v>1.24</v>
      </c>
      <c r="I317" s="13" t="n">
        <v>0.7648</v>
      </c>
      <c r="J317" s="13" t="n">
        <v>0.53</v>
      </c>
      <c r="K317" s="12" t="n">
        <f aca="false">ROUND(F317/100*G317*H317*I317/J317,2)</f>
        <v>8669.37</v>
      </c>
      <c r="L317" s="12" t="n">
        <v>8669.37</v>
      </c>
      <c r="M317" s="12" t="n">
        <f aca="false">L317-K317</f>
        <v>0</v>
      </c>
      <c r="N317" s="3" t="s">
        <v>61</v>
      </c>
      <c r="O317" s="3" t="s">
        <v>62</v>
      </c>
    </row>
    <row r="318" customFormat="false" ht="15" hidden="false" customHeight="false" outlineLevel="0" collapsed="false">
      <c r="A318" s="14" t="s">
        <v>4112</v>
      </c>
      <c r="B318" s="14" t="s">
        <v>4470</v>
      </c>
      <c r="C318" s="14" t="s">
        <v>224</v>
      </c>
      <c r="D318" s="14" t="s">
        <v>1658</v>
      </c>
      <c r="E318" s="14" t="s">
        <v>56</v>
      </c>
      <c r="F318" s="15" t="n">
        <v>720000</v>
      </c>
      <c r="G318" s="16" t="n">
        <v>0.65</v>
      </c>
      <c r="H318" s="16" t="n">
        <v>1.1</v>
      </c>
      <c r="I318" s="16" t="n">
        <v>0.7648</v>
      </c>
      <c r="J318" s="16" t="n">
        <v>0.53</v>
      </c>
      <c r="K318" s="15" t="n">
        <f aca="false">ROUND(F318/100*G318*H318*I318/J318,2)</f>
        <v>7428.66</v>
      </c>
      <c r="L318" s="15" t="n">
        <v>7428.66</v>
      </c>
      <c r="M318" s="15" t="n">
        <f aca="false">L318-K318</f>
        <v>0</v>
      </c>
      <c r="N318" s="14" t="s">
        <v>51</v>
      </c>
      <c r="O318" s="14" t="s">
        <v>52</v>
      </c>
    </row>
    <row r="319" customFormat="false" ht="15" hidden="false" customHeight="false" outlineLevel="0" collapsed="false">
      <c r="A319" s="3" t="s">
        <v>4083</v>
      </c>
      <c r="B319" s="3" t="s">
        <v>4471</v>
      </c>
      <c r="C319" s="3" t="s">
        <v>77</v>
      </c>
      <c r="D319" s="3" t="s">
        <v>747</v>
      </c>
      <c r="E319" s="3" t="s">
        <v>56</v>
      </c>
      <c r="F319" s="12" t="n">
        <v>805000</v>
      </c>
      <c r="G319" s="13" t="n">
        <v>0.65</v>
      </c>
      <c r="H319" s="13" t="n">
        <v>1.42</v>
      </c>
      <c r="I319" s="13" t="n">
        <v>0.7648</v>
      </c>
      <c r="J319" s="13" t="n">
        <v>0.53</v>
      </c>
      <c r="K319" s="12" t="n">
        <f aca="false">ROUND(F319/100*G319*H319*I319/J319,2)</f>
        <v>10721.85</v>
      </c>
      <c r="L319" s="12" t="n">
        <v>10721.85</v>
      </c>
      <c r="M319" s="12" t="n">
        <f aca="false">L319-K319</f>
        <v>0</v>
      </c>
      <c r="N319" s="3" t="s">
        <v>70</v>
      </c>
      <c r="O319" s="3" t="s">
        <v>52</v>
      </c>
    </row>
    <row r="320" customFormat="false" ht="15" hidden="false" customHeight="false" outlineLevel="0" collapsed="false">
      <c r="A320" s="14" t="s">
        <v>4168</v>
      </c>
      <c r="B320" s="14" t="s">
        <v>4472</v>
      </c>
      <c r="C320" s="14" t="s">
        <v>81</v>
      </c>
      <c r="D320" s="14" t="s">
        <v>606</v>
      </c>
      <c r="E320" s="14" t="s">
        <v>56</v>
      </c>
      <c r="F320" s="15" t="n">
        <v>255000</v>
      </c>
      <c r="G320" s="16" t="n">
        <v>0.75</v>
      </c>
      <c r="H320" s="16" t="n">
        <v>1.27</v>
      </c>
      <c r="I320" s="16" t="n">
        <v>0.7648</v>
      </c>
      <c r="J320" s="16" t="n">
        <v>0.53</v>
      </c>
      <c r="K320" s="15" t="n">
        <f aca="false">ROUND(F320/100*G320*H320*I320/J320,2)</f>
        <v>3504.91</v>
      </c>
      <c r="L320" s="15" t="n">
        <v>3504.91</v>
      </c>
      <c r="M320" s="15" t="n">
        <f aca="false">L320-K320</f>
        <v>0</v>
      </c>
      <c r="N320" s="14" t="s">
        <v>61</v>
      </c>
      <c r="O320" s="14" t="s">
        <v>62</v>
      </c>
    </row>
    <row r="321" customFormat="false" ht="15" hidden="false" customHeight="false" outlineLevel="0" collapsed="false">
      <c r="A321" s="3" t="s">
        <v>4188</v>
      </c>
      <c r="B321" s="3" t="s">
        <v>4473</v>
      </c>
      <c r="C321" s="3" t="s">
        <v>224</v>
      </c>
      <c r="D321" s="3" t="s">
        <v>1535</v>
      </c>
      <c r="E321" s="3" t="s">
        <v>74</v>
      </c>
      <c r="F321" s="12" t="n">
        <v>350000</v>
      </c>
      <c r="G321" s="13" t="n">
        <v>0.48</v>
      </c>
      <c r="H321" s="13" t="n">
        <v>1.1</v>
      </c>
      <c r="I321" s="13" t="n">
        <v>0.7648</v>
      </c>
      <c r="J321" s="13" t="n">
        <v>0.53</v>
      </c>
      <c r="K321" s="12" t="n">
        <f aca="false">ROUND(F321/100*G321*H321*I321/J321,2)</f>
        <v>2666.7</v>
      </c>
      <c r="L321" s="12" t="n">
        <v>2666.7</v>
      </c>
      <c r="M321" s="12" t="n">
        <f aca="false">L321-K321</f>
        <v>0</v>
      </c>
      <c r="N321" s="3" t="s">
        <v>70</v>
      </c>
      <c r="O321" s="3" t="s">
        <v>52</v>
      </c>
    </row>
    <row r="322" customFormat="false" ht="15" hidden="false" customHeight="false" outlineLevel="0" collapsed="false">
      <c r="A322" s="14" t="s">
        <v>4118</v>
      </c>
      <c r="B322" s="14" t="s">
        <v>4474</v>
      </c>
      <c r="C322" s="14" t="s">
        <v>117</v>
      </c>
      <c r="D322" s="14" t="s">
        <v>761</v>
      </c>
      <c r="E322" s="14" t="s">
        <v>56</v>
      </c>
      <c r="F322" s="15" t="n">
        <v>365000</v>
      </c>
      <c r="G322" s="16" t="n">
        <v>0.75</v>
      </c>
      <c r="H322" s="16" t="n">
        <v>0.91</v>
      </c>
      <c r="I322" s="16" t="n">
        <v>0.7648</v>
      </c>
      <c r="J322" s="16" t="n">
        <v>0.53</v>
      </c>
      <c r="K322" s="15" t="n">
        <f aca="false">ROUND(F322/100*G322*H322*I322/J322,2)</f>
        <v>3594.74</v>
      </c>
      <c r="L322" s="15" t="n">
        <v>3594.74</v>
      </c>
      <c r="M322" s="15" t="n">
        <f aca="false">L322-K322</f>
        <v>0</v>
      </c>
      <c r="N322" s="14" t="s">
        <v>61</v>
      </c>
      <c r="O322" s="14" t="s">
        <v>62</v>
      </c>
    </row>
    <row r="323" customFormat="false" ht="15" hidden="false" customHeight="false" outlineLevel="0" collapsed="false">
      <c r="A323" s="3" t="s">
        <v>4095</v>
      </c>
      <c r="B323" s="3" t="s">
        <v>4475</v>
      </c>
      <c r="C323" s="3" t="s">
        <v>224</v>
      </c>
      <c r="D323" s="3" t="s">
        <v>1616</v>
      </c>
      <c r="E323" s="3" t="s">
        <v>74</v>
      </c>
      <c r="F323" s="12" t="n">
        <v>570000</v>
      </c>
      <c r="G323" s="13" t="n">
        <v>0.43</v>
      </c>
      <c r="H323" s="13" t="n">
        <v>1.1</v>
      </c>
      <c r="I323" s="13" t="n">
        <v>0.7648</v>
      </c>
      <c r="J323" s="13" t="n">
        <v>0.53</v>
      </c>
      <c r="K323" s="12" t="n">
        <f aca="false">ROUND(F323/100*G323*H323*I323/J323,2)</f>
        <v>3890.52</v>
      </c>
      <c r="L323" s="12" t="n">
        <v>3890.52</v>
      </c>
      <c r="M323" s="12" t="n">
        <f aca="false">L323-K323</f>
        <v>0</v>
      </c>
      <c r="N323" s="3" t="s">
        <v>61</v>
      </c>
      <c r="O323" s="3" t="s">
        <v>62</v>
      </c>
    </row>
    <row r="324" customFormat="false" ht="15" hidden="false" customHeight="false" outlineLevel="0" collapsed="false">
      <c r="A324" s="14" t="s">
        <v>4108</v>
      </c>
      <c r="B324" s="14" t="s">
        <v>4476</v>
      </c>
      <c r="C324" s="14" t="s">
        <v>105</v>
      </c>
      <c r="D324" s="14" t="s">
        <v>978</v>
      </c>
      <c r="E324" s="14" t="s">
        <v>56</v>
      </c>
      <c r="F324" s="15" t="n">
        <v>420000</v>
      </c>
      <c r="G324" s="16" t="n">
        <v>0.75</v>
      </c>
      <c r="H324" s="16" t="n">
        <v>0.99</v>
      </c>
      <c r="I324" s="16" t="n">
        <v>0.7648</v>
      </c>
      <c r="J324" s="16" t="n">
        <v>0.53</v>
      </c>
      <c r="K324" s="15" t="n">
        <f aca="false">ROUND(F324/100*G324*H324*I324/J324,2)</f>
        <v>4500.05</v>
      </c>
      <c r="L324" s="15" t="n">
        <v>4500.05</v>
      </c>
      <c r="M324" s="15" t="n">
        <f aca="false">L324-K324</f>
        <v>0</v>
      </c>
      <c r="N324" s="14" t="s">
        <v>61</v>
      </c>
      <c r="O324" s="14" t="s">
        <v>62</v>
      </c>
    </row>
    <row r="325" customFormat="false" ht="15" hidden="false" customHeight="false" outlineLevel="0" collapsed="false">
      <c r="A325" s="3" t="s">
        <v>4145</v>
      </c>
      <c r="B325" s="3" t="s">
        <v>4477</v>
      </c>
      <c r="C325" s="3" t="s">
        <v>77</v>
      </c>
      <c r="D325" s="3" t="s">
        <v>900</v>
      </c>
      <c r="E325" s="3" t="s">
        <v>56</v>
      </c>
      <c r="F325" s="12" t="n">
        <v>655000</v>
      </c>
      <c r="G325" s="13" t="n">
        <v>0.65</v>
      </c>
      <c r="H325" s="13" t="n">
        <v>1.42</v>
      </c>
      <c r="I325" s="13" t="n">
        <v>0.7648</v>
      </c>
      <c r="J325" s="13" t="n">
        <v>0.53</v>
      </c>
      <c r="K325" s="12" t="n">
        <f aca="false">ROUND(F325/100*G325*H325*I325/J325,2)</f>
        <v>8723.99</v>
      </c>
      <c r="L325" s="12" t="n">
        <v>8723.99</v>
      </c>
      <c r="M325" s="12" t="n">
        <f aca="false">L325-K325</f>
        <v>0</v>
      </c>
      <c r="N325" s="3" t="s">
        <v>61</v>
      </c>
      <c r="O325" s="3" t="s">
        <v>62</v>
      </c>
    </row>
    <row r="326" customFormat="false" ht="15" hidden="false" customHeight="false" outlineLevel="0" collapsed="false">
      <c r="A326" s="14" t="s">
        <v>4098</v>
      </c>
      <c r="B326" s="14" t="s">
        <v>4478</v>
      </c>
      <c r="C326" s="14" t="s">
        <v>311</v>
      </c>
      <c r="D326" s="14" t="s">
        <v>1803</v>
      </c>
      <c r="E326" s="14" t="s">
        <v>56</v>
      </c>
      <c r="F326" s="15" t="n">
        <v>815000</v>
      </c>
      <c r="G326" s="16" t="n">
        <v>0.65</v>
      </c>
      <c r="H326" s="16" t="n">
        <v>1.06</v>
      </c>
      <c r="I326" s="16" t="n">
        <v>0.7648</v>
      </c>
      <c r="J326" s="16" t="n">
        <v>0.53</v>
      </c>
      <c r="K326" s="15" t="n">
        <f aca="false">ROUND(F326/100*G326*H326*I326/J326,2)</f>
        <v>8103.06</v>
      </c>
      <c r="L326" s="15" t="n">
        <v>8103.06</v>
      </c>
      <c r="M326" s="15" t="n">
        <f aca="false">L326-K326</f>
        <v>0</v>
      </c>
      <c r="N326" s="14" t="s">
        <v>61</v>
      </c>
      <c r="O326" s="14" t="s">
        <v>62</v>
      </c>
    </row>
    <row r="327" customFormat="false" ht="15" hidden="false" customHeight="false" outlineLevel="0" collapsed="false">
      <c r="A327" s="3" t="s">
        <v>4136</v>
      </c>
      <c r="B327" s="3" t="s">
        <v>4479</v>
      </c>
      <c r="C327" s="3" t="s">
        <v>237</v>
      </c>
      <c r="D327" s="3" t="s">
        <v>4480</v>
      </c>
      <c r="E327" s="3" t="s">
        <v>56</v>
      </c>
      <c r="F327" s="12" t="n">
        <v>230000</v>
      </c>
      <c r="G327" s="13" t="n">
        <v>0.92</v>
      </c>
      <c r="H327" s="13" t="n">
        <v>1.33</v>
      </c>
      <c r="I327" s="13" t="n">
        <v>0.7648</v>
      </c>
      <c r="J327" s="13" t="n">
        <v>0.53</v>
      </c>
      <c r="K327" s="12" t="n">
        <f aca="false">ROUND(F327/100*G327*H327*I327/J327,2)</f>
        <v>4061.06</v>
      </c>
      <c r="L327" s="12" t="n">
        <v>4061.06</v>
      </c>
      <c r="M327" s="12" t="n">
        <f aca="false">L327-K327</f>
        <v>0</v>
      </c>
      <c r="N327" s="3" t="s">
        <v>61</v>
      </c>
      <c r="O327" s="3" t="s">
        <v>62</v>
      </c>
    </row>
    <row r="328" customFormat="false" ht="15" hidden="false" customHeight="false" outlineLevel="0" collapsed="false">
      <c r="A328" s="14" t="s">
        <v>4127</v>
      </c>
      <c r="B328" s="14" t="s">
        <v>4481</v>
      </c>
      <c r="C328" s="14" t="s">
        <v>887</v>
      </c>
      <c r="D328" s="14" t="s">
        <v>664</v>
      </c>
      <c r="E328" s="14" t="s">
        <v>56</v>
      </c>
      <c r="F328" s="15" t="n">
        <v>435000</v>
      </c>
      <c r="G328" s="16" t="n">
        <v>0.75</v>
      </c>
      <c r="H328" s="16" t="n">
        <v>1.37</v>
      </c>
      <c r="I328" s="16" t="n">
        <v>0.7648</v>
      </c>
      <c r="J328" s="16" t="n">
        <v>0.53</v>
      </c>
      <c r="K328" s="15" t="n">
        <f aca="false">ROUND(F328/100*G328*H328*I328/J328,2)</f>
        <v>6449.75</v>
      </c>
      <c r="L328" s="15" t="n">
        <v>6449.75</v>
      </c>
      <c r="M328" s="15" t="n">
        <f aca="false">L328-K328</f>
        <v>0</v>
      </c>
      <c r="N328" s="14" t="s">
        <v>61</v>
      </c>
      <c r="O328" s="14" t="s">
        <v>62</v>
      </c>
    </row>
    <row r="329" customFormat="false" ht="15" hidden="false" customHeight="false" outlineLevel="0" collapsed="false">
      <c r="A329" s="3" t="s">
        <v>4095</v>
      </c>
      <c r="B329" s="3" t="s">
        <v>4482</v>
      </c>
      <c r="C329" s="3" t="s">
        <v>48</v>
      </c>
      <c r="D329" s="3" t="s">
        <v>2072</v>
      </c>
      <c r="E329" s="3" t="s">
        <v>56</v>
      </c>
      <c r="F329" s="12" t="n">
        <v>720000</v>
      </c>
      <c r="G329" s="13" t="n">
        <v>0.65</v>
      </c>
      <c r="H329" s="13" t="n">
        <v>1.28</v>
      </c>
      <c r="I329" s="13" t="n">
        <v>0.7648</v>
      </c>
      <c r="J329" s="13" t="n">
        <v>0.53</v>
      </c>
      <c r="K329" s="12" t="n">
        <f aca="false">ROUND(F329/100*G329*H329*I329/J329,2)</f>
        <v>8644.26</v>
      </c>
      <c r="L329" s="12" t="n">
        <v>8644.26</v>
      </c>
      <c r="M329" s="12" t="n">
        <f aca="false">L329-K329</f>
        <v>0</v>
      </c>
      <c r="N329" s="3" t="s">
        <v>61</v>
      </c>
      <c r="O329" s="3" t="s">
        <v>62</v>
      </c>
    </row>
    <row r="330" customFormat="false" ht="15" hidden="false" customHeight="false" outlineLevel="0" collapsed="false">
      <c r="A330" s="14" t="s">
        <v>4122</v>
      </c>
      <c r="B330" s="14" t="s">
        <v>4483</v>
      </c>
      <c r="C330" s="14" t="s">
        <v>305</v>
      </c>
      <c r="D330" s="14" t="s">
        <v>2150</v>
      </c>
      <c r="E330" s="14" t="s">
        <v>56</v>
      </c>
      <c r="F330" s="15" t="n">
        <v>555000</v>
      </c>
      <c r="G330" s="16" t="n">
        <v>0.65</v>
      </c>
      <c r="H330" s="16" t="n">
        <v>1.12</v>
      </c>
      <c r="I330" s="16" t="n">
        <v>0.7648</v>
      </c>
      <c r="J330" s="16" t="n">
        <v>0.53</v>
      </c>
      <c r="K330" s="15" t="n">
        <f aca="false">ROUND(F330/100*G330*H330*I330/J330,2)</f>
        <v>5830.37</v>
      </c>
      <c r="L330" s="15" t="n">
        <v>5830.38</v>
      </c>
      <c r="M330" s="15" t="n">
        <f aca="false">L330-K330</f>
        <v>0.0100000000002183</v>
      </c>
      <c r="N330" s="14" t="s">
        <v>61</v>
      </c>
      <c r="O330" s="14" t="s">
        <v>62</v>
      </c>
    </row>
    <row r="331" customFormat="false" ht="15" hidden="false" customHeight="false" outlineLevel="0" collapsed="false">
      <c r="A331" s="3" t="s">
        <v>4145</v>
      </c>
      <c r="B331" s="3" t="s">
        <v>4484</v>
      </c>
      <c r="C331" s="3" t="s">
        <v>210</v>
      </c>
      <c r="D331" s="3" t="s">
        <v>1857</v>
      </c>
      <c r="E331" s="3" t="s">
        <v>56</v>
      </c>
      <c r="F331" s="12" t="n">
        <v>395000</v>
      </c>
      <c r="G331" s="13" t="n">
        <v>0.75</v>
      </c>
      <c r="H331" s="13" t="n">
        <v>1.21</v>
      </c>
      <c r="I331" s="13" t="n">
        <v>0.7648</v>
      </c>
      <c r="J331" s="13" t="n">
        <v>0.53</v>
      </c>
      <c r="K331" s="12" t="n">
        <f aca="false">ROUND(F331/100*G331*H331*I331/J331,2)</f>
        <v>5172.68</v>
      </c>
      <c r="L331" s="12" t="n">
        <v>5172.68</v>
      </c>
      <c r="M331" s="12" t="n">
        <f aca="false">L331-K331</f>
        <v>0</v>
      </c>
      <c r="N331" s="3" t="s">
        <v>61</v>
      </c>
      <c r="O331" s="3" t="s">
        <v>62</v>
      </c>
    </row>
    <row r="332" customFormat="false" ht="15" hidden="false" customHeight="false" outlineLevel="0" collapsed="false">
      <c r="A332" s="14" t="s">
        <v>4093</v>
      </c>
      <c r="B332" s="14" t="s">
        <v>4485</v>
      </c>
      <c r="C332" s="14" t="s">
        <v>59</v>
      </c>
      <c r="D332" s="14" t="s">
        <v>4486</v>
      </c>
      <c r="E332" s="14" t="s">
        <v>74</v>
      </c>
      <c r="F332" s="15" t="n">
        <v>1095000</v>
      </c>
      <c r="G332" s="16" t="n">
        <v>0.38</v>
      </c>
      <c r="H332" s="16" t="n">
        <v>0.97</v>
      </c>
      <c r="I332" s="16" t="n">
        <v>0.7648</v>
      </c>
      <c r="J332" s="16" t="n">
        <v>0.53</v>
      </c>
      <c r="K332" s="15" t="n">
        <f aca="false">ROUND(F332/100*G332*H332*I332/J332,2)</f>
        <v>5824.27</v>
      </c>
      <c r="L332" s="15" t="n">
        <v>5824.27</v>
      </c>
      <c r="M332" s="15" t="n">
        <f aca="false">L332-K332</f>
        <v>0</v>
      </c>
      <c r="N332" s="14" t="s">
        <v>61</v>
      </c>
      <c r="O332" s="14" t="s">
        <v>62</v>
      </c>
    </row>
    <row r="333" customFormat="false" ht="15" hidden="false" customHeight="false" outlineLevel="0" collapsed="false">
      <c r="A333" s="3" t="s">
        <v>4112</v>
      </c>
      <c r="B333" s="3" t="s">
        <v>4487</v>
      </c>
      <c r="C333" s="3" t="s">
        <v>114</v>
      </c>
      <c r="D333" s="3" t="s">
        <v>425</v>
      </c>
      <c r="E333" s="3" t="s">
        <v>74</v>
      </c>
      <c r="F333" s="12" t="n">
        <v>1035000</v>
      </c>
      <c r="G333" s="13" t="n">
        <v>0.38</v>
      </c>
      <c r="H333" s="13" t="n">
        <v>1.36</v>
      </c>
      <c r="I333" s="13" t="n">
        <v>0.7648</v>
      </c>
      <c r="J333" s="13" t="n">
        <v>0.53</v>
      </c>
      <c r="K333" s="12" t="n">
        <f aca="false">ROUND(F333/100*G333*H333*I333/J333,2)</f>
        <v>7718.53</v>
      </c>
      <c r="L333" s="12" t="n">
        <v>7718.54</v>
      </c>
      <c r="M333" s="12" t="n">
        <f aca="false">L333-K333</f>
        <v>0.0100000000002183</v>
      </c>
      <c r="N333" s="3" t="s">
        <v>61</v>
      </c>
      <c r="O333" s="3" t="s">
        <v>62</v>
      </c>
    </row>
    <row r="334" customFormat="false" ht="15" hidden="false" customHeight="false" outlineLevel="0" collapsed="false">
      <c r="A334" s="14" t="s">
        <v>4115</v>
      </c>
      <c r="B334" s="14" t="s">
        <v>4488</v>
      </c>
      <c r="C334" s="14" t="s">
        <v>435</v>
      </c>
      <c r="D334" s="14" t="s">
        <v>4489</v>
      </c>
      <c r="E334" s="14" t="s">
        <v>50</v>
      </c>
      <c r="F334" s="15" t="n">
        <v>1495000</v>
      </c>
      <c r="G334" s="16" t="n">
        <v>0.8</v>
      </c>
      <c r="H334" s="16" t="n">
        <v>1.13</v>
      </c>
      <c r="I334" s="16" t="n">
        <v>0.7648</v>
      </c>
      <c r="J334" s="16" t="n">
        <v>0.53</v>
      </c>
      <c r="K334" s="15" t="n">
        <f aca="false">ROUND(F334/100*G334*H334*I334/J334,2)</f>
        <v>19502.11</v>
      </c>
      <c r="L334" s="15" t="n">
        <v>19502.11</v>
      </c>
      <c r="M334" s="15" t="n">
        <f aca="false">L334-K334</f>
        <v>0</v>
      </c>
      <c r="N334" s="14" t="s">
        <v>61</v>
      </c>
      <c r="O334" s="14" t="s">
        <v>62</v>
      </c>
    </row>
    <row r="335" customFormat="false" ht="15" hidden="false" customHeight="false" outlineLevel="0" collapsed="false">
      <c r="A335" s="3" t="s">
        <v>4079</v>
      </c>
      <c r="B335" s="3" t="s">
        <v>4490</v>
      </c>
      <c r="C335" s="3" t="s">
        <v>145</v>
      </c>
      <c r="D335" s="3" t="s">
        <v>771</v>
      </c>
      <c r="E335" s="3" t="s">
        <v>56</v>
      </c>
      <c r="F335" s="12" t="n">
        <v>215000</v>
      </c>
      <c r="G335" s="13" t="n">
        <v>0.92</v>
      </c>
      <c r="H335" s="13" t="n">
        <v>0.96</v>
      </c>
      <c r="I335" s="13" t="n">
        <v>0.7648</v>
      </c>
      <c r="J335" s="13" t="n">
        <v>0.53</v>
      </c>
      <c r="K335" s="12" t="n">
        <f aca="false">ROUND(F335/100*G335*H335*I335/J335,2)</f>
        <v>2740.12</v>
      </c>
      <c r="L335" s="12" t="n">
        <v>2740.12</v>
      </c>
      <c r="M335" s="12" t="n">
        <f aca="false">L335-K335</f>
        <v>0</v>
      </c>
      <c r="N335" s="3" t="s">
        <v>61</v>
      </c>
      <c r="O335" s="3" t="s">
        <v>62</v>
      </c>
    </row>
    <row r="336" customFormat="false" ht="15" hidden="false" customHeight="false" outlineLevel="0" collapsed="false">
      <c r="A336" s="14" t="s">
        <v>4148</v>
      </c>
      <c r="B336" s="14" t="s">
        <v>4491</v>
      </c>
      <c r="C336" s="14" t="s">
        <v>89</v>
      </c>
      <c r="D336" s="14" t="s">
        <v>1255</v>
      </c>
      <c r="E336" s="14" t="s">
        <v>50</v>
      </c>
      <c r="F336" s="15" t="n">
        <v>750000</v>
      </c>
      <c r="G336" s="16" t="n">
        <v>0.95</v>
      </c>
      <c r="H336" s="16" t="n">
        <v>1.35</v>
      </c>
      <c r="I336" s="16" t="n">
        <v>0.7648</v>
      </c>
      <c r="J336" s="16" t="n">
        <v>0.53</v>
      </c>
      <c r="K336" s="15" t="n">
        <f aca="false">ROUND(F336/100*G336*H336*I336/J336,2)</f>
        <v>13880.04</v>
      </c>
      <c r="L336" s="15" t="n">
        <v>13880.03</v>
      </c>
      <c r="M336" s="15" t="n">
        <f aca="false">L336-K336</f>
        <v>-0.0100000000002183</v>
      </c>
      <c r="N336" s="14" t="s">
        <v>61</v>
      </c>
      <c r="O336" s="14" t="s">
        <v>62</v>
      </c>
    </row>
    <row r="337" customFormat="false" ht="15" hidden="false" customHeight="false" outlineLevel="0" collapsed="false">
      <c r="A337" s="3" t="s">
        <v>4204</v>
      </c>
      <c r="B337" s="3" t="s">
        <v>4492</v>
      </c>
      <c r="C337" s="3" t="s">
        <v>295</v>
      </c>
      <c r="D337" s="3" t="s">
        <v>308</v>
      </c>
      <c r="E337" s="3" t="s">
        <v>50</v>
      </c>
      <c r="F337" s="12" t="n">
        <v>890000</v>
      </c>
      <c r="G337" s="13" t="n">
        <v>0.95</v>
      </c>
      <c r="H337" s="13" t="n">
        <v>1.2</v>
      </c>
      <c r="I337" s="13" t="n">
        <v>0.7648</v>
      </c>
      <c r="J337" s="13" t="n">
        <v>0.53</v>
      </c>
      <c r="K337" s="12" t="n">
        <f aca="false">ROUND(F337/100*G337*H337*I337/J337,2)</f>
        <v>14640.87</v>
      </c>
      <c r="L337" s="12" t="n">
        <v>14640.87</v>
      </c>
      <c r="M337" s="12" t="n">
        <f aca="false">L337-K337</f>
        <v>0</v>
      </c>
      <c r="N337" s="3" t="s">
        <v>70</v>
      </c>
      <c r="O337" s="3" t="s">
        <v>52</v>
      </c>
    </row>
    <row r="338" customFormat="false" ht="15" hidden="false" customHeight="false" outlineLevel="0" collapsed="false">
      <c r="A338" s="14" t="s">
        <v>4122</v>
      </c>
      <c r="B338" s="14" t="s">
        <v>4493</v>
      </c>
      <c r="C338" s="14" t="s">
        <v>145</v>
      </c>
      <c r="D338" s="14" t="s">
        <v>659</v>
      </c>
      <c r="E338" s="14" t="s">
        <v>56</v>
      </c>
      <c r="F338" s="15" t="n">
        <v>1495000</v>
      </c>
      <c r="G338" s="16" t="n">
        <v>0.55</v>
      </c>
      <c r="H338" s="16" t="n">
        <v>0.96</v>
      </c>
      <c r="I338" s="16" t="n">
        <v>0.7648</v>
      </c>
      <c r="J338" s="16" t="n">
        <v>0.53</v>
      </c>
      <c r="K338" s="15" t="n">
        <f aca="false">ROUND(F338/100*G338*H338*I338/J338,2)</f>
        <v>11390.61</v>
      </c>
      <c r="L338" s="15" t="n">
        <v>11390.61</v>
      </c>
      <c r="M338" s="15" t="n">
        <f aca="false">L338-K338</f>
        <v>0</v>
      </c>
      <c r="N338" s="14" t="s">
        <v>61</v>
      </c>
      <c r="O338" s="14" t="s">
        <v>62</v>
      </c>
    </row>
    <row r="339" customFormat="false" ht="15" hidden="false" customHeight="false" outlineLevel="0" collapsed="false">
      <c r="A339" s="3" t="s">
        <v>4083</v>
      </c>
      <c r="B339" s="3" t="s">
        <v>4494</v>
      </c>
      <c r="C339" s="3" t="s">
        <v>117</v>
      </c>
      <c r="D339" s="3" t="s">
        <v>838</v>
      </c>
      <c r="E339" s="3" t="s">
        <v>56</v>
      </c>
      <c r="F339" s="12" t="n">
        <v>515000</v>
      </c>
      <c r="G339" s="13" t="n">
        <v>0.65</v>
      </c>
      <c r="H339" s="13" t="n">
        <v>0.91</v>
      </c>
      <c r="I339" s="13" t="n">
        <v>0.7648</v>
      </c>
      <c r="J339" s="13" t="n">
        <v>0.53</v>
      </c>
      <c r="K339" s="12" t="n">
        <f aca="false">ROUND(F339/100*G339*H339*I339/J339,2)</f>
        <v>4395.76</v>
      </c>
      <c r="L339" s="12" t="n">
        <v>4395.76</v>
      </c>
      <c r="M339" s="12" t="n">
        <f aca="false">L339-K339</f>
        <v>0</v>
      </c>
      <c r="N339" s="3" t="s">
        <v>61</v>
      </c>
      <c r="O339" s="3" t="s">
        <v>62</v>
      </c>
    </row>
    <row r="340" customFormat="false" ht="15" hidden="false" customHeight="false" outlineLevel="0" collapsed="false">
      <c r="A340" s="14" t="s">
        <v>4108</v>
      </c>
      <c r="B340" s="14" t="s">
        <v>4495</v>
      </c>
      <c r="C340" s="14" t="s">
        <v>159</v>
      </c>
      <c r="D340" s="14" t="s">
        <v>3897</v>
      </c>
      <c r="E340" s="14" t="s">
        <v>74</v>
      </c>
      <c r="F340" s="15" t="n">
        <v>1270000</v>
      </c>
      <c r="G340" s="16" t="n">
        <v>0.38</v>
      </c>
      <c r="H340" s="16" t="n">
        <v>1.15</v>
      </c>
      <c r="I340" s="16" t="n">
        <v>0.7648</v>
      </c>
      <c r="J340" s="16" t="n">
        <v>0.53</v>
      </c>
      <c r="K340" s="15" t="n">
        <f aca="false">ROUND(F340/100*G340*H340*I340/J340,2)</f>
        <v>8008.61</v>
      </c>
      <c r="L340" s="15" t="n">
        <v>8008.61</v>
      </c>
      <c r="M340" s="15" t="n">
        <f aca="false">L340-K340</f>
        <v>0</v>
      </c>
      <c r="N340" s="14" t="s">
        <v>61</v>
      </c>
      <c r="O340" s="14" t="s">
        <v>62</v>
      </c>
    </row>
    <row r="341" customFormat="false" ht="15" hidden="false" customHeight="false" outlineLevel="0" collapsed="false">
      <c r="A341" s="3" t="s">
        <v>4124</v>
      </c>
      <c r="B341" s="3" t="s">
        <v>4496</v>
      </c>
      <c r="C341" s="3" t="s">
        <v>48</v>
      </c>
      <c r="D341" s="3" t="s">
        <v>146</v>
      </c>
      <c r="E341" s="3" t="s">
        <v>56</v>
      </c>
      <c r="F341" s="12" t="n">
        <v>1285000</v>
      </c>
      <c r="G341" s="13" t="n">
        <v>0.55</v>
      </c>
      <c r="H341" s="13" t="n">
        <v>1.28</v>
      </c>
      <c r="I341" s="13" t="n">
        <v>0.7648</v>
      </c>
      <c r="J341" s="13" t="n">
        <v>0.53</v>
      </c>
      <c r="K341" s="12" t="n">
        <f aca="false">ROUND(F341/100*G341*H341*I341/J341,2)</f>
        <v>13054.13</v>
      </c>
      <c r="L341" s="12" t="n">
        <v>13054.13</v>
      </c>
      <c r="M341" s="12" t="n">
        <f aca="false">L341-K341</f>
        <v>0</v>
      </c>
      <c r="N341" s="3" t="s">
        <v>61</v>
      </c>
      <c r="O341" s="3" t="s">
        <v>62</v>
      </c>
    </row>
    <row r="342" customFormat="false" ht="15" hidden="false" customHeight="false" outlineLevel="0" collapsed="false">
      <c r="A342" s="14" t="s">
        <v>4204</v>
      </c>
      <c r="B342" s="14" t="s">
        <v>4497</v>
      </c>
      <c r="C342" s="14" t="s">
        <v>68</v>
      </c>
      <c r="D342" s="14" t="s">
        <v>1549</v>
      </c>
      <c r="E342" s="14" t="s">
        <v>56</v>
      </c>
      <c r="F342" s="15" t="n">
        <v>915000</v>
      </c>
      <c r="G342" s="16" t="n">
        <v>0.65</v>
      </c>
      <c r="H342" s="16" t="n">
        <v>1.38</v>
      </c>
      <c r="I342" s="16" t="n">
        <v>0.7648</v>
      </c>
      <c r="J342" s="16" t="n">
        <v>0.53</v>
      </c>
      <c r="K342" s="15" t="n">
        <f aca="false">ROUND(F342/100*G342*H342*I342/J342,2)</f>
        <v>11843.65</v>
      </c>
      <c r="L342" s="15" t="n">
        <v>11843.65</v>
      </c>
      <c r="M342" s="15" t="n">
        <f aca="false">L342-K342</f>
        <v>0</v>
      </c>
      <c r="N342" s="14" t="s">
        <v>51</v>
      </c>
      <c r="O342" s="14" t="s">
        <v>52</v>
      </c>
    </row>
    <row r="343" customFormat="false" ht="15" hidden="false" customHeight="false" outlineLevel="0" collapsed="false">
      <c r="A343" s="3" t="s">
        <v>4081</v>
      </c>
      <c r="B343" s="3" t="s">
        <v>4498</v>
      </c>
      <c r="C343" s="3" t="s">
        <v>48</v>
      </c>
      <c r="D343" s="3" t="s">
        <v>146</v>
      </c>
      <c r="E343" s="3" t="s">
        <v>56</v>
      </c>
      <c r="F343" s="12" t="n">
        <v>595000</v>
      </c>
      <c r="G343" s="13" t="n">
        <v>0.65</v>
      </c>
      <c r="H343" s="13" t="n">
        <v>1.28</v>
      </c>
      <c r="I343" s="13" t="n">
        <v>0.7648</v>
      </c>
      <c r="J343" s="13" t="n">
        <v>0.53</v>
      </c>
      <c r="K343" s="12" t="n">
        <f aca="false">ROUND(F343/100*G343*H343*I343/J343,2)</f>
        <v>7143.52</v>
      </c>
      <c r="L343" s="12" t="n">
        <v>7143.52</v>
      </c>
      <c r="M343" s="12" t="n">
        <f aca="false">L343-K343</f>
        <v>0</v>
      </c>
      <c r="N343" s="3" t="s">
        <v>61</v>
      </c>
      <c r="O343" s="3" t="s">
        <v>62</v>
      </c>
    </row>
    <row r="344" customFormat="false" ht="15" hidden="false" customHeight="false" outlineLevel="0" collapsed="false">
      <c r="A344" s="14" t="s">
        <v>4081</v>
      </c>
      <c r="B344" s="14" t="s">
        <v>4499</v>
      </c>
      <c r="C344" s="14" t="s">
        <v>77</v>
      </c>
      <c r="D344" s="14" t="s">
        <v>4500</v>
      </c>
      <c r="E344" s="14" t="s">
        <v>133</v>
      </c>
      <c r="F344" s="15" t="n">
        <v>1185000</v>
      </c>
      <c r="G344" s="16" t="n">
        <v>0.34</v>
      </c>
      <c r="H344" s="16" t="n">
        <v>1.42</v>
      </c>
      <c r="I344" s="16" t="n">
        <v>0.7648</v>
      </c>
      <c r="J344" s="16" t="n">
        <v>0.53</v>
      </c>
      <c r="K344" s="15" t="n">
        <f aca="false">ROUND(F344/100*G344*H344*I344/J344,2)</f>
        <v>8255.77</v>
      </c>
      <c r="L344" s="15" t="n">
        <v>8255.77</v>
      </c>
      <c r="M344" s="15" t="n">
        <f aca="false">L344-K344</f>
        <v>0</v>
      </c>
      <c r="N344" s="14" t="s">
        <v>61</v>
      </c>
      <c r="O344" s="14" t="s">
        <v>62</v>
      </c>
    </row>
    <row r="345" customFormat="false" ht="15" hidden="false" customHeight="false" outlineLevel="0" collapsed="false">
      <c r="A345" s="3" t="s">
        <v>4188</v>
      </c>
      <c r="B345" s="3" t="s">
        <v>4501</v>
      </c>
      <c r="C345" s="3" t="s">
        <v>409</v>
      </c>
      <c r="D345" s="3" t="s">
        <v>350</v>
      </c>
      <c r="E345" s="3" t="s">
        <v>56</v>
      </c>
      <c r="F345" s="12" t="n">
        <v>560000</v>
      </c>
      <c r="G345" s="13" t="n">
        <v>0.65</v>
      </c>
      <c r="H345" s="13" t="n">
        <v>1.3</v>
      </c>
      <c r="I345" s="13" t="n">
        <v>0.7648</v>
      </c>
      <c r="J345" s="13" t="n">
        <v>0.53</v>
      </c>
      <c r="K345" s="12" t="n">
        <f aca="false">ROUND(F345/100*G345*H345*I345/J345,2)</f>
        <v>6828.37</v>
      </c>
      <c r="L345" s="12" t="n">
        <v>6828.36</v>
      </c>
      <c r="M345" s="12" t="n">
        <f aca="false">L345-K345</f>
        <v>-0.0100000000002183</v>
      </c>
      <c r="N345" s="3" t="s">
        <v>61</v>
      </c>
      <c r="O345" s="3" t="s">
        <v>62</v>
      </c>
    </row>
    <row r="346" customFormat="false" ht="15" hidden="false" customHeight="false" outlineLevel="0" collapsed="false">
      <c r="A346" s="14" t="s">
        <v>4098</v>
      </c>
      <c r="B346" s="14" t="s">
        <v>4502</v>
      </c>
      <c r="C346" s="14" t="s">
        <v>210</v>
      </c>
      <c r="D346" s="14" t="s">
        <v>1180</v>
      </c>
      <c r="E346" s="14" t="s">
        <v>50</v>
      </c>
      <c r="F346" s="15" t="n">
        <v>1515000</v>
      </c>
      <c r="G346" s="16" t="n">
        <v>0.8</v>
      </c>
      <c r="H346" s="16" t="n">
        <v>1.21</v>
      </c>
      <c r="I346" s="16" t="n">
        <v>0.7648</v>
      </c>
      <c r="J346" s="16" t="n">
        <v>0.53</v>
      </c>
      <c r="K346" s="15" t="n">
        <f aca="false">ROUND(F346/100*G346*H346*I346/J346,2)</f>
        <v>21162.16</v>
      </c>
      <c r="L346" s="15" t="n">
        <v>21162.16</v>
      </c>
      <c r="M346" s="15" t="n">
        <f aca="false">L346-K346</f>
        <v>0</v>
      </c>
      <c r="N346" s="14" t="s">
        <v>51</v>
      </c>
      <c r="O346" s="14" t="s">
        <v>52</v>
      </c>
    </row>
    <row r="347" customFormat="false" ht="15" hidden="false" customHeight="false" outlineLevel="0" collapsed="false">
      <c r="A347" s="3" t="s">
        <v>4148</v>
      </c>
      <c r="B347" s="3" t="s">
        <v>4503</v>
      </c>
      <c r="C347" s="3" t="s">
        <v>105</v>
      </c>
      <c r="D347" s="3" t="s">
        <v>2727</v>
      </c>
      <c r="E347" s="3" t="s">
        <v>56</v>
      </c>
      <c r="F347" s="12" t="n">
        <v>150000</v>
      </c>
      <c r="G347" s="13" t="n">
        <v>0.92</v>
      </c>
      <c r="H347" s="13" t="n">
        <v>0.99</v>
      </c>
      <c r="I347" s="13" t="n">
        <v>0.7648</v>
      </c>
      <c r="J347" s="13" t="n">
        <v>0.53</v>
      </c>
      <c r="K347" s="12" t="n">
        <f aca="false">ROUND(F347/100*G347*H347*I347/J347,2)</f>
        <v>1971.45</v>
      </c>
      <c r="L347" s="12" t="n">
        <v>1971.46</v>
      </c>
      <c r="M347" s="12" t="n">
        <f aca="false">L347-K347</f>
        <v>0.00999999999999091</v>
      </c>
      <c r="N347" s="3" t="s">
        <v>61</v>
      </c>
      <c r="O347" s="3" t="s">
        <v>62</v>
      </c>
    </row>
    <row r="348" customFormat="false" ht="15" hidden="false" customHeight="false" outlineLevel="0" collapsed="false">
      <c r="A348" s="14" t="s">
        <v>4081</v>
      </c>
      <c r="B348" s="14" t="s">
        <v>4504</v>
      </c>
      <c r="C348" s="14" t="s">
        <v>275</v>
      </c>
      <c r="D348" s="14" t="s">
        <v>1809</v>
      </c>
      <c r="E348" s="14" t="s">
        <v>56</v>
      </c>
      <c r="F348" s="15" t="n">
        <v>1260000</v>
      </c>
      <c r="G348" s="16" t="n">
        <v>0.55</v>
      </c>
      <c r="H348" s="16" t="n">
        <v>1.19</v>
      </c>
      <c r="I348" s="16" t="n">
        <v>0.7648</v>
      </c>
      <c r="J348" s="16" t="n">
        <v>0.53</v>
      </c>
      <c r="K348" s="15" t="n">
        <f aca="false">ROUND(F348/100*G348*H348*I348/J348,2)</f>
        <v>11900.14</v>
      </c>
      <c r="L348" s="15" t="n">
        <v>11900.14</v>
      </c>
      <c r="M348" s="15" t="n">
        <f aca="false">L348-K348</f>
        <v>0</v>
      </c>
      <c r="N348" s="14" t="s">
        <v>51</v>
      </c>
      <c r="O348" s="14" t="s">
        <v>52</v>
      </c>
    </row>
    <row r="349" customFormat="false" ht="15" hidden="false" customHeight="false" outlineLevel="0" collapsed="false">
      <c r="A349" s="3" t="s">
        <v>4159</v>
      </c>
      <c r="B349" s="3" t="s">
        <v>4505</v>
      </c>
      <c r="C349" s="3" t="s">
        <v>188</v>
      </c>
      <c r="D349" s="3" t="s">
        <v>1560</v>
      </c>
      <c r="E349" s="3" t="s">
        <v>56</v>
      </c>
      <c r="F349" s="12" t="n">
        <v>985000</v>
      </c>
      <c r="G349" s="13" t="n">
        <v>0.65</v>
      </c>
      <c r="H349" s="13" t="n">
        <v>1.35</v>
      </c>
      <c r="I349" s="13" t="n">
        <v>0.7648</v>
      </c>
      <c r="J349" s="13" t="n">
        <v>0.53</v>
      </c>
      <c r="K349" s="12" t="n">
        <f aca="false">ROUND(F349/100*G349*H349*I349/J349,2)</f>
        <v>12472.55</v>
      </c>
      <c r="L349" s="12" t="n">
        <v>12472.55</v>
      </c>
      <c r="M349" s="12" t="n">
        <f aca="false">L349-K349</f>
        <v>0</v>
      </c>
      <c r="N349" s="3" t="s">
        <v>61</v>
      </c>
      <c r="O349" s="3" t="s">
        <v>62</v>
      </c>
    </row>
    <row r="350" customFormat="false" ht="15" hidden="false" customHeight="false" outlineLevel="0" collapsed="false">
      <c r="A350" s="14" t="s">
        <v>4083</v>
      </c>
      <c r="B350" s="14" t="s">
        <v>4506</v>
      </c>
      <c r="C350" s="14" t="s">
        <v>139</v>
      </c>
      <c r="D350" s="14" t="s">
        <v>1809</v>
      </c>
      <c r="E350" s="14" t="s">
        <v>56</v>
      </c>
      <c r="F350" s="15" t="n">
        <v>630000</v>
      </c>
      <c r="G350" s="16" t="n">
        <v>0.65</v>
      </c>
      <c r="H350" s="16" t="n">
        <v>1.23</v>
      </c>
      <c r="I350" s="16" t="n">
        <v>0.7648</v>
      </c>
      <c r="J350" s="16" t="n">
        <v>0.53</v>
      </c>
      <c r="K350" s="15" t="n">
        <f aca="false">ROUND(F350/100*G350*H350*I350/J350,2)</f>
        <v>7268.27</v>
      </c>
      <c r="L350" s="15" t="n">
        <v>7268.27</v>
      </c>
      <c r="M350" s="15" t="n">
        <f aca="false">L350-K350</f>
        <v>0</v>
      </c>
      <c r="N350" s="14" t="s">
        <v>61</v>
      </c>
      <c r="O350" s="14" t="s">
        <v>62</v>
      </c>
    </row>
    <row r="351" customFormat="false" ht="15" hidden="false" customHeight="false" outlineLevel="0" collapsed="false">
      <c r="A351" s="3" t="s">
        <v>4110</v>
      </c>
      <c r="B351" s="3" t="s">
        <v>4507</v>
      </c>
      <c r="C351" s="3" t="s">
        <v>224</v>
      </c>
      <c r="D351" s="3" t="s">
        <v>211</v>
      </c>
      <c r="E351" s="3" t="s">
        <v>50</v>
      </c>
      <c r="F351" s="12" t="n">
        <v>495000</v>
      </c>
      <c r="G351" s="13" t="n">
        <v>1.15</v>
      </c>
      <c r="H351" s="13" t="n">
        <v>1.1</v>
      </c>
      <c r="I351" s="13" t="n">
        <v>0.7648</v>
      </c>
      <c r="J351" s="13" t="n">
        <v>0.53</v>
      </c>
      <c r="K351" s="12" t="n">
        <f aca="false">ROUND(F351/100*G351*H351*I351/J351,2)</f>
        <v>9035.82</v>
      </c>
      <c r="L351" s="12" t="n">
        <v>9035.82</v>
      </c>
      <c r="M351" s="12" t="n">
        <f aca="false">L351-K351</f>
        <v>0</v>
      </c>
      <c r="N351" s="3" t="s">
        <v>61</v>
      </c>
      <c r="O351" s="3" t="s">
        <v>62</v>
      </c>
    </row>
    <row r="352" customFormat="false" ht="15" hidden="false" customHeight="false" outlineLevel="0" collapsed="false">
      <c r="A352" s="14" t="s">
        <v>4188</v>
      </c>
      <c r="B352" s="14" t="s">
        <v>4508</v>
      </c>
      <c r="C352" s="14" t="s">
        <v>68</v>
      </c>
      <c r="D352" s="14" t="s">
        <v>2120</v>
      </c>
      <c r="E352" s="14" t="s">
        <v>50</v>
      </c>
      <c r="F352" s="15" t="n">
        <v>1040000</v>
      </c>
      <c r="G352" s="16" t="n">
        <v>0.8</v>
      </c>
      <c r="H352" s="16" t="n">
        <v>1.38</v>
      </c>
      <c r="I352" s="16" t="n">
        <v>0.7648</v>
      </c>
      <c r="J352" s="16" t="n">
        <v>0.53</v>
      </c>
      <c r="K352" s="15" t="n">
        <f aca="false">ROUND(F352/100*G352*H352*I352/J352,2)</f>
        <v>16568.17</v>
      </c>
      <c r="L352" s="15" t="n">
        <v>16568.17</v>
      </c>
      <c r="M352" s="15" t="n">
        <f aca="false">L352-K352</f>
        <v>0</v>
      </c>
      <c r="N352" s="14" t="s">
        <v>61</v>
      </c>
      <c r="O352" s="14" t="s">
        <v>62</v>
      </c>
    </row>
    <row r="353" customFormat="false" ht="15" hidden="false" customHeight="false" outlineLevel="0" collapsed="false">
      <c r="A353" s="3" t="s">
        <v>4115</v>
      </c>
      <c r="B353" s="3" t="s">
        <v>4509</v>
      </c>
      <c r="C353" s="3" t="s">
        <v>81</v>
      </c>
      <c r="D353" s="3" t="s">
        <v>2630</v>
      </c>
      <c r="E353" s="3" t="s">
        <v>50</v>
      </c>
      <c r="F353" s="12" t="n">
        <v>765000</v>
      </c>
      <c r="G353" s="13" t="n">
        <v>0.95</v>
      </c>
      <c r="H353" s="13" t="n">
        <v>1.27</v>
      </c>
      <c r="I353" s="13" t="n">
        <v>0.7648</v>
      </c>
      <c r="J353" s="13" t="n">
        <v>0.53</v>
      </c>
      <c r="K353" s="12" t="n">
        <f aca="false">ROUND(F353/100*G353*H353*I353/J353,2)</f>
        <v>13318.67</v>
      </c>
      <c r="L353" s="12" t="n">
        <v>13318.67</v>
      </c>
      <c r="M353" s="12" t="n">
        <f aca="false">L353-K353</f>
        <v>0</v>
      </c>
      <c r="N353" s="3" t="s">
        <v>51</v>
      </c>
      <c r="O353" s="3" t="s">
        <v>52</v>
      </c>
    </row>
    <row r="354" customFormat="false" ht="15" hidden="false" customHeight="false" outlineLevel="0" collapsed="false">
      <c r="A354" s="14" t="s">
        <v>4105</v>
      </c>
      <c r="B354" s="14" t="s">
        <v>4510</v>
      </c>
      <c r="C354" s="14" t="s">
        <v>64</v>
      </c>
      <c r="D354" s="14" t="s">
        <v>4016</v>
      </c>
      <c r="E354" s="14" t="s">
        <v>50</v>
      </c>
      <c r="F354" s="15" t="n">
        <v>1110000</v>
      </c>
      <c r="G354" s="16" t="n">
        <v>0.8</v>
      </c>
      <c r="H354" s="16" t="n">
        <v>1.17</v>
      </c>
      <c r="I354" s="16" t="n">
        <v>0.7648</v>
      </c>
      <c r="J354" s="16" t="n">
        <v>0.53</v>
      </c>
      <c r="K354" s="15" t="n">
        <f aca="false">ROUND(F354/100*G354*H354*I354/J354,2)</f>
        <v>14992.39</v>
      </c>
      <c r="L354" s="15" t="n">
        <v>14992.39</v>
      </c>
      <c r="M354" s="15" t="n">
        <f aca="false">L354-K354</f>
        <v>0</v>
      </c>
      <c r="N354" s="14" t="s">
        <v>61</v>
      </c>
      <c r="O354" s="14" t="s">
        <v>62</v>
      </c>
    </row>
    <row r="355" customFormat="false" ht="15" hidden="false" customHeight="false" outlineLevel="0" collapsed="false">
      <c r="A355" s="3" t="s">
        <v>4138</v>
      </c>
      <c r="B355" s="3" t="s">
        <v>4511</v>
      </c>
      <c r="C355" s="3" t="s">
        <v>89</v>
      </c>
      <c r="D355" s="3" t="s">
        <v>1061</v>
      </c>
      <c r="E355" s="3" t="s">
        <v>56</v>
      </c>
      <c r="F355" s="12" t="n">
        <v>500000</v>
      </c>
      <c r="G355" s="13" t="n">
        <v>0.65</v>
      </c>
      <c r="H355" s="13" t="n">
        <v>1.35</v>
      </c>
      <c r="I355" s="13" t="n">
        <v>0.7648</v>
      </c>
      <c r="J355" s="13" t="n">
        <v>0.53</v>
      </c>
      <c r="K355" s="12" t="n">
        <f aca="false">ROUND(F355/100*G355*H355*I355/J355,2)</f>
        <v>6331.25</v>
      </c>
      <c r="L355" s="12" t="n">
        <v>6331.24</v>
      </c>
      <c r="M355" s="12" t="n">
        <f aca="false">L355-K355</f>
        <v>-0.0100000000002183</v>
      </c>
      <c r="N355" s="3" t="s">
        <v>61</v>
      </c>
      <c r="O355" s="3" t="s">
        <v>62</v>
      </c>
    </row>
    <row r="356" customFormat="false" ht="15" hidden="false" customHeight="false" outlineLevel="0" collapsed="false">
      <c r="A356" s="14" t="s">
        <v>4100</v>
      </c>
      <c r="B356" s="14" t="s">
        <v>4512</v>
      </c>
      <c r="C356" s="14" t="s">
        <v>435</v>
      </c>
      <c r="D356" s="14" t="s">
        <v>3518</v>
      </c>
      <c r="E356" s="14" t="s">
        <v>56</v>
      </c>
      <c r="F356" s="15" t="n">
        <v>315000</v>
      </c>
      <c r="G356" s="16" t="n">
        <v>0.75</v>
      </c>
      <c r="H356" s="16" t="n">
        <v>1.13</v>
      </c>
      <c r="I356" s="16" t="n">
        <v>0.7648</v>
      </c>
      <c r="J356" s="16" t="n">
        <v>0.53</v>
      </c>
      <c r="K356" s="15" t="n">
        <f aca="false">ROUND(F356/100*G356*H356*I356/J356,2)</f>
        <v>3852.32</v>
      </c>
      <c r="L356" s="15" t="n">
        <v>3852.32</v>
      </c>
      <c r="M356" s="15" t="n">
        <f aca="false">L356-K356</f>
        <v>0</v>
      </c>
      <c r="N356" s="14" t="s">
        <v>61</v>
      </c>
      <c r="O356" s="14" t="s">
        <v>62</v>
      </c>
    </row>
    <row r="357" customFormat="false" ht="15" hidden="false" customHeight="false" outlineLevel="0" collapsed="false">
      <c r="A357" s="3" t="s">
        <v>4124</v>
      </c>
      <c r="B357" s="3" t="s">
        <v>4513</v>
      </c>
      <c r="C357" s="3" t="s">
        <v>48</v>
      </c>
      <c r="D357" s="3" t="s">
        <v>1854</v>
      </c>
      <c r="E357" s="3" t="s">
        <v>56</v>
      </c>
      <c r="F357" s="12" t="n">
        <v>570000</v>
      </c>
      <c r="G357" s="13" t="n">
        <v>0.65</v>
      </c>
      <c r="H357" s="13" t="n">
        <v>1.28</v>
      </c>
      <c r="I357" s="13" t="n">
        <v>0.7648</v>
      </c>
      <c r="J357" s="13" t="n">
        <v>0.53</v>
      </c>
      <c r="K357" s="12" t="n">
        <f aca="false">ROUND(F357/100*G357*H357*I357/J357,2)</f>
        <v>6843.37</v>
      </c>
      <c r="L357" s="12" t="n">
        <v>6843.37</v>
      </c>
      <c r="M357" s="12" t="n">
        <f aca="false">L357-K357</f>
        <v>0</v>
      </c>
      <c r="N357" s="3" t="s">
        <v>61</v>
      </c>
      <c r="O357" s="3" t="s">
        <v>62</v>
      </c>
    </row>
    <row r="358" customFormat="false" ht="15" hidden="false" customHeight="false" outlineLevel="0" collapsed="false">
      <c r="A358" s="14" t="s">
        <v>4079</v>
      </c>
      <c r="B358" s="14" t="s">
        <v>4514</v>
      </c>
      <c r="C358" s="14" t="s">
        <v>435</v>
      </c>
      <c r="D358" s="14" t="s">
        <v>100</v>
      </c>
      <c r="E358" s="14" t="s">
        <v>56</v>
      </c>
      <c r="F358" s="15" t="n">
        <v>945000</v>
      </c>
      <c r="G358" s="16" t="n">
        <v>0.65</v>
      </c>
      <c r="H358" s="16" t="n">
        <v>1.13</v>
      </c>
      <c r="I358" s="16" t="n">
        <v>0.7648</v>
      </c>
      <c r="J358" s="16" t="n">
        <v>0.53</v>
      </c>
      <c r="K358" s="15" t="n">
        <f aca="false">ROUND(F358/100*G358*H358*I358/J358,2)</f>
        <v>10016.03</v>
      </c>
      <c r="L358" s="15" t="n">
        <v>10016.03</v>
      </c>
      <c r="M358" s="15" t="n">
        <f aca="false">L358-K358</f>
        <v>0</v>
      </c>
      <c r="N358" s="14" t="s">
        <v>61</v>
      </c>
      <c r="O358" s="14" t="s">
        <v>62</v>
      </c>
    </row>
    <row r="359" customFormat="false" ht="15" hidden="false" customHeight="false" outlineLevel="0" collapsed="false">
      <c r="A359" s="3" t="s">
        <v>4188</v>
      </c>
      <c r="B359" s="3" t="s">
        <v>4515</v>
      </c>
      <c r="C359" s="3" t="s">
        <v>210</v>
      </c>
      <c r="D359" s="3" t="s">
        <v>590</v>
      </c>
      <c r="E359" s="3" t="s">
        <v>74</v>
      </c>
      <c r="F359" s="12" t="n">
        <v>595000</v>
      </c>
      <c r="G359" s="13" t="n">
        <v>0.43</v>
      </c>
      <c r="H359" s="13" t="n">
        <v>1.21</v>
      </c>
      <c r="I359" s="13" t="n">
        <v>0.7648</v>
      </c>
      <c r="J359" s="13" t="n">
        <v>0.53</v>
      </c>
      <c r="K359" s="12" t="n">
        <f aca="false">ROUND(F359/100*G359*H359*I359/J359,2)</f>
        <v>4467.28</v>
      </c>
      <c r="L359" s="12" t="n">
        <v>4467.27</v>
      </c>
      <c r="M359" s="12" t="n">
        <f aca="false">L359-K359</f>
        <v>-0.00999999999930878</v>
      </c>
      <c r="N359" s="3" t="s">
        <v>61</v>
      </c>
      <c r="O359" s="3" t="s">
        <v>62</v>
      </c>
    </row>
    <row r="360" customFormat="false" ht="15" hidden="false" customHeight="false" outlineLevel="0" collapsed="false">
      <c r="A360" s="14" t="s">
        <v>4151</v>
      </c>
      <c r="B360" s="14" t="s">
        <v>4516</v>
      </c>
      <c r="C360" s="14" t="s">
        <v>243</v>
      </c>
      <c r="D360" s="14" t="s">
        <v>3768</v>
      </c>
      <c r="E360" s="14" t="s">
        <v>74</v>
      </c>
      <c r="F360" s="15" t="n">
        <v>505000</v>
      </c>
      <c r="G360" s="16" t="n">
        <v>0.43</v>
      </c>
      <c r="H360" s="16" t="n">
        <v>1.14</v>
      </c>
      <c r="I360" s="16" t="n">
        <v>0.7648</v>
      </c>
      <c r="J360" s="16" t="n">
        <v>0.53</v>
      </c>
      <c r="K360" s="15" t="n">
        <f aca="false">ROUND(F360/100*G360*H360*I360/J360,2)</f>
        <v>3572.21</v>
      </c>
      <c r="L360" s="15" t="n">
        <v>3572.2</v>
      </c>
      <c r="M360" s="15" t="n">
        <f aca="false">L360-K360</f>
        <v>-0.0100000000002183</v>
      </c>
      <c r="N360" s="14" t="s">
        <v>61</v>
      </c>
      <c r="O360" s="14" t="s">
        <v>62</v>
      </c>
    </row>
    <row r="362" customFormat="false" ht="15" hidden="false" customHeight="false" outlineLevel="0" collapsed="false">
      <c r="A362" s="10" t="s">
        <v>551</v>
      </c>
      <c r="C362" s="17" t="n">
        <f aca="false">COUNTA(B5:B360)</f>
        <v>356</v>
      </c>
    </row>
    <row r="363" customFormat="false" ht="15" hidden="false" customHeight="false" outlineLevel="0" collapsed="false">
      <c r="A363" s="10" t="s">
        <v>552</v>
      </c>
      <c r="C363" s="17" t="n">
        <f aca="false">COUNTIF(O5:O360,"bound")</f>
        <v>267</v>
      </c>
    </row>
    <row r="364" customFormat="false" ht="15" hidden="false" customHeight="false" outlineLevel="0" collapsed="false">
      <c r="A364" s="10" t="s">
        <v>553</v>
      </c>
      <c r="C364" s="18" t="n">
        <f aca="false">AVERAGE(L5:L360)</f>
        <v>8876.87584269663</v>
      </c>
    </row>
    <row r="365" customFormat="false" ht="15" hidden="false" customHeight="false" outlineLevel="0" collapsed="false">
      <c r="A365" s="10" t="s">
        <v>554</v>
      </c>
      <c r="C365" s="18" t="n">
        <f aca="false">AVERAGEIF(O5:O360,"bound",L5:L360)</f>
        <v>8682.83108614232</v>
      </c>
    </row>
    <row r="366" customFormat="false" ht="15" hidden="false" customHeight="false" outlineLevel="0" collapsed="false">
      <c r="A366" s="10" t="s">
        <v>555</v>
      </c>
      <c r="C366" s="18" t="n">
        <f aca="false">SUMIF(O5:O360,"bound",L5:L360)</f>
        <v>2318315.9</v>
      </c>
    </row>
    <row r="367" customFormat="false" ht="15" hidden="false" customHeight="false" outlineLevel="0" collapsed="false">
      <c r="A367" s="10" t="s">
        <v>556</v>
      </c>
      <c r="C367" s="19" t="n">
        <v>0.7648</v>
      </c>
    </row>
  </sheetData>
  <autoFilter ref="A4:O3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5" min="4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4517</v>
      </c>
    </row>
    <row r="2" customFormat="false" ht="15" hidden="false" customHeight="false" outlineLevel="0" collapsed="false">
      <c r="A2" s="4" t="s">
        <v>4518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14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</row>
    <row r="5" customFormat="false" ht="15" hidden="false" customHeight="false" outlineLevel="0" collapsed="false">
      <c r="A5" s="3" t="s">
        <v>4519</v>
      </c>
      <c r="B5" s="3" t="s">
        <v>4520</v>
      </c>
      <c r="C5" s="3" t="s">
        <v>93</v>
      </c>
      <c r="D5" s="3" t="s">
        <v>354</v>
      </c>
      <c r="E5" s="3" t="s">
        <v>56</v>
      </c>
      <c r="F5" s="12" t="n">
        <v>1030000</v>
      </c>
      <c r="G5" s="13" t="n">
        <v>0.55</v>
      </c>
      <c r="H5" s="13" t="n">
        <v>1.39</v>
      </c>
      <c r="I5" s="13" t="n">
        <v>0.761</v>
      </c>
      <c r="J5" s="13" t="n">
        <v>0.53</v>
      </c>
      <c r="K5" s="12" t="n">
        <f aca="false">ROUND(F5/100*G5*H5*I5/J5,2)</f>
        <v>11306.38</v>
      </c>
      <c r="L5" s="12" t="n">
        <v>11306.37</v>
      </c>
      <c r="M5" s="12" t="n">
        <f aca="false">L5-K5</f>
        <v>-0.00999999999839929</v>
      </c>
      <c r="N5" s="3" t="s">
        <v>70</v>
      </c>
      <c r="O5" s="3" t="s">
        <v>52</v>
      </c>
    </row>
    <row r="6" customFormat="false" ht="15" hidden="false" customHeight="false" outlineLevel="0" collapsed="false">
      <c r="A6" s="14" t="s">
        <v>4521</v>
      </c>
      <c r="B6" s="14" t="s">
        <v>4522</v>
      </c>
      <c r="C6" s="14" t="s">
        <v>142</v>
      </c>
      <c r="D6" s="14" t="s">
        <v>617</v>
      </c>
      <c r="E6" s="14" t="s">
        <v>56</v>
      </c>
      <c r="F6" s="15" t="n">
        <v>230000</v>
      </c>
      <c r="G6" s="16" t="n">
        <v>0.92</v>
      </c>
      <c r="H6" s="16" t="n">
        <v>1.22</v>
      </c>
      <c r="I6" s="16" t="n">
        <v>0.761</v>
      </c>
      <c r="J6" s="16" t="n">
        <v>0.53</v>
      </c>
      <c r="K6" s="15" t="n">
        <f aca="false">ROUND(F6/100*G6*H6*I6/J6,2)</f>
        <v>3706.67</v>
      </c>
      <c r="L6" s="15" t="n">
        <v>3706.67</v>
      </c>
      <c r="M6" s="15" t="n">
        <f aca="false">L6-K6</f>
        <v>0</v>
      </c>
      <c r="N6" s="14" t="s">
        <v>61</v>
      </c>
      <c r="O6" s="14" t="s">
        <v>62</v>
      </c>
    </row>
    <row r="7" customFormat="false" ht="15" hidden="false" customHeight="false" outlineLevel="0" collapsed="false">
      <c r="A7" s="3" t="s">
        <v>4523</v>
      </c>
      <c r="B7" s="3" t="s">
        <v>4524</v>
      </c>
      <c r="C7" s="3" t="s">
        <v>196</v>
      </c>
      <c r="D7" s="3" t="s">
        <v>3063</v>
      </c>
      <c r="E7" s="3" t="s">
        <v>56</v>
      </c>
      <c r="F7" s="12" t="n">
        <v>595000</v>
      </c>
      <c r="G7" s="13" t="n">
        <v>0.65</v>
      </c>
      <c r="H7" s="13" t="n">
        <v>1.04</v>
      </c>
      <c r="I7" s="13" t="n">
        <v>0.761</v>
      </c>
      <c r="J7" s="13" t="n">
        <v>0.53</v>
      </c>
      <c r="K7" s="12" t="n">
        <f aca="false">ROUND(F7/100*G7*H7*I7/J7,2)</f>
        <v>5775.27</v>
      </c>
      <c r="L7" s="12" t="n">
        <v>5775.27</v>
      </c>
      <c r="M7" s="12" t="n">
        <f aca="false">L7-K7</f>
        <v>0</v>
      </c>
      <c r="N7" s="3" t="s">
        <v>61</v>
      </c>
      <c r="O7" s="3" t="s">
        <v>62</v>
      </c>
    </row>
    <row r="8" customFormat="false" ht="15" hidden="false" customHeight="false" outlineLevel="0" collapsed="false">
      <c r="A8" s="14" t="s">
        <v>4525</v>
      </c>
      <c r="B8" s="14" t="s">
        <v>4526</v>
      </c>
      <c r="C8" s="14" t="s">
        <v>278</v>
      </c>
      <c r="D8" s="14" t="s">
        <v>2396</v>
      </c>
      <c r="E8" s="14" t="s">
        <v>56</v>
      </c>
      <c r="F8" s="15" t="n">
        <v>415000</v>
      </c>
      <c r="G8" s="16" t="n">
        <v>0.75</v>
      </c>
      <c r="H8" s="16" t="n">
        <v>0.98</v>
      </c>
      <c r="I8" s="16" t="n">
        <v>0.761</v>
      </c>
      <c r="J8" s="16" t="n">
        <v>0.53</v>
      </c>
      <c r="K8" s="15" t="n">
        <f aca="false">ROUND(F8/100*G8*H8*I8/J8,2)</f>
        <v>4379.7</v>
      </c>
      <c r="L8" s="15" t="n">
        <v>4379.7</v>
      </c>
      <c r="M8" s="15" t="n">
        <f aca="false">L8-K8</f>
        <v>0</v>
      </c>
      <c r="N8" s="14" t="s">
        <v>61</v>
      </c>
      <c r="O8" s="14" t="s">
        <v>62</v>
      </c>
    </row>
    <row r="9" customFormat="false" ht="15" hidden="false" customHeight="false" outlineLevel="0" collapsed="false">
      <c r="A9" s="3" t="s">
        <v>4527</v>
      </c>
      <c r="B9" s="3" t="s">
        <v>4528</v>
      </c>
      <c r="C9" s="3" t="s">
        <v>220</v>
      </c>
      <c r="D9" s="3" t="s">
        <v>2101</v>
      </c>
      <c r="E9" s="3" t="s">
        <v>50</v>
      </c>
      <c r="F9" s="12" t="n">
        <v>580000</v>
      </c>
      <c r="G9" s="13" t="n">
        <v>0.95</v>
      </c>
      <c r="H9" s="13" t="n">
        <v>1.01</v>
      </c>
      <c r="I9" s="13" t="n">
        <v>0.761</v>
      </c>
      <c r="J9" s="13" t="n">
        <v>0.53</v>
      </c>
      <c r="K9" s="12" t="n">
        <f aca="false">ROUND(F9/100*G9*H9*I9/J9,2)</f>
        <v>7990.64</v>
      </c>
      <c r="L9" s="12" t="n">
        <v>7990.64</v>
      </c>
      <c r="M9" s="12" t="n">
        <f aca="false">L9-K9</f>
        <v>0</v>
      </c>
      <c r="N9" s="3" t="s">
        <v>70</v>
      </c>
      <c r="O9" s="3" t="s">
        <v>52</v>
      </c>
    </row>
    <row r="10" customFormat="false" ht="15" hidden="false" customHeight="false" outlineLevel="0" collapsed="false">
      <c r="A10" s="14" t="s">
        <v>4529</v>
      </c>
      <c r="B10" s="14" t="s">
        <v>4530</v>
      </c>
      <c r="C10" s="14" t="s">
        <v>278</v>
      </c>
      <c r="D10" s="14" t="s">
        <v>281</v>
      </c>
      <c r="E10" s="14" t="s">
        <v>56</v>
      </c>
      <c r="F10" s="15" t="n">
        <v>260000</v>
      </c>
      <c r="G10" s="16" t="n">
        <v>0.75</v>
      </c>
      <c r="H10" s="16" t="n">
        <v>0.98</v>
      </c>
      <c r="I10" s="16" t="n">
        <v>0.761</v>
      </c>
      <c r="J10" s="16" t="n">
        <v>0.53</v>
      </c>
      <c r="K10" s="15" t="n">
        <f aca="false">ROUND(F10/100*G10*H10*I10/J10,2)</f>
        <v>2743.91</v>
      </c>
      <c r="L10" s="15" t="n">
        <v>2743.91</v>
      </c>
      <c r="M10" s="15" t="n">
        <f aca="false">L10-K10</f>
        <v>0</v>
      </c>
      <c r="N10" s="14" t="s">
        <v>70</v>
      </c>
      <c r="O10" s="14" t="s">
        <v>52</v>
      </c>
    </row>
    <row r="11" customFormat="false" ht="15" hidden="false" customHeight="false" outlineLevel="0" collapsed="false">
      <c r="A11" s="3" t="s">
        <v>4531</v>
      </c>
      <c r="B11" s="3" t="s">
        <v>4532</v>
      </c>
      <c r="C11" s="3" t="s">
        <v>174</v>
      </c>
      <c r="D11" s="3" t="s">
        <v>2925</v>
      </c>
      <c r="E11" s="3" t="s">
        <v>50</v>
      </c>
      <c r="F11" s="12" t="n">
        <v>1835000</v>
      </c>
      <c r="G11" s="13" t="n">
        <v>0.8</v>
      </c>
      <c r="H11" s="13" t="n">
        <v>1.55</v>
      </c>
      <c r="I11" s="13" t="n">
        <v>0.761</v>
      </c>
      <c r="J11" s="13" t="n">
        <v>0.53</v>
      </c>
      <c r="K11" s="12" t="n">
        <f aca="false">ROUND(F11/100*G11*H11*I11/J11,2)</f>
        <v>32671.31</v>
      </c>
      <c r="L11" s="12" t="n">
        <v>32671.31</v>
      </c>
      <c r="M11" s="12" t="n">
        <f aca="false">L11-K11</f>
        <v>0</v>
      </c>
      <c r="N11" s="3" t="s">
        <v>61</v>
      </c>
      <c r="O11" s="3" t="s">
        <v>62</v>
      </c>
    </row>
    <row r="12" customFormat="false" ht="15" hidden="false" customHeight="false" outlineLevel="0" collapsed="false">
      <c r="A12" s="14" t="s">
        <v>4529</v>
      </c>
      <c r="B12" s="14" t="s">
        <v>4533</v>
      </c>
      <c r="C12" s="14" t="s">
        <v>887</v>
      </c>
      <c r="D12" s="14" t="s">
        <v>429</v>
      </c>
      <c r="E12" s="14" t="s">
        <v>56</v>
      </c>
      <c r="F12" s="15" t="n">
        <v>655000</v>
      </c>
      <c r="G12" s="16" t="n">
        <v>0.65</v>
      </c>
      <c r="H12" s="16" t="n">
        <v>1.37</v>
      </c>
      <c r="I12" s="16" t="n">
        <v>0.761</v>
      </c>
      <c r="J12" s="16" t="n">
        <v>0.53</v>
      </c>
      <c r="K12" s="15" t="n">
        <f aca="false">ROUND(F12/100*G12*H12*I12/J12,2)</f>
        <v>8374.98</v>
      </c>
      <c r="L12" s="15" t="n">
        <v>8374.99</v>
      </c>
      <c r="M12" s="15" t="n">
        <f aca="false">L12-K12</f>
        <v>0.0100000000002183</v>
      </c>
      <c r="N12" s="14" t="s">
        <v>51</v>
      </c>
      <c r="O12" s="14" t="s">
        <v>52</v>
      </c>
    </row>
    <row r="13" customFormat="false" ht="15" hidden="false" customHeight="false" outlineLevel="0" collapsed="false">
      <c r="A13" s="3" t="s">
        <v>4534</v>
      </c>
      <c r="B13" s="3" t="s">
        <v>4535</v>
      </c>
      <c r="C13" s="3" t="s">
        <v>152</v>
      </c>
      <c r="D13" s="3" t="s">
        <v>350</v>
      </c>
      <c r="E13" s="3" t="s">
        <v>56</v>
      </c>
      <c r="F13" s="12" t="n">
        <v>535000</v>
      </c>
      <c r="G13" s="13" t="n">
        <v>0.65</v>
      </c>
      <c r="H13" s="13" t="n">
        <v>1</v>
      </c>
      <c r="I13" s="13" t="n">
        <v>0.761</v>
      </c>
      <c r="J13" s="13" t="n">
        <v>0.53</v>
      </c>
      <c r="K13" s="12" t="n">
        <f aca="false">ROUND(F13/100*G13*H13*I13/J13,2)</f>
        <v>4993.17</v>
      </c>
      <c r="L13" s="12" t="n">
        <v>4993.16</v>
      </c>
      <c r="M13" s="12" t="n">
        <f aca="false">L13-K13</f>
        <v>-0.0100000000002183</v>
      </c>
      <c r="N13" s="3" t="s">
        <v>51</v>
      </c>
      <c r="O13" s="3" t="s">
        <v>52</v>
      </c>
    </row>
    <row r="14" customFormat="false" ht="15" hidden="false" customHeight="false" outlineLevel="0" collapsed="false">
      <c r="A14" s="14" t="s">
        <v>4536</v>
      </c>
      <c r="B14" s="14" t="s">
        <v>4537</v>
      </c>
      <c r="C14" s="14" t="s">
        <v>145</v>
      </c>
      <c r="D14" s="14" t="s">
        <v>1297</v>
      </c>
      <c r="E14" s="14" t="s">
        <v>56</v>
      </c>
      <c r="F14" s="15" t="n">
        <v>285000</v>
      </c>
      <c r="G14" s="16" t="n">
        <v>0.75</v>
      </c>
      <c r="H14" s="16" t="n">
        <v>0.96</v>
      </c>
      <c r="I14" s="16" t="n">
        <v>0.761</v>
      </c>
      <c r="J14" s="16" t="n">
        <v>0.53</v>
      </c>
      <c r="K14" s="15" t="n">
        <f aca="false">ROUND(F14/100*G14*H14*I14/J14,2)</f>
        <v>2946.36</v>
      </c>
      <c r="L14" s="15" t="n">
        <v>2946.36</v>
      </c>
      <c r="M14" s="15" t="n">
        <f aca="false">L14-K14</f>
        <v>0</v>
      </c>
      <c r="N14" s="14" t="s">
        <v>61</v>
      </c>
      <c r="O14" s="14" t="s">
        <v>62</v>
      </c>
    </row>
    <row r="15" customFormat="false" ht="15" hidden="false" customHeight="false" outlineLevel="0" collapsed="false">
      <c r="A15" s="3" t="s">
        <v>4538</v>
      </c>
      <c r="B15" s="3" t="s">
        <v>4539</v>
      </c>
      <c r="C15" s="3" t="s">
        <v>59</v>
      </c>
      <c r="D15" s="3" t="s">
        <v>4103</v>
      </c>
      <c r="E15" s="3" t="s">
        <v>50</v>
      </c>
      <c r="F15" s="12" t="n">
        <v>1950000</v>
      </c>
      <c r="G15" s="13" t="n">
        <v>0.8</v>
      </c>
      <c r="H15" s="13" t="n">
        <v>0.97</v>
      </c>
      <c r="I15" s="13" t="n">
        <v>0.761</v>
      </c>
      <c r="J15" s="13" t="n">
        <v>0.53</v>
      </c>
      <c r="K15" s="12" t="n">
        <f aca="false">ROUND(F15/100*G15*H15*I15/J15,2)</f>
        <v>21727.27</v>
      </c>
      <c r="L15" s="12" t="n">
        <v>21727.27</v>
      </c>
      <c r="M15" s="12" t="n">
        <f aca="false">L15-K15</f>
        <v>0</v>
      </c>
      <c r="N15" s="3" t="s">
        <v>61</v>
      </c>
      <c r="O15" s="3" t="s">
        <v>62</v>
      </c>
    </row>
    <row r="16" customFormat="false" ht="15" hidden="false" customHeight="false" outlineLevel="0" collapsed="false">
      <c r="A16" s="14" t="s">
        <v>4540</v>
      </c>
      <c r="B16" s="14" t="s">
        <v>4541</v>
      </c>
      <c r="C16" s="14" t="s">
        <v>305</v>
      </c>
      <c r="D16" s="14" t="s">
        <v>1276</v>
      </c>
      <c r="E16" s="14" t="s">
        <v>56</v>
      </c>
      <c r="F16" s="15" t="n">
        <v>720000</v>
      </c>
      <c r="G16" s="16" t="n">
        <v>0.65</v>
      </c>
      <c r="H16" s="16" t="n">
        <v>1.12</v>
      </c>
      <c r="I16" s="16" t="n">
        <v>0.761</v>
      </c>
      <c r="J16" s="16" t="n">
        <v>0.53</v>
      </c>
      <c r="K16" s="15" t="n">
        <f aca="false">ROUND(F16/100*G16*H16*I16/J16,2)</f>
        <v>7526.15</v>
      </c>
      <c r="L16" s="15" t="n">
        <v>7526.15</v>
      </c>
      <c r="M16" s="15" t="n">
        <f aca="false">L16-K16</f>
        <v>0</v>
      </c>
      <c r="N16" s="14" t="s">
        <v>51</v>
      </c>
      <c r="O16" s="14" t="s">
        <v>52</v>
      </c>
    </row>
    <row r="17" customFormat="false" ht="15" hidden="false" customHeight="false" outlineLevel="0" collapsed="false">
      <c r="A17" s="3" t="s">
        <v>4542</v>
      </c>
      <c r="B17" s="3" t="s">
        <v>4543</v>
      </c>
      <c r="C17" s="3" t="s">
        <v>89</v>
      </c>
      <c r="D17" s="3" t="s">
        <v>3107</v>
      </c>
      <c r="E17" s="3" t="s">
        <v>56</v>
      </c>
      <c r="F17" s="12" t="n">
        <v>1290000</v>
      </c>
      <c r="G17" s="13" t="n">
        <v>0.55</v>
      </c>
      <c r="H17" s="13" t="n">
        <v>1.35</v>
      </c>
      <c r="I17" s="13" t="n">
        <v>0.761</v>
      </c>
      <c r="J17" s="13" t="n">
        <v>0.53</v>
      </c>
      <c r="K17" s="12" t="n">
        <f aca="false">ROUND(F17/100*G17*H17*I17/J17,2)</f>
        <v>13752.92</v>
      </c>
      <c r="L17" s="12" t="n">
        <v>13752.92</v>
      </c>
      <c r="M17" s="12" t="n">
        <f aca="false">L17-K17</f>
        <v>0</v>
      </c>
      <c r="N17" s="3" t="s">
        <v>51</v>
      </c>
      <c r="O17" s="3" t="s">
        <v>52</v>
      </c>
    </row>
    <row r="18" customFormat="false" ht="15" hidden="false" customHeight="false" outlineLevel="0" collapsed="false">
      <c r="A18" s="14" t="s">
        <v>4521</v>
      </c>
      <c r="B18" s="14" t="s">
        <v>4544</v>
      </c>
      <c r="C18" s="14" t="s">
        <v>77</v>
      </c>
      <c r="D18" s="14" t="s">
        <v>4545</v>
      </c>
      <c r="E18" s="14" t="s">
        <v>74</v>
      </c>
      <c r="F18" s="15" t="n">
        <v>510000</v>
      </c>
      <c r="G18" s="16" t="n">
        <v>0.43</v>
      </c>
      <c r="H18" s="16" t="n">
        <v>1.42</v>
      </c>
      <c r="I18" s="16" t="n">
        <v>0.761</v>
      </c>
      <c r="J18" s="16" t="n">
        <v>0.53</v>
      </c>
      <c r="K18" s="15" t="n">
        <f aca="false">ROUND(F18/100*G18*H18*I18/J18,2)</f>
        <v>4471.32</v>
      </c>
      <c r="L18" s="15" t="n">
        <v>4471.32</v>
      </c>
      <c r="M18" s="15" t="n">
        <f aca="false">L18-K18</f>
        <v>0</v>
      </c>
      <c r="N18" s="14" t="s">
        <v>61</v>
      </c>
      <c r="O18" s="14" t="s">
        <v>62</v>
      </c>
    </row>
    <row r="19" customFormat="false" ht="15" hidden="false" customHeight="false" outlineLevel="0" collapsed="false">
      <c r="A19" s="3" t="s">
        <v>4527</v>
      </c>
      <c r="B19" s="3" t="s">
        <v>4546</v>
      </c>
      <c r="C19" s="3" t="s">
        <v>266</v>
      </c>
      <c r="D19" s="3" t="s">
        <v>1637</v>
      </c>
      <c r="E19" s="3" t="s">
        <v>56</v>
      </c>
      <c r="F19" s="12" t="n">
        <v>540000</v>
      </c>
      <c r="G19" s="13" t="n">
        <v>0.65</v>
      </c>
      <c r="H19" s="13" t="n">
        <v>1.1</v>
      </c>
      <c r="I19" s="13" t="n">
        <v>0.761</v>
      </c>
      <c r="J19" s="13" t="n">
        <v>0.53</v>
      </c>
      <c r="K19" s="12" t="n">
        <f aca="false">ROUND(F19/100*G19*H19*I19/J19,2)</f>
        <v>5543.81</v>
      </c>
      <c r="L19" s="12" t="n">
        <v>5543.82</v>
      </c>
      <c r="M19" s="12" t="n">
        <f aca="false">L19-K19</f>
        <v>0.00999999999930878</v>
      </c>
      <c r="N19" s="3" t="s">
        <v>61</v>
      </c>
      <c r="O19" s="3" t="s">
        <v>62</v>
      </c>
    </row>
    <row r="20" customFormat="false" ht="15" hidden="false" customHeight="false" outlineLevel="0" collapsed="false">
      <c r="A20" s="14" t="s">
        <v>4547</v>
      </c>
      <c r="B20" s="14" t="s">
        <v>4548</v>
      </c>
      <c r="C20" s="14" t="s">
        <v>188</v>
      </c>
      <c r="D20" s="14" t="s">
        <v>668</v>
      </c>
      <c r="E20" s="14" t="s">
        <v>74</v>
      </c>
      <c r="F20" s="15" t="n">
        <v>340000</v>
      </c>
      <c r="G20" s="16" t="n">
        <v>0.48</v>
      </c>
      <c r="H20" s="16" t="n">
        <v>1.35</v>
      </c>
      <c r="I20" s="16" t="n">
        <v>0.761</v>
      </c>
      <c r="J20" s="16" t="n">
        <v>0.53</v>
      </c>
      <c r="K20" s="15" t="n">
        <f aca="false">ROUND(F20/100*G20*H20*I20/J20,2)</f>
        <v>3163.46</v>
      </c>
      <c r="L20" s="15" t="n">
        <v>3163.46</v>
      </c>
      <c r="M20" s="15" t="n">
        <f aca="false">L20-K20</f>
        <v>0</v>
      </c>
      <c r="N20" s="14" t="s">
        <v>51</v>
      </c>
      <c r="O20" s="14" t="s">
        <v>52</v>
      </c>
    </row>
    <row r="21" customFormat="false" ht="15" hidden="false" customHeight="false" outlineLevel="0" collapsed="false">
      <c r="A21" s="3" t="s">
        <v>4531</v>
      </c>
      <c r="B21" s="3" t="s">
        <v>4549</v>
      </c>
      <c r="C21" s="3" t="s">
        <v>300</v>
      </c>
      <c r="D21" s="3" t="s">
        <v>4550</v>
      </c>
      <c r="E21" s="3" t="s">
        <v>74</v>
      </c>
      <c r="F21" s="12" t="n">
        <v>380000</v>
      </c>
      <c r="G21" s="13" t="n">
        <v>0.48</v>
      </c>
      <c r="H21" s="13" t="n">
        <v>1.11</v>
      </c>
      <c r="I21" s="13" t="n">
        <v>0.761</v>
      </c>
      <c r="J21" s="13" t="n">
        <v>0.53</v>
      </c>
      <c r="K21" s="12" t="n">
        <f aca="false">ROUND(F21/100*G21*H21*I21/J21,2)</f>
        <v>2907.08</v>
      </c>
      <c r="L21" s="12" t="n">
        <v>2907.08</v>
      </c>
      <c r="M21" s="12" t="n">
        <f aca="false">L21-K21</f>
        <v>0</v>
      </c>
      <c r="N21" s="3" t="s">
        <v>61</v>
      </c>
      <c r="O21" s="3" t="s">
        <v>62</v>
      </c>
    </row>
    <row r="22" customFormat="false" ht="15" hidden="false" customHeight="false" outlineLevel="0" collapsed="false">
      <c r="A22" s="14" t="s">
        <v>4551</v>
      </c>
      <c r="B22" s="14" t="s">
        <v>4552</v>
      </c>
      <c r="C22" s="14" t="s">
        <v>48</v>
      </c>
      <c r="D22" s="14" t="s">
        <v>1889</v>
      </c>
      <c r="E22" s="14" t="s">
        <v>56</v>
      </c>
      <c r="F22" s="15" t="n">
        <v>180000</v>
      </c>
      <c r="G22" s="16" t="n">
        <v>0.92</v>
      </c>
      <c r="H22" s="16" t="n">
        <v>1.28</v>
      </c>
      <c r="I22" s="16" t="n">
        <v>0.761</v>
      </c>
      <c r="J22" s="16" t="n">
        <v>0.53</v>
      </c>
      <c r="K22" s="15" t="n">
        <f aca="false">ROUND(F22/100*G22*H22*I22/J22,2)</f>
        <v>3043.54</v>
      </c>
      <c r="L22" s="15" t="n">
        <v>3043.54</v>
      </c>
      <c r="M22" s="15" t="n">
        <f aca="false">L22-K22</f>
        <v>0</v>
      </c>
      <c r="N22" s="14" t="s">
        <v>61</v>
      </c>
      <c r="O22" s="14" t="s">
        <v>62</v>
      </c>
    </row>
    <row r="23" customFormat="false" ht="15" hidden="false" customHeight="false" outlineLevel="0" collapsed="false">
      <c r="A23" s="3" t="s">
        <v>4553</v>
      </c>
      <c r="B23" s="3" t="s">
        <v>4554</v>
      </c>
      <c r="C23" s="3" t="s">
        <v>224</v>
      </c>
      <c r="D23" s="3" t="s">
        <v>784</v>
      </c>
      <c r="E23" s="3" t="s">
        <v>74</v>
      </c>
      <c r="F23" s="12" t="n">
        <v>250000</v>
      </c>
      <c r="G23" s="13" t="n">
        <v>0.48</v>
      </c>
      <c r="H23" s="13" t="n">
        <v>1.1</v>
      </c>
      <c r="I23" s="13" t="n">
        <v>0.761</v>
      </c>
      <c r="J23" s="13" t="n">
        <v>0.53</v>
      </c>
      <c r="K23" s="12" t="n">
        <f aca="false">ROUND(F23/100*G23*H23*I23/J23,2)</f>
        <v>1895.32</v>
      </c>
      <c r="L23" s="12" t="n">
        <v>1895.32</v>
      </c>
      <c r="M23" s="12" t="n">
        <f aca="false">L23-K23</f>
        <v>0</v>
      </c>
      <c r="N23" s="3" t="s">
        <v>61</v>
      </c>
      <c r="O23" s="3" t="s">
        <v>62</v>
      </c>
    </row>
    <row r="24" customFormat="false" ht="15" hidden="false" customHeight="false" outlineLevel="0" collapsed="false">
      <c r="A24" s="14" t="s">
        <v>4534</v>
      </c>
      <c r="B24" s="14" t="s">
        <v>4555</v>
      </c>
      <c r="C24" s="14" t="s">
        <v>305</v>
      </c>
      <c r="D24" s="14" t="s">
        <v>3208</v>
      </c>
      <c r="E24" s="14" t="s">
        <v>74</v>
      </c>
      <c r="F24" s="15" t="n">
        <v>385000</v>
      </c>
      <c r="G24" s="16" t="n">
        <v>0.48</v>
      </c>
      <c r="H24" s="16" t="n">
        <v>1.12</v>
      </c>
      <c r="I24" s="16" t="n">
        <v>0.761</v>
      </c>
      <c r="J24" s="16" t="n">
        <v>0.53</v>
      </c>
      <c r="K24" s="15" t="n">
        <f aca="false">ROUND(F24/100*G24*H24*I24/J24,2)</f>
        <v>2971.86</v>
      </c>
      <c r="L24" s="15" t="n">
        <v>2971.86</v>
      </c>
      <c r="M24" s="15" t="n">
        <f aca="false">L24-K24</f>
        <v>0</v>
      </c>
      <c r="N24" s="14" t="s">
        <v>61</v>
      </c>
      <c r="O24" s="14" t="s">
        <v>62</v>
      </c>
    </row>
    <row r="25" customFormat="false" ht="15" hidden="false" customHeight="false" outlineLevel="0" collapsed="false">
      <c r="A25" s="3" t="s">
        <v>4523</v>
      </c>
      <c r="B25" s="3" t="s">
        <v>4556</v>
      </c>
      <c r="C25" s="3" t="s">
        <v>136</v>
      </c>
      <c r="D25" s="3" t="s">
        <v>923</v>
      </c>
      <c r="E25" s="3" t="s">
        <v>56</v>
      </c>
      <c r="F25" s="12" t="n">
        <v>220000</v>
      </c>
      <c r="G25" s="13" t="n">
        <v>0.92</v>
      </c>
      <c r="H25" s="13" t="n">
        <v>1.32</v>
      </c>
      <c r="I25" s="13" t="n">
        <v>0.761</v>
      </c>
      <c r="J25" s="13" t="n">
        <v>0.53</v>
      </c>
      <c r="K25" s="12" t="n">
        <f aca="false">ROUND(F25/100*G25*H25*I25/J25,2)</f>
        <v>3836.13</v>
      </c>
      <c r="L25" s="12" t="n">
        <v>3836.13</v>
      </c>
      <c r="M25" s="12" t="n">
        <f aca="false">L25-K25</f>
        <v>0</v>
      </c>
      <c r="N25" s="3" t="s">
        <v>61</v>
      </c>
      <c r="O25" s="3" t="s">
        <v>62</v>
      </c>
    </row>
    <row r="26" customFormat="false" ht="15" hidden="false" customHeight="false" outlineLevel="0" collapsed="false">
      <c r="A26" s="14" t="s">
        <v>4557</v>
      </c>
      <c r="B26" s="14" t="s">
        <v>4558</v>
      </c>
      <c r="C26" s="14" t="s">
        <v>275</v>
      </c>
      <c r="D26" s="14" t="s">
        <v>1417</v>
      </c>
      <c r="E26" s="14" t="s">
        <v>56</v>
      </c>
      <c r="F26" s="15" t="n">
        <v>635000</v>
      </c>
      <c r="G26" s="16" t="n">
        <v>0.65</v>
      </c>
      <c r="H26" s="16" t="n">
        <v>1.19</v>
      </c>
      <c r="I26" s="16" t="n">
        <v>0.761</v>
      </c>
      <c r="J26" s="16" t="n">
        <v>0.53</v>
      </c>
      <c r="K26" s="15" t="n">
        <f aca="false">ROUND(F26/100*G26*H26*I26/J26,2)</f>
        <v>7052.5</v>
      </c>
      <c r="L26" s="15" t="n">
        <v>7052.5</v>
      </c>
      <c r="M26" s="15" t="n">
        <f aca="false">L26-K26</f>
        <v>0</v>
      </c>
      <c r="N26" s="14" t="s">
        <v>61</v>
      </c>
      <c r="O26" s="14" t="s">
        <v>62</v>
      </c>
    </row>
    <row r="27" customFormat="false" ht="15" hidden="false" customHeight="false" outlineLevel="0" collapsed="false">
      <c r="A27" s="3" t="s">
        <v>4553</v>
      </c>
      <c r="B27" s="3" t="s">
        <v>4559</v>
      </c>
      <c r="C27" s="3" t="s">
        <v>117</v>
      </c>
      <c r="D27" s="3" t="s">
        <v>4560</v>
      </c>
      <c r="E27" s="3" t="s">
        <v>133</v>
      </c>
      <c r="F27" s="12" t="n">
        <v>1950000</v>
      </c>
      <c r="G27" s="13" t="n">
        <v>0.34</v>
      </c>
      <c r="H27" s="13" t="n">
        <v>0.91</v>
      </c>
      <c r="I27" s="13" t="n">
        <v>0.761</v>
      </c>
      <c r="J27" s="13" t="n">
        <v>0.53</v>
      </c>
      <c r="K27" s="12" t="n">
        <f aca="false">ROUND(F27/100*G27*H27*I27/J27,2)</f>
        <v>8662.91</v>
      </c>
      <c r="L27" s="12" t="n">
        <v>8662.9</v>
      </c>
      <c r="M27" s="12" t="n">
        <f aca="false">L27-K27</f>
        <v>-0.0100000000002183</v>
      </c>
      <c r="N27" s="3" t="s">
        <v>61</v>
      </c>
      <c r="O27" s="3" t="s">
        <v>62</v>
      </c>
    </row>
    <row r="28" customFormat="false" ht="15" hidden="false" customHeight="false" outlineLevel="0" collapsed="false">
      <c r="A28" s="14" t="s">
        <v>4519</v>
      </c>
      <c r="B28" s="14" t="s">
        <v>4561</v>
      </c>
      <c r="C28" s="14" t="s">
        <v>81</v>
      </c>
      <c r="D28" s="14" t="s">
        <v>4562</v>
      </c>
      <c r="E28" s="14" t="s">
        <v>50</v>
      </c>
      <c r="F28" s="15" t="n">
        <v>605000</v>
      </c>
      <c r="G28" s="16" t="n">
        <v>0.95</v>
      </c>
      <c r="H28" s="16" t="n">
        <v>1.27</v>
      </c>
      <c r="I28" s="16" t="n">
        <v>0.761</v>
      </c>
      <c r="J28" s="16" t="n">
        <v>0.53</v>
      </c>
      <c r="K28" s="15" t="n">
        <f aca="false">ROUND(F28/100*G28*H28*I28/J28,2)</f>
        <v>10480.73</v>
      </c>
      <c r="L28" s="15" t="n">
        <v>10480.73</v>
      </c>
      <c r="M28" s="15" t="n">
        <f aca="false">L28-K28</f>
        <v>0</v>
      </c>
      <c r="N28" s="14" t="s">
        <v>61</v>
      </c>
      <c r="O28" s="14" t="s">
        <v>62</v>
      </c>
    </row>
    <row r="29" customFormat="false" ht="15" hidden="false" customHeight="false" outlineLevel="0" collapsed="false">
      <c r="A29" s="3" t="s">
        <v>4563</v>
      </c>
      <c r="B29" s="3" t="s">
        <v>4564</v>
      </c>
      <c r="C29" s="3" t="s">
        <v>224</v>
      </c>
      <c r="D29" s="3" t="s">
        <v>1037</v>
      </c>
      <c r="E29" s="3" t="s">
        <v>50</v>
      </c>
      <c r="F29" s="12" t="n">
        <v>420000</v>
      </c>
      <c r="G29" s="13" t="n">
        <v>1.15</v>
      </c>
      <c r="H29" s="13" t="n">
        <v>1.1</v>
      </c>
      <c r="I29" s="13" t="n">
        <v>0.761</v>
      </c>
      <c r="J29" s="13" t="n">
        <v>0.53</v>
      </c>
      <c r="K29" s="12" t="n">
        <f aca="false">ROUND(F29/100*G29*H29*I29/J29,2)</f>
        <v>7628.67</v>
      </c>
      <c r="L29" s="12" t="n">
        <v>7628.67</v>
      </c>
      <c r="M29" s="12" t="n">
        <f aca="false">L29-K29</f>
        <v>0</v>
      </c>
      <c r="N29" s="3" t="s">
        <v>61</v>
      </c>
      <c r="O29" s="3" t="s">
        <v>62</v>
      </c>
    </row>
    <row r="30" customFormat="false" ht="15" hidden="false" customHeight="false" outlineLevel="0" collapsed="false">
      <c r="A30" s="14" t="s">
        <v>4565</v>
      </c>
      <c r="B30" s="14" t="s">
        <v>4566</v>
      </c>
      <c r="C30" s="14" t="s">
        <v>114</v>
      </c>
      <c r="D30" s="14" t="s">
        <v>291</v>
      </c>
      <c r="E30" s="14" t="s">
        <v>50</v>
      </c>
      <c r="F30" s="15" t="n">
        <v>1950000</v>
      </c>
      <c r="G30" s="16" t="n">
        <v>0.8</v>
      </c>
      <c r="H30" s="16" t="n">
        <v>1.36</v>
      </c>
      <c r="I30" s="16" t="n">
        <v>0.761</v>
      </c>
      <c r="J30" s="16" t="n">
        <v>0.53</v>
      </c>
      <c r="K30" s="15" t="n">
        <f aca="false">ROUND(F30/100*G30*H30*I30/J30,2)</f>
        <v>30462.97</v>
      </c>
      <c r="L30" s="15" t="n">
        <v>30462.97</v>
      </c>
      <c r="M30" s="15" t="n">
        <f aca="false">L30-K30</f>
        <v>0</v>
      </c>
      <c r="N30" s="14" t="s">
        <v>61</v>
      </c>
      <c r="O30" s="14" t="s">
        <v>62</v>
      </c>
    </row>
    <row r="31" customFormat="false" ht="15" hidden="false" customHeight="false" outlineLevel="0" collapsed="false">
      <c r="A31" s="3" t="s">
        <v>4567</v>
      </c>
      <c r="B31" s="3" t="s">
        <v>4568</v>
      </c>
      <c r="C31" s="3" t="s">
        <v>136</v>
      </c>
      <c r="D31" s="3" t="s">
        <v>143</v>
      </c>
      <c r="E31" s="3" t="s">
        <v>56</v>
      </c>
      <c r="F31" s="12" t="n">
        <v>805000</v>
      </c>
      <c r="G31" s="13" t="n">
        <v>0.65</v>
      </c>
      <c r="H31" s="13" t="n">
        <v>1.32</v>
      </c>
      <c r="I31" s="13" t="n">
        <v>0.761</v>
      </c>
      <c r="J31" s="13" t="n">
        <v>0.53</v>
      </c>
      <c r="K31" s="12" t="n">
        <f aca="false">ROUND(F31/100*G31*H31*I31/J31,2)</f>
        <v>9917.27</v>
      </c>
      <c r="L31" s="12" t="n">
        <v>9917.27</v>
      </c>
      <c r="M31" s="12" t="n">
        <f aca="false">L31-K31</f>
        <v>0</v>
      </c>
      <c r="N31" s="3" t="s">
        <v>61</v>
      </c>
      <c r="O31" s="3" t="s">
        <v>62</v>
      </c>
    </row>
    <row r="32" customFormat="false" ht="15" hidden="false" customHeight="false" outlineLevel="0" collapsed="false">
      <c r="A32" s="14" t="s">
        <v>4519</v>
      </c>
      <c r="B32" s="14" t="s">
        <v>4569</v>
      </c>
      <c r="C32" s="14" t="s">
        <v>77</v>
      </c>
      <c r="D32" s="14" t="s">
        <v>796</v>
      </c>
      <c r="E32" s="14" t="s">
        <v>50</v>
      </c>
      <c r="F32" s="15" t="n">
        <v>1800000</v>
      </c>
      <c r="G32" s="16" t="n">
        <v>0.8</v>
      </c>
      <c r="H32" s="16" t="n">
        <v>1.42</v>
      </c>
      <c r="I32" s="16" t="n">
        <v>0.761</v>
      </c>
      <c r="J32" s="16" t="n">
        <v>0.53</v>
      </c>
      <c r="K32" s="15" t="n">
        <f aca="false">ROUND(F32/100*G32*H32*I32/J32,2)</f>
        <v>29360.24</v>
      </c>
      <c r="L32" s="15" t="n">
        <v>29360.24</v>
      </c>
      <c r="M32" s="15" t="n">
        <f aca="false">L32-K32</f>
        <v>0</v>
      </c>
      <c r="N32" s="14" t="s">
        <v>61</v>
      </c>
      <c r="O32" s="14" t="s">
        <v>62</v>
      </c>
    </row>
    <row r="33" customFormat="false" ht="15" hidden="false" customHeight="false" outlineLevel="0" collapsed="false">
      <c r="A33" s="3" t="s">
        <v>4519</v>
      </c>
      <c r="B33" s="3" t="s">
        <v>4570</v>
      </c>
      <c r="C33" s="3" t="s">
        <v>93</v>
      </c>
      <c r="D33" s="3" t="s">
        <v>1129</v>
      </c>
      <c r="E33" s="3" t="s">
        <v>50</v>
      </c>
      <c r="F33" s="12" t="n">
        <v>600000</v>
      </c>
      <c r="G33" s="13" t="n">
        <v>0.95</v>
      </c>
      <c r="H33" s="13" t="n">
        <v>1.39</v>
      </c>
      <c r="I33" s="13" t="n">
        <v>0.761</v>
      </c>
      <c r="J33" s="13" t="n">
        <v>0.53</v>
      </c>
      <c r="K33" s="12" t="n">
        <f aca="false">ROUND(F33/100*G33*H33*I33/J33,2)</f>
        <v>11376.23</v>
      </c>
      <c r="L33" s="12" t="n">
        <v>11376.23</v>
      </c>
      <c r="M33" s="12" t="n">
        <f aca="false">L33-K33</f>
        <v>0</v>
      </c>
      <c r="N33" s="3" t="s">
        <v>61</v>
      </c>
      <c r="O33" s="3" t="s">
        <v>62</v>
      </c>
    </row>
    <row r="34" customFormat="false" ht="15" hidden="false" customHeight="false" outlineLevel="0" collapsed="false">
      <c r="A34" s="14" t="s">
        <v>4571</v>
      </c>
      <c r="B34" s="14" t="s">
        <v>4572</v>
      </c>
      <c r="C34" s="14" t="s">
        <v>48</v>
      </c>
      <c r="D34" s="14" t="s">
        <v>182</v>
      </c>
      <c r="E34" s="14" t="s">
        <v>56</v>
      </c>
      <c r="F34" s="15" t="n">
        <v>395000</v>
      </c>
      <c r="G34" s="16" t="n">
        <v>0.75</v>
      </c>
      <c r="H34" s="16" t="n">
        <v>1.28</v>
      </c>
      <c r="I34" s="16" t="n">
        <v>0.761</v>
      </c>
      <c r="J34" s="16" t="n">
        <v>0.53</v>
      </c>
      <c r="K34" s="15" t="n">
        <f aca="false">ROUND(F34/100*G34*H34*I34/J34,2)</f>
        <v>5444.74</v>
      </c>
      <c r="L34" s="15" t="n">
        <v>5444.74</v>
      </c>
      <c r="M34" s="15" t="n">
        <f aca="false">L34-K34</f>
        <v>0</v>
      </c>
      <c r="N34" s="14" t="s">
        <v>51</v>
      </c>
      <c r="O34" s="14" t="s">
        <v>52</v>
      </c>
    </row>
    <row r="35" customFormat="false" ht="15" hidden="false" customHeight="false" outlineLevel="0" collapsed="false">
      <c r="A35" s="3" t="s">
        <v>4553</v>
      </c>
      <c r="B35" s="3" t="s">
        <v>4573</v>
      </c>
      <c r="C35" s="3" t="s">
        <v>131</v>
      </c>
      <c r="D35" s="3" t="s">
        <v>4574</v>
      </c>
      <c r="E35" s="3" t="s">
        <v>74</v>
      </c>
      <c r="F35" s="12" t="n">
        <v>710000</v>
      </c>
      <c r="G35" s="13" t="n">
        <v>0.43</v>
      </c>
      <c r="H35" s="13" t="n">
        <v>0.95</v>
      </c>
      <c r="I35" s="13" t="n">
        <v>0.761</v>
      </c>
      <c r="J35" s="13" t="n">
        <v>0.53</v>
      </c>
      <c r="K35" s="12" t="n">
        <f aca="false">ROUND(F35/100*G35*H35*I35/J35,2)</f>
        <v>4164.46</v>
      </c>
      <c r="L35" s="12" t="n">
        <v>4164.47</v>
      </c>
      <c r="M35" s="12" t="n">
        <f aca="false">L35-K35</f>
        <v>0.0100000000002183</v>
      </c>
      <c r="N35" s="3" t="s">
        <v>61</v>
      </c>
      <c r="O35" s="3" t="s">
        <v>62</v>
      </c>
    </row>
    <row r="36" customFormat="false" ht="15" hidden="false" customHeight="false" outlineLevel="0" collapsed="false">
      <c r="A36" s="14" t="s">
        <v>4563</v>
      </c>
      <c r="B36" s="14" t="s">
        <v>4575</v>
      </c>
      <c r="C36" s="14" t="s">
        <v>196</v>
      </c>
      <c r="D36" s="14" t="s">
        <v>215</v>
      </c>
      <c r="E36" s="14" t="s">
        <v>56</v>
      </c>
      <c r="F36" s="15" t="n">
        <v>1530000</v>
      </c>
      <c r="G36" s="16" t="n">
        <v>0.55</v>
      </c>
      <c r="H36" s="16" t="n">
        <v>1.04</v>
      </c>
      <c r="I36" s="16" t="n">
        <v>0.761</v>
      </c>
      <c r="J36" s="16" t="n">
        <v>0.53</v>
      </c>
      <c r="K36" s="15" t="n">
        <f aca="false">ROUND(F36/100*G36*H36*I36/J36,2)</f>
        <v>12565.98</v>
      </c>
      <c r="L36" s="15" t="n">
        <v>12565.97</v>
      </c>
      <c r="M36" s="15" t="n">
        <f aca="false">L36-K36</f>
        <v>-0.0100000000002183</v>
      </c>
      <c r="N36" s="14" t="s">
        <v>61</v>
      </c>
      <c r="O36" s="14" t="s">
        <v>62</v>
      </c>
    </row>
    <row r="37" customFormat="false" ht="15" hidden="false" customHeight="false" outlineLevel="0" collapsed="false">
      <c r="A37" s="3" t="s">
        <v>4519</v>
      </c>
      <c r="B37" s="3" t="s">
        <v>4576</v>
      </c>
      <c r="C37" s="3" t="s">
        <v>152</v>
      </c>
      <c r="D37" s="3" t="s">
        <v>4577</v>
      </c>
      <c r="E37" s="3" t="s">
        <v>133</v>
      </c>
      <c r="F37" s="12" t="n">
        <v>415000</v>
      </c>
      <c r="G37" s="13" t="n">
        <v>0.42</v>
      </c>
      <c r="H37" s="13" t="n">
        <v>1</v>
      </c>
      <c r="I37" s="13" t="n">
        <v>0.761</v>
      </c>
      <c r="J37" s="13" t="n">
        <v>0.53</v>
      </c>
      <c r="K37" s="12" t="n">
        <f aca="false">ROUND(F37/100*G37*H37*I37/J37,2)</f>
        <v>2502.68</v>
      </c>
      <c r="L37" s="12" t="n">
        <v>2502.69</v>
      </c>
      <c r="M37" s="12" t="n">
        <f aca="false">L37-K37</f>
        <v>0.0100000000002183</v>
      </c>
      <c r="N37" s="3" t="s">
        <v>61</v>
      </c>
      <c r="O37" s="3" t="s">
        <v>62</v>
      </c>
    </row>
    <row r="38" customFormat="false" ht="15" hidden="false" customHeight="false" outlineLevel="0" collapsed="false">
      <c r="A38" s="14" t="s">
        <v>4578</v>
      </c>
      <c r="B38" s="14" t="s">
        <v>4579</v>
      </c>
      <c r="C38" s="14" t="s">
        <v>120</v>
      </c>
      <c r="D38" s="14" t="s">
        <v>500</v>
      </c>
      <c r="E38" s="14" t="s">
        <v>50</v>
      </c>
      <c r="F38" s="15" t="n">
        <v>455000</v>
      </c>
      <c r="G38" s="16" t="n">
        <v>1.15</v>
      </c>
      <c r="H38" s="16" t="n">
        <v>1.15</v>
      </c>
      <c r="I38" s="16" t="n">
        <v>0.761</v>
      </c>
      <c r="J38" s="16" t="n">
        <v>0.53</v>
      </c>
      <c r="K38" s="15" t="n">
        <f aca="false">ROUND(F38/100*G38*H38*I38/J38,2)</f>
        <v>8640.04</v>
      </c>
      <c r="L38" s="15" t="n">
        <v>8640.04</v>
      </c>
      <c r="M38" s="15" t="n">
        <f aca="false">L38-K38</f>
        <v>0</v>
      </c>
      <c r="N38" s="14" t="s">
        <v>61</v>
      </c>
      <c r="O38" s="14" t="s">
        <v>62</v>
      </c>
    </row>
    <row r="39" customFormat="false" ht="15" hidden="false" customHeight="false" outlineLevel="0" collapsed="false">
      <c r="A39" s="3" t="s">
        <v>4580</v>
      </c>
      <c r="B39" s="3" t="s">
        <v>4581</v>
      </c>
      <c r="C39" s="3" t="s">
        <v>105</v>
      </c>
      <c r="D39" s="3" t="s">
        <v>3134</v>
      </c>
      <c r="E39" s="3" t="s">
        <v>56</v>
      </c>
      <c r="F39" s="12" t="n">
        <v>225000</v>
      </c>
      <c r="G39" s="13" t="n">
        <v>0.92</v>
      </c>
      <c r="H39" s="13" t="n">
        <v>0.99</v>
      </c>
      <c r="I39" s="13" t="n">
        <v>0.761</v>
      </c>
      <c r="J39" s="13" t="n">
        <v>0.53</v>
      </c>
      <c r="K39" s="12" t="n">
        <f aca="false">ROUND(F39/100*G39*H39*I39/J39,2)</f>
        <v>2942.49</v>
      </c>
      <c r="L39" s="12" t="n">
        <v>2942.48</v>
      </c>
      <c r="M39" s="12" t="n">
        <f aca="false">L39-K39</f>
        <v>-0.00999999999976353</v>
      </c>
      <c r="N39" s="3" t="s">
        <v>61</v>
      </c>
      <c r="O39" s="3" t="s">
        <v>62</v>
      </c>
    </row>
    <row r="40" customFormat="false" ht="15" hidden="false" customHeight="false" outlineLevel="0" collapsed="false">
      <c r="A40" s="14" t="s">
        <v>4582</v>
      </c>
      <c r="B40" s="14" t="s">
        <v>4583</v>
      </c>
      <c r="C40" s="14" t="s">
        <v>131</v>
      </c>
      <c r="D40" s="14" t="s">
        <v>1540</v>
      </c>
      <c r="E40" s="14" t="s">
        <v>74</v>
      </c>
      <c r="F40" s="15" t="n">
        <v>1015000</v>
      </c>
      <c r="G40" s="16" t="n">
        <v>0.38</v>
      </c>
      <c r="H40" s="16" t="n">
        <v>0.95</v>
      </c>
      <c r="I40" s="16" t="n">
        <v>0.761</v>
      </c>
      <c r="J40" s="16" t="n">
        <v>0.53</v>
      </c>
      <c r="K40" s="15" t="n">
        <f aca="false">ROUND(F40/100*G40*H40*I40/J40,2)</f>
        <v>5261.17</v>
      </c>
      <c r="L40" s="15" t="n">
        <v>5261.17</v>
      </c>
      <c r="M40" s="15" t="n">
        <f aca="false">L40-K40</f>
        <v>0</v>
      </c>
      <c r="N40" s="14" t="s">
        <v>61</v>
      </c>
      <c r="O40" s="14" t="s">
        <v>62</v>
      </c>
    </row>
    <row r="41" customFormat="false" ht="15" hidden="false" customHeight="false" outlineLevel="0" collapsed="false">
      <c r="A41" s="3" t="s">
        <v>4529</v>
      </c>
      <c r="B41" s="3" t="s">
        <v>4584</v>
      </c>
      <c r="C41" s="3" t="s">
        <v>77</v>
      </c>
      <c r="D41" s="3" t="s">
        <v>4585</v>
      </c>
      <c r="E41" s="3" t="s">
        <v>74</v>
      </c>
      <c r="F41" s="12" t="n">
        <v>320000</v>
      </c>
      <c r="G41" s="13" t="n">
        <v>0.48</v>
      </c>
      <c r="H41" s="13" t="n">
        <v>1.42</v>
      </c>
      <c r="I41" s="13" t="n">
        <v>0.761</v>
      </c>
      <c r="J41" s="13" t="n">
        <v>0.53</v>
      </c>
      <c r="K41" s="12" t="n">
        <f aca="false">ROUND(F41/100*G41*H41*I41/J41,2)</f>
        <v>3131.76</v>
      </c>
      <c r="L41" s="12" t="n">
        <v>3131.76</v>
      </c>
      <c r="M41" s="12" t="n">
        <f aca="false">L41-K41</f>
        <v>0</v>
      </c>
      <c r="N41" s="3" t="s">
        <v>61</v>
      </c>
      <c r="O41" s="3" t="s">
        <v>62</v>
      </c>
    </row>
    <row r="42" customFormat="false" ht="15" hidden="false" customHeight="false" outlineLevel="0" collapsed="false">
      <c r="A42" s="14" t="s">
        <v>4540</v>
      </c>
      <c r="B42" s="14" t="s">
        <v>4586</v>
      </c>
      <c r="C42" s="14" t="s">
        <v>887</v>
      </c>
      <c r="D42" s="14" t="s">
        <v>97</v>
      </c>
      <c r="E42" s="14" t="s">
        <v>56</v>
      </c>
      <c r="F42" s="15" t="n">
        <v>555000</v>
      </c>
      <c r="G42" s="16" t="n">
        <v>0.65</v>
      </c>
      <c r="H42" s="16" t="n">
        <v>1.37</v>
      </c>
      <c r="I42" s="16" t="n">
        <v>0.761</v>
      </c>
      <c r="J42" s="16" t="n">
        <v>0.53</v>
      </c>
      <c r="K42" s="15" t="n">
        <f aca="false">ROUND(F42/100*G42*H42*I42/J42,2)</f>
        <v>7096.36</v>
      </c>
      <c r="L42" s="15" t="n">
        <v>7096.36</v>
      </c>
      <c r="M42" s="15" t="n">
        <f aca="false">L42-K42</f>
        <v>0</v>
      </c>
      <c r="N42" s="14" t="s">
        <v>51</v>
      </c>
      <c r="O42" s="14" t="s">
        <v>52</v>
      </c>
    </row>
    <row r="43" customFormat="false" ht="15" hidden="false" customHeight="false" outlineLevel="0" collapsed="false">
      <c r="A43" s="3" t="s">
        <v>4557</v>
      </c>
      <c r="B43" s="3" t="s">
        <v>4587</v>
      </c>
      <c r="C43" s="3" t="s">
        <v>68</v>
      </c>
      <c r="D43" s="3" t="s">
        <v>759</v>
      </c>
      <c r="E43" s="3" t="s">
        <v>56</v>
      </c>
      <c r="F43" s="12" t="n">
        <v>755000</v>
      </c>
      <c r="G43" s="13" t="n">
        <v>0.65</v>
      </c>
      <c r="H43" s="13" t="n">
        <v>1.38</v>
      </c>
      <c r="I43" s="13" t="n">
        <v>0.761</v>
      </c>
      <c r="J43" s="13" t="n">
        <v>0.53</v>
      </c>
      <c r="K43" s="12" t="n">
        <f aca="false">ROUND(F43/100*G43*H43*I43/J43,2)</f>
        <v>9724.07</v>
      </c>
      <c r="L43" s="12" t="n">
        <v>9724.07</v>
      </c>
      <c r="M43" s="12" t="n">
        <f aca="false">L43-K43</f>
        <v>0</v>
      </c>
      <c r="N43" s="3" t="s">
        <v>61</v>
      </c>
      <c r="O43" s="3" t="s">
        <v>62</v>
      </c>
    </row>
    <row r="44" customFormat="false" ht="15" hidden="false" customHeight="false" outlineLevel="0" collapsed="false">
      <c r="A44" s="14" t="s">
        <v>4521</v>
      </c>
      <c r="B44" s="14" t="s">
        <v>4588</v>
      </c>
      <c r="C44" s="14" t="s">
        <v>174</v>
      </c>
      <c r="D44" s="14" t="s">
        <v>1156</v>
      </c>
      <c r="E44" s="14" t="s">
        <v>56</v>
      </c>
      <c r="F44" s="15" t="n">
        <v>835000</v>
      </c>
      <c r="G44" s="16" t="n">
        <v>0.65</v>
      </c>
      <c r="H44" s="16" t="n">
        <v>1.55</v>
      </c>
      <c r="I44" s="16" t="n">
        <v>0.761</v>
      </c>
      <c r="J44" s="16" t="n">
        <v>0.53</v>
      </c>
      <c r="K44" s="15" t="n">
        <f aca="false">ROUND(F44/100*G44*H44*I44/J44,2)</f>
        <v>12079.26</v>
      </c>
      <c r="L44" s="15" t="n">
        <v>12079.26</v>
      </c>
      <c r="M44" s="15" t="n">
        <f aca="false">L44-K44</f>
        <v>0</v>
      </c>
      <c r="N44" s="14" t="s">
        <v>61</v>
      </c>
      <c r="O44" s="14" t="s">
        <v>62</v>
      </c>
    </row>
    <row r="45" customFormat="false" ht="15" hidden="false" customHeight="false" outlineLevel="0" collapsed="false">
      <c r="A45" s="3" t="s">
        <v>4589</v>
      </c>
      <c r="B45" s="3" t="s">
        <v>4590</v>
      </c>
      <c r="C45" s="3" t="s">
        <v>243</v>
      </c>
      <c r="D45" s="3" t="s">
        <v>1517</v>
      </c>
      <c r="E45" s="3" t="s">
        <v>56</v>
      </c>
      <c r="F45" s="12" t="n">
        <v>510000</v>
      </c>
      <c r="G45" s="13" t="n">
        <v>0.65</v>
      </c>
      <c r="H45" s="13" t="n">
        <v>1.14</v>
      </c>
      <c r="I45" s="13" t="n">
        <v>0.761</v>
      </c>
      <c r="J45" s="13" t="n">
        <v>0.53</v>
      </c>
      <c r="K45" s="12" t="n">
        <f aca="false">ROUND(F45/100*G45*H45*I45/J45,2)</f>
        <v>5426.22</v>
      </c>
      <c r="L45" s="12" t="n">
        <v>5426.22</v>
      </c>
      <c r="M45" s="12" t="n">
        <f aca="false">L45-K45</f>
        <v>0</v>
      </c>
      <c r="N45" s="3" t="s">
        <v>61</v>
      </c>
      <c r="O45" s="3" t="s">
        <v>62</v>
      </c>
    </row>
    <row r="46" customFormat="false" ht="15" hidden="false" customHeight="false" outlineLevel="0" collapsed="false">
      <c r="A46" s="14" t="s">
        <v>4563</v>
      </c>
      <c r="B46" s="14" t="s">
        <v>4591</v>
      </c>
      <c r="C46" s="14" t="s">
        <v>159</v>
      </c>
      <c r="D46" s="14" t="s">
        <v>1769</v>
      </c>
      <c r="E46" s="14" t="s">
        <v>56</v>
      </c>
      <c r="F46" s="15" t="n">
        <v>270000</v>
      </c>
      <c r="G46" s="16" t="n">
        <v>0.75</v>
      </c>
      <c r="H46" s="16" t="n">
        <v>1.15</v>
      </c>
      <c r="I46" s="16" t="n">
        <v>0.761</v>
      </c>
      <c r="J46" s="16" t="n">
        <v>0.53</v>
      </c>
      <c r="K46" s="15" t="n">
        <f aca="false">ROUND(F46/100*G46*H46*I46/J46,2)</f>
        <v>3343.73</v>
      </c>
      <c r="L46" s="15" t="n">
        <v>3343.74</v>
      </c>
      <c r="M46" s="15" t="n">
        <f aca="false">L46-K46</f>
        <v>0.00999999999976353</v>
      </c>
      <c r="N46" s="14" t="s">
        <v>61</v>
      </c>
      <c r="O46" s="14" t="s">
        <v>62</v>
      </c>
    </row>
    <row r="47" customFormat="false" ht="15" hidden="false" customHeight="false" outlineLevel="0" collapsed="false">
      <c r="A47" s="3" t="s">
        <v>4592</v>
      </c>
      <c r="B47" s="3" t="s">
        <v>4593</v>
      </c>
      <c r="C47" s="3" t="s">
        <v>108</v>
      </c>
      <c r="D47" s="3" t="s">
        <v>624</v>
      </c>
      <c r="E47" s="3" t="s">
        <v>56</v>
      </c>
      <c r="F47" s="12" t="n">
        <v>280000</v>
      </c>
      <c r="G47" s="13" t="n">
        <v>0.75</v>
      </c>
      <c r="H47" s="13" t="n">
        <v>0.93</v>
      </c>
      <c r="I47" s="13" t="n">
        <v>0.761</v>
      </c>
      <c r="J47" s="13" t="n">
        <v>0.53</v>
      </c>
      <c r="K47" s="12" t="n">
        <f aca="false">ROUND(F47/100*G47*H47*I47/J47,2)</f>
        <v>2804.21</v>
      </c>
      <c r="L47" s="12" t="n">
        <v>2804.22</v>
      </c>
      <c r="M47" s="12" t="n">
        <f aca="false">L47-K47</f>
        <v>0.00999999999976353</v>
      </c>
      <c r="N47" s="3" t="s">
        <v>61</v>
      </c>
      <c r="O47" s="3" t="s">
        <v>62</v>
      </c>
    </row>
    <row r="48" customFormat="false" ht="15" hidden="false" customHeight="false" outlineLevel="0" collapsed="false">
      <c r="A48" s="14" t="s">
        <v>4534</v>
      </c>
      <c r="B48" s="14" t="s">
        <v>4594</v>
      </c>
      <c r="C48" s="14" t="s">
        <v>89</v>
      </c>
      <c r="D48" s="14" t="s">
        <v>373</v>
      </c>
      <c r="E48" s="14" t="s">
        <v>56</v>
      </c>
      <c r="F48" s="15" t="n">
        <v>195000</v>
      </c>
      <c r="G48" s="16" t="n">
        <v>0.92</v>
      </c>
      <c r="H48" s="16" t="n">
        <v>1.35</v>
      </c>
      <c r="I48" s="16" t="n">
        <v>0.761</v>
      </c>
      <c r="J48" s="16" t="n">
        <v>0.53</v>
      </c>
      <c r="K48" s="15" t="n">
        <f aca="false">ROUND(F48/100*G48*H48*I48/J48,2)</f>
        <v>3477.48</v>
      </c>
      <c r="L48" s="15" t="n">
        <v>3477.48</v>
      </c>
      <c r="M48" s="15" t="n">
        <f aca="false">L48-K48</f>
        <v>0</v>
      </c>
      <c r="N48" s="14" t="s">
        <v>61</v>
      </c>
      <c r="O48" s="14" t="s">
        <v>62</v>
      </c>
    </row>
    <row r="49" customFormat="false" ht="15" hidden="false" customHeight="false" outlineLevel="0" collapsed="false">
      <c r="A49" s="3" t="s">
        <v>4525</v>
      </c>
      <c r="B49" s="3" t="s">
        <v>4595</v>
      </c>
      <c r="C49" s="3" t="s">
        <v>117</v>
      </c>
      <c r="D49" s="3" t="s">
        <v>1773</v>
      </c>
      <c r="E49" s="3" t="s">
        <v>56</v>
      </c>
      <c r="F49" s="12" t="n">
        <v>1155000</v>
      </c>
      <c r="G49" s="13" t="n">
        <v>0.55</v>
      </c>
      <c r="H49" s="13" t="n">
        <v>0.91</v>
      </c>
      <c r="I49" s="13" t="n">
        <v>0.761</v>
      </c>
      <c r="J49" s="13" t="n">
        <v>0.53</v>
      </c>
      <c r="K49" s="12" t="n">
        <f aca="false">ROUND(F49/100*G49*H49*I49/J49,2)</f>
        <v>8300.32</v>
      </c>
      <c r="L49" s="12" t="n">
        <v>8300.32</v>
      </c>
      <c r="M49" s="12" t="n">
        <f aca="false">L49-K49</f>
        <v>0</v>
      </c>
      <c r="N49" s="3" t="s">
        <v>61</v>
      </c>
      <c r="O49" s="3" t="s">
        <v>62</v>
      </c>
    </row>
    <row r="50" customFormat="false" ht="15" hidden="false" customHeight="false" outlineLevel="0" collapsed="false">
      <c r="A50" s="14" t="s">
        <v>4540</v>
      </c>
      <c r="B50" s="14" t="s">
        <v>4596</v>
      </c>
      <c r="C50" s="14" t="s">
        <v>435</v>
      </c>
      <c r="D50" s="14" t="s">
        <v>2832</v>
      </c>
      <c r="E50" s="14" t="s">
        <v>50</v>
      </c>
      <c r="F50" s="15" t="n">
        <v>1185000</v>
      </c>
      <c r="G50" s="16" t="n">
        <v>0.8</v>
      </c>
      <c r="H50" s="16" t="n">
        <v>1.13</v>
      </c>
      <c r="I50" s="16" t="n">
        <v>0.761</v>
      </c>
      <c r="J50" s="16" t="n">
        <v>0.53</v>
      </c>
      <c r="K50" s="15" t="n">
        <f aca="false">ROUND(F50/100*G50*H50*I50/J50,2)</f>
        <v>15381.39</v>
      </c>
      <c r="L50" s="15" t="n">
        <v>15381.39</v>
      </c>
      <c r="M50" s="15" t="n">
        <f aca="false">L50-K50</f>
        <v>0</v>
      </c>
      <c r="N50" s="14" t="s">
        <v>61</v>
      </c>
      <c r="O50" s="14" t="s">
        <v>62</v>
      </c>
    </row>
    <row r="51" customFormat="false" ht="15" hidden="false" customHeight="false" outlineLevel="0" collapsed="false">
      <c r="A51" s="3" t="s">
        <v>4551</v>
      </c>
      <c r="B51" s="3" t="s">
        <v>4597</v>
      </c>
      <c r="C51" s="3" t="s">
        <v>184</v>
      </c>
      <c r="D51" s="3" t="s">
        <v>2427</v>
      </c>
      <c r="E51" s="3" t="s">
        <v>74</v>
      </c>
      <c r="F51" s="12" t="n">
        <v>455000</v>
      </c>
      <c r="G51" s="13" t="n">
        <v>0.48</v>
      </c>
      <c r="H51" s="13" t="n">
        <v>1.02</v>
      </c>
      <c r="I51" s="13" t="n">
        <v>0.761</v>
      </c>
      <c r="J51" s="13" t="n">
        <v>0.53</v>
      </c>
      <c r="K51" s="12" t="n">
        <f aca="false">ROUND(F51/100*G51*H51*I51/J51,2)</f>
        <v>3198.61</v>
      </c>
      <c r="L51" s="12" t="n">
        <v>3198.61</v>
      </c>
      <c r="M51" s="12" t="n">
        <f aca="false">L51-K51</f>
        <v>0</v>
      </c>
      <c r="N51" s="3" t="s">
        <v>61</v>
      </c>
      <c r="O51" s="3" t="s">
        <v>62</v>
      </c>
    </row>
    <row r="52" customFormat="false" ht="15" hidden="false" customHeight="false" outlineLevel="0" collapsed="false">
      <c r="A52" s="14" t="s">
        <v>4565</v>
      </c>
      <c r="B52" s="14" t="s">
        <v>4598</v>
      </c>
      <c r="C52" s="14" t="s">
        <v>117</v>
      </c>
      <c r="D52" s="14" t="s">
        <v>1033</v>
      </c>
      <c r="E52" s="14" t="s">
        <v>56</v>
      </c>
      <c r="F52" s="15" t="n">
        <v>255000</v>
      </c>
      <c r="G52" s="16" t="n">
        <v>0.75</v>
      </c>
      <c r="H52" s="16" t="n">
        <v>0.91</v>
      </c>
      <c r="I52" s="16" t="n">
        <v>0.761</v>
      </c>
      <c r="J52" s="16" t="n">
        <v>0.53</v>
      </c>
      <c r="K52" s="15" t="n">
        <f aca="false">ROUND(F52/100*G52*H52*I52/J52,2)</f>
        <v>2498.92</v>
      </c>
      <c r="L52" s="15" t="n">
        <v>2498.92</v>
      </c>
      <c r="M52" s="15" t="n">
        <f aca="false">L52-K52</f>
        <v>0</v>
      </c>
      <c r="N52" s="14" t="s">
        <v>61</v>
      </c>
      <c r="O52" s="14" t="s">
        <v>62</v>
      </c>
    </row>
    <row r="53" customFormat="false" ht="15" hidden="false" customHeight="false" outlineLevel="0" collapsed="false">
      <c r="A53" s="3" t="s">
        <v>4567</v>
      </c>
      <c r="B53" s="3" t="s">
        <v>4599</v>
      </c>
      <c r="C53" s="3" t="s">
        <v>266</v>
      </c>
      <c r="D53" s="3" t="s">
        <v>1007</v>
      </c>
      <c r="E53" s="3" t="s">
        <v>50</v>
      </c>
      <c r="F53" s="12" t="n">
        <v>1810000</v>
      </c>
      <c r="G53" s="13" t="n">
        <v>0.8</v>
      </c>
      <c r="H53" s="13" t="n">
        <v>1.1</v>
      </c>
      <c r="I53" s="13" t="n">
        <v>0.761</v>
      </c>
      <c r="J53" s="13" t="n">
        <v>0.53</v>
      </c>
      <c r="K53" s="12" t="n">
        <f aca="false">ROUND(F53/100*G53*H53*I53/J53,2)</f>
        <v>22870.2</v>
      </c>
      <c r="L53" s="12" t="n">
        <v>22870.2</v>
      </c>
      <c r="M53" s="12" t="n">
        <f aca="false">L53-K53</f>
        <v>0</v>
      </c>
      <c r="N53" s="3" t="s">
        <v>61</v>
      </c>
      <c r="O53" s="3" t="s">
        <v>62</v>
      </c>
    </row>
    <row r="54" customFormat="false" ht="15" hidden="false" customHeight="false" outlineLevel="0" collapsed="false">
      <c r="A54" s="14" t="s">
        <v>4592</v>
      </c>
      <c r="B54" s="14" t="s">
        <v>4600</v>
      </c>
      <c r="C54" s="14" t="s">
        <v>77</v>
      </c>
      <c r="D54" s="14" t="s">
        <v>3225</v>
      </c>
      <c r="E54" s="14" t="s">
        <v>50</v>
      </c>
      <c r="F54" s="15" t="n">
        <v>820000</v>
      </c>
      <c r="G54" s="16" t="n">
        <v>0.95</v>
      </c>
      <c r="H54" s="16" t="n">
        <v>1.42</v>
      </c>
      <c r="I54" s="16" t="n">
        <v>0.761</v>
      </c>
      <c r="J54" s="16" t="n">
        <v>0.53</v>
      </c>
      <c r="K54" s="15" t="n">
        <f aca="false">ROUND(F54/100*G54*H54*I54/J54,2)</f>
        <v>15883.08</v>
      </c>
      <c r="L54" s="15" t="n">
        <v>15883.07</v>
      </c>
      <c r="M54" s="15" t="n">
        <f aca="false">L54-K54</f>
        <v>-0.0100000000002183</v>
      </c>
      <c r="N54" s="14" t="s">
        <v>61</v>
      </c>
      <c r="O54" s="14" t="s">
        <v>62</v>
      </c>
    </row>
    <row r="55" customFormat="false" ht="15" hidden="false" customHeight="false" outlineLevel="0" collapsed="false">
      <c r="A55" s="3" t="s">
        <v>4578</v>
      </c>
      <c r="B55" s="3" t="s">
        <v>4601</v>
      </c>
      <c r="C55" s="3" t="s">
        <v>188</v>
      </c>
      <c r="D55" s="3" t="s">
        <v>788</v>
      </c>
      <c r="E55" s="3" t="s">
        <v>74</v>
      </c>
      <c r="F55" s="12" t="n">
        <v>415000</v>
      </c>
      <c r="G55" s="13" t="n">
        <v>0.48</v>
      </c>
      <c r="H55" s="13" t="n">
        <v>1.35</v>
      </c>
      <c r="I55" s="13" t="n">
        <v>0.761</v>
      </c>
      <c r="J55" s="13" t="n">
        <v>0.53</v>
      </c>
      <c r="K55" s="12" t="n">
        <f aca="false">ROUND(F55/100*G55*H55*I55/J55,2)</f>
        <v>3861.29</v>
      </c>
      <c r="L55" s="12" t="n">
        <v>3861.28</v>
      </c>
      <c r="M55" s="12" t="n">
        <f aca="false">L55-K55</f>
        <v>-0.00999999999976353</v>
      </c>
      <c r="N55" s="3" t="s">
        <v>61</v>
      </c>
      <c r="O55" s="3" t="s">
        <v>62</v>
      </c>
    </row>
    <row r="56" customFormat="false" ht="15" hidden="false" customHeight="false" outlineLevel="0" collapsed="false">
      <c r="A56" s="14" t="s">
        <v>4531</v>
      </c>
      <c r="B56" s="14" t="s">
        <v>4602</v>
      </c>
      <c r="C56" s="14" t="s">
        <v>892</v>
      </c>
      <c r="D56" s="14" t="s">
        <v>182</v>
      </c>
      <c r="E56" s="14" t="s">
        <v>56</v>
      </c>
      <c r="F56" s="15" t="n">
        <v>435000</v>
      </c>
      <c r="G56" s="16" t="n">
        <v>0.75</v>
      </c>
      <c r="H56" s="16" t="n">
        <v>1.08</v>
      </c>
      <c r="I56" s="16" t="n">
        <v>0.761</v>
      </c>
      <c r="J56" s="16" t="n">
        <v>0.53</v>
      </c>
      <c r="K56" s="15" t="n">
        <f aca="false">ROUND(F56/100*G56*H56*I56/J56,2)</f>
        <v>5059.21</v>
      </c>
      <c r="L56" s="15" t="n">
        <v>5059.21</v>
      </c>
      <c r="M56" s="15" t="n">
        <f aca="false">L56-K56</f>
        <v>0</v>
      </c>
      <c r="N56" s="14" t="s">
        <v>70</v>
      </c>
      <c r="O56" s="14" t="s">
        <v>52</v>
      </c>
    </row>
    <row r="57" customFormat="false" ht="15" hidden="false" customHeight="false" outlineLevel="0" collapsed="false">
      <c r="A57" s="3" t="s">
        <v>4527</v>
      </c>
      <c r="B57" s="3" t="s">
        <v>4603</v>
      </c>
      <c r="C57" s="3" t="s">
        <v>184</v>
      </c>
      <c r="D57" s="3" t="s">
        <v>199</v>
      </c>
      <c r="E57" s="3" t="s">
        <v>56</v>
      </c>
      <c r="F57" s="12" t="n">
        <v>605000</v>
      </c>
      <c r="G57" s="13" t="n">
        <v>0.65</v>
      </c>
      <c r="H57" s="13" t="n">
        <v>1.02</v>
      </c>
      <c r="I57" s="13" t="n">
        <v>0.761</v>
      </c>
      <c r="J57" s="13" t="n">
        <v>0.53</v>
      </c>
      <c r="K57" s="12" t="n">
        <f aca="false">ROUND(F57/100*G57*H57*I57/J57,2)</f>
        <v>5759.41</v>
      </c>
      <c r="L57" s="12" t="n">
        <v>5759.41</v>
      </c>
      <c r="M57" s="12" t="n">
        <f aca="false">L57-K57</f>
        <v>0</v>
      </c>
      <c r="N57" s="3" t="s">
        <v>61</v>
      </c>
      <c r="O57" s="3" t="s">
        <v>62</v>
      </c>
    </row>
    <row r="58" customFormat="false" ht="15" hidden="false" customHeight="false" outlineLevel="0" collapsed="false">
      <c r="A58" s="14" t="s">
        <v>4580</v>
      </c>
      <c r="B58" s="14" t="s">
        <v>4604</v>
      </c>
      <c r="C58" s="14" t="s">
        <v>93</v>
      </c>
      <c r="D58" s="14" t="s">
        <v>4605</v>
      </c>
      <c r="E58" s="14" t="s">
        <v>50</v>
      </c>
      <c r="F58" s="15" t="n">
        <v>660000</v>
      </c>
      <c r="G58" s="16" t="n">
        <v>0.95</v>
      </c>
      <c r="H58" s="16" t="n">
        <v>1.39</v>
      </c>
      <c r="I58" s="16" t="n">
        <v>0.761</v>
      </c>
      <c r="J58" s="16" t="n">
        <v>0.53</v>
      </c>
      <c r="K58" s="15" t="n">
        <f aca="false">ROUND(F58/100*G58*H58*I58/J58,2)</f>
        <v>12513.86</v>
      </c>
      <c r="L58" s="15" t="n">
        <v>12513.85</v>
      </c>
      <c r="M58" s="15" t="n">
        <f aca="false">L58-K58</f>
        <v>-0.0100000000002183</v>
      </c>
      <c r="N58" s="14" t="s">
        <v>51</v>
      </c>
      <c r="O58" s="14" t="s">
        <v>52</v>
      </c>
    </row>
    <row r="59" customFormat="false" ht="15" hidden="false" customHeight="false" outlineLevel="0" collapsed="false">
      <c r="A59" s="3" t="s">
        <v>4534</v>
      </c>
      <c r="B59" s="3" t="s">
        <v>4606</v>
      </c>
      <c r="C59" s="3" t="s">
        <v>68</v>
      </c>
      <c r="D59" s="3" t="s">
        <v>308</v>
      </c>
      <c r="E59" s="3" t="s">
        <v>50</v>
      </c>
      <c r="F59" s="12" t="n">
        <v>1315000</v>
      </c>
      <c r="G59" s="13" t="n">
        <v>0.8</v>
      </c>
      <c r="H59" s="13" t="n">
        <v>1.38</v>
      </c>
      <c r="I59" s="13" t="n">
        <v>0.761</v>
      </c>
      <c r="J59" s="13" t="n">
        <v>0.53</v>
      </c>
      <c r="K59" s="12" t="n">
        <f aca="false">ROUND(F59/100*G59*H59*I59/J59,2)</f>
        <v>20845.08</v>
      </c>
      <c r="L59" s="12" t="n">
        <v>20845.08</v>
      </c>
      <c r="M59" s="12" t="n">
        <f aca="false">L59-K59</f>
        <v>0</v>
      </c>
      <c r="N59" s="3" t="s">
        <v>70</v>
      </c>
      <c r="O59" s="3" t="s">
        <v>52</v>
      </c>
    </row>
    <row r="60" customFormat="false" ht="15" hidden="false" customHeight="false" outlineLevel="0" collapsed="false">
      <c r="A60" s="14" t="s">
        <v>4582</v>
      </c>
      <c r="B60" s="14" t="s">
        <v>4607</v>
      </c>
      <c r="C60" s="14" t="s">
        <v>136</v>
      </c>
      <c r="D60" s="14" t="s">
        <v>385</v>
      </c>
      <c r="E60" s="14" t="s">
        <v>56</v>
      </c>
      <c r="F60" s="15" t="n">
        <v>280000</v>
      </c>
      <c r="G60" s="16" t="n">
        <v>0.75</v>
      </c>
      <c r="H60" s="16" t="n">
        <v>1.32</v>
      </c>
      <c r="I60" s="16" t="n">
        <v>0.761</v>
      </c>
      <c r="J60" s="16" t="n">
        <v>0.53</v>
      </c>
      <c r="K60" s="15" t="n">
        <f aca="false">ROUND(F60/100*G60*H60*I60/J60,2)</f>
        <v>3980.17</v>
      </c>
      <c r="L60" s="15" t="n">
        <v>3980.17</v>
      </c>
      <c r="M60" s="15" t="n">
        <f aca="false">L60-K60</f>
        <v>0</v>
      </c>
      <c r="N60" s="14" t="s">
        <v>61</v>
      </c>
      <c r="O60" s="14" t="s">
        <v>62</v>
      </c>
    </row>
    <row r="61" customFormat="false" ht="15" hidden="false" customHeight="false" outlineLevel="0" collapsed="false">
      <c r="A61" s="3" t="s">
        <v>4519</v>
      </c>
      <c r="B61" s="3" t="s">
        <v>4608</v>
      </c>
      <c r="C61" s="3" t="s">
        <v>892</v>
      </c>
      <c r="D61" s="3" t="s">
        <v>60</v>
      </c>
      <c r="E61" s="3" t="s">
        <v>56</v>
      </c>
      <c r="F61" s="12" t="n">
        <v>1275000</v>
      </c>
      <c r="G61" s="13" t="n">
        <v>0.55</v>
      </c>
      <c r="H61" s="13" t="n">
        <v>1.08</v>
      </c>
      <c r="I61" s="13" t="n">
        <v>0.761</v>
      </c>
      <c r="J61" s="13" t="n">
        <v>0.53</v>
      </c>
      <c r="K61" s="12" t="n">
        <f aca="false">ROUND(F61/100*G61*H61*I61/J61,2)</f>
        <v>10874.4</v>
      </c>
      <c r="L61" s="12" t="n">
        <v>10874.4</v>
      </c>
      <c r="M61" s="12" t="n">
        <f aca="false">L61-K61</f>
        <v>0</v>
      </c>
      <c r="N61" s="3" t="s">
        <v>51</v>
      </c>
      <c r="O61" s="3" t="s">
        <v>52</v>
      </c>
    </row>
    <row r="62" customFormat="false" ht="15" hidden="false" customHeight="false" outlineLevel="0" collapsed="false">
      <c r="A62" s="14" t="s">
        <v>4567</v>
      </c>
      <c r="B62" s="14" t="s">
        <v>4609</v>
      </c>
      <c r="C62" s="14" t="s">
        <v>48</v>
      </c>
      <c r="D62" s="14" t="s">
        <v>3512</v>
      </c>
      <c r="E62" s="14" t="s">
        <v>74</v>
      </c>
      <c r="F62" s="15" t="n">
        <v>555000</v>
      </c>
      <c r="G62" s="16" t="n">
        <v>0.43</v>
      </c>
      <c r="H62" s="16" t="n">
        <v>1.28</v>
      </c>
      <c r="I62" s="16" t="n">
        <v>0.761</v>
      </c>
      <c r="J62" s="16" t="n">
        <v>0.53</v>
      </c>
      <c r="K62" s="15" t="n">
        <f aca="false">ROUND(F62/100*G62*H62*I62/J62,2)</f>
        <v>4386.12</v>
      </c>
      <c r="L62" s="15" t="n">
        <v>4386.11</v>
      </c>
      <c r="M62" s="15" t="n">
        <f aca="false">L62-K62</f>
        <v>-0.0100000000002183</v>
      </c>
      <c r="N62" s="14" t="s">
        <v>51</v>
      </c>
      <c r="O62" s="14" t="s">
        <v>52</v>
      </c>
    </row>
    <row r="63" customFormat="false" ht="15" hidden="false" customHeight="false" outlineLevel="0" collapsed="false">
      <c r="A63" s="3" t="s">
        <v>4523</v>
      </c>
      <c r="B63" s="3" t="s">
        <v>4610</v>
      </c>
      <c r="C63" s="3" t="s">
        <v>169</v>
      </c>
      <c r="D63" s="3" t="s">
        <v>4611</v>
      </c>
      <c r="E63" s="3" t="s">
        <v>74</v>
      </c>
      <c r="F63" s="12" t="n">
        <v>495000</v>
      </c>
      <c r="G63" s="13" t="n">
        <v>0.48</v>
      </c>
      <c r="H63" s="13" t="n">
        <v>1.07</v>
      </c>
      <c r="I63" s="13" t="n">
        <v>0.761</v>
      </c>
      <c r="J63" s="13" t="n">
        <v>0.53</v>
      </c>
      <c r="K63" s="12" t="n">
        <f aca="false">ROUND(F63/100*G63*H63*I63/J63,2)</f>
        <v>3650.39</v>
      </c>
      <c r="L63" s="12" t="n">
        <v>3650.39</v>
      </c>
      <c r="M63" s="12" t="n">
        <f aca="false">L63-K63</f>
        <v>0</v>
      </c>
      <c r="N63" s="3" t="s">
        <v>61</v>
      </c>
      <c r="O63" s="3" t="s">
        <v>62</v>
      </c>
    </row>
    <row r="64" customFormat="false" ht="15" hidden="false" customHeight="false" outlineLevel="0" collapsed="false">
      <c r="A64" s="14" t="s">
        <v>4542</v>
      </c>
      <c r="B64" s="14" t="s">
        <v>4612</v>
      </c>
      <c r="C64" s="14" t="s">
        <v>89</v>
      </c>
      <c r="D64" s="14" t="s">
        <v>745</v>
      </c>
      <c r="E64" s="14" t="s">
        <v>56</v>
      </c>
      <c r="F64" s="15" t="n">
        <v>275000</v>
      </c>
      <c r="G64" s="16" t="n">
        <v>0.75</v>
      </c>
      <c r="H64" s="16" t="n">
        <v>1.35</v>
      </c>
      <c r="I64" s="16" t="n">
        <v>0.761</v>
      </c>
      <c r="J64" s="16" t="n">
        <v>0.53</v>
      </c>
      <c r="K64" s="15" t="n">
        <f aca="false">ROUND(F64/100*G64*H64*I64/J64,2)</f>
        <v>3997.94</v>
      </c>
      <c r="L64" s="15" t="n">
        <v>3997.94</v>
      </c>
      <c r="M64" s="15" t="n">
        <f aca="false">L64-K64</f>
        <v>0</v>
      </c>
      <c r="N64" s="14" t="s">
        <v>51</v>
      </c>
      <c r="O64" s="14" t="s">
        <v>52</v>
      </c>
    </row>
    <row r="65" customFormat="false" ht="15" hidden="false" customHeight="false" outlineLevel="0" collapsed="false">
      <c r="A65" s="3" t="s">
        <v>4592</v>
      </c>
      <c r="B65" s="3" t="s">
        <v>4613</v>
      </c>
      <c r="C65" s="3" t="s">
        <v>188</v>
      </c>
      <c r="D65" s="3" t="s">
        <v>659</v>
      </c>
      <c r="E65" s="3" t="s">
        <v>56</v>
      </c>
      <c r="F65" s="12" t="n">
        <v>455000</v>
      </c>
      <c r="G65" s="13" t="n">
        <v>0.75</v>
      </c>
      <c r="H65" s="13" t="n">
        <v>1.35</v>
      </c>
      <c r="I65" s="13" t="n">
        <v>0.761</v>
      </c>
      <c r="J65" s="13" t="n">
        <v>0.53</v>
      </c>
      <c r="K65" s="12" t="n">
        <f aca="false">ROUND(F65/100*G65*H65*I65/J65,2)</f>
        <v>6614.78</v>
      </c>
      <c r="L65" s="12" t="n">
        <v>6614.78</v>
      </c>
      <c r="M65" s="12" t="n">
        <f aca="false">L65-K65</f>
        <v>0</v>
      </c>
      <c r="N65" s="3" t="s">
        <v>61</v>
      </c>
      <c r="O65" s="3" t="s">
        <v>62</v>
      </c>
    </row>
    <row r="66" customFormat="false" ht="15" hidden="false" customHeight="false" outlineLevel="0" collapsed="false">
      <c r="A66" s="14" t="s">
        <v>4580</v>
      </c>
      <c r="B66" s="14" t="s">
        <v>4614</v>
      </c>
      <c r="C66" s="14" t="s">
        <v>892</v>
      </c>
      <c r="D66" s="14" t="s">
        <v>2515</v>
      </c>
      <c r="E66" s="14" t="s">
        <v>74</v>
      </c>
      <c r="F66" s="15" t="n">
        <v>210000</v>
      </c>
      <c r="G66" s="16" t="n">
        <v>0.57</v>
      </c>
      <c r="H66" s="16" t="n">
        <v>1.08</v>
      </c>
      <c r="I66" s="16" t="n">
        <v>0.761</v>
      </c>
      <c r="J66" s="16" t="n">
        <v>0.53</v>
      </c>
      <c r="K66" s="15" t="n">
        <f aca="false">ROUND(F66/100*G66*H66*I66/J66,2)</f>
        <v>1856.21</v>
      </c>
      <c r="L66" s="15" t="n">
        <v>1856.21</v>
      </c>
      <c r="M66" s="15" t="n">
        <f aca="false">L66-K66</f>
        <v>0</v>
      </c>
      <c r="N66" s="14" t="s">
        <v>61</v>
      </c>
      <c r="O66" s="14" t="s">
        <v>62</v>
      </c>
    </row>
    <row r="67" customFormat="false" ht="15" hidden="false" customHeight="false" outlineLevel="0" collapsed="false">
      <c r="A67" s="3" t="s">
        <v>4615</v>
      </c>
      <c r="B67" s="3" t="s">
        <v>4616</v>
      </c>
      <c r="C67" s="3" t="s">
        <v>114</v>
      </c>
      <c r="D67" s="3" t="s">
        <v>846</v>
      </c>
      <c r="E67" s="3" t="s">
        <v>56</v>
      </c>
      <c r="F67" s="12" t="n">
        <v>625000</v>
      </c>
      <c r="G67" s="13" t="n">
        <v>0.65</v>
      </c>
      <c r="H67" s="13" t="n">
        <v>1.36</v>
      </c>
      <c r="I67" s="13" t="n">
        <v>0.761</v>
      </c>
      <c r="J67" s="13" t="n">
        <v>0.53</v>
      </c>
      <c r="K67" s="12" t="n">
        <f aca="false">ROUND(F67/100*G67*H67*I67/J67,2)</f>
        <v>7933.07</v>
      </c>
      <c r="L67" s="12" t="n">
        <v>7933.07</v>
      </c>
      <c r="M67" s="12" t="n">
        <f aca="false">L67-K67</f>
        <v>0</v>
      </c>
      <c r="N67" s="3" t="s">
        <v>61</v>
      </c>
      <c r="O67" s="3" t="s">
        <v>62</v>
      </c>
    </row>
    <row r="68" customFormat="false" ht="15" hidden="false" customHeight="false" outlineLevel="0" collapsed="false">
      <c r="A68" s="14" t="s">
        <v>4617</v>
      </c>
      <c r="B68" s="14" t="s">
        <v>4618</v>
      </c>
      <c r="C68" s="14" t="s">
        <v>120</v>
      </c>
      <c r="D68" s="14" t="s">
        <v>225</v>
      </c>
      <c r="E68" s="14" t="s">
        <v>56</v>
      </c>
      <c r="F68" s="15" t="n">
        <v>150000</v>
      </c>
      <c r="G68" s="16" t="n">
        <v>0.92</v>
      </c>
      <c r="H68" s="16" t="n">
        <v>1.15</v>
      </c>
      <c r="I68" s="16" t="n">
        <v>0.761</v>
      </c>
      <c r="J68" s="16" t="n">
        <v>0.53</v>
      </c>
      <c r="K68" s="15" t="n">
        <f aca="false">ROUND(F68/100*G68*H68*I68/J68,2)</f>
        <v>2278.69</v>
      </c>
      <c r="L68" s="15" t="n">
        <v>2278.69</v>
      </c>
      <c r="M68" s="15" t="n">
        <f aca="false">L68-K68</f>
        <v>0</v>
      </c>
      <c r="N68" s="14" t="s">
        <v>61</v>
      </c>
      <c r="O68" s="14" t="s">
        <v>62</v>
      </c>
    </row>
    <row r="69" customFormat="false" ht="15" hidden="false" customHeight="false" outlineLevel="0" collapsed="false">
      <c r="A69" s="3" t="s">
        <v>4619</v>
      </c>
      <c r="B69" s="3" t="s">
        <v>4620</v>
      </c>
      <c r="C69" s="3" t="s">
        <v>326</v>
      </c>
      <c r="D69" s="3" t="s">
        <v>1583</v>
      </c>
      <c r="E69" s="3" t="s">
        <v>56</v>
      </c>
      <c r="F69" s="12" t="n">
        <v>720000</v>
      </c>
      <c r="G69" s="13" t="n">
        <v>0.65</v>
      </c>
      <c r="H69" s="13" t="n">
        <v>1.12</v>
      </c>
      <c r="I69" s="13" t="n">
        <v>0.761</v>
      </c>
      <c r="J69" s="13" t="n">
        <v>0.53</v>
      </c>
      <c r="K69" s="12" t="n">
        <f aca="false">ROUND(F69/100*G69*H69*I69/J69,2)</f>
        <v>7526.15</v>
      </c>
      <c r="L69" s="12" t="n">
        <v>7526.15</v>
      </c>
      <c r="M69" s="12" t="n">
        <f aca="false">L69-K69</f>
        <v>0</v>
      </c>
      <c r="N69" s="3" t="s">
        <v>61</v>
      </c>
      <c r="O69" s="3" t="s">
        <v>62</v>
      </c>
    </row>
    <row r="70" customFormat="false" ht="15" hidden="false" customHeight="false" outlineLevel="0" collapsed="false">
      <c r="A70" s="14" t="s">
        <v>4563</v>
      </c>
      <c r="B70" s="14" t="s">
        <v>4621</v>
      </c>
      <c r="C70" s="14" t="s">
        <v>230</v>
      </c>
      <c r="D70" s="14" t="s">
        <v>1188</v>
      </c>
      <c r="E70" s="14" t="s">
        <v>56</v>
      </c>
      <c r="F70" s="15" t="n">
        <v>680000</v>
      </c>
      <c r="G70" s="16" t="n">
        <v>0.65</v>
      </c>
      <c r="H70" s="16" t="n">
        <v>1.09</v>
      </c>
      <c r="I70" s="16" t="n">
        <v>0.761</v>
      </c>
      <c r="J70" s="16" t="n">
        <v>0.53</v>
      </c>
      <c r="K70" s="15" t="n">
        <f aca="false">ROUND(F70/100*G70*H70*I70/J70,2)</f>
        <v>6917.63</v>
      </c>
      <c r="L70" s="15" t="n">
        <v>6917.63</v>
      </c>
      <c r="M70" s="15" t="n">
        <f aca="false">L70-K70</f>
        <v>0</v>
      </c>
      <c r="N70" s="14" t="s">
        <v>61</v>
      </c>
      <c r="O70" s="14" t="s">
        <v>62</v>
      </c>
    </row>
    <row r="71" customFormat="false" ht="15" hidden="false" customHeight="false" outlineLevel="0" collapsed="false">
      <c r="A71" s="3" t="s">
        <v>4527</v>
      </c>
      <c r="B71" s="3" t="s">
        <v>4622</v>
      </c>
      <c r="C71" s="3" t="s">
        <v>184</v>
      </c>
      <c r="D71" s="3" t="s">
        <v>303</v>
      </c>
      <c r="E71" s="3" t="s">
        <v>56</v>
      </c>
      <c r="F71" s="12" t="n">
        <v>565000</v>
      </c>
      <c r="G71" s="13" t="n">
        <v>0.65</v>
      </c>
      <c r="H71" s="13" t="n">
        <v>1.02</v>
      </c>
      <c r="I71" s="13" t="n">
        <v>0.761</v>
      </c>
      <c r="J71" s="13" t="n">
        <v>0.53</v>
      </c>
      <c r="K71" s="12" t="n">
        <f aca="false">ROUND(F71/100*G71*H71*I71/J71,2)</f>
        <v>5378.62</v>
      </c>
      <c r="L71" s="12" t="n">
        <v>5378.62</v>
      </c>
      <c r="M71" s="12" t="n">
        <f aca="false">L71-K71</f>
        <v>0</v>
      </c>
      <c r="N71" s="3" t="s">
        <v>51</v>
      </c>
      <c r="O71" s="3" t="s">
        <v>52</v>
      </c>
    </row>
    <row r="72" customFormat="false" ht="15" hidden="false" customHeight="false" outlineLevel="0" collapsed="false">
      <c r="A72" s="14" t="s">
        <v>4567</v>
      </c>
      <c r="B72" s="14" t="s">
        <v>4623</v>
      </c>
      <c r="C72" s="14" t="s">
        <v>188</v>
      </c>
      <c r="D72" s="14" t="s">
        <v>989</v>
      </c>
      <c r="E72" s="14" t="s">
        <v>56</v>
      </c>
      <c r="F72" s="15" t="n">
        <v>1170000</v>
      </c>
      <c r="G72" s="16" t="n">
        <v>0.55</v>
      </c>
      <c r="H72" s="16" t="n">
        <v>1.35</v>
      </c>
      <c r="I72" s="16" t="n">
        <v>0.761</v>
      </c>
      <c r="J72" s="16" t="n">
        <v>0.53</v>
      </c>
      <c r="K72" s="15" t="n">
        <f aca="false">ROUND(F72/100*G72*H72*I72/J72,2)</f>
        <v>12473.58</v>
      </c>
      <c r="L72" s="15" t="n">
        <v>12473.58</v>
      </c>
      <c r="M72" s="15" t="n">
        <f aca="false">L72-K72</f>
        <v>0</v>
      </c>
      <c r="N72" s="14" t="s">
        <v>70</v>
      </c>
      <c r="O72" s="14" t="s">
        <v>52</v>
      </c>
    </row>
    <row r="73" customFormat="false" ht="15" hidden="false" customHeight="false" outlineLevel="0" collapsed="false">
      <c r="A73" s="3" t="s">
        <v>4531</v>
      </c>
      <c r="B73" s="3" t="s">
        <v>4624</v>
      </c>
      <c r="C73" s="3" t="s">
        <v>193</v>
      </c>
      <c r="D73" s="3" t="s">
        <v>885</v>
      </c>
      <c r="E73" s="3" t="s">
        <v>56</v>
      </c>
      <c r="F73" s="12" t="n">
        <v>485000</v>
      </c>
      <c r="G73" s="13" t="n">
        <v>0.75</v>
      </c>
      <c r="H73" s="13" t="n">
        <v>1.25</v>
      </c>
      <c r="I73" s="13" t="n">
        <v>0.761</v>
      </c>
      <c r="J73" s="13" t="n">
        <v>0.53</v>
      </c>
      <c r="K73" s="12" t="n">
        <f aca="false">ROUND(F73/100*G73*H73*I73/J73,2)</f>
        <v>6528.63</v>
      </c>
      <c r="L73" s="12" t="n">
        <v>6528.63</v>
      </c>
      <c r="M73" s="12" t="n">
        <f aca="false">L73-K73</f>
        <v>0</v>
      </c>
      <c r="N73" s="3" t="s">
        <v>61</v>
      </c>
      <c r="O73" s="3" t="s">
        <v>62</v>
      </c>
    </row>
    <row r="74" customFormat="false" ht="15" hidden="false" customHeight="false" outlineLevel="0" collapsed="false">
      <c r="A74" s="14" t="s">
        <v>4523</v>
      </c>
      <c r="B74" s="14" t="s">
        <v>4625</v>
      </c>
      <c r="C74" s="14" t="s">
        <v>169</v>
      </c>
      <c r="D74" s="14" t="s">
        <v>2331</v>
      </c>
      <c r="E74" s="14" t="s">
        <v>133</v>
      </c>
      <c r="F74" s="15" t="n">
        <v>495000</v>
      </c>
      <c r="G74" s="16" t="n">
        <v>0.42</v>
      </c>
      <c r="H74" s="16" t="n">
        <v>1.07</v>
      </c>
      <c r="I74" s="16" t="n">
        <v>0.761</v>
      </c>
      <c r="J74" s="16" t="n">
        <v>0.53</v>
      </c>
      <c r="K74" s="15" t="n">
        <f aca="false">ROUND(F74/100*G74*H74*I74/J74,2)</f>
        <v>3194.09</v>
      </c>
      <c r="L74" s="15" t="n">
        <v>3194.09</v>
      </c>
      <c r="M74" s="15" t="n">
        <f aca="false">L74-K74</f>
        <v>0</v>
      </c>
      <c r="N74" s="14" t="s">
        <v>61</v>
      </c>
      <c r="O74" s="14" t="s">
        <v>62</v>
      </c>
    </row>
    <row r="75" customFormat="false" ht="15" hidden="false" customHeight="false" outlineLevel="0" collapsed="false">
      <c r="A75" s="3" t="s">
        <v>4582</v>
      </c>
      <c r="B75" s="3" t="s">
        <v>4626</v>
      </c>
      <c r="C75" s="3" t="s">
        <v>417</v>
      </c>
      <c r="D75" s="3" t="s">
        <v>542</v>
      </c>
      <c r="E75" s="3" t="s">
        <v>50</v>
      </c>
      <c r="F75" s="12" t="n">
        <v>415000</v>
      </c>
      <c r="G75" s="13" t="n">
        <v>1.15</v>
      </c>
      <c r="H75" s="13" t="n">
        <v>1.24</v>
      </c>
      <c r="I75" s="13" t="n">
        <v>0.761</v>
      </c>
      <c r="J75" s="13" t="n">
        <v>0.53</v>
      </c>
      <c r="K75" s="12" t="n">
        <f aca="false">ROUND(F75/100*G75*H75*I75/J75,2)</f>
        <v>8497.21</v>
      </c>
      <c r="L75" s="12" t="n">
        <v>8497.21</v>
      </c>
      <c r="M75" s="12" t="n">
        <f aca="false">L75-K75</f>
        <v>0</v>
      </c>
      <c r="N75" s="3" t="s">
        <v>61</v>
      </c>
      <c r="O75" s="3" t="s">
        <v>62</v>
      </c>
    </row>
    <row r="76" customFormat="false" ht="15" hidden="false" customHeight="false" outlineLevel="0" collapsed="false">
      <c r="A76" s="14" t="s">
        <v>4567</v>
      </c>
      <c r="B76" s="14" t="s">
        <v>4627</v>
      </c>
      <c r="C76" s="14" t="s">
        <v>462</v>
      </c>
      <c r="D76" s="14" t="s">
        <v>240</v>
      </c>
      <c r="E76" s="14" t="s">
        <v>56</v>
      </c>
      <c r="F76" s="15" t="n">
        <v>445000</v>
      </c>
      <c r="G76" s="16" t="n">
        <v>0.75</v>
      </c>
      <c r="H76" s="16" t="n">
        <v>1.34</v>
      </c>
      <c r="I76" s="16" t="n">
        <v>0.761</v>
      </c>
      <c r="J76" s="16" t="n">
        <v>0.53</v>
      </c>
      <c r="K76" s="15" t="n">
        <f aca="false">ROUND(F76/100*G76*H76*I76/J76,2)</f>
        <v>6421.48</v>
      </c>
      <c r="L76" s="15" t="n">
        <v>6421.48</v>
      </c>
      <c r="M76" s="15" t="n">
        <f aca="false">L76-K76</f>
        <v>0</v>
      </c>
      <c r="N76" s="14" t="s">
        <v>61</v>
      </c>
      <c r="O76" s="14" t="s">
        <v>62</v>
      </c>
    </row>
    <row r="77" customFormat="false" ht="15" hidden="false" customHeight="false" outlineLevel="0" collapsed="false">
      <c r="A77" s="3" t="s">
        <v>4519</v>
      </c>
      <c r="B77" s="3" t="s">
        <v>4628</v>
      </c>
      <c r="C77" s="3" t="s">
        <v>892</v>
      </c>
      <c r="D77" s="3" t="s">
        <v>1012</v>
      </c>
      <c r="E77" s="3" t="s">
        <v>56</v>
      </c>
      <c r="F77" s="12" t="n">
        <v>395000</v>
      </c>
      <c r="G77" s="13" t="n">
        <v>0.75</v>
      </c>
      <c r="H77" s="13" t="n">
        <v>1.08</v>
      </c>
      <c r="I77" s="13" t="n">
        <v>0.761</v>
      </c>
      <c r="J77" s="13" t="n">
        <v>0.53</v>
      </c>
      <c r="K77" s="12" t="n">
        <f aca="false">ROUND(F77/100*G77*H77*I77/J77,2)</f>
        <v>4594</v>
      </c>
      <c r="L77" s="12" t="n">
        <v>4594</v>
      </c>
      <c r="M77" s="12" t="n">
        <f aca="false">L77-K77</f>
        <v>0</v>
      </c>
      <c r="N77" s="3" t="s">
        <v>61</v>
      </c>
      <c r="O77" s="3" t="s">
        <v>62</v>
      </c>
    </row>
    <row r="78" customFormat="false" ht="15" hidden="false" customHeight="false" outlineLevel="0" collapsed="false">
      <c r="A78" s="14" t="s">
        <v>4557</v>
      </c>
      <c r="B78" s="14" t="s">
        <v>4629</v>
      </c>
      <c r="C78" s="14" t="s">
        <v>136</v>
      </c>
      <c r="D78" s="14" t="s">
        <v>2225</v>
      </c>
      <c r="E78" s="14" t="s">
        <v>56</v>
      </c>
      <c r="F78" s="15" t="n">
        <v>1155000</v>
      </c>
      <c r="G78" s="16" t="n">
        <v>0.55</v>
      </c>
      <c r="H78" s="16" t="n">
        <v>1.32</v>
      </c>
      <c r="I78" s="16" t="n">
        <v>0.761</v>
      </c>
      <c r="J78" s="16" t="n">
        <v>0.53</v>
      </c>
      <c r="K78" s="15" t="n">
        <f aca="false">ROUND(F78/100*G78*H78*I78/J78,2)</f>
        <v>12040.03</v>
      </c>
      <c r="L78" s="15" t="n">
        <v>12040.02</v>
      </c>
      <c r="M78" s="15" t="n">
        <f aca="false">L78-K78</f>
        <v>-0.0100000000002183</v>
      </c>
      <c r="N78" s="14" t="s">
        <v>61</v>
      </c>
      <c r="O78" s="14" t="s">
        <v>62</v>
      </c>
    </row>
    <row r="79" customFormat="false" ht="15" hidden="false" customHeight="false" outlineLevel="0" collapsed="false">
      <c r="A79" s="3" t="s">
        <v>4529</v>
      </c>
      <c r="B79" s="3" t="s">
        <v>4630</v>
      </c>
      <c r="C79" s="3" t="s">
        <v>142</v>
      </c>
      <c r="D79" s="3" t="s">
        <v>199</v>
      </c>
      <c r="E79" s="3" t="s">
        <v>56</v>
      </c>
      <c r="F79" s="12" t="n">
        <v>740000</v>
      </c>
      <c r="G79" s="13" t="n">
        <v>0.65</v>
      </c>
      <c r="H79" s="13" t="n">
        <v>1.22</v>
      </c>
      <c r="I79" s="13" t="n">
        <v>0.761</v>
      </c>
      <c r="J79" s="13" t="n">
        <v>0.53</v>
      </c>
      <c r="K79" s="12" t="n">
        <f aca="false">ROUND(F79/100*G79*H79*I79/J79,2)</f>
        <v>8425.85</v>
      </c>
      <c r="L79" s="12" t="n">
        <v>8425.85</v>
      </c>
      <c r="M79" s="12" t="n">
        <f aca="false">L79-K79</f>
        <v>0</v>
      </c>
      <c r="N79" s="3" t="s">
        <v>61</v>
      </c>
      <c r="O79" s="3" t="s">
        <v>62</v>
      </c>
    </row>
    <row r="80" customFormat="false" ht="15" hidden="false" customHeight="false" outlineLevel="0" collapsed="false">
      <c r="A80" s="14" t="s">
        <v>4538</v>
      </c>
      <c r="B80" s="14" t="s">
        <v>4631</v>
      </c>
      <c r="C80" s="14" t="s">
        <v>108</v>
      </c>
      <c r="D80" s="14" t="s">
        <v>1332</v>
      </c>
      <c r="E80" s="14" t="s">
        <v>50</v>
      </c>
      <c r="F80" s="15" t="n">
        <v>665000</v>
      </c>
      <c r="G80" s="16" t="n">
        <v>0.95</v>
      </c>
      <c r="H80" s="16" t="n">
        <v>0.93</v>
      </c>
      <c r="I80" s="16" t="n">
        <v>0.761</v>
      </c>
      <c r="J80" s="16" t="n">
        <v>0.53</v>
      </c>
      <c r="K80" s="15" t="n">
        <f aca="false">ROUND(F80/100*G80*H80*I80/J80,2)</f>
        <v>8436.01</v>
      </c>
      <c r="L80" s="15" t="n">
        <v>8436</v>
      </c>
      <c r="M80" s="15" t="n">
        <f aca="false">L80-K80</f>
        <v>-0.0100000000002183</v>
      </c>
      <c r="N80" s="14" t="s">
        <v>61</v>
      </c>
      <c r="O80" s="14" t="s">
        <v>62</v>
      </c>
    </row>
    <row r="81" customFormat="false" ht="15" hidden="false" customHeight="false" outlineLevel="0" collapsed="false">
      <c r="A81" s="3" t="s">
        <v>4542</v>
      </c>
      <c r="B81" s="3" t="s">
        <v>4632</v>
      </c>
      <c r="C81" s="3" t="s">
        <v>409</v>
      </c>
      <c r="D81" s="3" t="s">
        <v>561</v>
      </c>
      <c r="E81" s="3" t="s">
        <v>157</v>
      </c>
      <c r="F81" s="12" t="n">
        <v>1670000</v>
      </c>
      <c r="G81" s="13" t="n">
        <v>0.68</v>
      </c>
      <c r="H81" s="13" t="n">
        <v>1.3</v>
      </c>
      <c r="I81" s="13" t="n">
        <v>0.761</v>
      </c>
      <c r="J81" s="13" t="n">
        <v>0.53</v>
      </c>
      <c r="K81" s="12" t="n">
        <f aca="false">ROUND(F81/100*G81*H81*I81/J81,2)</f>
        <v>21197.15</v>
      </c>
      <c r="L81" s="12" t="n">
        <v>21197.15</v>
      </c>
      <c r="M81" s="12" t="n">
        <f aca="false">L81-K81</f>
        <v>0</v>
      </c>
      <c r="N81" s="3" t="s">
        <v>70</v>
      </c>
      <c r="O81" s="3" t="s">
        <v>52</v>
      </c>
    </row>
    <row r="82" customFormat="false" ht="15" hidden="false" customHeight="false" outlineLevel="0" collapsed="false">
      <c r="A82" s="14" t="s">
        <v>4547</v>
      </c>
      <c r="B82" s="14" t="s">
        <v>4633</v>
      </c>
      <c r="C82" s="14" t="s">
        <v>48</v>
      </c>
      <c r="D82" s="14" t="s">
        <v>2507</v>
      </c>
      <c r="E82" s="14" t="s">
        <v>74</v>
      </c>
      <c r="F82" s="15" t="n">
        <v>1000000</v>
      </c>
      <c r="G82" s="16" t="n">
        <v>0.38</v>
      </c>
      <c r="H82" s="16" t="n">
        <v>1.28</v>
      </c>
      <c r="I82" s="16" t="n">
        <v>0.761</v>
      </c>
      <c r="J82" s="16" t="n">
        <v>0.53</v>
      </c>
      <c r="K82" s="15" t="n">
        <f aca="false">ROUND(F82/100*G82*H82*I82/J82,2)</f>
        <v>6983.97</v>
      </c>
      <c r="L82" s="15" t="n">
        <v>6983.97</v>
      </c>
      <c r="M82" s="15" t="n">
        <f aca="false">L82-K82</f>
        <v>0</v>
      </c>
      <c r="N82" s="14" t="s">
        <v>61</v>
      </c>
      <c r="O82" s="14" t="s">
        <v>62</v>
      </c>
    </row>
    <row r="83" customFormat="false" ht="15" hidden="false" customHeight="false" outlineLevel="0" collapsed="false">
      <c r="A83" s="3" t="s">
        <v>4538</v>
      </c>
      <c r="B83" s="3" t="s">
        <v>4634</v>
      </c>
      <c r="C83" s="3" t="s">
        <v>93</v>
      </c>
      <c r="D83" s="3" t="s">
        <v>2530</v>
      </c>
      <c r="E83" s="3" t="s">
        <v>74</v>
      </c>
      <c r="F83" s="12" t="n">
        <v>1800000</v>
      </c>
      <c r="G83" s="13" t="n">
        <v>0.38</v>
      </c>
      <c r="H83" s="13" t="n">
        <v>1.39</v>
      </c>
      <c r="I83" s="13" t="n">
        <v>0.761</v>
      </c>
      <c r="J83" s="13" t="n">
        <v>0.53</v>
      </c>
      <c r="K83" s="12" t="n">
        <f aca="false">ROUND(F83/100*G83*H83*I83/J83,2)</f>
        <v>13651.48</v>
      </c>
      <c r="L83" s="12" t="n">
        <v>13651.48</v>
      </c>
      <c r="M83" s="12" t="n">
        <f aca="false">L83-K83</f>
        <v>0</v>
      </c>
      <c r="N83" s="3" t="s">
        <v>61</v>
      </c>
      <c r="O83" s="3" t="s">
        <v>62</v>
      </c>
    </row>
    <row r="84" customFormat="false" ht="15" hidden="false" customHeight="false" outlineLevel="0" collapsed="false">
      <c r="A84" s="14" t="s">
        <v>4525</v>
      </c>
      <c r="B84" s="14" t="s">
        <v>4635</v>
      </c>
      <c r="C84" s="14" t="s">
        <v>217</v>
      </c>
      <c r="D84" s="14" t="s">
        <v>998</v>
      </c>
      <c r="E84" s="14" t="s">
        <v>56</v>
      </c>
      <c r="F84" s="15" t="n">
        <v>700000</v>
      </c>
      <c r="G84" s="16" t="n">
        <v>0.65</v>
      </c>
      <c r="H84" s="16" t="n">
        <v>1.3</v>
      </c>
      <c r="I84" s="16" t="n">
        <v>0.761</v>
      </c>
      <c r="J84" s="16" t="n">
        <v>0.53</v>
      </c>
      <c r="K84" s="15" t="n">
        <f aca="false">ROUND(F84/100*G84*H84*I84/J84,2)</f>
        <v>8493.05</v>
      </c>
      <c r="L84" s="15" t="n">
        <v>8493.05</v>
      </c>
      <c r="M84" s="15" t="n">
        <f aca="false">L84-K84</f>
        <v>0</v>
      </c>
      <c r="N84" s="14" t="s">
        <v>51</v>
      </c>
      <c r="O84" s="14" t="s">
        <v>52</v>
      </c>
    </row>
    <row r="85" customFormat="false" ht="15" hidden="false" customHeight="false" outlineLevel="0" collapsed="false">
      <c r="A85" s="3" t="s">
        <v>4527</v>
      </c>
      <c r="B85" s="3" t="s">
        <v>4636</v>
      </c>
      <c r="C85" s="3" t="s">
        <v>105</v>
      </c>
      <c r="D85" s="3" t="s">
        <v>1743</v>
      </c>
      <c r="E85" s="3" t="s">
        <v>56</v>
      </c>
      <c r="F85" s="12" t="n">
        <v>650000</v>
      </c>
      <c r="G85" s="13" t="n">
        <v>0.65</v>
      </c>
      <c r="H85" s="13" t="n">
        <v>0.99</v>
      </c>
      <c r="I85" s="13" t="n">
        <v>0.761</v>
      </c>
      <c r="J85" s="13" t="n">
        <v>0.53</v>
      </c>
      <c r="K85" s="12" t="n">
        <f aca="false">ROUND(F85/100*G85*H85*I85/J85,2)</f>
        <v>6005.8</v>
      </c>
      <c r="L85" s="12" t="n">
        <v>6005.8</v>
      </c>
      <c r="M85" s="12" t="n">
        <f aca="false">L85-K85</f>
        <v>0</v>
      </c>
      <c r="N85" s="3" t="s">
        <v>70</v>
      </c>
      <c r="O85" s="3" t="s">
        <v>52</v>
      </c>
    </row>
    <row r="86" customFormat="false" ht="15" hidden="false" customHeight="false" outlineLevel="0" collapsed="false">
      <c r="A86" s="14" t="s">
        <v>4553</v>
      </c>
      <c r="B86" s="14" t="s">
        <v>4637</v>
      </c>
      <c r="C86" s="14" t="s">
        <v>237</v>
      </c>
      <c r="D86" s="14" t="s">
        <v>1206</v>
      </c>
      <c r="E86" s="14" t="s">
        <v>56</v>
      </c>
      <c r="F86" s="15" t="n">
        <v>240000</v>
      </c>
      <c r="G86" s="16" t="n">
        <v>0.92</v>
      </c>
      <c r="H86" s="16" t="n">
        <v>1.33</v>
      </c>
      <c r="I86" s="16" t="n">
        <v>0.761</v>
      </c>
      <c r="J86" s="16" t="n">
        <v>0.53</v>
      </c>
      <c r="K86" s="15" t="n">
        <f aca="false">ROUND(F86/100*G86*H86*I86/J86,2)</f>
        <v>4216.57</v>
      </c>
      <c r="L86" s="15" t="n">
        <v>4216.57</v>
      </c>
      <c r="M86" s="15" t="n">
        <f aca="false">L86-K86</f>
        <v>0</v>
      </c>
      <c r="N86" s="14" t="s">
        <v>61</v>
      </c>
      <c r="O86" s="14" t="s">
        <v>62</v>
      </c>
    </row>
    <row r="87" customFormat="false" ht="15" hidden="false" customHeight="false" outlineLevel="0" collapsed="false">
      <c r="A87" s="3" t="s">
        <v>4523</v>
      </c>
      <c r="B87" s="3" t="s">
        <v>4638</v>
      </c>
      <c r="C87" s="3" t="s">
        <v>892</v>
      </c>
      <c r="D87" s="3" t="s">
        <v>1182</v>
      </c>
      <c r="E87" s="3" t="s">
        <v>50</v>
      </c>
      <c r="F87" s="12" t="n">
        <v>805000</v>
      </c>
      <c r="G87" s="13" t="n">
        <v>0.95</v>
      </c>
      <c r="H87" s="13" t="n">
        <v>1.08</v>
      </c>
      <c r="I87" s="13" t="n">
        <v>0.761</v>
      </c>
      <c r="J87" s="13" t="n">
        <v>0.53</v>
      </c>
      <c r="K87" s="12" t="n">
        <f aca="false">ROUND(F87/100*G87*H87*I87/J87,2)</f>
        <v>11859.11</v>
      </c>
      <c r="L87" s="12" t="n">
        <v>11859.1</v>
      </c>
      <c r="M87" s="12" t="n">
        <f aca="false">L87-K87</f>
        <v>-0.0100000000002183</v>
      </c>
      <c r="N87" s="3" t="s">
        <v>61</v>
      </c>
      <c r="O87" s="3" t="s">
        <v>62</v>
      </c>
    </row>
    <row r="88" customFormat="false" ht="15" hidden="false" customHeight="false" outlineLevel="0" collapsed="false">
      <c r="A88" s="14" t="s">
        <v>4538</v>
      </c>
      <c r="B88" s="14" t="s">
        <v>4639</v>
      </c>
      <c r="C88" s="14" t="s">
        <v>117</v>
      </c>
      <c r="D88" s="14" t="s">
        <v>4640</v>
      </c>
      <c r="E88" s="14" t="s">
        <v>50</v>
      </c>
      <c r="F88" s="15" t="n">
        <v>840000</v>
      </c>
      <c r="G88" s="16" t="n">
        <v>0.95</v>
      </c>
      <c r="H88" s="16" t="n">
        <v>0.91</v>
      </c>
      <c r="I88" s="16" t="n">
        <v>0.761</v>
      </c>
      <c r="J88" s="16" t="n">
        <v>0.53</v>
      </c>
      <c r="K88" s="15" t="n">
        <f aca="false">ROUND(F88/100*G88*H88*I88/J88,2)</f>
        <v>10426.85</v>
      </c>
      <c r="L88" s="15" t="n">
        <v>10426.85</v>
      </c>
      <c r="M88" s="15" t="n">
        <f aca="false">L88-K88</f>
        <v>0</v>
      </c>
      <c r="N88" s="14" t="s">
        <v>61</v>
      </c>
      <c r="O88" s="14" t="s">
        <v>62</v>
      </c>
    </row>
    <row r="89" customFormat="false" ht="15" hidden="false" customHeight="false" outlineLevel="0" collapsed="false">
      <c r="A89" s="3" t="s">
        <v>4619</v>
      </c>
      <c r="B89" s="3" t="s">
        <v>4641</v>
      </c>
      <c r="C89" s="3" t="s">
        <v>193</v>
      </c>
      <c r="D89" s="3" t="s">
        <v>137</v>
      </c>
      <c r="E89" s="3" t="s">
        <v>56</v>
      </c>
      <c r="F89" s="12" t="n">
        <v>315000</v>
      </c>
      <c r="G89" s="13" t="n">
        <v>0.75</v>
      </c>
      <c r="H89" s="13" t="n">
        <v>1.25</v>
      </c>
      <c r="I89" s="13" t="n">
        <v>0.761</v>
      </c>
      <c r="J89" s="13" t="n">
        <v>0.53</v>
      </c>
      <c r="K89" s="12" t="n">
        <f aca="false">ROUND(F89/100*G89*H89*I89/J89,2)</f>
        <v>4240.24</v>
      </c>
      <c r="L89" s="12" t="n">
        <v>4240.24</v>
      </c>
      <c r="M89" s="12" t="n">
        <f aca="false">L89-K89</f>
        <v>0</v>
      </c>
      <c r="N89" s="3" t="s">
        <v>61</v>
      </c>
      <c r="O89" s="3" t="s">
        <v>62</v>
      </c>
    </row>
    <row r="90" customFormat="false" ht="15" hidden="false" customHeight="false" outlineLevel="0" collapsed="false">
      <c r="A90" s="14" t="s">
        <v>4527</v>
      </c>
      <c r="B90" s="14" t="s">
        <v>4642</v>
      </c>
      <c r="C90" s="14" t="s">
        <v>224</v>
      </c>
      <c r="D90" s="14" t="s">
        <v>634</v>
      </c>
      <c r="E90" s="14" t="s">
        <v>56</v>
      </c>
      <c r="F90" s="15" t="n">
        <v>1030000</v>
      </c>
      <c r="G90" s="16" t="n">
        <v>0.55</v>
      </c>
      <c r="H90" s="16" t="n">
        <v>1.1</v>
      </c>
      <c r="I90" s="16" t="n">
        <v>0.761</v>
      </c>
      <c r="J90" s="16" t="n">
        <v>0.53</v>
      </c>
      <c r="K90" s="15" t="n">
        <f aca="false">ROUND(F90/100*G90*H90*I90/J90,2)</f>
        <v>8947.49</v>
      </c>
      <c r="L90" s="15" t="n">
        <v>8947.5</v>
      </c>
      <c r="M90" s="15" t="n">
        <f aca="false">L90-K90</f>
        <v>0.0100000000002183</v>
      </c>
      <c r="N90" s="14" t="s">
        <v>61</v>
      </c>
      <c r="O90" s="14" t="s">
        <v>62</v>
      </c>
    </row>
    <row r="91" customFormat="false" ht="15" hidden="false" customHeight="false" outlineLevel="0" collapsed="false">
      <c r="A91" s="3" t="s">
        <v>4538</v>
      </c>
      <c r="B91" s="3" t="s">
        <v>4643</v>
      </c>
      <c r="C91" s="3" t="s">
        <v>64</v>
      </c>
      <c r="D91" s="3" t="s">
        <v>1255</v>
      </c>
      <c r="E91" s="3" t="s">
        <v>50</v>
      </c>
      <c r="F91" s="12" t="n">
        <v>1235000</v>
      </c>
      <c r="G91" s="13" t="n">
        <v>0.8</v>
      </c>
      <c r="H91" s="13" t="n">
        <v>1.17</v>
      </c>
      <c r="I91" s="13" t="n">
        <v>0.761</v>
      </c>
      <c r="J91" s="13" t="n">
        <v>0.53</v>
      </c>
      <c r="K91" s="12" t="n">
        <f aca="false">ROUND(F91/100*G91*H91*I91/J91,2)</f>
        <v>16597.84</v>
      </c>
      <c r="L91" s="12" t="n">
        <v>16597.84</v>
      </c>
      <c r="M91" s="12" t="n">
        <f aca="false">L91-K91</f>
        <v>0</v>
      </c>
      <c r="N91" s="3" t="s">
        <v>61</v>
      </c>
      <c r="O91" s="3" t="s">
        <v>62</v>
      </c>
    </row>
    <row r="92" customFormat="false" ht="15" hidden="false" customHeight="false" outlineLevel="0" collapsed="false">
      <c r="A92" s="14" t="s">
        <v>4644</v>
      </c>
      <c r="B92" s="14" t="s">
        <v>4645</v>
      </c>
      <c r="C92" s="14" t="s">
        <v>462</v>
      </c>
      <c r="D92" s="14" t="s">
        <v>2929</v>
      </c>
      <c r="E92" s="14" t="s">
        <v>56</v>
      </c>
      <c r="F92" s="15" t="n">
        <v>480000</v>
      </c>
      <c r="G92" s="16" t="n">
        <v>0.75</v>
      </c>
      <c r="H92" s="16" t="n">
        <v>1.34</v>
      </c>
      <c r="I92" s="16" t="n">
        <v>0.761</v>
      </c>
      <c r="J92" s="16" t="n">
        <v>0.53</v>
      </c>
      <c r="K92" s="15" t="n">
        <f aca="false">ROUND(F92/100*G92*H92*I92/J92,2)</f>
        <v>6926.54</v>
      </c>
      <c r="L92" s="15" t="n">
        <v>6926.54</v>
      </c>
      <c r="M92" s="15" t="n">
        <f aca="false">L92-K92</f>
        <v>0</v>
      </c>
      <c r="N92" s="14" t="s">
        <v>61</v>
      </c>
      <c r="O92" s="14" t="s">
        <v>62</v>
      </c>
    </row>
    <row r="93" customFormat="false" ht="15" hidden="false" customHeight="false" outlineLevel="0" collapsed="false">
      <c r="A93" s="3" t="s">
        <v>4521</v>
      </c>
      <c r="B93" s="3" t="s">
        <v>4646</v>
      </c>
      <c r="C93" s="3" t="s">
        <v>278</v>
      </c>
      <c r="D93" s="3" t="s">
        <v>4443</v>
      </c>
      <c r="E93" s="3" t="s">
        <v>74</v>
      </c>
      <c r="F93" s="12" t="n">
        <v>765000</v>
      </c>
      <c r="G93" s="13" t="n">
        <v>0.43</v>
      </c>
      <c r="H93" s="13" t="n">
        <v>0.98</v>
      </c>
      <c r="I93" s="13" t="n">
        <v>0.761</v>
      </c>
      <c r="J93" s="13" t="n">
        <v>0.53</v>
      </c>
      <c r="K93" s="12" t="n">
        <f aca="false">ROUND(F93/100*G93*H93*I93/J93,2)</f>
        <v>4628.76</v>
      </c>
      <c r="L93" s="12" t="n">
        <v>4628.76</v>
      </c>
      <c r="M93" s="12" t="n">
        <f aca="false">L93-K93</f>
        <v>0</v>
      </c>
      <c r="N93" s="3" t="s">
        <v>61</v>
      </c>
      <c r="O93" s="3" t="s">
        <v>62</v>
      </c>
    </row>
    <row r="94" customFormat="false" ht="15" hidden="false" customHeight="false" outlineLevel="0" collapsed="false">
      <c r="A94" s="14" t="s">
        <v>4619</v>
      </c>
      <c r="B94" s="14" t="s">
        <v>4647</v>
      </c>
      <c r="C94" s="14" t="s">
        <v>184</v>
      </c>
      <c r="D94" s="14" t="s">
        <v>1560</v>
      </c>
      <c r="E94" s="14" t="s">
        <v>56</v>
      </c>
      <c r="F94" s="15" t="n">
        <v>1090000</v>
      </c>
      <c r="G94" s="16" t="n">
        <v>0.55</v>
      </c>
      <c r="H94" s="16" t="n">
        <v>1.02</v>
      </c>
      <c r="I94" s="16" t="n">
        <v>0.761</v>
      </c>
      <c r="J94" s="16" t="n">
        <v>0.53</v>
      </c>
      <c r="K94" s="15" t="n">
        <f aca="false">ROUND(F94/100*G94*H94*I94/J94,2)</f>
        <v>8780.07</v>
      </c>
      <c r="L94" s="15" t="n">
        <v>8780.08</v>
      </c>
      <c r="M94" s="15" t="n">
        <f aca="false">L94-K94</f>
        <v>0.0100000000002183</v>
      </c>
      <c r="N94" s="14" t="s">
        <v>61</v>
      </c>
      <c r="O94" s="14" t="s">
        <v>62</v>
      </c>
    </row>
    <row r="95" customFormat="false" ht="15" hidden="false" customHeight="false" outlineLevel="0" collapsed="false">
      <c r="A95" s="3" t="s">
        <v>4540</v>
      </c>
      <c r="B95" s="3" t="s">
        <v>4648</v>
      </c>
      <c r="C95" s="3" t="s">
        <v>193</v>
      </c>
      <c r="D95" s="3" t="s">
        <v>2081</v>
      </c>
      <c r="E95" s="3" t="s">
        <v>56</v>
      </c>
      <c r="F95" s="12" t="n">
        <v>1060000</v>
      </c>
      <c r="G95" s="13" t="n">
        <v>0.55</v>
      </c>
      <c r="H95" s="13" t="n">
        <v>1.25</v>
      </c>
      <c r="I95" s="13" t="n">
        <v>0.761</v>
      </c>
      <c r="J95" s="13" t="n">
        <v>0.53</v>
      </c>
      <c r="K95" s="12" t="n">
        <f aca="false">ROUND(F95/100*G95*H95*I95/J95,2)</f>
        <v>10463.75</v>
      </c>
      <c r="L95" s="12" t="n">
        <v>10463.75</v>
      </c>
      <c r="M95" s="12" t="n">
        <f aca="false">L95-K95</f>
        <v>0</v>
      </c>
      <c r="N95" s="3" t="s">
        <v>70</v>
      </c>
      <c r="O95" s="3" t="s">
        <v>52</v>
      </c>
    </row>
    <row r="96" customFormat="false" ht="15" hidden="false" customHeight="false" outlineLevel="0" collapsed="false">
      <c r="A96" s="14" t="s">
        <v>4542</v>
      </c>
      <c r="B96" s="14" t="s">
        <v>4649</v>
      </c>
      <c r="C96" s="14" t="s">
        <v>159</v>
      </c>
      <c r="D96" s="14" t="s">
        <v>857</v>
      </c>
      <c r="E96" s="14" t="s">
        <v>56</v>
      </c>
      <c r="F96" s="15" t="n">
        <v>705000</v>
      </c>
      <c r="G96" s="16" t="n">
        <v>0.65</v>
      </c>
      <c r="H96" s="16" t="n">
        <v>1.15</v>
      </c>
      <c r="I96" s="16" t="n">
        <v>0.761</v>
      </c>
      <c r="J96" s="16" t="n">
        <v>0.53</v>
      </c>
      <c r="K96" s="15" t="n">
        <f aca="false">ROUND(F96/100*G96*H96*I96/J96,2)</f>
        <v>7566.75</v>
      </c>
      <c r="L96" s="15" t="n">
        <v>7566.74</v>
      </c>
      <c r="M96" s="15" t="n">
        <f aca="false">L96-K96</f>
        <v>-0.0100000000002183</v>
      </c>
      <c r="N96" s="14" t="s">
        <v>51</v>
      </c>
      <c r="O96" s="14" t="s">
        <v>52</v>
      </c>
    </row>
    <row r="97" customFormat="false" ht="15" hidden="false" customHeight="false" outlineLevel="0" collapsed="false">
      <c r="A97" s="3" t="s">
        <v>4551</v>
      </c>
      <c r="B97" s="3" t="s">
        <v>4650</v>
      </c>
      <c r="C97" s="3" t="s">
        <v>217</v>
      </c>
      <c r="D97" s="3" t="s">
        <v>115</v>
      </c>
      <c r="E97" s="3" t="s">
        <v>56</v>
      </c>
      <c r="F97" s="12" t="n">
        <v>1950000</v>
      </c>
      <c r="G97" s="13" t="n">
        <v>0.55</v>
      </c>
      <c r="H97" s="13" t="n">
        <v>1.3</v>
      </c>
      <c r="I97" s="13" t="n">
        <v>0.761</v>
      </c>
      <c r="J97" s="13" t="n">
        <v>0.53</v>
      </c>
      <c r="K97" s="12" t="n">
        <f aca="false">ROUND(F97/100*G97*H97*I97/J97,2)</f>
        <v>20019.33</v>
      </c>
      <c r="L97" s="12" t="n">
        <v>20019.32</v>
      </c>
      <c r="M97" s="12" t="n">
        <f aca="false">L97-K97</f>
        <v>-0.0100000000020373</v>
      </c>
      <c r="N97" s="3" t="s">
        <v>70</v>
      </c>
      <c r="O97" s="3" t="s">
        <v>52</v>
      </c>
    </row>
    <row r="98" customFormat="false" ht="15" hidden="false" customHeight="false" outlineLevel="0" collapsed="false">
      <c r="A98" s="14" t="s">
        <v>4565</v>
      </c>
      <c r="B98" s="14" t="s">
        <v>4651</v>
      </c>
      <c r="C98" s="14" t="s">
        <v>89</v>
      </c>
      <c r="D98" s="14" t="s">
        <v>3305</v>
      </c>
      <c r="E98" s="14" t="s">
        <v>50</v>
      </c>
      <c r="F98" s="15" t="n">
        <v>1130000</v>
      </c>
      <c r="G98" s="16" t="n">
        <v>0.8</v>
      </c>
      <c r="H98" s="16" t="n">
        <v>1.35</v>
      </c>
      <c r="I98" s="16" t="n">
        <v>0.761</v>
      </c>
      <c r="J98" s="16" t="n">
        <v>0.53</v>
      </c>
      <c r="K98" s="15" t="n">
        <f aca="false">ROUND(F98/100*G98*H98*I98/J98,2)</f>
        <v>17523.1</v>
      </c>
      <c r="L98" s="15" t="n">
        <v>17523.11</v>
      </c>
      <c r="M98" s="15" t="n">
        <f aca="false">L98-K98</f>
        <v>0.0100000000020373</v>
      </c>
      <c r="N98" s="14" t="s">
        <v>61</v>
      </c>
      <c r="O98" s="14" t="s">
        <v>62</v>
      </c>
    </row>
    <row r="99" customFormat="false" ht="15" hidden="false" customHeight="false" outlineLevel="0" collapsed="false">
      <c r="A99" s="3" t="s">
        <v>4540</v>
      </c>
      <c r="B99" s="3" t="s">
        <v>4652</v>
      </c>
      <c r="C99" s="3" t="s">
        <v>152</v>
      </c>
      <c r="D99" s="3" t="s">
        <v>484</v>
      </c>
      <c r="E99" s="3" t="s">
        <v>133</v>
      </c>
      <c r="F99" s="12" t="n">
        <v>1275000</v>
      </c>
      <c r="G99" s="13" t="n">
        <v>0.34</v>
      </c>
      <c r="H99" s="13" t="n">
        <v>1</v>
      </c>
      <c r="I99" s="13" t="n">
        <v>0.761</v>
      </c>
      <c r="J99" s="13" t="n">
        <v>0.53</v>
      </c>
      <c r="K99" s="12" t="n">
        <f aca="false">ROUND(F99/100*G99*H99*I99/J99,2)</f>
        <v>6224.41</v>
      </c>
      <c r="L99" s="12" t="n">
        <v>6224.41</v>
      </c>
      <c r="M99" s="12" t="n">
        <f aca="false">L99-K99</f>
        <v>0</v>
      </c>
      <c r="N99" s="3" t="s">
        <v>61</v>
      </c>
      <c r="O99" s="3" t="s">
        <v>62</v>
      </c>
    </row>
    <row r="100" customFormat="false" ht="15" hidden="false" customHeight="false" outlineLevel="0" collapsed="false">
      <c r="A100" s="14" t="s">
        <v>4578</v>
      </c>
      <c r="B100" s="14" t="s">
        <v>4653</v>
      </c>
      <c r="C100" s="14" t="s">
        <v>184</v>
      </c>
      <c r="D100" s="14" t="s">
        <v>1609</v>
      </c>
      <c r="E100" s="14" t="s">
        <v>56</v>
      </c>
      <c r="F100" s="15" t="n">
        <v>500000</v>
      </c>
      <c r="G100" s="16" t="n">
        <v>0.65</v>
      </c>
      <c r="H100" s="16" t="n">
        <v>1.02</v>
      </c>
      <c r="I100" s="16" t="n">
        <v>0.761</v>
      </c>
      <c r="J100" s="16" t="n">
        <v>0.53</v>
      </c>
      <c r="K100" s="15" t="n">
        <f aca="false">ROUND(F100/100*G100*H100*I100/J100,2)</f>
        <v>4759.84</v>
      </c>
      <c r="L100" s="15" t="n">
        <v>4759.84</v>
      </c>
      <c r="M100" s="15" t="n">
        <f aca="false">L100-K100</f>
        <v>0</v>
      </c>
      <c r="N100" s="14" t="s">
        <v>61</v>
      </c>
      <c r="O100" s="14" t="s">
        <v>62</v>
      </c>
    </row>
    <row r="101" customFormat="false" ht="15" hidden="false" customHeight="false" outlineLevel="0" collapsed="false">
      <c r="A101" s="3" t="s">
        <v>4592</v>
      </c>
      <c r="B101" s="3" t="s">
        <v>4654</v>
      </c>
      <c r="C101" s="3" t="s">
        <v>93</v>
      </c>
      <c r="D101" s="3" t="s">
        <v>1168</v>
      </c>
      <c r="E101" s="3" t="s">
        <v>56</v>
      </c>
      <c r="F101" s="12" t="n">
        <v>680000</v>
      </c>
      <c r="G101" s="13" t="n">
        <v>0.65</v>
      </c>
      <c r="H101" s="13" t="n">
        <v>1.39</v>
      </c>
      <c r="I101" s="13" t="n">
        <v>0.761</v>
      </c>
      <c r="J101" s="13" t="n">
        <v>0.53</v>
      </c>
      <c r="K101" s="12" t="n">
        <f aca="false">ROUND(F101/100*G101*H101*I101/J101,2)</f>
        <v>8821.57</v>
      </c>
      <c r="L101" s="12" t="n">
        <v>8821.57</v>
      </c>
      <c r="M101" s="12" t="n">
        <f aca="false">L101-K101</f>
        <v>0</v>
      </c>
      <c r="N101" s="3" t="s">
        <v>51</v>
      </c>
      <c r="O101" s="3" t="s">
        <v>52</v>
      </c>
    </row>
    <row r="102" customFormat="false" ht="15" hidden="false" customHeight="false" outlineLevel="0" collapsed="false">
      <c r="A102" s="14" t="s">
        <v>4615</v>
      </c>
      <c r="B102" s="14" t="s">
        <v>4655</v>
      </c>
      <c r="C102" s="14" t="s">
        <v>152</v>
      </c>
      <c r="D102" s="14" t="s">
        <v>1321</v>
      </c>
      <c r="E102" s="14" t="s">
        <v>56</v>
      </c>
      <c r="F102" s="15" t="n">
        <v>515000</v>
      </c>
      <c r="G102" s="16" t="n">
        <v>0.65</v>
      </c>
      <c r="H102" s="16" t="n">
        <v>1</v>
      </c>
      <c r="I102" s="16" t="n">
        <v>0.761</v>
      </c>
      <c r="J102" s="16" t="n">
        <v>0.53</v>
      </c>
      <c r="K102" s="15" t="n">
        <f aca="false">ROUND(F102/100*G102*H102*I102/J102,2)</f>
        <v>4806.5</v>
      </c>
      <c r="L102" s="15" t="n">
        <v>4806.51</v>
      </c>
      <c r="M102" s="15" t="n">
        <f aca="false">L102-K102</f>
        <v>0.0100000000002183</v>
      </c>
      <c r="N102" s="14" t="s">
        <v>61</v>
      </c>
      <c r="O102" s="14" t="s">
        <v>62</v>
      </c>
    </row>
    <row r="103" customFormat="false" ht="15" hidden="false" customHeight="false" outlineLevel="0" collapsed="false">
      <c r="A103" s="3" t="s">
        <v>4578</v>
      </c>
      <c r="B103" s="3" t="s">
        <v>4656</v>
      </c>
      <c r="C103" s="3" t="s">
        <v>64</v>
      </c>
      <c r="D103" s="3" t="s">
        <v>3227</v>
      </c>
      <c r="E103" s="3" t="s">
        <v>56</v>
      </c>
      <c r="F103" s="12" t="n">
        <v>1200000</v>
      </c>
      <c r="G103" s="13" t="n">
        <v>0.55</v>
      </c>
      <c r="H103" s="13" t="n">
        <v>1.17</v>
      </c>
      <c r="I103" s="13" t="n">
        <v>0.761</v>
      </c>
      <c r="J103" s="13" t="n">
        <v>0.53</v>
      </c>
      <c r="K103" s="12" t="n">
        <f aca="false">ROUND(F103/100*G103*H103*I103/J103,2)</f>
        <v>11087.63</v>
      </c>
      <c r="L103" s="12" t="n">
        <v>11087.63</v>
      </c>
      <c r="M103" s="12" t="n">
        <f aca="false">L103-K103</f>
        <v>0</v>
      </c>
      <c r="N103" s="3" t="s">
        <v>61</v>
      </c>
      <c r="O103" s="3" t="s">
        <v>62</v>
      </c>
    </row>
    <row r="104" customFormat="false" ht="15" hidden="false" customHeight="false" outlineLevel="0" collapsed="false">
      <c r="A104" s="14" t="s">
        <v>4582</v>
      </c>
      <c r="B104" s="14" t="s">
        <v>4657</v>
      </c>
      <c r="C104" s="14" t="s">
        <v>210</v>
      </c>
      <c r="D104" s="14" t="s">
        <v>717</v>
      </c>
      <c r="E104" s="14" t="s">
        <v>56</v>
      </c>
      <c r="F104" s="15" t="n">
        <v>945000</v>
      </c>
      <c r="G104" s="16" t="n">
        <v>0.65</v>
      </c>
      <c r="H104" s="16" t="n">
        <v>1.21</v>
      </c>
      <c r="I104" s="16" t="n">
        <v>0.761</v>
      </c>
      <c r="J104" s="16" t="n">
        <v>0.53</v>
      </c>
      <c r="K104" s="15" t="n">
        <f aca="false">ROUND(F104/100*G104*H104*I104/J104,2)</f>
        <v>10671.84</v>
      </c>
      <c r="L104" s="15" t="n">
        <v>10671.84</v>
      </c>
      <c r="M104" s="15" t="n">
        <f aca="false">L104-K104</f>
        <v>0</v>
      </c>
      <c r="N104" s="14" t="s">
        <v>61</v>
      </c>
      <c r="O104" s="14" t="s">
        <v>62</v>
      </c>
    </row>
    <row r="105" customFormat="false" ht="15" hidden="false" customHeight="false" outlineLevel="0" collapsed="false">
      <c r="A105" s="3" t="s">
        <v>4658</v>
      </c>
      <c r="B105" s="3" t="s">
        <v>4659</v>
      </c>
      <c r="C105" s="3" t="s">
        <v>217</v>
      </c>
      <c r="D105" s="3" t="s">
        <v>1163</v>
      </c>
      <c r="E105" s="3" t="s">
        <v>50</v>
      </c>
      <c r="F105" s="12" t="n">
        <v>1525000</v>
      </c>
      <c r="G105" s="13" t="n">
        <v>0.8</v>
      </c>
      <c r="H105" s="13" t="n">
        <v>1.3</v>
      </c>
      <c r="I105" s="13" t="n">
        <v>0.761</v>
      </c>
      <c r="J105" s="13" t="n">
        <v>0.53</v>
      </c>
      <c r="K105" s="12" t="n">
        <f aca="false">ROUND(F105/100*G105*H105*I105/J105,2)</f>
        <v>22772.57</v>
      </c>
      <c r="L105" s="12" t="n">
        <v>22772.57</v>
      </c>
      <c r="M105" s="12" t="n">
        <f aca="false">L105-K105</f>
        <v>0</v>
      </c>
      <c r="N105" s="3" t="s">
        <v>61</v>
      </c>
      <c r="O105" s="3" t="s">
        <v>62</v>
      </c>
    </row>
    <row r="106" customFormat="false" ht="15" hidden="false" customHeight="false" outlineLevel="0" collapsed="false">
      <c r="A106" s="14" t="s">
        <v>4563</v>
      </c>
      <c r="B106" s="14" t="s">
        <v>4660</v>
      </c>
      <c r="C106" s="14" t="s">
        <v>892</v>
      </c>
      <c r="D106" s="14" t="s">
        <v>709</v>
      </c>
      <c r="E106" s="14" t="s">
        <v>56</v>
      </c>
      <c r="F106" s="15" t="n">
        <v>450000</v>
      </c>
      <c r="G106" s="16" t="n">
        <v>0.75</v>
      </c>
      <c r="H106" s="16" t="n">
        <v>1.08</v>
      </c>
      <c r="I106" s="16" t="n">
        <v>0.761</v>
      </c>
      <c r="J106" s="16" t="n">
        <v>0.53</v>
      </c>
      <c r="K106" s="15" t="n">
        <f aca="false">ROUND(F106/100*G106*H106*I106/J106,2)</f>
        <v>5233.67</v>
      </c>
      <c r="L106" s="15" t="n">
        <v>5233.67</v>
      </c>
      <c r="M106" s="15" t="n">
        <f aca="false">L106-K106</f>
        <v>0</v>
      </c>
      <c r="N106" s="14" t="s">
        <v>70</v>
      </c>
      <c r="O106" s="14" t="s">
        <v>52</v>
      </c>
    </row>
    <row r="107" customFormat="false" ht="15" hidden="false" customHeight="false" outlineLevel="0" collapsed="false">
      <c r="A107" s="3" t="s">
        <v>4617</v>
      </c>
      <c r="B107" s="3" t="s">
        <v>4661</v>
      </c>
      <c r="C107" s="3" t="s">
        <v>105</v>
      </c>
      <c r="D107" s="3" t="s">
        <v>498</v>
      </c>
      <c r="E107" s="3" t="s">
        <v>56</v>
      </c>
      <c r="F107" s="12" t="n">
        <v>495000</v>
      </c>
      <c r="G107" s="13" t="n">
        <v>0.75</v>
      </c>
      <c r="H107" s="13" t="n">
        <v>0.99</v>
      </c>
      <c r="I107" s="13" t="n">
        <v>0.761</v>
      </c>
      <c r="J107" s="13" t="n">
        <v>0.53</v>
      </c>
      <c r="K107" s="12" t="n">
        <f aca="false">ROUND(F107/100*G107*H107*I107/J107,2)</f>
        <v>5277.28</v>
      </c>
      <c r="L107" s="12" t="n">
        <v>5277.28</v>
      </c>
      <c r="M107" s="12" t="n">
        <f aca="false">L107-K107</f>
        <v>0</v>
      </c>
      <c r="N107" s="3" t="s">
        <v>61</v>
      </c>
      <c r="O107" s="3" t="s">
        <v>62</v>
      </c>
    </row>
    <row r="108" customFormat="false" ht="15" hidden="false" customHeight="false" outlineLevel="0" collapsed="false">
      <c r="A108" s="14" t="s">
        <v>4658</v>
      </c>
      <c r="B108" s="14" t="s">
        <v>4662</v>
      </c>
      <c r="C108" s="14" t="s">
        <v>89</v>
      </c>
      <c r="D108" s="14" t="s">
        <v>3093</v>
      </c>
      <c r="E108" s="14" t="s">
        <v>50</v>
      </c>
      <c r="F108" s="15" t="n">
        <v>380000</v>
      </c>
      <c r="G108" s="16" t="n">
        <v>1.15</v>
      </c>
      <c r="H108" s="16" t="n">
        <v>1.35</v>
      </c>
      <c r="I108" s="16" t="n">
        <v>0.761</v>
      </c>
      <c r="J108" s="16" t="n">
        <v>0.53</v>
      </c>
      <c r="K108" s="15" t="n">
        <f aca="false">ROUND(F108/100*G108*H108*I108/J108,2)</f>
        <v>8470.79</v>
      </c>
      <c r="L108" s="15" t="n">
        <v>8470.79</v>
      </c>
      <c r="M108" s="15" t="n">
        <f aca="false">L108-K108</f>
        <v>0</v>
      </c>
      <c r="N108" s="14" t="s">
        <v>61</v>
      </c>
      <c r="O108" s="14" t="s">
        <v>62</v>
      </c>
    </row>
    <row r="109" customFormat="false" ht="15" hidden="false" customHeight="false" outlineLevel="0" collapsed="false">
      <c r="A109" s="3" t="s">
        <v>4540</v>
      </c>
      <c r="B109" s="3" t="s">
        <v>4663</v>
      </c>
      <c r="C109" s="3" t="s">
        <v>136</v>
      </c>
      <c r="D109" s="3" t="s">
        <v>612</v>
      </c>
      <c r="E109" s="3" t="s">
        <v>74</v>
      </c>
      <c r="F109" s="12" t="n">
        <v>440000</v>
      </c>
      <c r="G109" s="13" t="n">
        <v>0.48</v>
      </c>
      <c r="H109" s="13" t="n">
        <v>1.32</v>
      </c>
      <c r="I109" s="13" t="n">
        <v>0.761</v>
      </c>
      <c r="J109" s="13" t="n">
        <v>0.53</v>
      </c>
      <c r="K109" s="12" t="n">
        <f aca="false">ROUND(F109/100*G109*H109*I109/J109,2)</f>
        <v>4002.92</v>
      </c>
      <c r="L109" s="12" t="n">
        <v>4002.92</v>
      </c>
      <c r="M109" s="12" t="n">
        <f aca="false">L109-K109</f>
        <v>0</v>
      </c>
      <c r="N109" s="3" t="s">
        <v>61</v>
      </c>
      <c r="O109" s="3" t="s">
        <v>62</v>
      </c>
    </row>
    <row r="110" customFormat="false" ht="15" hidden="false" customHeight="false" outlineLevel="0" collapsed="false">
      <c r="A110" s="14" t="s">
        <v>4557</v>
      </c>
      <c r="B110" s="14" t="s">
        <v>4664</v>
      </c>
      <c r="C110" s="14" t="s">
        <v>117</v>
      </c>
      <c r="D110" s="14" t="s">
        <v>231</v>
      </c>
      <c r="E110" s="14" t="s">
        <v>56</v>
      </c>
      <c r="F110" s="15" t="n">
        <v>275000</v>
      </c>
      <c r="G110" s="16" t="n">
        <v>0.75</v>
      </c>
      <c r="H110" s="16" t="n">
        <v>0.91</v>
      </c>
      <c r="I110" s="16" t="n">
        <v>0.761</v>
      </c>
      <c r="J110" s="16" t="n">
        <v>0.53</v>
      </c>
      <c r="K110" s="15" t="n">
        <f aca="false">ROUND(F110/100*G110*H110*I110/J110,2)</f>
        <v>2694.91</v>
      </c>
      <c r="L110" s="15" t="n">
        <v>2694.91</v>
      </c>
      <c r="M110" s="15" t="n">
        <f aca="false">L110-K110</f>
        <v>0</v>
      </c>
      <c r="N110" s="14" t="s">
        <v>51</v>
      </c>
      <c r="O110" s="14" t="s">
        <v>52</v>
      </c>
    </row>
    <row r="111" customFormat="false" ht="15" hidden="false" customHeight="false" outlineLevel="0" collapsed="false">
      <c r="A111" s="3" t="s">
        <v>4615</v>
      </c>
      <c r="B111" s="3" t="s">
        <v>4665</v>
      </c>
      <c r="C111" s="3" t="s">
        <v>224</v>
      </c>
      <c r="D111" s="3" t="s">
        <v>2017</v>
      </c>
      <c r="E111" s="3" t="s">
        <v>50</v>
      </c>
      <c r="F111" s="12" t="n">
        <v>1465000</v>
      </c>
      <c r="G111" s="13" t="n">
        <v>0.8</v>
      </c>
      <c r="H111" s="13" t="n">
        <v>1.1</v>
      </c>
      <c r="I111" s="13" t="n">
        <v>0.761</v>
      </c>
      <c r="J111" s="13" t="n">
        <v>0.53</v>
      </c>
      <c r="K111" s="12" t="n">
        <f aca="false">ROUND(F111/100*G111*H111*I111/J111,2)</f>
        <v>18510.97</v>
      </c>
      <c r="L111" s="12" t="n">
        <v>18510.97</v>
      </c>
      <c r="M111" s="12" t="n">
        <f aca="false">L111-K111</f>
        <v>0</v>
      </c>
      <c r="N111" s="3" t="s">
        <v>61</v>
      </c>
      <c r="O111" s="3" t="s">
        <v>62</v>
      </c>
    </row>
    <row r="112" customFormat="false" ht="15" hidden="false" customHeight="false" outlineLevel="0" collapsed="false">
      <c r="A112" s="14" t="s">
        <v>4644</v>
      </c>
      <c r="B112" s="14" t="s">
        <v>4666</v>
      </c>
      <c r="C112" s="14" t="s">
        <v>85</v>
      </c>
      <c r="D112" s="14" t="s">
        <v>78</v>
      </c>
      <c r="E112" s="14" t="s">
        <v>56</v>
      </c>
      <c r="F112" s="15" t="n">
        <v>805000</v>
      </c>
      <c r="G112" s="16" t="n">
        <v>0.65</v>
      </c>
      <c r="H112" s="16" t="n">
        <v>1.28</v>
      </c>
      <c r="I112" s="16" t="n">
        <v>0.761</v>
      </c>
      <c r="J112" s="16" t="n">
        <v>0.53</v>
      </c>
      <c r="K112" s="15" t="n">
        <f aca="false">ROUND(F112/100*G112*H112*I112/J112,2)</f>
        <v>9616.74</v>
      </c>
      <c r="L112" s="15" t="n">
        <v>9616.74</v>
      </c>
      <c r="M112" s="15" t="n">
        <f aca="false">L112-K112</f>
        <v>0</v>
      </c>
      <c r="N112" s="14" t="s">
        <v>61</v>
      </c>
      <c r="O112" s="14" t="s">
        <v>62</v>
      </c>
    </row>
    <row r="113" customFormat="false" ht="15" hidden="false" customHeight="false" outlineLevel="0" collapsed="false">
      <c r="A113" s="3" t="s">
        <v>4536</v>
      </c>
      <c r="B113" s="3" t="s">
        <v>4667</v>
      </c>
      <c r="C113" s="3" t="s">
        <v>159</v>
      </c>
      <c r="D113" s="3" t="s">
        <v>4668</v>
      </c>
      <c r="E113" s="3" t="s">
        <v>50</v>
      </c>
      <c r="F113" s="12" t="n">
        <v>690000</v>
      </c>
      <c r="G113" s="13" t="n">
        <v>0.95</v>
      </c>
      <c r="H113" s="13" t="n">
        <v>1.15</v>
      </c>
      <c r="I113" s="13" t="n">
        <v>0.761</v>
      </c>
      <c r="J113" s="13" t="n">
        <v>0.53</v>
      </c>
      <c r="K113" s="12" t="n">
        <f aca="false">ROUND(F113/100*G113*H113*I113/J113,2)</f>
        <v>10823.79</v>
      </c>
      <c r="L113" s="12" t="n">
        <v>10823.79</v>
      </c>
      <c r="M113" s="12" t="n">
        <f aca="false">L113-K113</f>
        <v>0</v>
      </c>
      <c r="N113" s="3" t="s">
        <v>61</v>
      </c>
      <c r="O113" s="3" t="s">
        <v>62</v>
      </c>
    </row>
    <row r="114" customFormat="false" ht="15" hidden="false" customHeight="false" outlineLevel="0" collapsed="false">
      <c r="A114" s="14" t="s">
        <v>4523</v>
      </c>
      <c r="B114" s="14" t="s">
        <v>4669</v>
      </c>
      <c r="C114" s="14" t="s">
        <v>105</v>
      </c>
      <c r="D114" s="14" t="s">
        <v>4670</v>
      </c>
      <c r="E114" s="14" t="s">
        <v>157</v>
      </c>
      <c r="F114" s="15" t="n">
        <v>845000</v>
      </c>
      <c r="G114" s="16" t="n">
        <v>0.78</v>
      </c>
      <c r="H114" s="16" t="n">
        <v>0.99</v>
      </c>
      <c r="I114" s="16" t="n">
        <v>0.761</v>
      </c>
      <c r="J114" s="16" t="n">
        <v>0.53</v>
      </c>
      <c r="K114" s="15" t="n">
        <f aca="false">ROUND(F114/100*G114*H114*I114/J114,2)</f>
        <v>9369.04</v>
      </c>
      <c r="L114" s="15" t="n">
        <v>9369.04</v>
      </c>
      <c r="M114" s="15" t="n">
        <f aca="false">L114-K114</f>
        <v>0</v>
      </c>
      <c r="N114" s="14" t="s">
        <v>61</v>
      </c>
      <c r="O114" s="14" t="s">
        <v>62</v>
      </c>
    </row>
    <row r="115" customFormat="false" ht="15" hidden="false" customHeight="false" outlineLevel="0" collapsed="false">
      <c r="A115" s="3" t="s">
        <v>4536</v>
      </c>
      <c r="B115" s="3" t="s">
        <v>4671</v>
      </c>
      <c r="C115" s="3" t="s">
        <v>85</v>
      </c>
      <c r="D115" s="3" t="s">
        <v>1700</v>
      </c>
      <c r="E115" s="3" t="s">
        <v>56</v>
      </c>
      <c r="F115" s="12" t="n">
        <v>1345000</v>
      </c>
      <c r="G115" s="13" t="n">
        <v>0.55</v>
      </c>
      <c r="H115" s="13" t="n">
        <v>1.28</v>
      </c>
      <c r="I115" s="13" t="n">
        <v>0.761</v>
      </c>
      <c r="J115" s="13" t="n">
        <v>0.53</v>
      </c>
      <c r="K115" s="12" t="n">
        <f aca="false">ROUND(F115/100*G115*H115*I115/J115,2)</f>
        <v>13595.77</v>
      </c>
      <c r="L115" s="12" t="n">
        <v>13595.77</v>
      </c>
      <c r="M115" s="12" t="n">
        <f aca="false">L115-K115</f>
        <v>0</v>
      </c>
      <c r="N115" s="3" t="s">
        <v>61</v>
      </c>
      <c r="O115" s="3" t="s">
        <v>62</v>
      </c>
    </row>
    <row r="116" customFormat="false" ht="15" hidden="false" customHeight="false" outlineLevel="0" collapsed="false">
      <c r="A116" s="14" t="s">
        <v>4538</v>
      </c>
      <c r="B116" s="14" t="s">
        <v>4672</v>
      </c>
      <c r="C116" s="14" t="s">
        <v>184</v>
      </c>
      <c r="D116" s="14" t="s">
        <v>3733</v>
      </c>
      <c r="E116" s="14" t="s">
        <v>56</v>
      </c>
      <c r="F116" s="15" t="n">
        <v>1795000</v>
      </c>
      <c r="G116" s="16" t="n">
        <v>0.55</v>
      </c>
      <c r="H116" s="16" t="n">
        <v>1.02</v>
      </c>
      <c r="I116" s="16" t="n">
        <v>0.761</v>
      </c>
      <c r="J116" s="16" t="n">
        <v>0.53</v>
      </c>
      <c r="K116" s="15" t="n">
        <f aca="false">ROUND(F116/100*G116*H116*I116/J116,2)</f>
        <v>14458.93</v>
      </c>
      <c r="L116" s="15" t="n">
        <v>14458.93</v>
      </c>
      <c r="M116" s="15" t="n">
        <f aca="false">L116-K116</f>
        <v>0</v>
      </c>
      <c r="N116" s="14" t="s">
        <v>61</v>
      </c>
      <c r="O116" s="14" t="s">
        <v>62</v>
      </c>
    </row>
    <row r="117" customFormat="false" ht="15" hidden="false" customHeight="false" outlineLevel="0" collapsed="false">
      <c r="A117" s="3" t="s">
        <v>4592</v>
      </c>
      <c r="B117" s="3" t="s">
        <v>4673</v>
      </c>
      <c r="C117" s="3" t="s">
        <v>159</v>
      </c>
      <c r="D117" s="3" t="s">
        <v>3280</v>
      </c>
      <c r="E117" s="3" t="s">
        <v>56</v>
      </c>
      <c r="F117" s="12" t="n">
        <v>315000</v>
      </c>
      <c r="G117" s="13" t="n">
        <v>0.75</v>
      </c>
      <c r="H117" s="13" t="n">
        <v>1.15</v>
      </c>
      <c r="I117" s="13" t="n">
        <v>0.761</v>
      </c>
      <c r="J117" s="13" t="n">
        <v>0.53</v>
      </c>
      <c r="K117" s="12" t="n">
        <f aca="false">ROUND(F117/100*G117*H117*I117/J117,2)</f>
        <v>3901.02</v>
      </c>
      <c r="L117" s="12" t="n">
        <v>3901.02</v>
      </c>
      <c r="M117" s="12" t="n">
        <f aca="false">L117-K117</f>
        <v>0</v>
      </c>
      <c r="N117" s="3" t="s">
        <v>61</v>
      </c>
      <c r="O117" s="3" t="s">
        <v>62</v>
      </c>
    </row>
    <row r="118" customFormat="false" ht="15" hidden="false" customHeight="false" outlineLevel="0" collapsed="false">
      <c r="A118" s="14" t="s">
        <v>4553</v>
      </c>
      <c r="B118" s="14" t="s">
        <v>4674</v>
      </c>
      <c r="C118" s="14" t="s">
        <v>409</v>
      </c>
      <c r="D118" s="14" t="s">
        <v>1341</v>
      </c>
      <c r="E118" s="14" t="s">
        <v>56</v>
      </c>
      <c r="F118" s="15" t="n">
        <v>820000</v>
      </c>
      <c r="G118" s="16" t="n">
        <v>0.65</v>
      </c>
      <c r="H118" s="16" t="n">
        <v>1.3</v>
      </c>
      <c r="I118" s="16" t="n">
        <v>0.761</v>
      </c>
      <c r="J118" s="16" t="n">
        <v>0.53</v>
      </c>
      <c r="K118" s="15" t="n">
        <f aca="false">ROUND(F118/100*G118*H118*I118/J118,2)</f>
        <v>9949</v>
      </c>
      <c r="L118" s="15" t="n">
        <v>9948.99</v>
      </c>
      <c r="M118" s="15" t="n">
        <f aca="false">L118-K118</f>
        <v>-0.0100000000002183</v>
      </c>
      <c r="N118" s="14" t="s">
        <v>61</v>
      </c>
      <c r="O118" s="14" t="s">
        <v>62</v>
      </c>
    </row>
    <row r="119" customFormat="false" ht="15" hidden="false" customHeight="false" outlineLevel="0" collapsed="false">
      <c r="A119" s="3" t="s">
        <v>4557</v>
      </c>
      <c r="B119" s="3" t="s">
        <v>4675</v>
      </c>
      <c r="C119" s="3" t="s">
        <v>152</v>
      </c>
      <c r="D119" s="3" t="s">
        <v>492</v>
      </c>
      <c r="E119" s="3" t="s">
        <v>56</v>
      </c>
      <c r="F119" s="12" t="n">
        <v>265000</v>
      </c>
      <c r="G119" s="13" t="n">
        <v>0.75</v>
      </c>
      <c r="H119" s="13" t="n">
        <v>1</v>
      </c>
      <c r="I119" s="13" t="n">
        <v>0.761</v>
      </c>
      <c r="J119" s="13" t="n">
        <v>0.53</v>
      </c>
      <c r="K119" s="12" t="n">
        <f aca="false">ROUND(F119/100*G119*H119*I119/J119,2)</f>
        <v>2853.75</v>
      </c>
      <c r="L119" s="12" t="n">
        <v>2853.75</v>
      </c>
      <c r="M119" s="12" t="n">
        <f aca="false">L119-K119</f>
        <v>0</v>
      </c>
      <c r="N119" s="3" t="s">
        <v>70</v>
      </c>
      <c r="O119" s="3" t="s">
        <v>52</v>
      </c>
    </row>
    <row r="120" customFormat="false" ht="15" hidden="false" customHeight="false" outlineLevel="0" collapsed="false">
      <c r="A120" s="14" t="s">
        <v>4542</v>
      </c>
      <c r="B120" s="14" t="s">
        <v>4676</v>
      </c>
      <c r="C120" s="14" t="s">
        <v>326</v>
      </c>
      <c r="D120" s="14" t="s">
        <v>1498</v>
      </c>
      <c r="E120" s="14" t="s">
        <v>56</v>
      </c>
      <c r="F120" s="15" t="n">
        <v>565000</v>
      </c>
      <c r="G120" s="16" t="n">
        <v>0.65</v>
      </c>
      <c r="H120" s="16" t="n">
        <v>1.12</v>
      </c>
      <c r="I120" s="16" t="n">
        <v>0.761</v>
      </c>
      <c r="J120" s="16" t="n">
        <v>0.53</v>
      </c>
      <c r="K120" s="15" t="n">
        <f aca="false">ROUND(F120/100*G120*H120*I120/J120,2)</f>
        <v>5905.93</v>
      </c>
      <c r="L120" s="15" t="n">
        <v>5905.93</v>
      </c>
      <c r="M120" s="15" t="n">
        <f aca="false">L120-K120</f>
        <v>0</v>
      </c>
      <c r="N120" s="14" t="s">
        <v>61</v>
      </c>
      <c r="O120" s="14" t="s">
        <v>62</v>
      </c>
    </row>
    <row r="121" customFormat="false" ht="15" hidden="false" customHeight="false" outlineLevel="0" collapsed="false">
      <c r="A121" s="3" t="s">
        <v>4551</v>
      </c>
      <c r="B121" s="3" t="s">
        <v>4677</v>
      </c>
      <c r="C121" s="3" t="s">
        <v>139</v>
      </c>
      <c r="D121" s="3" t="s">
        <v>97</v>
      </c>
      <c r="E121" s="3" t="s">
        <v>56</v>
      </c>
      <c r="F121" s="12" t="n">
        <v>565000</v>
      </c>
      <c r="G121" s="13" t="n">
        <v>0.65</v>
      </c>
      <c r="H121" s="13" t="n">
        <v>1.23</v>
      </c>
      <c r="I121" s="13" t="n">
        <v>0.761</v>
      </c>
      <c r="J121" s="13" t="n">
        <v>0.53</v>
      </c>
      <c r="K121" s="12" t="n">
        <f aca="false">ROUND(F121/100*G121*H121*I121/J121,2)</f>
        <v>6485.98</v>
      </c>
      <c r="L121" s="12" t="n">
        <v>6485.98</v>
      </c>
      <c r="M121" s="12" t="n">
        <f aca="false">L121-K121</f>
        <v>0</v>
      </c>
      <c r="N121" s="3" t="s">
        <v>61</v>
      </c>
      <c r="O121" s="3" t="s">
        <v>62</v>
      </c>
    </row>
    <row r="122" customFormat="false" ht="15" hidden="false" customHeight="false" outlineLevel="0" collapsed="false">
      <c r="A122" s="14" t="s">
        <v>4519</v>
      </c>
      <c r="B122" s="14" t="s">
        <v>4678</v>
      </c>
      <c r="C122" s="14" t="s">
        <v>311</v>
      </c>
      <c r="D122" s="14" t="s">
        <v>1103</v>
      </c>
      <c r="E122" s="14" t="s">
        <v>56</v>
      </c>
      <c r="F122" s="15" t="n">
        <v>425000</v>
      </c>
      <c r="G122" s="16" t="n">
        <v>0.75</v>
      </c>
      <c r="H122" s="16" t="n">
        <v>1.06</v>
      </c>
      <c r="I122" s="16" t="n">
        <v>0.761</v>
      </c>
      <c r="J122" s="16" t="n">
        <v>0.53</v>
      </c>
      <c r="K122" s="15" t="n">
        <f aca="false">ROUND(F122/100*G122*H122*I122/J122,2)</f>
        <v>4851.38</v>
      </c>
      <c r="L122" s="15" t="n">
        <v>4851.38</v>
      </c>
      <c r="M122" s="15" t="n">
        <f aca="false">L122-K122</f>
        <v>0</v>
      </c>
      <c r="N122" s="14" t="s">
        <v>61</v>
      </c>
      <c r="O122" s="14" t="s">
        <v>62</v>
      </c>
    </row>
    <row r="123" customFormat="false" ht="15" hidden="false" customHeight="false" outlineLevel="0" collapsed="false">
      <c r="A123" s="3" t="s">
        <v>4563</v>
      </c>
      <c r="B123" s="3" t="s">
        <v>4679</v>
      </c>
      <c r="C123" s="3" t="s">
        <v>220</v>
      </c>
      <c r="D123" s="3" t="s">
        <v>874</v>
      </c>
      <c r="E123" s="3" t="s">
        <v>56</v>
      </c>
      <c r="F123" s="12" t="n">
        <v>560000</v>
      </c>
      <c r="G123" s="13" t="n">
        <v>0.65</v>
      </c>
      <c r="H123" s="13" t="n">
        <v>1.01</v>
      </c>
      <c r="I123" s="13" t="n">
        <v>0.761</v>
      </c>
      <c r="J123" s="13" t="n">
        <v>0.53</v>
      </c>
      <c r="K123" s="12" t="n">
        <f aca="false">ROUND(F123/100*G123*H123*I123/J123,2)</f>
        <v>5278.76</v>
      </c>
      <c r="L123" s="12" t="n">
        <v>5278.75</v>
      </c>
      <c r="M123" s="12" t="n">
        <f aca="false">L123-K123</f>
        <v>-0.0100000000002183</v>
      </c>
      <c r="N123" s="3" t="s">
        <v>61</v>
      </c>
      <c r="O123" s="3" t="s">
        <v>62</v>
      </c>
    </row>
    <row r="124" customFormat="false" ht="15" hidden="false" customHeight="false" outlineLevel="0" collapsed="false">
      <c r="A124" s="14" t="s">
        <v>4578</v>
      </c>
      <c r="B124" s="14" t="s">
        <v>4680</v>
      </c>
      <c r="C124" s="14" t="s">
        <v>193</v>
      </c>
      <c r="D124" s="14" t="s">
        <v>1771</v>
      </c>
      <c r="E124" s="14" t="s">
        <v>56</v>
      </c>
      <c r="F124" s="15" t="n">
        <v>195000</v>
      </c>
      <c r="G124" s="16" t="n">
        <v>0.92</v>
      </c>
      <c r="H124" s="16" t="n">
        <v>1.25</v>
      </c>
      <c r="I124" s="16" t="n">
        <v>0.761</v>
      </c>
      <c r="J124" s="16" t="n">
        <v>0.53</v>
      </c>
      <c r="K124" s="15" t="n">
        <f aca="false">ROUND(F124/100*G124*H124*I124/J124,2)</f>
        <v>3219.89</v>
      </c>
      <c r="L124" s="15" t="n">
        <v>3219.89</v>
      </c>
      <c r="M124" s="15" t="n">
        <f aca="false">L124-K124</f>
        <v>0</v>
      </c>
      <c r="N124" s="14" t="s">
        <v>51</v>
      </c>
      <c r="O124" s="14" t="s">
        <v>52</v>
      </c>
    </row>
    <row r="125" customFormat="false" ht="15" hidden="false" customHeight="false" outlineLevel="0" collapsed="false">
      <c r="A125" s="3" t="s">
        <v>4542</v>
      </c>
      <c r="B125" s="3" t="s">
        <v>4681</v>
      </c>
      <c r="C125" s="3" t="s">
        <v>220</v>
      </c>
      <c r="D125" s="3" t="s">
        <v>675</v>
      </c>
      <c r="E125" s="3" t="s">
        <v>56</v>
      </c>
      <c r="F125" s="12" t="n">
        <v>450000</v>
      </c>
      <c r="G125" s="13" t="n">
        <v>0.75</v>
      </c>
      <c r="H125" s="13" t="n">
        <v>1.01</v>
      </c>
      <c r="I125" s="13" t="n">
        <v>0.761</v>
      </c>
      <c r="J125" s="13" t="n">
        <v>0.53</v>
      </c>
      <c r="K125" s="12" t="n">
        <f aca="false">ROUND(F125/100*G125*H125*I125/J125,2)</f>
        <v>4894.45</v>
      </c>
      <c r="L125" s="12" t="n">
        <v>4894.45</v>
      </c>
      <c r="M125" s="12" t="n">
        <f aca="false">L125-K125</f>
        <v>0</v>
      </c>
      <c r="N125" s="3" t="s">
        <v>61</v>
      </c>
      <c r="O125" s="3" t="s">
        <v>62</v>
      </c>
    </row>
    <row r="126" customFormat="false" ht="15" hidden="false" customHeight="false" outlineLevel="0" collapsed="false">
      <c r="A126" s="14" t="s">
        <v>4644</v>
      </c>
      <c r="B126" s="14" t="s">
        <v>4682</v>
      </c>
      <c r="C126" s="14" t="s">
        <v>266</v>
      </c>
      <c r="D126" s="14" t="s">
        <v>1323</v>
      </c>
      <c r="E126" s="14" t="s">
        <v>50</v>
      </c>
      <c r="F126" s="15" t="n">
        <v>530000</v>
      </c>
      <c r="G126" s="16" t="n">
        <v>0.95</v>
      </c>
      <c r="H126" s="16" t="n">
        <v>1.1</v>
      </c>
      <c r="I126" s="16" t="n">
        <v>0.761</v>
      </c>
      <c r="J126" s="16" t="n">
        <v>0.53</v>
      </c>
      <c r="K126" s="15" t="n">
        <f aca="false">ROUND(F126/100*G126*H126*I126/J126,2)</f>
        <v>7952.45</v>
      </c>
      <c r="L126" s="15" t="n">
        <v>7952.45</v>
      </c>
      <c r="M126" s="15" t="n">
        <f aca="false">L126-K126</f>
        <v>0</v>
      </c>
      <c r="N126" s="14" t="s">
        <v>61</v>
      </c>
      <c r="O126" s="14" t="s">
        <v>62</v>
      </c>
    </row>
    <row r="127" customFormat="false" ht="15" hidden="false" customHeight="false" outlineLevel="0" collapsed="false">
      <c r="A127" s="3" t="s">
        <v>4527</v>
      </c>
      <c r="B127" s="3" t="s">
        <v>4683</v>
      </c>
      <c r="C127" s="3" t="s">
        <v>117</v>
      </c>
      <c r="D127" s="3" t="s">
        <v>654</v>
      </c>
      <c r="E127" s="3" t="s">
        <v>74</v>
      </c>
      <c r="F127" s="12" t="n">
        <v>815000</v>
      </c>
      <c r="G127" s="13" t="n">
        <v>0.43</v>
      </c>
      <c r="H127" s="13" t="n">
        <v>0.91</v>
      </c>
      <c r="I127" s="13" t="n">
        <v>0.761</v>
      </c>
      <c r="J127" s="13" t="n">
        <v>0.53</v>
      </c>
      <c r="K127" s="12" t="n">
        <f aca="false">ROUND(F127/100*G127*H127*I127/J127,2)</f>
        <v>4579.06</v>
      </c>
      <c r="L127" s="12" t="n">
        <v>4579.06</v>
      </c>
      <c r="M127" s="12" t="n">
        <f aca="false">L127-K127</f>
        <v>0</v>
      </c>
      <c r="N127" s="3" t="s">
        <v>61</v>
      </c>
      <c r="O127" s="3" t="s">
        <v>62</v>
      </c>
    </row>
    <row r="128" customFormat="false" ht="15" hidden="false" customHeight="false" outlineLevel="0" collapsed="false">
      <c r="A128" s="14" t="s">
        <v>4582</v>
      </c>
      <c r="B128" s="14" t="s">
        <v>4684</v>
      </c>
      <c r="C128" s="14" t="s">
        <v>243</v>
      </c>
      <c r="D128" s="14" t="s">
        <v>1201</v>
      </c>
      <c r="E128" s="14" t="s">
        <v>56</v>
      </c>
      <c r="F128" s="15" t="n">
        <v>630000</v>
      </c>
      <c r="G128" s="16" t="n">
        <v>0.65</v>
      </c>
      <c r="H128" s="16" t="n">
        <v>1.14</v>
      </c>
      <c r="I128" s="16" t="n">
        <v>0.761</v>
      </c>
      <c r="J128" s="16" t="n">
        <v>0.53</v>
      </c>
      <c r="K128" s="15" t="n">
        <f aca="false">ROUND(F128/100*G128*H128*I128/J128,2)</f>
        <v>6702.97</v>
      </c>
      <c r="L128" s="15" t="n">
        <v>6702.97</v>
      </c>
      <c r="M128" s="15" t="n">
        <f aca="false">L128-K128</f>
        <v>0</v>
      </c>
      <c r="N128" s="14" t="s">
        <v>61</v>
      </c>
      <c r="O128" s="14" t="s">
        <v>62</v>
      </c>
    </row>
    <row r="129" customFormat="false" ht="15" hidden="false" customHeight="false" outlineLevel="0" collapsed="false">
      <c r="A129" s="3" t="s">
        <v>4519</v>
      </c>
      <c r="B129" s="3" t="s">
        <v>4685</v>
      </c>
      <c r="C129" s="3" t="s">
        <v>89</v>
      </c>
      <c r="D129" s="3" t="s">
        <v>1488</v>
      </c>
      <c r="E129" s="3" t="s">
        <v>50</v>
      </c>
      <c r="F129" s="12" t="n">
        <v>1435000</v>
      </c>
      <c r="G129" s="13" t="n">
        <v>0.8</v>
      </c>
      <c r="H129" s="13" t="n">
        <v>1.35</v>
      </c>
      <c r="I129" s="13" t="n">
        <v>0.761</v>
      </c>
      <c r="J129" s="13" t="n">
        <v>0.53</v>
      </c>
      <c r="K129" s="12" t="n">
        <f aca="false">ROUND(F129/100*G129*H129*I129/J129,2)</f>
        <v>22252.79</v>
      </c>
      <c r="L129" s="12" t="n">
        <v>22252.79</v>
      </c>
      <c r="M129" s="12" t="n">
        <f aca="false">L129-K129</f>
        <v>0</v>
      </c>
      <c r="N129" s="3" t="s">
        <v>61</v>
      </c>
      <c r="O129" s="3" t="s">
        <v>62</v>
      </c>
    </row>
    <row r="130" customFormat="false" ht="15" hidden="false" customHeight="false" outlineLevel="0" collapsed="false">
      <c r="A130" s="14" t="s">
        <v>4523</v>
      </c>
      <c r="B130" s="14" t="s">
        <v>4686</v>
      </c>
      <c r="C130" s="14" t="s">
        <v>188</v>
      </c>
      <c r="D130" s="14" t="s">
        <v>405</v>
      </c>
      <c r="E130" s="14" t="s">
        <v>56</v>
      </c>
      <c r="F130" s="15" t="n">
        <v>305000</v>
      </c>
      <c r="G130" s="16" t="n">
        <v>0.75</v>
      </c>
      <c r="H130" s="16" t="n">
        <v>1.35</v>
      </c>
      <c r="I130" s="16" t="n">
        <v>0.761</v>
      </c>
      <c r="J130" s="16" t="n">
        <v>0.53</v>
      </c>
      <c r="K130" s="15" t="n">
        <f aca="false">ROUND(F130/100*G130*H130*I130/J130,2)</f>
        <v>4434.08</v>
      </c>
      <c r="L130" s="15" t="n">
        <v>4434.08</v>
      </c>
      <c r="M130" s="15" t="n">
        <f aca="false">L130-K130</f>
        <v>0</v>
      </c>
      <c r="N130" s="14" t="s">
        <v>51</v>
      </c>
      <c r="O130" s="14" t="s">
        <v>52</v>
      </c>
    </row>
    <row r="131" customFormat="false" ht="15" hidden="false" customHeight="false" outlineLevel="0" collapsed="false">
      <c r="A131" s="3" t="s">
        <v>4658</v>
      </c>
      <c r="B131" s="3" t="s">
        <v>4687</v>
      </c>
      <c r="C131" s="3" t="s">
        <v>93</v>
      </c>
      <c r="D131" s="3" t="s">
        <v>2069</v>
      </c>
      <c r="E131" s="3" t="s">
        <v>56</v>
      </c>
      <c r="F131" s="12" t="n">
        <v>590000</v>
      </c>
      <c r="G131" s="13" t="n">
        <v>0.65</v>
      </c>
      <c r="H131" s="13" t="n">
        <v>1.39</v>
      </c>
      <c r="I131" s="13" t="n">
        <v>0.761</v>
      </c>
      <c r="J131" s="13" t="n">
        <v>0.53</v>
      </c>
      <c r="K131" s="12" t="n">
        <f aca="false">ROUND(F131/100*G131*H131*I131/J131,2)</f>
        <v>7654.01</v>
      </c>
      <c r="L131" s="12" t="n">
        <v>7654.01</v>
      </c>
      <c r="M131" s="12" t="n">
        <f aca="false">L131-K131</f>
        <v>0</v>
      </c>
      <c r="N131" s="3" t="s">
        <v>51</v>
      </c>
      <c r="O131" s="3" t="s">
        <v>52</v>
      </c>
    </row>
    <row r="132" customFormat="false" ht="15" hidden="false" customHeight="false" outlineLevel="0" collapsed="false">
      <c r="A132" s="14" t="s">
        <v>4525</v>
      </c>
      <c r="B132" s="14" t="s">
        <v>4688</v>
      </c>
      <c r="C132" s="14" t="s">
        <v>220</v>
      </c>
      <c r="D132" s="14" t="s">
        <v>1658</v>
      </c>
      <c r="E132" s="14" t="s">
        <v>56</v>
      </c>
      <c r="F132" s="15" t="n">
        <v>825000</v>
      </c>
      <c r="G132" s="16" t="n">
        <v>0.65</v>
      </c>
      <c r="H132" s="16" t="n">
        <v>1.01</v>
      </c>
      <c r="I132" s="16" t="n">
        <v>0.761</v>
      </c>
      <c r="J132" s="16" t="n">
        <v>0.53</v>
      </c>
      <c r="K132" s="15" t="n">
        <f aca="false">ROUND(F132/100*G132*H132*I132/J132,2)</f>
        <v>7776.74</v>
      </c>
      <c r="L132" s="15" t="n">
        <v>7776.74</v>
      </c>
      <c r="M132" s="15" t="n">
        <f aca="false">L132-K132</f>
        <v>0</v>
      </c>
      <c r="N132" s="14" t="s">
        <v>61</v>
      </c>
      <c r="O132" s="14" t="s">
        <v>62</v>
      </c>
    </row>
    <row r="133" customFormat="false" ht="15" hidden="false" customHeight="false" outlineLevel="0" collapsed="false">
      <c r="A133" s="3" t="s">
        <v>4578</v>
      </c>
      <c r="B133" s="3" t="s">
        <v>4689</v>
      </c>
      <c r="C133" s="3" t="s">
        <v>366</v>
      </c>
      <c r="D133" s="3" t="s">
        <v>4162</v>
      </c>
      <c r="E133" s="3" t="s">
        <v>56</v>
      </c>
      <c r="F133" s="12" t="n">
        <v>1325000</v>
      </c>
      <c r="G133" s="13" t="n">
        <v>0.55</v>
      </c>
      <c r="H133" s="13" t="n">
        <v>1.26</v>
      </c>
      <c r="I133" s="13" t="n">
        <v>0.761</v>
      </c>
      <c r="J133" s="13" t="n">
        <v>0.53</v>
      </c>
      <c r="K133" s="12" t="n">
        <f aca="false">ROUND(F133/100*G133*H133*I133/J133,2)</f>
        <v>13184.33</v>
      </c>
      <c r="L133" s="12" t="n">
        <v>13184.33</v>
      </c>
      <c r="M133" s="12" t="n">
        <f aca="false">L133-K133</f>
        <v>0</v>
      </c>
      <c r="N133" s="3" t="s">
        <v>61</v>
      </c>
      <c r="O133" s="3" t="s">
        <v>62</v>
      </c>
    </row>
    <row r="134" customFormat="false" ht="15" hidden="false" customHeight="false" outlineLevel="0" collapsed="false">
      <c r="A134" s="14" t="s">
        <v>4565</v>
      </c>
      <c r="B134" s="14" t="s">
        <v>4690</v>
      </c>
      <c r="C134" s="14" t="s">
        <v>152</v>
      </c>
      <c r="D134" s="14" t="s">
        <v>1137</v>
      </c>
      <c r="E134" s="14" t="s">
        <v>56</v>
      </c>
      <c r="F134" s="15" t="n">
        <v>320000</v>
      </c>
      <c r="G134" s="16" t="n">
        <v>0.75</v>
      </c>
      <c r="H134" s="16" t="n">
        <v>1</v>
      </c>
      <c r="I134" s="16" t="n">
        <v>0.761</v>
      </c>
      <c r="J134" s="16" t="n">
        <v>0.53</v>
      </c>
      <c r="K134" s="15" t="n">
        <f aca="false">ROUND(F134/100*G134*H134*I134/J134,2)</f>
        <v>3446.04</v>
      </c>
      <c r="L134" s="15" t="n">
        <v>3446.04</v>
      </c>
      <c r="M134" s="15" t="n">
        <f aca="false">L134-K134</f>
        <v>0</v>
      </c>
      <c r="N134" s="14" t="s">
        <v>61</v>
      </c>
      <c r="O134" s="14" t="s">
        <v>62</v>
      </c>
    </row>
    <row r="135" customFormat="false" ht="15" hidden="false" customHeight="false" outlineLevel="0" collapsed="false">
      <c r="A135" s="3" t="s">
        <v>4523</v>
      </c>
      <c r="B135" s="3" t="s">
        <v>4691</v>
      </c>
      <c r="C135" s="3" t="s">
        <v>120</v>
      </c>
      <c r="D135" s="3" t="s">
        <v>1919</v>
      </c>
      <c r="E135" s="3" t="s">
        <v>56</v>
      </c>
      <c r="F135" s="12" t="n">
        <v>365000</v>
      </c>
      <c r="G135" s="13" t="n">
        <v>0.75</v>
      </c>
      <c r="H135" s="13" t="n">
        <v>1.15</v>
      </c>
      <c r="I135" s="13" t="n">
        <v>0.761</v>
      </c>
      <c r="J135" s="13" t="n">
        <v>0.53</v>
      </c>
      <c r="K135" s="12" t="n">
        <f aca="false">ROUND(F135/100*G135*H135*I135/J135,2)</f>
        <v>4520.23</v>
      </c>
      <c r="L135" s="12" t="n">
        <v>4520.23</v>
      </c>
      <c r="M135" s="12" t="n">
        <f aca="false">L135-K135</f>
        <v>0</v>
      </c>
      <c r="N135" s="3" t="s">
        <v>51</v>
      </c>
      <c r="O135" s="3" t="s">
        <v>52</v>
      </c>
    </row>
    <row r="136" customFormat="false" ht="15" hidden="false" customHeight="false" outlineLevel="0" collapsed="false">
      <c r="A136" s="14" t="s">
        <v>4571</v>
      </c>
      <c r="B136" s="14" t="s">
        <v>4692</v>
      </c>
      <c r="C136" s="14" t="s">
        <v>152</v>
      </c>
      <c r="D136" s="14" t="s">
        <v>548</v>
      </c>
      <c r="E136" s="14" t="s">
        <v>56</v>
      </c>
      <c r="F136" s="15" t="n">
        <v>280000</v>
      </c>
      <c r="G136" s="16" t="n">
        <v>0.75</v>
      </c>
      <c r="H136" s="16" t="n">
        <v>1</v>
      </c>
      <c r="I136" s="16" t="n">
        <v>0.761</v>
      </c>
      <c r="J136" s="16" t="n">
        <v>0.53</v>
      </c>
      <c r="K136" s="15" t="n">
        <f aca="false">ROUND(F136/100*G136*H136*I136/J136,2)</f>
        <v>3015.28</v>
      </c>
      <c r="L136" s="15" t="n">
        <v>3015.28</v>
      </c>
      <c r="M136" s="15" t="n">
        <f aca="false">L136-K136</f>
        <v>0</v>
      </c>
      <c r="N136" s="14" t="s">
        <v>51</v>
      </c>
      <c r="O136" s="14" t="s">
        <v>52</v>
      </c>
    </row>
    <row r="137" customFormat="false" ht="15" hidden="false" customHeight="false" outlineLevel="0" collapsed="false">
      <c r="A137" s="3" t="s">
        <v>4693</v>
      </c>
      <c r="B137" s="3" t="s">
        <v>4694</v>
      </c>
      <c r="C137" s="3" t="s">
        <v>266</v>
      </c>
      <c r="D137" s="3" t="s">
        <v>3227</v>
      </c>
      <c r="E137" s="3" t="s">
        <v>56</v>
      </c>
      <c r="F137" s="12" t="n">
        <v>390000</v>
      </c>
      <c r="G137" s="13" t="n">
        <v>0.75</v>
      </c>
      <c r="H137" s="13" t="n">
        <v>1.1</v>
      </c>
      <c r="I137" s="13" t="n">
        <v>0.761</v>
      </c>
      <c r="J137" s="13" t="n">
        <v>0.53</v>
      </c>
      <c r="K137" s="12" t="n">
        <f aca="false">ROUND(F137/100*G137*H137*I137/J137,2)</f>
        <v>4619.84</v>
      </c>
      <c r="L137" s="12" t="n">
        <v>4619.84</v>
      </c>
      <c r="M137" s="12" t="n">
        <f aca="false">L137-K137</f>
        <v>0</v>
      </c>
      <c r="N137" s="3" t="s">
        <v>61</v>
      </c>
      <c r="O137" s="3" t="s">
        <v>62</v>
      </c>
    </row>
    <row r="138" customFormat="false" ht="15" hidden="false" customHeight="false" outlineLevel="0" collapsed="false">
      <c r="A138" s="14" t="s">
        <v>4617</v>
      </c>
      <c r="B138" s="14" t="s">
        <v>4695</v>
      </c>
      <c r="C138" s="14" t="s">
        <v>174</v>
      </c>
      <c r="D138" s="14" t="s">
        <v>1786</v>
      </c>
      <c r="E138" s="14" t="s">
        <v>56</v>
      </c>
      <c r="F138" s="15" t="n">
        <v>665000</v>
      </c>
      <c r="G138" s="16" t="n">
        <v>0.65</v>
      </c>
      <c r="H138" s="16" t="n">
        <v>1.55</v>
      </c>
      <c r="I138" s="16" t="n">
        <v>0.761</v>
      </c>
      <c r="J138" s="16" t="n">
        <v>0.53</v>
      </c>
      <c r="K138" s="15" t="n">
        <f aca="false">ROUND(F138/100*G138*H138*I138/J138,2)</f>
        <v>9620.01</v>
      </c>
      <c r="L138" s="15" t="n">
        <v>9620.01</v>
      </c>
      <c r="M138" s="15" t="n">
        <f aca="false">L138-K138</f>
        <v>0</v>
      </c>
      <c r="N138" s="14" t="s">
        <v>61</v>
      </c>
      <c r="O138" s="14" t="s">
        <v>62</v>
      </c>
    </row>
    <row r="139" customFormat="false" ht="15" hidden="false" customHeight="false" outlineLevel="0" collapsed="false">
      <c r="A139" s="3" t="s">
        <v>4617</v>
      </c>
      <c r="B139" s="3" t="s">
        <v>4696</v>
      </c>
      <c r="C139" s="3" t="s">
        <v>77</v>
      </c>
      <c r="D139" s="3" t="s">
        <v>78</v>
      </c>
      <c r="E139" s="3" t="s">
        <v>56</v>
      </c>
      <c r="F139" s="12" t="n">
        <v>195000</v>
      </c>
      <c r="G139" s="13" t="n">
        <v>0.92</v>
      </c>
      <c r="H139" s="13" t="n">
        <v>1.42</v>
      </c>
      <c r="I139" s="13" t="n">
        <v>0.761</v>
      </c>
      <c r="J139" s="13" t="n">
        <v>0.53</v>
      </c>
      <c r="K139" s="12" t="n">
        <f aca="false">ROUND(F139/100*G139*H139*I139/J139,2)</f>
        <v>3657.8</v>
      </c>
      <c r="L139" s="12" t="n">
        <v>3657.8</v>
      </c>
      <c r="M139" s="12" t="n">
        <f aca="false">L139-K139</f>
        <v>0</v>
      </c>
      <c r="N139" s="3" t="s">
        <v>61</v>
      </c>
      <c r="O139" s="3" t="s">
        <v>62</v>
      </c>
    </row>
    <row r="140" customFormat="false" ht="15" hidden="false" customHeight="false" outlineLevel="0" collapsed="false">
      <c r="A140" s="14" t="s">
        <v>4658</v>
      </c>
      <c r="B140" s="14" t="s">
        <v>4697</v>
      </c>
      <c r="C140" s="14" t="s">
        <v>128</v>
      </c>
      <c r="D140" s="14" t="s">
        <v>890</v>
      </c>
      <c r="E140" s="14" t="s">
        <v>50</v>
      </c>
      <c r="F140" s="15" t="n">
        <v>1575000</v>
      </c>
      <c r="G140" s="16" t="n">
        <v>0.8</v>
      </c>
      <c r="H140" s="16" t="n">
        <v>1.25</v>
      </c>
      <c r="I140" s="16" t="n">
        <v>0.761</v>
      </c>
      <c r="J140" s="16" t="n">
        <v>0.53</v>
      </c>
      <c r="K140" s="15" t="n">
        <f aca="false">ROUND(F140/100*G140*H140*I140/J140,2)</f>
        <v>22614.62</v>
      </c>
      <c r="L140" s="15" t="n">
        <v>22614.62</v>
      </c>
      <c r="M140" s="15" t="n">
        <f aca="false">L140-K140</f>
        <v>0</v>
      </c>
      <c r="N140" s="14" t="s">
        <v>61</v>
      </c>
      <c r="O140" s="14" t="s">
        <v>62</v>
      </c>
    </row>
    <row r="141" customFormat="false" ht="15" hidden="false" customHeight="false" outlineLevel="0" collapsed="false">
      <c r="A141" s="3" t="s">
        <v>4693</v>
      </c>
      <c r="B141" s="3" t="s">
        <v>4698</v>
      </c>
      <c r="C141" s="3" t="s">
        <v>89</v>
      </c>
      <c r="D141" s="3" t="s">
        <v>4699</v>
      </c>
      <c r="E141" s="3" t="s">
        <v>157</v>
      </c>
      <c r="F141" s="12" t="n">
        <v>790000</v>
      </c>
      <c r="G141" s="13" t="n">
        <v>0.78</v>
      </c>
      <c r="H141" s="13" t="n">
        <v>1.35</v>
      </c>
      <c r="I141" s="13" t="n">
        <v>0.761</v>
      </c>
      <c r="J141" s="13" t="n">
        <v>0.53</v>
      </c>
      <c r="K141" s="12" t="n">
        <f aca="false">ROUND(F141/100*G141*H141*I141/J141,2)</f>
        <v>11944.4</v>
      </c>
      <c r="L141" s="12" t="n">
        <v>11944.4</v>
      </c>
      <c r="M141" s="12" t="n">
        <f aca="false">L141-K141</f>
        <v>0</v>
      </c>
      <c r="N141" s="3" t="s">
        <v>61</v>
      </c>
      <c r="O141" s="3" t="s">
        <v>62</v>
      </c>
    </row>
    <row r="142" customFormat="false" ht="15" hidden="false" customHeight="false" outlineLevel="0" collapsed="false">
      <c r="A142" s="14" t="s">
        <v>4617</v>
      </c>
      <c r="B142" s="14" t="s">
        <v>4700</v>
      </c>
      <c r="C142" s="14" t="s">
        <v>243</v>
      </c>
      <c r="D142" s="14" t="s">
        <v>1690</v>
      </c>
      <c r="E142" s="14" t="s">
        <v>56</v>
      </c>
      <c r="F142" s="15" t="n">
        <v>1125000</v>
      </c>
      <c r="G142" s="16" t="n">
        <v>0.55</v>
      </c>
      <c r="H142" s="16" t="n">
        <v>1.14</v>
      </c>
      <c r="I142" s="16" t="n">
        <v>0.761</v>
      </c>
      <c r="J142" s="16" t="n">
        <v>0.53</v>
      </c>
      <c r="K142" s="15" t="n">
        <f aca="false">ROUND(F142/100*G142*H142*I142/J142,2)</f>
        <v>10128.12</v>
      </c>
      <c r="L142" s="15" t="n">
        <v>10128.12</v>
      </c>
      <c r="M142" s="15" t="n">
        <f aca="false">L142-K142</f>
        <v>0</v>
      </c>
      <c r="N142" s="14" t="s">
        <v>61</v>
      </c>
      <c r="O142" s="14" t="s">
        <v>62</v>
      </c>
    </row>
    <row r="143" customFormat="false" ht="15" hidden="false" customHeight="false" outlineLevel="0" collapsed="false">
      <c r="A143" s="3" t="s">
        <v>4536</v>
      </c>
      <c r="B143" s="3" t="s">
        <v>4701</v>
      </c>
      <c r="C143" s="3" t="s">
        <v>59</v>
      </c>
      <c r="D143" s="3" t="s">
        <v>3841</v>
      </c>
      <c r="E143" s="3" t="s">
        <v>74</v>
      </c>
      <c r="F143" s="12" t="n">
        <v>1950000</v>
      </c>
      <c r="G143" s="13" t="n">
        <v>0.38</v>
      </c>
      <c r="H143" s="13" t="n">
        <v>0.97</v>
      </c>
      <c r="I143" s="13" t="n">
        <v>0.761</v>
      </c>
      <c r="J143" s="13" t="n">
        <v>0.53</v>
      </c>
      <c r="K143" s="12" t="n">
        <f aca="false">ROUND(F143/100*G143*H143*I143/J143,2)</f>
        <v>10320.45</v>
      </c>
      <c r="L143" s="12" t="n">
        <v>10320.45</v>
      </c>
      <c r="M143" s="12" t="n">
        <f aca="false">L143-K143</f>
        <v>0</v>
      </c>
      <c r="N143" s="3" t="s">
        <v>61</v>
      </c>
      <c r="O143" s="3" t="s">
        <v>62</v>
      </c>
    </row>
    <row r="144" customFormat="false" ht="15" hidden="false" customHeight="false" outlineLevel="0" collapsed="false">
      <c r="A144" s="14" t="s">
        <v>4619</v>
      </c>
      <c r="B144" s="14" t="s">
        <v>4702</v>
      </c>
      <c r="C144" s="14" t="s">
        <v>295</v>
      </c>
      <c r="D144" s="14" t="s">
        <v>2832</v>
      </c>
      <c r="E144" s="14" t="s">
        <v>50</v>
      </c>
      <c r="F144" s="15" t="n">
        <v>910000</v>
      </c>
      <c r="G144" s="16" t="n">
        <v>0.95</v>
      </c>
      <c r="H144" s="16" t="n">
        <v>1.2</v>
      </c>
      <c r="I144" s="16" t="n">
        <v>0.761</v>
      </c>
      <c r="J144" s="16" t="n">
        <v>0.53</v>
      </c>
      <c r="K144" s="15" t="n">
        <f aca="false">ROUND(F144/100*G144*H144*I144/J144,2)</f>
        <v>14895.5</v>
      </c>
      <c r="L144" s="15" t="n">
        <v>14895.49</v>
      </c>
      <c r="M144" s="15" t="n">
        <f aca="false">L144-K144</f>
        <v>-0.0100000000002183</v>
      </c>
      <c r="N144" s="14" t="s">
        <v>61</v>
      </c>
      <c r="O144" s="14" t="s">
        <v>62</v>
      </c>
    </row>
    <row r="145" customFormat="false" ht="15" hidden="false" customHeight="false" outlineLevel="0" collapsed="false">
      <c r="A145" s="3" t="s">
        <v>4619</v>
      </c>
      <c r="B145" s="3" t="s">
        <v>4703</v>
      </c>
      <c r="C145" s="3" t="s">
        <v>131</v>
      </c>
      <c r="D145" s="3" t="s">
        <v>1190</v>
      </c>
      <c r="E145" s="3" t="s">
        <v>50</v>
      </c>
      <c r="F145" s="12" t="n">
        <v>480000</v>
      </c>
      <c r="G145" s="13" t="n">
        <v>1.15</v>
      </c>
      <c r="H145" s="13" t="n">
        <v>0.95</v>
      </c>
      <c r="I145" s="13" t="n">
        <v>0.761</v>
      </c>
      <c r="J145" s="13" t="n">
        <v>0.53</v>
      </c>
      <c r="K145" s="12" t="n">
        <f aca="false">ROUND(F145/100*G145*H145*I145/J145,2)</f>
        <v>7529.59</v>
      </c>
      <c r="L145" s="12" t="n">
        <v>7529.59</v>
      </c>
      <c r="M145" s="12" t="n">
        <f aca="false">L145-K145</f>
        <v>0</v>
      </c>
      <c r="N145" s="3" t="s">
        <v>61</v>
      </c>
      <c r="O145" s="3" t="s">
        <v>62</v>
      </c>
    </row>
    <row r="146" customFormat="false" ht="15" hidden="false" customHeight="false" outlineLevel="0" collapsed="false">
      <c r="A146" s="14" t="s">
        <v>4534</v>
      </c>
      <c r="B146" s="14" t="s">
        <v>4704</v>
      </c>
      <c r="C146" s="14" t="s">
        <v>81</v>
      </c>
      <c r="D146" s="14" t="s">
        <v>109</v>
      </c>
      <c r="E146" s="14" t="s">
        <v>50</v>
      </c>
      <c r="F146" s="15" t="n">
        <v>1235000</v>
      </c>
      <c r="G146" s="16" t="n">
        <v>0.8</v>
      </c>
      <c r="H146" s="16" t="n">
        <v>1.27</v>
      </c>
      <c r="I146" s="16" t="n">
        <v>0.761</v>
      </c>
      <c r="J146" s="16" t="n">
        <v>0.53</v>
      </c>
      <c r="K146" s="15" t="n">
        <f aca="false">ROUND(F146/100*G146*H146*I146/J146,2)</f>
        <v>18016.46</v>
      </c>
      <c r="L146" s="15" t="n">
        <v>18016.46</v>
      </c>
      <c r="M146" s="15" t="n">
        <f aca="false">L146-K146</f>
        <v>0</v>
      </c>
      <c r="N146" s="14" t="s">
        <v>61</v>
      </c>
      <c r="O146" s="14" t="s">
        <v>62</v>
      </c>
    </row>
    <row r="147" customFormat="false" ht="15" hidden="false" customHeight="false" outlineLevel="0" collapsed="false">
      <c r="A147" s="3" t="s">
        <v>4644</v>
      </c>
      <c r="B147" s="3" t="s">
        <v>4705</v>
      </c>
      <c r="C147" s="3" t="s">
        <v>417</v>
      </c>
      <c r="D147" s="3" t="s">
        <v>4154</v>
      </c>
      <c r="E147" s="3" t="s">
        <v>157</v>
      </c>
      <c r="F147" s="12" t="n">
        <v>620000</v>
      </c>
      <c r="G147" s="13" t="n">
        <v>0.78</v>
      </c>
      <c r="H147" s="13" t="n">
        <v>1.24</v>
      </c>
      <c r="I147" s="13" t="n">
        <v>0.761</v>
      </c>
      <c r="J147" s="13" t="n">
        <v>0.53</v>
      </c>
      <c r="K147" s="12" t="n">
        <f aca="false">ROUND(F147/100*G147*H147*I147/J147,2)</f>
        <v>8610.27</v>
      </c>
      <c r="L147" s="12" t="n">
        <v>8610.27</v>
      </c>
      <c r="M147" s="12" t="n">
        <f aca="false">L147-K147</f>
        <v>0</v>
      </c>
      <c r="N147" s="3" t="s">
        <v>61</v>
      </c>
      <c r="O147" s="3" t="s">
        <v>62</v>
      </c>
    </row>
    <row r="148" customFormat="false" ht="15" hidden="false" customHeight="false" outlineLevel="0" collapsed="false">
      <c r="A148" s="14" t="s">
        <v>4521</v>
      </c>
      <c r="B148" s="14" t="s">
        <v>4706</v>
      </c>
      <c r="C148" s="14" t="s">
        <v>64</v>
      </c>
      <c r="D148" s="14" t="s">
        <v>494</v>
      </c>
      <c r="E148" s="14" t="s">
        <v>56</v>
      </c>
      <c r="F148" s="15" t="n">
        <v>430000</v>
      </c>
      <c r="G148" s="16" t="n">
        <v>0.75</v>
      </c>
      <c r="H148" s="16" t="n">
        <v>1.17</v>
      </c>
      <c r="I148" s="16" t="n">
        <v>0.761</v>
      </c>
      <c r="J148" s="16" t="n">
        <v>0.53</v>
      </c>
      <c r="K148" s="15" t="n">
        <f aca="false">ROUND(F148/100*G148*H148*I148/J148,2)</f>
        <v>5417.82</v>
      </c>
      <c r="L148" s="15" t="n">
        <v>5417.82</v>
      </c>
      <c r="M148" s="15" t="n">
        <f aca="false">L148-K148</f>
        <v>0</v>
      </c>
      <c r="N148" s="14" t="s">
        <v>51</v>
      </c>
      <c r="O148" s="14" t="s">
        <v>52</v>
      </c>
    </row>
    <row r="149" customFormat="false" ht="15" hidden="false" customHeight="false" outlineLevel="0" collapsed="false">
      <c r="A149" s="3" t="s">
        <v>4658</v>
      </c>
      <c r="B149" s="3" t="s">
        <v>4707</v>
      </c>
      <c r="C149" s="3" t="s">
        <v>77</v>
      </c>
      <c r="D149" s="3" t="s">
        <v>1553</v>
      </c>
      <c r="E149" s="3" t="s">
        <v>50</v>
      </c>
      <c r="F149" s="12" t="n">
        <v>1405000</v>
      </c>
      <c r="G149" s="13" t="n">
        <v>0.8</v>
      </c>
      <c r="H149" s="13" t="n">
        <v>1.42</v>
      </c>
      <c r="I149" s="13" t="n">
        <v>0.761</v>
      </c>
      <c r="J149" s="13" t="n">
        <v>0.53</v>
      </c>
      <c r="K149" s="12" t="n">
        <f aca="false">ROUND(F149/100*G149*H149*I149/J149,2)</f>
        <v>22917.3</v>
      </c>
      <c r="L149" s="12" t="n">
        <v>22917.3</v>
      </c>
      <c r="M149" s="12" t="n">
        <f aca="false">L149-K149</f>
        <v>0</v>
      </c>
      <c r="N149" s="3" t="s">
        <v>61</v>
      </c>
      <c r="O149" s="3" t="s">
        <v>62</v>
      </c>
    </row>
    <row r="150" customFormat="false" ht="15" hidden="false" customHeight="false" outlineLevel="0" collapsed="false">
      <c r="A150" s="14" t="s">
        <v>4563</v>
      </c>
      <c r="B150" s="14" t="s">
        <v>4708</v>
      </c>
      <c r="C150" s="14" t="s">
        <v>278</v>
      </c>
      <c r="D150" s="14" t="s">
        <v>1905</v>
      </c>
      <c r="E150" s="14" t="s">
        <v>56</v>
      </c>
      <c r="F150" s="15" t="n">
        <v>365000</v>
      </c>
      <c r="G150" s="16" t="n">
        <v>0.75</v>
      </c>
      <c r="H150" s="16" t="n">
        <v>0.98</v>
      </c>
      <c r="I150" s="16" t="n">
        <v>0.761</v>
      </c>
      <c r="J150" s="16" t="n">
        <v>0.53</v>
      </c>
      <c r="K150" s="15" t="n">
        <f aca="false">ROUND(F150/100*G150*H150*I150/J150,2)</f>
        <v>3852.02</v>
      </c>
      <c r="L150" s="15" t="n">
        <v>3852.02</v>
      </c>
      <c r="M150" s="15" t="n">
        <f aca="false">L150-K150</f>
        <v>0</v>
      </c>
      <c r="N150" s="14" t="s">
        <v>61</v>
      </c>
      <c r="O150" s="14" t="s">
        <v>62</v>
      </c>
    </row>
    <row r="151" customFormat="false" ht="15" hidden="false" customHeight="false" outlineLevel="0" collapsed="false">
      <c r="A151" s="3" t="s">
        <v>4521</v>
      </c>
      <c r="B151" s="3" t="s">
        <v>4709</v>
      </c>
      <c r="C151" s="3" t="s">
        <v>266</v>
      </c>
      <c r="D151" s="3" t="s">
        <v>2764</v>
      </c>
      <c r="E151" s="3" t="s">
        <v>56</v>
      </c>
      <c r="F151" s="12" t="n">
        <v>380000</v>
      </c>
      <c r="G151" s="13" t="n">
        <v>0.75</v>
      </c>
      <c r="H151" s="13" t="n">
        <v>1.1</v>
      </c>
      <c r="I151" s="13" t="n">
        <v>0.761</v>
      </c>
      <c r="J151" s="13" t="n">
        <v>0.53</v>
      </c>
      <c r="K151" s="12" t="n">
        <f aca="false">ROUND(F151/100*G151*H151*I151/J151,2)</f>
        <v>4501.39</v>
      </c>
      <c r="L151" s="12" t="n">
        <v>4501.38</v>
      </c>
      <c r="M151" s="12" t="n">
        <f aca="false">L151-K151</f>
        <v>-0.0100000000002183</v>
      </c>
      <c r="N151" s="3" t="s">
        <v>61</v>
      </c>
      <c r="O151" s="3" t="s">
        <v>62</v>
      </c>
    </row>
    <row r="152" customFormat="false" ht="15" hidden="false" customHeight="false" outlineLevel="0" collapsed="false">
      <c r="A152" s="14" t="s">
        <v>4523</v>
      </c>
      <c r="B152" s="14" t="s">
        <v>4710</v>
      </c>
      <c r="C152" s="14" t="s">
        <v>417</v>
      </c>
      <c r="D152" s="14" t="s">
        <v>859</v>
      </c>
      <c r="E152" s="14" t="s">
        <v>56</v>
      </c>
      <c r="F152" s="15" t="n">
        <v>955000</v>
      </c>
      <c r="G152" s="16" t="n">
        <v>0.65</v>
      </c>
      <c r="H152" s="16" t="n">
        <v>1.24</v>
      </c>
      <c r="I152" s="16" t="n">
        <v>0.761</v>
      </c>
      <c r="J152" s="16" t="n">
        <v>0.53</v>
      </c>
      <c r="K152" s="15" t="n">
        <f aca="false">ROUND(F152/100*G152*H152*I152/J152,2)</f>
        <v>11052.16</v>
      </c>
      <c r="L152" s="15" t="n">
        <v>11052.16</v>
      </c>
      <c r="M152" s="15" t="n">
        <f aca="false">L152-K152</f>
        <v>0</v>
      </c>
      <c r="N152" s="14" t="s">
        <v>61</v>
      </c>
      <c r="O152" s="14" t="s">
        <v>62</v>
      </c>
    </row>
    <row r="153" customFormat="false" ht="15" hidden="false" customHeight="false" outlineLevel="0" collapsed="false">
      <c r="A153" s="3" t="s">
        <v>4567</v>
      </c>
      <c r="B153" s="3" t="s">
        <v>4711</v>
      </c>
      <c r="C153" s="3" t="s">
        <v>114</v>
      </c>
      <c r="D153" s="3" t="s">
        <v>1599</v>
      </c>
      <c r="E153" s="3" t="s">
        <v>56</v>
      </c>
      <c r="F153" s="12" t="n">
        <v>415000</v>
      </c>
      <c r="G153" s="13" t="n">
        <v>0.75</v>
      </c>
      <c r="H153" s="13" t="n">
        <v>1.36</v>
      </c>
      <c r="I153" s="13" t="n">
        <v>0.761</v>
      </c>
      <c r="J153" s="13" t="n">
        <v>0.53</v>
      </c>
      <c r="K153" s="12" t="n">
        <f aca="false">ROUND(F153/100*G153*H153*I153/J153,2)</f>
        <v>6077.95</v>
      </c>
      <c r="L153" s="12" t="n">
        <v>6077.95</v>
      </c>
      <c r="M153" s="12" t="n">
        <f aca="false">L153-K153</f>
        <v>0</v>
      </c>
      <c r="N153" s="3" t="s">
        <v>51</v>
      </c>
      <c r="O153" s="3" t="s">
        <v>52</v>
      </c>
    </row>
    <row r="154" customFormat="false" ht="15" hidden="false" customHeight="false" outlineLevel="0" collapsed="false">
      <c r="A154" s="14" t="s">
        <v>4617</v>
      </c>
      <c r="B154" s="14" t="s">
        <v>4712</v>
      </c>
      <c r="C154" s="14" t="s">
        <v>237</v>
      </c>
      <c r="D154" s="14" t="s">
        <v>1101</v>
      </c>
      <c r="E154" s="14" t="s">
        <v>56</v>
      </c>
      <c r="F154" s="15" t="n">
        <v>440000</v>
      </c>
      <c r="G154" s="16" t="n">
        <v>0.75</v>
      </c>
      <c r="H154" s="16" t="n">
        <v>1.33</v>
      </c>
      <c r="I154" s="16" t="n">
        <v>0.761</v>
      </c>
      <c r="J154" s="16" t="n">
        <v>0.53</v>
      </c>
      <c r="K154" s="15" t="n">
        <f aca="false">ROUND(F154/100*G154*H154*I154/J154,2)</f>
        <v>6301.94</v>
      </c>
      <c r="L154" s="15" t="n">
        <v>6301.94</v>
      </c>
      <c r="M154" s="15" t="n">
        <f aca="false">L154-K154</f>
        <v>0</v>
      </c>
      <c r="N154" s="14" t="s">
        <v>61</v>
      </c>
      <c r="O154" s="14" t="s">
        <v>62</v>
      </c>
    </row>
    <row r="155" customFormat="false" ht="15" hidden="false" customHeight="false" outlineLevel="0" collapsed="false">
      <c r="A155" s="3" t="s">
        <v>4551</v>
      </c>
      <c r="B155" s="3" t="s">
        <v>4713</v>
      </c>
      <c r="C155" s="3" t="s">
        <v>145</v>
      </c>
      <c r="D155" s="3" t="s">
        <v>2225</v>
      </c>
      <c r="E155" s="3" t="s">
        <v>56</v>
      </c>
      <c r="F155" s="12" t="n">
        <v>490000</v>
      </c>
      <c r="G155" s="13" t="n">
        <v>0.75</v>
      </c>
      <c r="H155" s="13" t="n">
        <v>0.96</v>
      </c>
      <c r="I155" s="13" t="n">
        <v>0.761</v>
      </c>
      <c r="J155" s="13" t="n">
        <v>0.53</v>
      </c>
      <c r="K155" s="12" t="n">
        <f aca="false">ROUND(F155/100*G155*H155*I155/J155,2)</f>
        <v>5065.68</v>
      </c>
      <c r="L155" s="12" t="n">
        <v>5065.67</v>
      </c>
      <c r="M155" s="12" t="n">
        <f aca="false">L155-K155</f>
        <v>-0.0100000000002183</v>
      </c>
      <c r="N155" s="3" t="s">
        <v>70</v>
      </c>
      <c r="O155" s="3" t="s">
        <v>52</v>
      </c>
    </row>
    <row r="156" customFormat="false" ht="15" hidden="false" customHeight="false" outlineLevel="0" collapsed="false">
      <c r="A156" s="14" t="s">
        <v>4580</v>
      </c>
      <c r="B156" s="14" t="s">
        <v>4714</v>
      </c>
      <c r="C156" s="14" t="s">
        <v>81</v>
      </c>
      <c r="D156" s="14" t="s">
        <v>4715</v>
      </c>
      <c r="E156" s="14" t="s">
        <v>157</v>
      </c>
      <c r="F156" s="15" t="n">
        <v>555000</v>
      </c>
      <c r="G156" s="16" t="n">
        <v>0.78</v>
      </c>
      <c r="H156" s="16" t="n">
        <v>1.27</v>
      </c>
      <c r="I156" s="16" t="n">
        <v>0.761</v>
      </c>
      <c r="J156" s="16" t="n">
        <v>0.53</v>
      </c>
      <c r="K156" s="15" t="n">
        <f aca="false">ROUND(F156/100*G156*H156*I156/J156,2)</f>
        <v>7894.05</v>
      </c>
      <c r="L156" s="15" t="n">
        <v>7894.05</v>
      </c>
      <c r="M156" s="15" t="n">
        <f aca="false">L156-K156</f>
        <v>0</v>
      </c>
      <c r="N156" s="14" t="s">
        <v>61</v>
      </c>
      <c r="O156" s="14" t="s">
        <v>62</v>
      </c>
    </row>
    <row r="157" customFormat="false" ht="15" hidden="false" customHeight="false" outlineLevel="0" collapsed="false">
      <c r="A157" s="3" t="s">
        <v>4592</v>
      </c>
      <c r="B157" s="3" t="s">
        <v>4716</v>
      </c>
      <c r="C157" s="3" t="s">
        <v>89</v>
      </c>
      <c r="D157" s="3" t="s">
        <v>4717</v>
      </c>
      <c r="E157" s="3" t="s">
        <v>50</v>
      </c>
      <c r="F157" s="12" t="n">
        <v>950000</v>
      </c>
      <c r="G157" s="13" t="n">
        <v>0.95</v>
      </c>
      <c r="H157" s="13" t="n">
        <v>1.35</v>
      </c>
      <c r="I157" s="13" t="n">
        <v>0.761</v>
      </c>
      <c r="J157" s="13" t="n">
        <v>0.53</v>
      </c>
      <c r="K157" s="12" t="n">
        <f aca="false">ROUND(F157/100*G157*H157*I157/J157,2)</f>
        <v>17494.03</v>
      </c>
      <c r="L157" s="12" t="n">
        <v>17494.03</v>
      </c>
      <c r="M157" s="12" t="n">
        <f aca="false">L157-K157</f>
        <v>0</v>
      </c>
      <c r="N157" s="3" t="s">
        <v>61</v>
      </c>
      <c r="O157" s="3" t="s">
        <v>62</v>
      </c>
    </row>
    <row r="158" customFormat="false" ht="15" hidden="false" customHeight="false" outlineLevel="0" collapsed="false">
      <c r="A158" s="14" t="s">
        <v>4527</v>
      </c>
      <c r="B158" s="14" t="s">
        <v>4718</v>
      </c>
      <c r="C158" s="14" t="s">
        <v>300</v>
      </c>
      <c r="D158" s="14" t="s">
        <v>2126</v>
      </c>
      <c r="E158" s="14" t="s">
        <v>56</v>
      </c>
      <c r="F158" s="15" t="n">
        <v>1900000</v>
      </c>
      <c r="G158" s="16" t="n">
        <v>0.55</v>
      </c>
      <c r="H158" s="16" t="n">
        <v>1.11</v>
      </c>
      <c r="I158" s="16" t="n">
        <v>0.761</v>
      </c>
      <c r="J158" s="16" t="n">
        <v>0.53</v>
      </c>
      <c r="K158" s="15" t="n">
        <f aca="false">ROUND(F158/100*G158*H158*I158/J158,2)</f>
        <v>16655.13</v>
      </c>
      <c r="L158" s="15" t="n">
        <v>16655.13</v>
      </c>
      <c r="M158" s="15" t="n">
        <f aca="false">L158-K158</f>
        <v>0</v>
      </c>
      <c r="N158" s="14" t="s">
        <v>70</v>
      </c>
      <c r="O158" s="14" t="s">
        <v>52</v>
      </c>
    </row>
    <row r="159" customFormat="false" ht="15" hidden="false" customHeight="false" outlineLevel="0" collapsed="false">
      <c r="A159" s="3" t="s">
        <v>4534</v>
      </c>
      <c r="B159" s="3" t="s">
        <v>4719</v>
      </c>
      <c r="C159" s="3" t="s">
        <v>174</v>
      </c>
      <c r="D159" s="3" t="s">
        <v>3174</v>
      </c>
      <c r="E159" s="3" t="s">
        <v>50</v>
      </c>
      <c r="F159" s="12" t="n">
        <v>390000</v>
      </c>
      <c r="G159" s="13" t="n">
        <v>1.15</v>
      </c>
      <c r="H159" s="13" t="n">
        <v>1.55</v>
      </c>
      <c r="I159" s="13" t="n">
        <v>0.761</v>
      </c>
      <c r="J159" s="13" t="n">
        <v>0.53</v>
      </c>
      <c r="K159" s="12" t="n">
        <f aca="false">ROUND(F159/100*G159*H159*I159/J159,2)</f>
        <v>9981.66</v>
      </c>
      <c r="L159" s="12" t="n">
        <v>9981.66</v>
      </c>
      <c r="M159" s="12" t="n">
        <f aca="false">L159-K159</f>
        <v>0</v>
      </c>
      <c r="N159" s="3" t="s">
        <v>61</v>
      </c>
      <c r="O159" s="3" t="s">
        <v>62</v>
      </c>
    </row>
    <row r="160" customFormat="false" ht="15" hidden="false" customHeight="false" outlineLevel="0" collapsed="false">
      <c r="A160" s="14" t="s">
        <v>4531</v>
      </c>
      <c r="B160" s="14" t="s">
        <v>4720</v>
      </c>
      <c r="C160" s="14" t="s">
        <v>120</v>
      </c>
      <c r="D160" s="14" t="s">
        <v>2511</v>
      </c>
      <c r="E160" s="14" t="s">
        <v>56</v>
      </c>
      <c r="F160" s="15" t="n">
        <v>325000</v>
      </c>
      <c r="G160" s="16" t="n">
        <v>0.75</v>
      </c>
      <c r="H160" s="16" t="n">
        <v>1.15</v>
      </c>
      <c r="I160" s="16" t="n">
        <v>0.761</v>
      </c>
      <c r="J160" s="16" t="n">
        <v>0.53</v>
      </c>
      <c r="K160" s="15" t="n">
        <f aca="false">ROUND(F160/100*G160*H160*I160/J160,2)</f>
        <v>4024.86</v>
      </c>
      <c r="L160" s="15" t="n">
        <v>4024.87</v>
      </c>
      <c r="M160" s="15" t="n">
        <f aca="false">L160-K160</f>
        <v>0.00999999999976353</v>
      </c>
      <c r="N160" s="14" t="s">
        <v>51</v>
      </c>
      <c r="O160" s="14" t="s">
        <v>52</v>
      </c>
    </row>
    <row r="161" customFormat="false" ht="15" hidden="false" customHeight="false" outlineLevel="0" collapsed="false">
      <c r="A161" s="3" t="s">
        <v>4592</v>
      </c>
      <c r="B161" s="3" t="s">
        <v>4721</v>
      </c>
      <c r="C161" s="3" t="s">
        <v>887</v>
      </c>
      <c r="D161" s="3" t="s">
        <v>3244</v>
      </c>
      <c r="E161" s="3" t="s">
        <v>50</v>
      </c>
      <c r="F161" s="12" t="n">
        <v>395000</v>
      </c>
      <c r="G161" s="13" t="n">
        <v>1.15</v>
      </c>
      <c r="H161" s="13" t="n">
        <v>1.37</v>
      </c>
      <c r="I161" s="13" t="n">
        <v>0.761</v>
      </c>
      <c r="J161" s="13" t="n">
        <v>0.53</v>
      </c>
      <c r="K161" s="12" t="n">
        <f aca="false">ROUND(F161/100*G161*H161*I161/J161,2)</f>
        <v>8935.61</v>
      </c>
      <c r="L161" s="12" t="n">
        <v>8935.61</v>
      </c>
      <c r="M161" s="12" t="n">
        <f aca="false">L161-K161</f>
        <v>0</v>
      </c>
      <c r="N161" s="3" t="s">
        <v>61</v>
      </c>
      <c r="O161" s="3" t="s">
        <v>62</v>
      </c>
    </row>
    <row r="162" customFormat="false" ht="15" hidden="false" customHeight="false" outlineLevel="0" collapsed="false">
      <c r="A162" s="14" t="s">
        <v>4551</v>
      </c>
      <c r="B162" s="14" t="s">
        <v>4722</v>
      </c>
      <c r="C162" s="14" t="s">
        <v>136</v>
      </c>
      <c r="D162" s="14" t="s">
        <v>733</v>
      </c>
      <c r="E162" s="14" t="s">
        <v>56</v>
      </c>
      <c r="F162" s="15" t="n">
        <v>630000</v>
      </c>
      <c r="G162" s="16" t="n">
        <v>0.65</v>
      </c>
      <c r="H162" s="16" t="n">
        <v>1.32</v>
      </c>
      <c r="I162" s="16" t="n">
        <v>0.761</v>
      </c>
      <c r="J162" s="16" t="n">
        <v>0.53</v>
      </c>
      <c r="K162" s="15" t="n">
        <f aca="false">ROUND(F162/100*G162*H162*I162/J162,2)</f>
        <v>7761.34</v>
      </c>
      <c r="L162" s="15" t="n">
        <v>7761.34</v>
      </c>
      <c r="M162" s="15" t="n">
        <f aca="false">L162-K162</f>
        <v>0</v>
      </c>
      <c r="N162" s="14" t="s">
        <v>51</v>
      </c>
      <c r="O162" s="14" t="s">
        <v>52</v>
      </c>
    </row>
    <row r="163" customFormat="false" ht="15" hidden="false" customHeight="false" outlineLevel="0" collapsed="false">
      <c r="A163" s="3" t="s">
        <v>4557</v>
      </c>
      <c r="B163" s="3" t="s">
        <v>4723</v>
      </c>
      <c r="C163" s="3" t="s">
        <v>89</v>
      </c>
      <c r="D163" s="3" t="s">
        <v>1542</v>
      </c>
      <c r="E163" s="3" t="s">
        <v>56</v>
      </c>
      <c r="F163" s="12" t="n">
        <v>990000</v>
      </c>
      <c r="G163" s="13" t="n">
        <v>0.65</v>
      </c>
      <c r="H163" s="13" t="n">
        <v>1.35</v>
      </c>
      <c r="I163" s="13" t="n">
        <v>0.761</v>
      </c>
      <c r="J163" s="13" t="n">
        <v>0.53</v>
      </c>
      <c r="K163" s="12" t="n">
        <f aca="false">ROUND(F163/100*G163*H163*I163/J163,2)</f>
        <v>12473.58</v>
      </c>
      <c r="L163" s="12" t="n">
        <v>12473.58</v>
      </c>
      <c r="M163" s="12" t="n">
        <f aca="false">L163-K163</f>
        <v>0</v>
      </c>
      <c r="N163" s="3" t="s">
        <v>61</v>
      </c>
      <c r="O163" s="3" t="s">
        <v>62</v>
      </c>
    </row>
    <row r="164" customFormat="false" ht="15" hidden="false" customHeight="false" outlineLevel="0" collapsed="false">
      <c r="A164" s="14" t="s">
        <v>4523</v>
      </c>
      <c r="B164" s="14" t="s">
        <v>4724</v>
      </c>
      <c r="C164" s="14" t="s">
        <v>224</v>
      </c>
      <c r="D164" s="14" t="s">
        <v>743</v>
      </c>
      <c r="E164" s="14" t="s">
        <v>50</v>
      </c>
      <c r="F164" s="15" t="n">
        <v>1600000</v>
      </c>
      <c r="G164" s="16" t="n">
        <v>0.8</v>
      </c>
      <c r="H164" s="16" t="n">
        <v>1.1</v>
      </c>
      <c r="I164" s="16" t="n">
        <v>0.761</v>
      </c>
      <c r="J164" s="16" t="n">
        <v>0.53</v>
      </c>
      <c r="K164" s="15" t="n">
        <f aca="false">ROUND(F164/100*G164*H164*I164/J164,2)</f>
        <v>20216.75</v>
      </c>
      <c r="L164" s="15" t="n">
        <v>20216.76</v>
      </c>
      <c r="M164" s="15" t="n">
        <f aca="false">L164-K164</f>
        <v>0.00999999999839929</v>
      </c>
      <c r="N164" s="14" t="s">
        <v>70</v>
      </c>
      <c r="O164" s="14" t="s">
        <v>52</v>
      </c>
    </row>
    <row r="165" customFormat="false" ht="15" hidden="false" customHeight="false" outlineLevel="0" collapsed="false">
      <c r="A165" s="3" t="s">
        <v>4617</v>
      </c>
      <c r="B165" s="3" t="s">
        <v>4725</v>
      </c>
      <c r="C165" s="3" t="s">
        <v>89</v>
      </c>
      <c r="D165" s="3" t="s">
        <v>2526</v>
      </c>
      <c r="E165" s="3" t="s">
        <v>74</v>
      </c>
      <c r="F165" s="12" t="n">
        <v>1615000</v>
      </c>
      <c r="G165" s="13" t="n">
        <v>0.38</v>
      </c>
      <c r="H165" s="13" t="n">
        <v>1.35</v>
      </c>
      <c r="I165" s="13" t="n">
        <v>0.761</v>
      </c>
      <c r="J165" s="13" t="n">
        <v>0.53</v>
      </c>
      <c r="K165" s="12" t="n">
        <f aca="false">ROUND(F165/100*G165*H165*I165/J165,2)</f>
        <v>11895.94</v>
      </c>
      <c r="L165" s="12" t="n">
        <v>11895.94</v>
      </c>
      <c r="M165" s="12" t="n">
        <f aca="false">L165-K165</f>
        <v>0</v>
      </c>
      <c r="N165" s="3" t="s">
        <v>61</v>
      </c>
      <c r="O165" s="3" t="s">
        <v>62</v>
      </c>
    </row>
    <row r="166" customFormat="false" ht="15" hidden="false" customHeight="false" outlineLevel="0" collapsed="false">
      <c r="A166" s="14" t="s">
        <v>4523</v>
      </c>
      <c r="B166" s="14" t="s">
        <v>4726</v>
      </c>
      <c r="C166" s="14" t="s">
        <v>230</v>
      </c>
      <c r="D166" s="14" t="s">
        <v>2822</v>
      </c>
      <c r="E166" s="14" t="s">
        <v>56</v>
      </c>
      <c r="F166" s="15" t="n">
        <v>660000</v>
      </c>
      <c r="G166" s="16" t="n">
        <v>0.65</v>
      </c>
      <c r="H166" s="16" t="n">
        <v>1.09</v>
      </c>
      <c r="I166" s="16" t="n">
        <v>0.761</v>
      </c>
      <c r="J166" s="16" t="n">
        <v>0.53</v>
      </c>
      <c r="K166" s="15" t="n">
        <f aca="false">ROUND(F166/100*G166*H166*I166/J166,2)</f>
        <v>6714.17</v>
      </c>
      <c r="L166" s="15" t="n">
        <v>6714.17</v>
      </c>
      <c r="M166" s="15" t="n">
        <f aca="false">L166-K166</f>
        <v>0</v>
      </c>
      <c r="N166" s="14" t="s">
        <v>61</v>
      </c>
      <c r="O166" s="14" t="s">
        <v>62</v>
      </c>
    </row>
    <row r="167" customFormat="false" ht="15" hidden="false" customHeight="false" outlineLevel="0" collapsed="false">
      <c r="A167" s="3" t="s">
        <v>4589</v>
      </c>
      <c r="B167" s="3" t="s">
        <v>4727</v>
      </c>
      <c r="C167" s="3" t="s">
        <v>193</v>
      </c>
      <c r="D167" s="3" t="s">
        <v>743</v>
      </c>
      <c r="E167" s="3" t="s">
        <v>50</v>
      </c>
      <c r="F167" s="12" t="n">
        <v>1950000</v>
      </c>
      <c r="G167" s="13" t="n">
        <v>0.8</v>
      </c>
      <c r="H167" s="13" t="n">
        <v>1.25</v>
      </c>
      <c r="I167" s="13" t="n">
        <v>0.761</v>
      </c>
      <c r="J167" s="13" t="n">
        <v>0.53</v>
      </c>
      <c r="K167" s="12" t="n">
        <f aca="false">ROUND(F167/100*G167*H167*I167/J167,2)</f>
        <v>27999.06</v>
      </c>
      <c r="L167" s="12" t="n">
        <v>27999.05</v>
      </c>
      <c r="M167" s="12" t="n">
        <f aca="false">L167-K167</f>
        <v>-0.0100000000020373</v>
      </c>
      <c r="N167" s="3" t="s">
        <v>70</v>
      </c>
      <c r="O167" s="3" t="s">
        <v>52</v>
      </c>
    </row>
    <row r="168" customFormat="false" ht="15" hidden="false" customHeight="false" outlineLevel="0" collapsed="false">
      <c r="A168" s="14" t="s">
        <v>4578</v>
      </c>
      <c r="B168" s="14" t="s">
        <v>4728</v>
      </c>
      <c r="C168" s="14" t="s">
        <v>136</v>
      </c>
      <c r="D168" s="14" t="s">
        <v>381</v>
      </c>
      <c r="E168" s="14" t="s">
        <v>74</v>
      </c>
      <c r="F168" s="15" t="n">
        <v>1610000</v>
      </c>
      <c r="G168" s="16" t="n">
        <v>0.38</v>
      </c>
      <c r="H168" s="16" t="n">
        <v>1.32</v>
      </c>
      <c r="I168" s="16" t="n">
        <v>0.761</v>
      </c>
      <c r="J168" s="16" t="n">
        <v>0.53</v>
      </c>
      <c r="K168" s="15" t="n">
        <f aca="false">ROUND(F168/100*G168*H168*I168/J168,2)</f>
        <v>11595.57</v>
      </c>
      <c r="L168" s="15" t="n">
        <v>11595.57</v>
      </c>
      <c r="M168" s="15" t="n">
        <f aca="false">L168-K168</f>
        <v>0</v>
      </c>
      <c r="N168" s="14" t="s">
        <v>61</v>
      </c>
      <c r="O168" s="14" t="s">
        <v>62</v>
      </c>
    </row>
    <row r="169" customFormat="false" ht="15" hidden="false" customHeight="false" outlineLevel="0" collapsed="false">
      <c r="A169" s="3" t="s">
        <v>4540</v>
      </c>
      <c r="B169" s="3" t="s">
        <v>4729</v>
      </c>
      <c r="C169" s="3" t="s">
        <v>142</v>
      </c>
      <c r="D169" s="3" t="s">
        <v>634</v>
      </c>
      <c r="E169" s="3" t="s">
        <v>56</v>
      </c>
      <c r="F169" s="12" t="n">
        <v>545000</v>
      </c>
      <c r="G169" s="13" t="n">
        <v>0.65</v>
      </c>
      <c r="H169" s="13" t="n">
        <v>1.22</v>
      </c>
      <c r="I169" s="13" t="n">
        <v>0.761</v>
      </c>
      <c r="J169" s="13" t="n">
        <v>0.53</v>
      </c>
      <c r="K169" s="12" t="n">
        <f aca="false">ROUND(F169/100*G169*H169*I169/J169,2)</f>
        <v>6205.52</v>
      </c>
      <c r="L169" s="12" t="n">
        <v>6205.52</v>
      </c>
      <c r="M169" s="12" t="n">
        <f aca="false">L169-K169</f>
        <v>0</v>
      </c>
      <c r="N169" s="3" t="s">
        <v>61</v>
      </c>
      <c r="O169" s="3" t="s">
        <v>62</v>
      </c>
    </row>
    <row r="170" customFormat="false" ht="15" hidden="false" customHeight="false" outlineLevel="0" collapsed="false">
      <c r="A170" s="14" t="s">
        <v>4644</v>
      </c>
      <c r="B170" s="14" t="s">
        <v>4730</v>
      </c>
      <c r="C170" s="14" t="s">
        <v>93</v>
      </c>
      <c r="D170" s="14" t="s">
        <v>4731</v>
      </c>
      <c r="E170" s="14" t="s">
        <v>133</v>
      </c>
      <c r="F170" s="15" t="n">
        <v>580000</v>
      </c>
      <c r="G170" s="16" t="n">
        <v>0.38</v>
      </c>
      <c r="H170" s="16" t="n">
        <v>1.39</v>
      </c>
      <c r="I170" s="16" t="n">
        <v>0.761</v>
      </c>
      <c r="J170" s="16" t="n">
        <v>0.53</v>
      </c>
      <c r="K170" s="15" t="n">
        <f aca="false">ROUND(F170/100*G170*H170*I170/J170,2)</f>
        <v>4398.81</v>
      </c>
      <c r="L170" s="15" t="n">
        <v>4398.81</v>
      </c>
      <c r="M170" s="15" t="n">
        <f aca="false">L170-K170</f>
        <v>0</v>
      </c>
      <c r="N170" s="14" t="s">
        <v>61</v>
      </c>
      <c r="O170" s="14" t="s">
        <v>62</v>
      </c>
    </row>
    <row r="171" customFormat="false" ht="15" hidden="false" customHeight="false" outlineLevel="0" collapsed="false">
      <c r="A171" s="3" t="s">
        <v>4571</v>
      </c>
      <c r="B171" s="3" t="s">
        <v>4732</v>
      </c>
      <c r="C171" s="3" t="s">
        <v>105</v>
      </c>
      <c r="D171" s="3" t="s">
        <v>78</v>
      </c>
      <c r="E171" s="3" t="s">
        <v>56</v>
      </c>
      <c r="F171" s="12" t="n">
        <v>555000</v>
      </c>
      <c r="G171" s="13" t="n">
        <v>0.65</v>
      </c>
      <c r="H171" s="13" t="n">
        <v>0.99</v>
      </c>
      <c r="I171" s="13" t="n">
        <v>0.761</v>
      </c>
      <c r="J171" s="13" t="n">
        <v>0.53</v>
      </c>
      <c r="K171" s="12" t="n">
        <f aca="false">ROUND(F171/100*G171*H171*I171/J171,2)</f>
        <v>5128.03</v>
      </c>
      <c r="L171" s="12" t="n">
        <v>5128.03</v>
      </c>
      <c r="M171" s="12" t="n">
        <f aca="false">L171-K171</f>
        <v>0</v>
      </c>
      <c r="N171" s="3" t="s">
        <v>61</v>
      </c>
      <c r="O171" s="3" t="s">
        <v>62</v>
      </c>
    </row>
    <row r="172" customFormat="false" ht="15" hidden="false" customHeight="false" outlineLevel="0" collapsed="false">
      <c r="A172" s="14" t="s">
        <v>4615</v>
      </c>
      <c r="B172" s="14" t="s">
        <v>4733</v>
      </c>
      <c r="C172" s="14" t="s">
        <v>81</v>
      </c>
      <c r="D172" s="14" t="s">
        <v>1146</v>
      </c>
      <c r="E172" s="14" t="s">
        <v>56</v>
      </c>
      <c r="F172" s="15" t="n">
        <v>720000</v>
      </c>
      <c r="G172" s="16" t="n">
        <v>0.65</v>
      </c>
      <c r="H172" s="16" t="n">
        <v>1.27</v>
      </c>
      <c r="I172" s="16" t="n">
        <v>0.761</v>
      </c>
      <c r="J172" s="16" t="n">
        <v>0.53</v>
      </c>
      <c r="K172" s="15" t="n">
        <f aca="false">ROUND(F172/100*G172*H172*I172/J172,2)</f>
        <v>8534.11</v>
      </c>
      <c r="L172" s="15" t="n">
        <v>8534.11</v>
      </c>
      <c r="M172" s="15" t="n">
        <f aca="false">L172-K172</f>
        <v>0</v>
      </c>
      <c r="N172" s="14" t="s">
        <v>51</v>
      </c>
      <c r="O172" s="14" t="s">
        <v>52</v>
      </c>
    </row>
    <row r="173" customFormat="false" ht="15" hidden="false" customHeight="false" outlineLevel="0" collapsed="false">
      <c r="A173" s="3" t="s">
        <v>4693</v>
      </c>
      <c r="B173" s="3" t="s">
        <v>4734</v>
      </c>
      <c r="C173" s="3" t="s">
        <v>224</v>
      </c>
      <c r="D173" s="3" t="s">
        <v>1769</v>
      </c>
      <c r="E173" s="3" t="s">
        <v>56</v>
      </c>
      <c r="F173" s="12" t="n">
        <v>500000</v>
      </c>
      <c r="G173" s="13" t="n">
        <v>0.65</v>
      </c>
      <c r="H173" s="13" t="n">
        <v>1.1</v>
      </c>
      <c r="I173" s="13" t="n">
        <v>0.761</v>
      </c>
      <c r="J173" s="13" t="n">
        <v>0.53</v>
      </c>
      <c r="K173" s="12" t="n">
        <f aca="false">ROUND(F173/100*G173*H173*I173/J173,2)</f>
        <v>5133.16</v>
      </c>
      <c r="L173" s="12" t="n">
        <v>5133.16</v>
      </c>
      <c r="M173" s="12" t="n">
        <f aca="false">L173-K173</f>
        <v>0</v>
      </c>
      <c r="N173" s="3" t="s">
        <v>51</v>
      </c>
      <c r="O173" s="3" t="s">
        <v>52</v>
      </c>
    </row>
    <row r="174" customFormat="false" ht="15" hidden="false" customHeight="false" outlineLevel="0" collapsed="false">
      <c r="A174" s="14" t="s">
        <v>4557</v>
      </c>
      <c r="B174" s="14" t="s">
        <v>4735</v>
      </c>
      <c r="C174" s="14" t="s">
        <v>117</v>
      </c>
      <c r="D174" s="14" t="s">
        <v>2492</v>
      </c>
      <c r="E174" s="14" t="s">
        <v>56</v>
      </c>
      <c r="F174" s="15" t="n">
        <v>715000</v>
      </c>
      <c r="G174" s="16" t="n">
        <v>0.65</v>
      </c>
      <c r="H174" s="16" t="n">
        <v>0.91</v>
      </c>
      <c r="I174" s="16" t="n">
        <v>0.761</v>
      </c>
      <c r="J174" s="16" t="n">
        <v>0.53</v>
      </c>
      <c r="K174" s="15" t="n">
        <f aca="false">ROUND(F174/100*G174*H174*I174/J174,2)</f>
        <v>6072.53</v>
      </c>
      <c r="L174" s="15" t="n">
        <v>6072.53</v>
      </c>
      <c r="M174" s="15" t="n">
        <f aca="false">L174-K174</f>
        <v>0</v>
      </c>
      <c r="N174" s="14" t="s">
        <v>61</v>
      </c>
      <c r="O174" s="14" t="s">
        <v>62</v>
      </c>
    </row>
    <row r="175" customFormat="false" ht="15" hidden="false" customHeight="false" outlineLevel="0" collapsed="false">
      <c r="A175" s="3" t="s">
        <v>4617</v>
      </c>
      <c r="B175" s="3" t="s">
        <v>4736</v>
      </c>
      <c r="C175" s="3" t="s">
        <v>48</v>
      </c>
      <c r="D175" s="3" t="s">
        <v>1258</v>
      </c>
      <c r="E175" s="3" t="s">
        <v>50</v>
      </c>
      <c r="F175" s="12" t="n">
        <v>500000</v>
      </c>
      <c r="G175" s="13" t="n">
        <v>0.95</v>
      </c>
      <c r="H175" s="13" t="n">
        <v>1.28</v>
      </c>
      <c r="I175" s="13" t="n">
        <v>0.761</v>
      </c>
      <c r="J175" s="13" t="n">
        <v>0.53</v>
      </c>
      <c r="K175" s="12" t="n">
        <f aca="false">ROUND(F175/100*G175*H175*I175/J175,2)</f>
        <v>8729.96</v>
      </c>
      <c r="L175" s="12" t="n">
        <v>8729.96</v>
      </c>
      <c r="M175" s="12" t="n">
        <f aca="false">L175-K175</f>
        <v>0</v>
      </c>
      <c r="N175" s="3" t="s">
        <v>61</v>
      </c>
      <c r="O175" s="3" t="s">
        <v>62</v>
      </c>
    </row>
    <row r="176" customFormat="false" ht="15" hidden="false" customHeight="false" outlineLevel="0" collapsed="false">
      <c r="A176" s="14" t="s">
        <v>4525</v>
      </c>
      <c r="B176" s="14" t="s">
        <v>4737</v>
      </c>
      <c r="C176" s="14" t="s">
        <v>435</v>
      </c>
      <c r="D176" s="14" t="s">
        <v>4738</v>
      </c>
      <c r="E176" s="14" t="s">
        <v>50</v>
      </c>
      <c r="F176" s="15" t="n">
        <v>1205000</v>
      </c>
      <c r="G176" s="16" t="n">
        <v>0.8</v>
      </c>
      <c r="H176" s="16" t="n">
        <v>1.13</v>
      </c>
      <c r="I176" s="16" t="n">
        <v>0.761</v>
      </c>
      <c r="J176" s="16" t="n">
        <v>0.53</v>
      </c>
      <c r="K176" s="15" t="n">
        <f aca="false">ROUND(F176/100*G176*H176*I176/J176,2)</f>
        <v>15640.99</v>
      </c>
      <c r="L176" s="15" t="n">
        <v>15640.99</v>
      </c>
      <c r="M176" s="15" t="n">
        <f aca="false">L176-K176</f>
        <v>0</v>
      </c>
      <c r="N176" s="14" t="s">
        <v>61</v>
      </c>
      <c r="O176" s="14" t="s">
        <v>62</v>
      </c>
    </row>
    <row r="177" customFormat="false" ht="15" hidden="false" customHeight="false" outlineLevel="0" collapsed="false">
      <c r="A177" s="3" t="s">
        <v>4527</v>
      </c>
      <c r="B177" s="3" t="s">
        <v>4739</v>
      </c>
      <c r="C177" s="3" t="s">
        <v>145</v>
      </c>
      <c r="D177" s="3" t="s">
        <v>3238</v>
      </c>
      <c r="E177" s="3" t="s">
        <v>56</v>
      </c>
      <c r="F177" s="12" t="n">
        <v>300000</v>
      </c>
      <c r="G177" s="13" t="n">
        <v>0.75</v>
      </c>
      <c r="H177" s="13" t="n">
        <v>0.96</v>
      </c>
      <c r="I177" s="13" t="n">
        <v>0.761</v>
      </c>
      <c r="J177" s="13" t="n">
        <v>0.53</v>
      </c>
      <c r="K177" s="12" t="n">
        <f aca="false">ROUND(F177/100*G177*H177*I177/J177,2)</f>
        <v>3101.43</v>
      </c>
      <c r="L177" s="12" t="n">
        <v>3101.43</v>
      </c>
      <c r="M177" s="12" t="n">
        <f aca="false">L177-K177</f>
        <v>0</v>
      </c>
      <c r="N177" s="3" t="s">
        <v>61</v>
      </c>
      <c r="O177" s="3" t="s">
        <v>62</v>
      </c>
    </row>
    <row r="178" customFormat="false" ht="15" hidden="false" customHeight="false" outlineLevel="0" collapsed="false">
      <c r="A178" s="14" t="s">
        <v>4557</v>
      </c>
      <c r="B178" s="14" t="s">
        <v>4740</v>
      </c>
      <c r="C178" s="14" t="s">
        <v>275</v>
      </c>
      <c r="D178" s="14" t="s">
        <v>2124</v>
      </c>
      <c r="E178" s="14" t="s">
        <v>56</v>
      </c>
      <c r="F178" s="15" t="n">
        <v>650000</v>
      </c>
      <c r="G178" s="16" t="n">
        <v>0.65</v>
      </c>
      <c r="H178" s="16" t="n">
        <v>1.19</v>
      </c>
      <c r="I178" s="16" t="n">
        <v>0.761</v>
      </c>
      <c r="J178" s="16" t="n">
        <v>0.53</v>
      </c>
      <c r="K178" s="15" t="n">
        <f aca="false">ROUND(F178/100*G178*H178*I178/J178,2)</f>
        <v>7219.09</v>
      </c>
      <c r="L178" s="15" t="n">
        <v>7219.09</v>
      </c>
      <c r="M178" s="15" t="n">
        <f aca="false">L178-K178</f>
        <v>0</v>
      </c>
      <c r="N178" s="14" t="s">
        <v>61</v>
      </c>
      <c r="O178" s="14" t="s">
        <v>62</v>
      </c>
    </row>
    <row r="179" customFormat="false" ht="15" hidden="false" customHeight="false" outlineLevel="0" collapsed="false">
      <c r="A179" s="3" t="s">
        <v>4589</v>
      </c>
      <c r="B179" s="3" t="s">
        <v>4741</v>
      </c>
      <c r="C179" s="3" t="s">
        <v>136</v>
      </c>
      <c r="D179" s="3" t="s">
        <v>250</v>
      </c>
      <c r="E179" s="3" t="s">
        <v>56</v>
      </c>
      <c r="F179" s="12" t="n">
        <v>1705000</v>
      </c>
      <c r="G179" s="13" t="n">
        <v>0.55</v>
      </c>
      <c r="H179" s="13" t="n">
        <v>1.32</v>
      </c>
      <c r="I179" s="13" t="n">
        <v>0.761</v>
      </c>
      <c r="J179" s="13" t="n">
        <v>0.53</v>
      </c>
      <c r="K179" s="12" t="n">
        <f aca="false">ROUND(F179/100*G179*H179*I179/J179,2)</f>
        <v>17773.37</v>
      </c>
      <c r="L179" s="12" t="n">
        <v>17773.37</v>
      </c>
      <c r="M179" s="12" t="n">
        <f aca="false">L179-K179</f>
        <v>0</v>
      </c>
      <c r="N179" s="3" t="s">
        <v>61</v>
      </c>
      <c r="O179" s="3" t="s">
        <v>62</v>
      </c>
    </row>
    <row r="180" customFormat="false" ht="15" hidden="false" customHeight="false" outlineLevel="0" collapsed="false">
      <c r="A180" s="14" t="s">
        <v>4523</v>
      </c>
      <c r="B180" s="14" t="s">
        <v>4742</v>
      </c>
      <c r="C180" s="14" t="s">
        <v>435</v>
      </c>
      <c r="D180" s="14" t="s">
        <v>4743</v>
      </c>
      <c r="E180" s="14" t="s">
        <v>50</v>
      </c>
      <c r="F180" s="15" t="n">
        <v>1085000</v>
      </c>
      <c r="G180" s="16" t="n">
        <v>0.8</v>
      </c>
      <c r="H180" s="16" t="n">
        <v>1.13</v>
      </c>
      <c r="I180" s="16" t="n">
        <v>0.761</v>
      </c>
      <c r="J180" s="16" t="n">
        <v>0.53</v>
      </c>
      <c r="K180" s="15" t="n">
        <f aca="false">ROUND(F180/100*G180*H180*I180/J180,2)</f>
        <v>14083.38</v>
      </c>
      <c r="L180" s="15" t="n">
        <v>14083.39</v>
      </c>
      <c r="M180" s="15" t="n">
        <f aca="false">L180-K180</f>
        <v>0.0100000000002183</v>
      </c>
      <c r="N180" s="14" t="s">
        <v>61</v>
      </c>
      <c r="O180" s="14" t="s">
        <v>62</v>
      </c>
    </row>
    <row r="181" customFormat="false" ht="15" hidden="false" customHeight="false" outlineLevel="0" collapsed="false">
      <c r="A181" s="3" t="s">
        <v>4547</v>
      </c>
      <c r="B181" s="3" t="s">
        <v>4744</v>
      </c>
      <c r="C181" s="3" t="s">
        <v>152</v>
      </c>
      <c r="D181" s="3" t="s">
        <v>1769</v>
      </c>
      <c r="E181" s="3" t="s">
        <v>56</v>
      </c>
      <c r="F181" s="12" t="n">
        <v>630000</v>
      </c>
      <c r="G181" s="13" t="n">
        <v>0.65</v>
      </c>
      <c r="H181" s="13" t="n">
        <v>1</v>
      </c>
      <c r="I181" s="13" t="n">
        <v>0.761</v>
      </c>
      <c r="J181" s="13" t="n">
        <v>0.53</v>
      </c>
      <c r="K181" s="12" t="n">
        <f aca="false">ROUND(F181/100*G181*H181*I181/J181,2)</f>
        <v>5879.8</v>
      </c>
      <c r="L181" s="12" t="n">
        <v>5879.81</v>
      </c>
      <c r="M181" s="12" t="n">
        <f aca="false">L181-K181</f>
        <v>0.0100000000002183</v>
      </c>
      <c r="N181" s="3" t="s">
        <v>61</v>
      </c>
      <c r="O181" s="3" t="s">
        <v>62</v>
      </c>
    </row>
    <row r="182" customFormat="false" ht="15" hidden="false" customHeight="false" outlineLevel="0" collapsed="false">
      <c r="A182" s="14" t="s">
        <v>4617</v>
      </c>
      <c r="B182" s="14" t="s">
        <v>4745</v>
      </c>
      <c r="C182" s="14" t="s">
        <v>64</v>
      </c>
      <c r="D182" s="14" t="s">
        <v>4746</v>
      </c>
      <c r="E182" s="14" t="s">
        <v>133</v>
      </c>
      <c r="F182" s="15" t="n">
        <v>1950000</v>
      </c>
      <c r="G182" s="16" t="n">
        <v>0.34</v>
      </c>
      <c r="H182" s="16" t="n">
        <v>1.17</v>
      </c>
      <c r="I182" s="16" t="n">
        <v>0.761</v>
      </c>
      <c r="J182" s="16" t="n">
        <v>0.53</v>
      </c>
      <c r="K182" s="15" t="n">
        <f aca="false">ROUND(F182/100*G182*H182*I182/J182,2)</f>
        <v>11138.02</v>
      </c>
      <c r="L182" s="15" t="n">
        <v>11138.03</v>
      </c>
      <c r="M182" s="15" t="n">
        <f aca="false">L182-K182</f>
        <v>0.0100000000002183</v>
      </c>
      <c r="N182" s="14" t="s">
        <v>61</v>
      </c>
      <c r="O182" s="14" t="s">
        <v>62</v>
      </c>
    </row>
    <row r="183" customFormat="false" ht="15" hidden="false" customHeight="false" outlineLevel="0" collapsed="false">
      <c r="A183" s="3" t="s">
        <v>4557</v>
      </c>
      <c r="B183" s="3" t="s">
        <v>4747</v>
      </c>
      <c r="C183" s="3" t="s">
        <v>887</v>
      </c>
      <c r="D183" s="3" t="s">
        <v>857</v>
      </c>
      <c r="E183" s="3" t="s">
        <v>56</v>
      </c>
      <c r="F183" s="12" t="n">
        <v>370000</v>
      </c>
      <c r="G183" s="13" t="n">
        <v>0.75</v>
      </c>
      <c r="H183" s="13" t="n">
        <v>1.37</v>
      </c>
      <c r="I183" s="13" t="n">
        <v>0.761</v>
      </c>
      <c r="J183" s="13" t="n">
        <v>0.53</v>
      </c>
      <c r="K183" s="12" t="n">
        <f aca="false">ROUND(F183/100*G183*H183*I183/J183,2)</f>
        <v>5458.74</v>
      </c>
      <c r="L183" s="12" t="n">
        <v>5458.74</v>
      </c>
      <c r="M183" s="12" t="n">
        <f aca="false">L183-K183</f>
        <v>0</v>
      </c>
      <c r="N183" s="3" t="s">
        <v>61</v>
      </c>
      <c r="O183" s="3" t="s">
        <v>62</v>
      </c>
    </row>
    <row r="184" customFormat="false" ht="15" hidden="false" customHeight="false" outlineLevel="0" collapsed="false">
      <c r="A184" s="14" t="s">
        <v>4521</v>
      </c>
      <c r="B184" s="14" t="s">
        <v>4748</v>
      </c>
      <c r="C184" s="14" t="s">
        <v>417</v>
      </c>
      <c r="D184" s="14" t="s">
        <v>453</v>
      </c>
      <c r="E184" s="14" t="s">
        <v>56</v>
      </c>
      <c r="F184" s="15" t="n">
        <v>925000</v>
      </c>
      <c r="G184" s="16" t="n">
        <v>0.65</v>
      </c>
      <c r="H184" s="16" t="n">
        <v>1.24</v>
      </c>
      <c r="I184" s="16" t="n">
        <v>0.761</v>
      </c>
      <c r="J184" s="16" t="n">
        <v>0.53</v>
      </c>
      <c r="K184" s="15" t="n">
        <f aca="false">ROUND(F184/100*G184*H184*I184/J184,2)</f>
        <v>10704.97</v>
      </c>
      <c r="L184" s="15" t="n">
        <v>10704.97</v>
      </c>
      <c r="M184" s="15" t="n">
        <f aca="false">L184-K184</f>
        <v>0</v>
      </c>
      <c r="N184" s="14" t="s">
        <v>61</v>
      </c>
      <c r="O184" s="14" t="s">
        <v>62</v>
      </c>
    </row>
    <row r="185" customFormat="false" ht="15" hidden="false" customHeight="false" outlineLevel="0" collapsed="false">
      <c r="A185" s="3" t="s">
        <v>4536</v>
      </c>
      <c r="B185" s="3" t="s">
        <v>4749</v>
      </c>
      <c r="C185" s="3" t="s">
        <v>77</v>
      </c>
      <c r="D185" s="3" t="s">
        <v>486</v>
      </c>
      <c r="E185" s="3" t="s">
        <v>56</v>
      </c>
      <c r="F185" s="12" t="n">
        <v>740000</v>
      </c>
      <c r="G185" s="13" t="n">
        <v>0.65</v>
      </c>
      <c r="H185" s="13" t="n">
        <v>1.42</v>
      </c>
      <c r="I185" s="13" t="n">
        <v>0.761</v>
      </c>
      <c r="J185" s="13" t="n">
        <v>0.53</v>
      </c>
      <c r="K185" s="12" t="n">
        <f aca="false">ROUND(F185/100*G185*H185*I185/J185,2)</f>
        <v>9807.14</v>
      </c>
      <c r="L185" s="12" t="n">
        <v>9807.14</v>
      </c>
      <c r="M185" s="12" t="n">
        <f aca="false">L185-K185</f>
        <v>0</v>
      </c>
      <c r="N185" s="3" t="s">
        <v>61</v>
      </c>
      <c r="O185" s="3" t="s">
        <v>62</v>
      </c>
    </row>
    <row r="186" customFormat="false" ht="15" hidden="false" customHeight="false" outlineLevel="0" collapsed="false">
      <c r="A186" s="14" t="s">
        <v>4531</v>
      </c>
      <c r="B186" s="14" t="s">
        <v>4750</v>
      </c>
      <c r="C186" s="14" t="s">
        <v>128</v>
      </c>
      <c r="D186" s="14" t="s">
        <v>1618</v>
      </c>
      <c r="E186" s="14" t="s">
        <v>56</v>
      </c>
      <c r="F186" s="15" t="n">
        <v>770000</v>
      </c>
      <c r="G186" s="16" t="n">
        <v>0.65</v>
      </c>
      <c r="H186" s="16" t="n">
        <v>1.25</v>
      </c>
      <c r="I186" s="16" t="n">
        <v>0.761</v>
      </c>
      <c r="J186" s="16" t="n">
        <v>0.53</v>
      </c>
      <c r="K186" s="15" t="n">
        <f aca="false">ROUND(F186/100*G186*H186*I186/J186,2)</f>
        <v>8983.03</v>
      </c>
      <c r="L186" s="15" t="n">
        <v>8983.03</v>
      </c>
      <c r="M186" s="15" t="n">
        <f aca="false">L186-K186</f>
        <v>0</v>
      </c>
      <c r="N186" s="14" t="s">
        <v>51</v>
      </c>
      <c r="O186" s="14" t="s">
        <v>52</v>
      </c>
    </row>
    <row r="187" customFormat="false" ht="15" hidden="false" customHeight="false" outlineLevel="0" collapsed="false">
      <c r="A187" s="3" t="s">
        <v>4542</v>
      </c>
      <c r="B187" s="3" t="s">
        <v>4751</v>
      </c>
      <c r="C187" s="3" t="s">
        <v>114</v>
      </c>
      <c r="D187" s="3" t="s">
        <v>2515</v>
      </c>
      <c r="E187" s="3" t="s">
        <v>74</v>
      </c>
      <c r="F187" s="12" t="n">
        <v>435000</v>
      </c>
      <c r="G187" s="13" t="n">
        <v>0.48</v>
      </c>
      <c r="H187" s="13" t="n">
        <v>1.36</v>
      </c>
      <c r="I187" s="13" t="n">
        <v>0.761</v>
      </c>
      <c r="J187" s="13" t="n">
        <v>0.53</v>
      </c>
      <c r="K187" s="12" t="n">
        <f aca="false">ROUND(F187/100*G187*H187*I187/J187,2)</f>
        <v>4077.35</v>
      </c>
      <c r="L187" s="12" t="n">
        <v>4077.35</v>
      </c>
      <c r="M187" s="12" t="n">
        <f aca="false">L187-K187</f>
        <v>0</v>
      </c>
      <c r="N187" s="3" t="s">
        <v>61</v>
      </c>
      <c r="O187" s="3" t="s">
        <v>62</v>
      </c>
    </row>
    <row r="188" customFormat="false" ht="15" hidden="false" customHeight="false" outlineLevel="0" collapsed="false">
      <c r="A188" s="14" t="s">
        <v>4551</v>
      </c>
      <c r="B188" s="14" t="s">
        <v>4752</v>
      </c>
      <c r="C188" s="14" t="s">
        <v>300</v>
      </c>
      <c r="D188" s="14" t="s">
        <v>3144</v>
      </c>
      <c r="E188" s="14" t="s">
        <v>56</v>
      </c>
      <c r="F188" s="15" t="n">
        <v>520000</v>
      </c>
      <c r="G188" s="16" t="n">
        <v>0.65</v>
      </c>
      <c r="H188" s="16" t="n">
        <v>1.11</v>
      </c>
      <c r="I188" s="16" t="n">
        <v>0.761</v>
      </c>
      <c r="J188" s="16" t="n">
        <v>0.53</v>
      </c>
      <c r="K188" s="15" t="n">
        <f aca="false">ROUND(F188/100*G188*H188*I188/J188,2)</f>
        <v>5387.02</v>
      </c>
      <c r="L188" s="15" t="n">
        <v>5387.02</v>
      </c>
      <c r="M188" s="15" t="n">
        <f aca="false">L188-K188</f>
        <v>0</v>
      </c>
      <c r="N188" s="14" t="s">
        <v>51</v>
      </c>
      <c r="O188" s="14" t="s">
        <v>52</v>
      </c>
    </row>
    <row r="189" customFormat="false" ht="15" hidden="false" customHeight="false" outlineLevel="0" collapsed="false">
      <c r="A189" s="3" t="s">
        <v>4542</v>
      </c>
      <c r="B189" s="3" t="s">
        <v>4753</v>
      </c>
      <c r="C189" s="3" t="s">
        <v>68</v>
      </c>
      <c r="D189" s="3" t="s">
        <v>1175</v>
      </c>
      <c r="E189" s="3" t="s">
        <v>56</v>
      </c>
      <c r="F189" s="12" t="n">
        <v>880000</v>
      </c>
      <c r="G189" s="13" t="n">
        <v>0.65</v>
      </c>
      <c r="H189" s="13" t="n">
        <v>1.38</v>
      </c>
      <c r="I189" s="13" t="n">
        <v>0.761</v>
      </c>
      <c r="J189" s="13" t="n">
        <v>0.53</v>
      </c>
      <c r="K189" s="12" t="n">
        <f aca="false">ROUND(F189/100*G189*H189*I189/J189,2)</f>
        <v>11334.02</v>
      </c>
      <c r="L189" s="12" t="n">
        <v>11334.01</v>
      </c>
      <c r="M189" s="12" t="n">
        <f aca="false">L189-K189</f>
        <v>-0.0100000000002183</v>
      </c>
      <c r="N189" s="3" t="s">
        <v>61</v>
      </c>
      <c r="O189" s="3" t="s">
        <v>62</v>
      </c>
    </row>
    <row r="190" customFormat="false" ht="15" hidden="false" customHeight="false" outlineLevel="0" collapsed="false">
      <c r="A190" s="14" t="s">
        <v>4525</v>
      </c>
      <c r="B190" s="14" t="s">
        <v>4754</v>
      </c>
      <c r="C190" s="14" t="s">
        <v>142</v>
      </c>
      <c r="D190" s="14" t="s">
        <v>1049</v>
      </c>
      <c r="E190" s="14" t="s">
        <v>56</v>
      </c>
      <c r="F190" s="15" t="n">
        <v>465000</v>
      </c>
      <c r="G190" s="16" t="n">
        <v>0.75</v>
      </c>
      <c r="H190" s="16" t="n">
        <v>1.22</v>
      </c>
      <c r="I190" s="16" t="n">
        <v>0.761</v>
      </c>
      <c r="J190" s="16" t="n">
        <v>0.53</v>
      </c>
      <c r="K190" s="15" t="n">
        <f aca="false">ROUND(F190/100*G190*H190*I190/J190,2)</f>
        <v>6109.18</v>
      </c>
      <c r="L190" s="15" t="n">
        <v>6109.18</v>
      </c>
      <c r="M190" s="15" t="n">
        <f aca="false">L190-K190</f>
        <v>0</v>
      </c>
      <c r="N190" s="14" t="s">
        <v>70</v>
      </c>
      <c r="O190" s="14" t="s">
        <v>52</v>
      </c>
    </row>
    <row r="191" customFormat="false" ht="15" hidden="false" customHeight="false" outlineLevel="0" collapsed="false">
      <c r="A191" s="3" t="s">
        <v>4540</v>
      </c>
      <c r="B191" s="3" t="s">
        <v>4755</v>
      </c>
      <c r="C191" s="3" t="s">
        <v>159</v>
      </c>
      <c r="D191" s="3" t="s">
        <v>622</v>
      </c>
      <c r="E191" s="3" t="s">
        <v>56</v>
      </c>
      <c r="F191" s="12" t="n">
        <v>625000</v>
      </c>
      <c r="G191" s="13" t="n">
        <v>0.65</v>
      </c>
      <c r="H191" s="13" t="n">
        <v>1.15</v>
      </c>
      <c r="I191" s="13" t="n">
        <v>0.761</v>
      </c>
      <c r="J191" s="13" t="n">
        <v>0.53</v>
      </c>
      <c r="K191" s="12" t="n">
        <f aca="false">ROUND(F191/100*G191*H191*I191/J191,2)</f>
        <v>6708.11</v>
      </c>
      <c r="L191" s="12" t="n">
        <v>6708.11</v>
      </c>
      <c r="M191" s="12" t="n">
        <f aca="false">L191-K191</f>
        <v>0</v>
      </c>
      <c r="N191" s="3" t="s">
        <v>51</v>
      </c>
      <c r="O191" s="3" t="s">
        <v>52</v>
      </c>
    </row>
    <row r="192" customFormat="false" ht="15" hidden="false" customHeight="false" outlineLevel="0" collapsed="false">
      <c r="A192" s="14" t="s">
        <v>4567</v>
      </c>
      <c r="B192" s="14" t="s">
        <v>4756</v>
      </c>
      <c r="C192" s="14" t="s">
        <v>81</v>
      </c>
      <c r="D192" s="14" t="s">
        <v>4162</v>
      </c>
      <c r="E192" s="14" t="s">
        <v>56</v>
      </c>
      <c r="F192" s="15" t="n">
        <v>335000</v>
      </c>
      <c r="G192" s="16" t="n">
        <v>0.75</v>
      </c>
      <c r="H192" s="16" t="n">
        <v>1.27</v>
      </c>
      <c r="I192" s="16" t="n">
        <v>0.761</v>
      </c>
      <c r="J192" s="16" t="n">
        <v>0.53</v>
      </c>
      <c r="K192" s="15" t="n">
        <f aca="false">ROUND(F192/100*G192*H192*I192/J192,2)</f>
        <v>4581.61</v>
      </c>
      <c r="L192" s="15" t="n">
        <v>4581.62</v>
      </c>
      <c r="M192" s="15" t="n">
        <f aca="false">L192-K192</f>
        <v>0.0100000000002183</v>
      </c>
      <c r="N192" s="14" t="s">
        <v>61</v>
      </c>
      <c r="O192" s="14" t="s">
        <v>62</v>
      </c>
    </row>
    <row r="193" customFormat="false" ht="15" hidden="false" customHeight="false" outlineLevel="0" collapsed="false">
      <c r="A193" s="3" t="s">
        <v>4567</v>
      </c>
      <c r="B193" s="3" t="s">
        <v>4757</v>
      </c>
      <c r="C193" s="3" t="s">
        <v>64</v>
      </c>
      <c r="D193" s="3" t="s">
        <v>1547</v>
      </c>
      <c r="E193" s="3" t="s">
        <v>56</v>
      </c>
      <c r="F193" s="12" t="n">
        <v>1510000</v>
      </c>
      <c r="G193" s="13" t="n">
        <v>0.55</v>
      </c>
      <c r="H193" s="13" t="n">
        <v>1.17</v>
      </c>
      <c r="I193" s="13" t="n">
        <v>0.761</v>
      </c>
      <c r="J193" s="13" t="n">
        <v>0.53</v>
      </c>
      <c r="K193" s="12" t="n">
        <f aca="false">ROUND(F193/100*G193*H193*I193/J193,2)</f>
        <v>13951.93</v>
      </c>
      <c r="L193" s="12" t="n">
        <v>13951.93</v>
      </c>
      <c r="M193" s="12" t="n">
        <f aca="false">L193-K193</f>
        <v>0</v>
      </c>
      <c r="N193" s="3" t="s">
        <v>70</v>
      </c>
      <c r="O193" s="3" t="s">
        <v>52</v>
      </c>
    </row>
    <row r="194" customFormat="false" ht="15" hidden="false" customHeight="false" outlineLevel="0" collapsed="false">
      <c r="A194" s="14" t="s">
        <v>4617</v>
      </c>
      <c r="B194" s="14" t="s">
        <v>4758</v>
      </c>
      <c r="C194" s="14" t="s">
        <v>59</v>
      </c>
      <c r="D194" s="14" t="s">
        <v>2575</v>
      </c>
      <c r="E194" s="14" t="s">
        <v>50</v>
      </c>
      <c r="F194" s="15" t="n">
        <v>1160000</v>
      </c>
      <c r="G194" s="16" t="n">
        <v>0.8</v>
      </c>
      <c r="H194" s="16" t="n">
        <v>0.97</v>
      </c>
      <c r="I194" s="16" t="n">
        <v>0.761</v>
      </c>
      <c r="J194" s="16" t="n">
        <v>0.53</v>
      </c>
      <c r="K194" s="15" t="n">
        <f aca="false">ROUND(F194/100*G194*H194*I194/J194,2)</f>
        <v>12924.94</v>
      </c>
      <c r="L194" s="15" t="n">
        <v>12924.94</v>
      </c>
      <c r="M194" s="15" t="n">
        <f aca="false">L194-K194</f>
        <v>0</v>
      </c>
      <c r="N194" s="14" t="s">
        <v>61</v>
      </c>
      <c r="O194" s="14" t="s">
        <v>62</v>
      </c>
    </row>
    <row r="195" customFormat="false" ht="15" hidden="false" customHeight="false" outlineLevel="0" collapsed="false">
      <c r="A195" s="3" t="s">
        <v>4529</v>
      </c>
      <c r="B195" s="3" t="s">
        <v>4759</v>
      </c>
      <c r="C195" s="3" t="s">
        <v>217</v>
      </c>
      <c r="D195" s="3" t="s">
        <v>362</v>
      </c>
      <c r="E195" s="3" t="s">
        <v>74</v>
      </c>
      <c r="F195" s="12" t="n">
        <v>1375000</v>
      </c>
      <c r="G195" s="13" t="n">
        <v>0.38</v>
      </c>
      <c r="H195" s="13" t="n">
        <v>1.3</v>
      </c>
      <c r="I195" s="13" t="n">
        <v>0.761</v>
      </c>
      <c r="J195" s="13" t="n">
        <v>0.53</v>
      </c>
      <c r="K195" s="12" t="n">
        <f aca="false">ROUND(F195/100*G195*H195*I195/J195,2)</f>
        <v>9753</v>
      </c>
      <c r="L195" s="12" t="n">
        <v>9753.01</v>
      </c>
      <c r="M195" s="12" t="n">
        <f aca="false">L195-K195</f>
        <v>0.0100000000002183</v>
      </c>
      <c r="N195" s="3" t="s">
        <v>51</v>
      </c>
      <c r="O195" s="3" t="s">
        <v>52</v>
      </c>
    </row>
    <row r="196" customFormat="false" ht="15" hidden="false" customHeight="false" outlineLevel="0" collapsed="false">
      <c r="A196" s="14" t="s">
        <v>4580</v>
      </c>
      <c r="B196" s="14" t="s">
        <v>4760</v>
      </c>
      <c r="C196" s="14" t="s">
        <v>435</v>
      </c>
      <c r="D196" s="14" t="s">
        <v>178</v>
      </c>
      <c r="E196" s="14" t="s">
        <v>56</v>
      </c>
      <c r="F196" s="15" t="n">
        <v>315000</v>
      </c>
      <c r="G196" s="16" t="n">
        <v>0.75</v>
      </c>
      <c r="H196" s="16" t="n">
        <v>1.13</v>
      </c>
      <c r="I196" s="16" t="n">
        <v>0.761</v>
      </c>
      <c r="J196" s="16" t="n">
        <v>0.53</v>
      </c>
      <c r="K196" s="15" t="n">
        <f aca="false">ROUND(F196/100*G196*H196*I196/J196,2)</f>
        <v>3833.18</v>
      </c>
      <c r="L196" s="15" t="n">
        <v>3833.18</v>
      </c>
      <c r="M196" s="15" t="n">
        <f aca="false">L196-K196</f>
        <v>0</v>
      </c>
      <c r="N196" s="14" t="s">
        <v>51</v>
      </c>
      <c r="O196" s="14" t="s">
        <v>52</v>
      </c>
    </row>
    <row r="197" customFormat="false" ht="15" hidden="false" customHeight="false" outlineLevel="0" collapsed="false">
      <c r="A197" s="3" t="s">
        <v>4557</v>
      </c>
      <c r="B197" s="3" t="s">
        <v>4761</v>
      </c>
      <c r="C197" s="3" t="s">
        <v>89</v>
      </c>
      <c r="D197" s="3" t="s">
        <v>711</v>
      </c>
      <c r="E197" s="3" t="s">
        <v>56</v>
      </c>
      <c r="F197" s="12" t="n">
        <v>280000</v>
      </c>
      <c r="G197" s="13" t="n">
        <v>0.75</v>
      </c>
      <c r="H197" s="13" t="n">
        <v>1.35</v>
      </c>
      <c r="I197" s="13" t="n">
        <v>0.761</v>
      </c>
      <c r="J197" s="13" t="n">
        <v>0.53</v>
      </c>
      <c r="K197" s="12" t="n">
        <f aca="false">ROUND(F197/100*G197*H197*I197/J197,2)</f>
        <v>4070.63</v>
      </c>
      <c r="L197" s="12" t="n">
        <v>4070.63</v>
      </c>
      <c r="M197" s="12" t="n">
        <f aca="false">L197-K197</f>
        <v>0</v>
      </c>
      <c r="N197" s="3" t="s">
        <v>51</v>
      </c>
      <c r="O197" s="3" t="s">
        <v>52</v>
      </c>
    </row>
    <row r="198" customFormat="false" ht="15" hidden="false" customHeight="false" outlineLevel="0" collapsed="false">
      <c r="A198" s="14" t="s">
        <v>4551</v>
      </c>
      <c r="B198" s="14" t="s">
        <v>4762</v>
      </c>
      <c r="C198" s="14" t="s">
        <v>120</v>
      </c>
      <c r="D198" s="14" t="s">
        <v>1583</v>
      </c>
      <c r="E198" s="14" t="s">
        <v>56</v>
      </c>
      <c r="F198" s="15" t="n">
        <v>650000</v>
      </c>
      <c r="G198" s="16" t="n">
        <v>0.65</v>
      </c>
      <c r="H198" s="16" t="n">
        <v>1.15</v>
      </c>
      <c r="I198" s="16" t="n">
        <v>0.761</v>
      </c>
      <c r="J198" s="16" t="n">
        <v>0.53</v>
      </c>
      <c r="K198" s="15" t="n">
        <f aca="false">ROUND(F198/100*G198*H198*I198/J198,2)</f>
        <v>6976.43</v>
      </c>
      <c r="L198" s="15" t="n">
        <v>6976.43</v>
      </c>
      <c r="M198" s="15" t="n">
        <f aca="false">L198-K198</f>
        <v>0</v>
      </c>
      <c r="N198" s="14" t="s">
        <v>70</v>
      </c>
      <c r="O198" s="14" t="s">
        <v>52</v>
      </c>
    </row>
    <row r="199" customFormat="false" ht="15" hidden="false" customHeight="false" outlineLevel="0" collapsed="false">
      <c r="A199" s="3" t="s">
        <v>4615</v>
      </c>
      <c r="B199" s="3" t="s">
        <v>4763</v>
      </c>
      <c r="C199" s="3" t="s">
        <v>892</v>
      </c>
      <c r="D199" s="3" t="s">
        <v>1175</v>
      </c>
      <c r="E199" s="3" t="s">
        <v>56</v>
      </c>
      <c r="F199" s="12" t="n">
        <v>570000</v>
      </c>
      <c r="G199" s="13" t="n">
        <v>0.65</v>
      </c>
      <c r="H199" s="13" t="n">
        <v>1.08</v>
      </c>
      <c r="I199" s="13" t="n">
        <v>0.761</v>
      </c>
      <c r="J199" s="13" t="n">
        <v>0.53</v>
      </c>
      <c r="K199" s="12" t="n">
        <f aca="false">ROUND(F199/100*G199*H199*I199/J199,2)</f>
        <v>5745.41</v>
      </c>
      <c r="L199" s="12" t="n">
        <v>5745.41</v>
      </c>
      <c r="M199" s="12" t="n">
        <f aca="false">L199-K199</f>
        <v>0</v>
      </c>
      <c r="N199" s="3" t="s">
        <v>51</v>
      </c>
      <c r="O199" s="3" t="s">
        <v>52</v>
      </c>
    </row>
    <row r="200" customFormat="false" ht="15" hidden="false" customHeight="false" outlineLevel="0" collapsed="false">
      <c r="A200" s="14" t="s">
        <v>4580</v>
      </c>
      <c r="B200" s="14" t="s">
        <v>4764</v>
      </c>
      <c r="C200" s="14" t="s">
        <v>108</v>
      </c>
      <c r="D200" s="14" t="s">
        <v>771</v>
      </c>
      <c r="E200" s="14" t="s">
        <v>56</v>
      </c>
      <c r="F200" s="15" t="n">
        <v>415000</v>
      </c>
      <c r="G200" s="16" t="n">
        <v>0.75</v>
      </c>
      <c r="H200" s="16" t="n">
        <v>0.93</v>
      </c>
      <c r="I200" s="16" t="n">
        <v>0.761</v>
      </c>
      <c r="J200" s="16" t="n">
        <v>0.53</v>
      </c>
      <c r="K200" s="15" t="n">
        <f aca="false">ROUND(F200/100*G200*H200*I200/J200,2)</f>
        <v>4156.24</v>
      </c>
      <c r="L200" s="15" t="n">
        <v>4156.25</v>
      </c>
      <c r="M200" s="15" t="n">
        <f aca="false">L200-K200</f>
        <v>0.0100000000002183</v>
      </c>
      <c r="N200" s="14" t="s">
        <v>61</v>
      </c>
      <c r="O200" s="14" t="s">
        <v>62</v>
      </c>
    </row>
    <row r="201" customFormat="false" ht="15" hidden="false" customHeight="false" outlineLevel="0" collapsed="false">
      <c r="A201" s="3" t="s">
        <v>4519</v>
      </c>
      <c r="B201" s="3" t="s">
        <v>4765</v>
      </c>
      <c r="C201" s="3" t="s">
        <v>131</v>
      </c>
      <c r="D201" s="3" t="s">
        <v>893</v>
      </c>
      <c r="E201" s="3" t="s">
        <v>56</v>
      </c>
      <c r="F201" s="12" t="n">
        <v>460000</v>
      </c>
      <c r="G201" s="13" t="n">
        <v>0.75</v>
      </c>
      <c r="H201" s="13" t="n">
        <v>0.95</v>
      </c>
      <c r="I201" s="13" t="n">
        <v>0.761</v>
      </c>
      <c r="J201" s="13" t="n">
        <v>0.53</v>
      </c>
      <c r="K201" s="12" t="n">
        <f aca="false">ROUND(F201/100*G201*H201*I201/J201,2)</f>
        <v>4706</v>
      </c>
      <c r="L201" s="12" t="n">
        <v>4705.99</v>
      </c>
      <c r="M201" s="12" t="n">
        <f aca="false">L201-K201</f>
        <v>-0.0100000000002183</v>
      </c>
      <c r="N201" s="3" t="s">
        <v>61</v>
      </c>
      <c r="O201" s="3" t="s">
        <v>62</v>
      </c>
    </row>
    <row r="202" customFormat="false" ht="15" hidden="false" customHeight="false" outlineLevel="0" collapsed="false">
      <c r="A202" s="14" t="s">
        <v>4523</v>
      </c>
      <c r="B202" s="14" t="s">
        <v>4766</v>
      </c>
      <c r="C202" s="14" t="s">
        <v>139</v>
      </c>
      <c r="D202" s="14" t="s">
        <v>2843</v>
      </c>
      <c r="E202" s="14" t="s">
        <v>50</v>
      </c>
      <c r="F202" s="15" t="n">
        <v>430000</v>
      </c>
      <c r="G202" s="16" t="n">
        <v>1.15</v>
      </c>
      <c r="H202" s="16" t="n">
        <v>1.23</v>
      </c>
      <c r="I202" s="16" t="n">
        <v>0.761</v>
      </c>
      <c r="J202" s="16" t="n">
        <v>0.53</v>
      </c>
      <c r="K202" s="15" t="n">
        <f aca="false">ROUND(F202/100*G202*H202*I202/J202,2)</f>
        <v>8733.34</v>
      </c>
      <c r="L202" s="15" t="n">
        <v>8733.33</v>
      </c>
      <c r="M202" s="15" t="n">
        <f aca="false">L202-K202</f>
        <v>-0.0100000000002183</v>
      </c>
      <c r="N202" s="14" t="s">
        <v>70</v>
      </c>
      <c r="O202" s="14" t="s">
        <v>52</v>
      </c>
    </row>
    <row r="203" customFormat="false" ht="15" hidden="false" customHeight="false" outlineLevel="0" collapsed="false">
      <c r="A203" s="3" t="s">
        <v>4540</v>
      </c>
      <c r="B203" s="3" t="s">
        <v>4767</v>
      </c>
      <c r="C203" s="3" t="s">
        <v>89</v>
      </c>
      <c r="D203" s="3" t="s">
        <v>4768</v>
      </c>
      <c r="E203" s="3" t="s">
        <v>50</v>
      </c>
      <c r="F203" s="12" t="n">
        <v>885000</v>
      </c>
      <c r="G203" s="13" t="n">
        <v>0.95</v>
      </c>
      <c r="H203" s="13" t="n">
        <v>1.35</v>
      </c>
      <c r="I203" s="13" t="n">
        <v>0.761</v>
      </c>
      <c r="J203" s="13" t="n">
        <v>0.53</v>
      </c>
      <c r="K203" s="12" t="n">
        <f aca="false">ROUND(F203/100*G203*H203*I203/J203,2)</f>
        <v>16297.07</v>
      </c>
      <c r="L203" s="12" t="n">
        <v>16297.07</v>
      </c>
      <c r="M203" s="12" t="n">
        <f aca="false">L203-K203</f>
        <v>0</v>
      </c>
      <c r="N203" s="3" t="s">
        <v>51</v>
      </c>
      <c r="O203" s="3" t="s">
        <v>52</v>
      </c>
    </row>
    <row r="204" customFormat="false" ht="15" hidden="false" customHeight="false" outlineLevel="0" collapsed="false">
      <c r="A204" s="14" t="s">
        <v>4589</v>
      </c>
      <c r="B204" s="14" t="s">
        <v>4769</v>
      </c>
      <c r="C204" s="14" t="s">
        <v>114</v>
      </c>
      <c r="D204" s="14" t="s">
        <v>4770</v>
      </c>
      <c r="E204" s="14" t="s">
        <v>157</v>
      </c>
      <c r="F204" s="15" t="n">
        <v>285000</v>
      </c>
      <c r="G204" s="16" t="n">
        <v>0.88</v>
      </c>
      <c r="H204" s="16" t="n">
        <v>1.36</v>
      </c>
      <c r="I204" s="16" t="n">
        <v>0.761</v>
      </c>
      <c r="J204" s="16" t="n">
        <v>0.53</v>
      </c>
      <c r="K204" s="15" t="n">
        <f aca="false">ROUND(F204/100*G204*H204*I204/J204,2)</f>
        <v>4897.51</v>
      </c>
      <c r="L204" s="15" t="n">
        <v>4897.51</v>
      </c>
      <c r="M204" s="15" t="n">
        <f aca="false">L204-K204</f>
        <v>0</v>
      </c>
      <c r="N204" s="14" t="s">
        <v>61</v>
      </c>
      <c r="O204" s="14" t="s">
        <v>62</v>
      </c>
    </row>
    <row r="205" customFormat="false" ht="15" hidden="false" customHeight="false" outlineLevel="0" collapsed="false">
      <c r="A205" s="3" t="s">
        <v>4527</v>
      </c>
      <c r="B205" s="3" t="s">
        <v>4771</v>
      </c>
      <c r="C205" s="3" t="s">
        <v>892</v>
      </c>
      <c r="D205" s="3" t="s">
        <v>1103</v>
      </c>
      <c r="E205" s="3" t="s">
        <v>56</v>
      </c>
      <c r="F205" s="12" t="n">
        <v>235000</v>
      </c>
      <c r="G205" s="13" t="n">
        <v>0.92</v>
      </c>
      <c r="H205" s="13" t="n">
        <v>1.08</v>
      </c>
      <c r="I205" s="13" t="n">
        <v>0.761</v>
      </c>
      <c r="J205" s="13" t="n">
        <v>0.53</v>
      </c>
      <c r="K205" s="12" t="n">
        <f aca="false">ROUND(F205/100*G205*H205*I205/J205,2)</f>
        <v>3352.65</v>
      </c>
      <c r="L205" s="12" t="n">
        <v>3352.65</v>
      </c>
      <c r="M205" s="12" t="n">
        <f aca="false">L205-K205</f>
        <v>0</v>
      </c>
      <c r="N205" s="3" t="s">
        <v>61</v>
      </c>
      <c r="O205" s="3" t="s">
        <v>62</v>
      </c>
    </row>
    <row r="206" customFormat="false" ht="15" hidden="false" customHeight="false" outlineLevel="0" collapsed="false">
      <c r="A206" s="14" t="s">
        <v>4538</v>
      </c>
      <c r="B206" s="14" t="s">
        <v>4772</v>
      </c>
      <c r="C206" s="14" t="s">
        <v>152</v>
      </c>
      <c r="D206" s="14" t="s">
        <v>747</v>
      </c>
      <c r="E206" s="14" t="s">
        <v>56</v>
      </c>
      <c r="F206" s="15" t="n">
        <v>700000</v>
      </c>
      <c r="G206" s="16" t="n">
        <v>0.65</v>
      </c>
      <c r="H206" s="16" t="n">
        <v>1</v>
      </c>
      <c r="I206" s="16" t="n">
        <v>0.761</v>
      </c>
      <c r="J206" s="16" t="n">
        <v>0.53</v>
      </c>
      <c r="K206" s="15" t="n">
        <f aca="false">ROUND(F206/100*G206*H206*I206/J206,2)</f>
        <v>6533.11</v>
      </c>
      <c r="L206" s="15" t="n">
        <v>6533.12</v>
      </c>
      <c r="M206" s="15" t="n">
        <f aca="false">L206-K206</f>
        <v>0.0100000000002183</v>
      </c>
      <c r="N206" s="14" t="s">
        <v>61</v>
      </c>
      <c r="O206" s="14" t="s">
        <v>62</v>
      </c>
    </row>
    <row r="207" customFormat="false" ht="15" hidden="false" customHeight="false" outlineLevel="0" collapsed="false">
      <c r="A207" s="3" t="s">
        <v>4525</v>
      </c>
      <c r="B207" s="3" t="s">
        <v>4773</v>
      </c>
      <c r="C207" s="3" t="s">
        <v>210</v>
      </c>
      <c r="D207" s="3" t="s">
        <v>1909</v>
      </c>
      <c r="E207" s="3" t="s">
        <v>56</v>
      </c>
      <c r="F207" s="12" t="n">
        <v>1060000</v>
      </c>
      <c r="G207" s="13" t="n">
        <v>0.55</v>
      </c>
      <c r="H207" s="13" t="n">
        <v>1.21</v>
      </c>
      <c r="I207" s="13" t="n">
        <v>0.761</v>
      </c>
      <c r="J207" s="13" t="n">
        <v>0.53</v>
      </c>
      <c r="K207" s="12" t="n">
        <f aca="false">ROUND(F207/100*G207*H207*I207/J207,2)</f>
        <v>10128.91</v>
      </c>
      <c r="L207" s="12" t="n">
        <v>10128.91</v>
      </c>
      <c r="M207" s="12" t="n">
        <f aca="false">L207-K207</f>
        <v>0</v>
      </c>
      <c r="N207" s="3" t="s">
        <v>61</v>
      </c>
      <c r="O207" s="3" t="s">
        <v>62</v>
      </c>
    </row>
    <row r="208" customFormat="false" ht="15" hidden="false" customHeight="false" outlineLevel="0" collapsed="false">
      <c r="A208" s="14" t="s">
        <v>4578</v>
      </c>
      <c r="B208" s="14" t="s">
        <v>4774</v>
      </c>
      <c r="C208" s="14" t="s">
        <v>136</v>
      </c>
      <c r="D208" s="14" t="s">
        <v>3690</v>
      </c>
      <c r="E208" s="14" t="s">
        <v>74</v>
      </c>
      <c r="F208" s="15" t="n">
        <v>845000</v>
      </c>
      <c r="G208" s="16" t="n">
        <v>0.43</v>
      </c>
      <c r="H208" s="16" t="n">
        <v>1.32</v>
      </c>
      <c r="I208" s="16" t="n">
        <v>0.761</v>
      </c>
      <c r="J208" s="16" t="n">
        <v>0.53</v>
      </c>
      <c r="K208" s="15" t="n">
        <f aca="false">ROUND(F208/100*G208*H208*I208/J208,2)</f>
        <v>6886.65</v>
      </c>
      <c r="L208" s="15" t="n">
        <v>6886.65</v>
      </c>
      <c r="M208" s="15" t="n">
        <f aca="false">L208-K208</f>
        <v>0</v>
      </c>
      <c r="N208" s="14" t="s">
        <v>51</v>
      </c>
      <c r="O208" s="14" t="s">
        <v>52</v>
      </c>
    </row>
    <row r="209" customFormat="false" ht="15" hidden="false" customHeight="false" outlineLevel="0" collapsed="false">
      <c r="A209" s="3" t="s">
        <v>4563</v>
      </c>
      <c r="B209" s="3" t="s">
        <v>4775</v>
      </c>
      <c r="C209" s="3" t="s">
        <v>145</v>
      </c>
      <c r="D209" s="3" t="s">
        <v>4776</v>
      </c>
      <c r="E209" s="3" t="s">
        <v>50</v>
      </c>
      <c r="F209" s="12" t="n">
        <v>480000</v>
      </c>
      <c r="G209" s="13" t="n">
        <v>1.15</v>
      </c>
      <c r="H209" s="13" t="n">
        <v>0.96</v>
      </c>
      <c r="I209" s="13" t="n">
        <v>0.761</v>
      </c>
      <c r="J209" s="13" t="n">
        <v>0.53</v>
      </c>
      <c r="K209" s="12" t="n">
        <f aca="false">ROUND(F209/100*G209*H209*I209/J209,2)</f>
        <v>7608.85</v>
      </c>
      <c r="L209" s="12" t="n">
        <v>7608.85</v>
      </c>
      <c r="M209" s="12" t="n">
        <f aca="false">L209-K209</f>
        <v>0</v>
      </c>
      <c r="N209" s="3" t="s">
        <v>51</v>
      </c>
      <c r="O209" s="3" t="s">
        <v>52</v>
      </c>
    </row>
    <row r="210" customFormat="false" ht="15" hidden="false" customHeight="false" outlineLevel="0" collapsed="false">
      <c r="A210" s="14" t="s">
        <v>4615</v>
      </c>
      <c r="B210" s="14" t="s">
        <v>4777</v>
      </c>
      <c r="C210" s="14" t="s">
        <v>311</v>
      </c>
      <c r="D210" s="14" t="s">
        <v>1573</v>
      </c>
      <c r="E210" s="14" t="s">
        <v>56</v>
      </c>
      <c r="F210" s="15" t="n">
        <v>410000</v>
      </c>
      <c r="G210" s="16" t="n">
        <v>0.75</v>
      </c>
      <c r="H210" s="16" t="n">
        <v>1.06</v>
      </c>
      <c r="I210" s="16" t="n">
        <v>0.761</v>
      </c>
      <c r="J210" s="16" t="n">
        <v>0.53</v>
      </c>
      <c r="K210" s="15" t="n">
        <f aca="false">ROUND(F210/100*G210*H210*I210/J210,2)</f>
        <v>4680.15</v>
      </c>
      <c r="L210" s="15" t="n">
        <v>4680.15</v>
      </c>
      <c r="M210" s="15" t="n">
        <f aca="false">L210-K210</f>
        <v>0</v>
      </c>
      <c r="N210" s="14" t="s">
        <v>51</v>
      </c>
      <c r="O210" s="14" t="s">
        <v>52</v>
      </c>
    </row>
    <row r="211" customFormat="false" ht="15" hidden="false" customHeight="false" outlineLevel="0" collapsed="false">
      <c r="A211" s="3" t="s">
        <v>4582</v>
      </c>
      <c r="B211" s="3" t="s">
        <v>4778</v>
      </c>
      <c r="C211" s="3" t="s">
        <v>193</v>
      </c>
      <c r="D211" s="3" t="s">
        <v>596</v>
      </c>
      <c r="E211" s="3" t="s">
        <v>56</v>
      </c>
      <c r="F211" s="12" t="n">
        <v>600000</v>
      </c>
      <c r="G211" s="13" t="n">
        <v>0.65</v>
      </c>
      <c r="H211" s="13" t="n">
        <v>1.25</v>
      </c>
      <c r="I211" s="13" t="n">
        <v>0.761</v>
      </c>
      <c r="J211" s="13" t="n">
        <v>0.53</v>
      </c>
      <c r="K211" s="12" t="n">
        <f aca="false">ROUND(F211/100*G211*H211*I211/J211,2)</f>
        <v>6999.76</v>
      </c>
      <c r="L211" s="12" t="n">
        <v>6999.76</v>
      </c>
      <c r="M211" s="12" t="n">
        <f aca="false">L211-K211</f>
        <v>0</v>
      </c>
      <c r="N211" s="3" t="s">
        <v>61</v>
      </c>
      <c r="O211" s="3" t="s">
        <v>62</v>
      </c>
    </row>
    <row r="212" customFormat="false" ht="15" hidden="false" customHeight="false" outlineLevel="0" collapsed="false">
      <c r="A212" s="14" t="s">
        <v>4527</v>
      </c>
      <c r="B212" s="14" t="s">
        <v>4779</v>
      </c>
      <c r="C212" s="14" t="s">
        <v>145</v>
      </c>
      <c r="D212" s="14" t="s">
        <v>100</v>
      </c>
      <c r="E212" s="14" t="s">
        <v>56</v>
      </c>
      <c r="F212" s="15" t="n">
        <v>380000</v>
      </c>
      <c r="G212" s="16" t="n">
        <v>0.75</v>
      </c>
      <c r="H212" s="16" t="n">
        <v>0.96</v>
      </c>
      <c r="I212" s="16" t="n">
        <v>0.761</v>
      </c>
      <c r="J212" s="16" t="n">
        <v>0.53</v>
      </c>
      <c r="K212" s="15" t="n">
        <f aca="false">ROUND(F212/100*G212*H212*I212/J212,2)</f>
        <v>3928.48</v>
      </c>
      <c r="L212" s="15" t="n">
        <v>3928.48</v>
      </c>
      <c r="M212" s="15" t="n">
        <f aca="false">L212-K212</f>
        <v>0</v>
      </c>
      <c r="N212" s="14" t="s">
        <v>61</v>
      </c>
      <c r="O212" s="14" t="s">
        <v>62</v>
      </c>
    </row>
    <row r="213" customFormat="false" ht="15" hidden="false" customHeight="false" outlineLevel="0" collapsed="false">
      <c r="A213" s="3" t="s">
        <v>4567</v>
      </c>
      <c r="B213" s="3" t="s">
        <v>4780</v>
      </c>
      <c r="C213" s="3" t="s">
        <v>48</v>
      </c>
      <c r="D213" s="3" t="s">
        <v>1217</v>
      </c>
      <c r="E213" s="3" t="s">
        <v>56</v>
      </c>
      <c r="F213" s="12" t="n">
        <v>380000</v>
      </c>
      <c r="G213" s="13" t="n">
        <v>0.75</v>
      </c>
      <c r="H213" s="13" t="n">
        <v>1.28</v>
      </c>
      <c r="I213" s="13" t="n">
        <v>0.761</v>
      </c>
      <c r="J213" s="13" t="n">
        <v>0.53</v>
      </c>
      <c r="K213" s="12" t="n">
        <f aca="false">ROUND(F213/100*G213*H213*I213/J213,2)</f>
        <v>5237.98</v>
      </c>
      <c r="L213" s="12" t="n">
        <v>5237.98</v>
      </c>
      <c r="M213" s="12" t="n">
        <f aca="false">L213-K213</f>
        <v>0</v>
      </c>
      <c r="N213" s="3" t="s">
        <v>61</v>
      </c>
      <c r="O213" s="3" t="s">
        <v>62</v>
      </c>
    </row>
    <row r="214" customFormat="false" ht="15" hidden="false" customHeight="false" outlineLevel="0" collapsed="false">
      <c r="A214" s="14" t="s">
        <v>4531</v>
      </c>
      <c r="B214" s="14" t="s">
        <v>4781</v>
      </c>
      <c r="C214" s="14" t="s">
        <v>174</v>
      </c>
      <c r="D214" s="14" t="s">
        <v>1070</v>
      </c>
      <c r="E214" s="14" t="s">
        <v>74</v>
      </c>
      <c r="F214" s="15" t="n">
        <v>285000</v>
      </c>
      <c r="G214" s="16" t="n">
        <v>0.48</v>
      </c>
      <c r="H214" s="16" t="n">
        <v>1.55</v>
      </c>
      <c r="I214" s="16" t="n">
        <v>0.761</v>
      </c>
      <c r="J214" s="16" t="n">
        <v>0.53</v>
      </c>
      <c r="K214" s="15" t="n">
        <f aca="false">ROUND(F214/100*G214*H214*I214/J214,2)</f>
        <v>3044.57</v>
      </c>
      <c r="L214" s="15" t="n">
        <v>3044.57</v>
      </c>
      <c r="M214" s="15" t="n">
        <f aca="false">L214-K214</f>
        <v>0</v>
      </c>
      <c r="N214" s="14" t="s">
        <v>51</v>
      </c>
      <c r="O214" s="14" t="s">
        <v>52</v>
      </c>
    </row>
    <row r="215" customFormat="false" ht="15" hidden="false" customHeight="false" outlineLevel="0" collapsed="false">
      <c r="A215" s="3" t="s">
        <v>4534</v>
      </c>
      <c r="B215" s="3" t="s">
        <v>4782</v>
      </c>
      <c r="C215" s="3" t="s">
        <v>89</v>
      </c>
      <c r="D215" s="3" t="s">
        <v>1304</v>
      </c>
      <c r="E215" s="3" t="s">
        <v>56</v>
      </c>
      <c r="F215" s="12" t="n">
        <v>255000</v>
      </c>
      <c r="G215" s="13" t="n">
        <v>0.75</v>
      </c>
      <c r="H215" s="13" t="n">
        <v>1.35</v>
      </c>
      <c r="I215" s="13" t="n">
        <v>0.761</v>
      </c>
      <c r="J215" s="13" t="n">
        <v>0.53</v>
      </c>
      <c r="K215" s="12" t="n">
        <f aca="false">ROUND(F215/100*G215*H215*I215/J215,2)</f>
        <v>3707.18</v>
      </c>
      <c r="L215" s="12" t="n">
        <v>3707.18</v>
      </c>
      <c r="M215" s="12" t="n">
        <f aca="false">L215-K215</f>
        <v>0</v>
      </c>
      <c r="N215" s="3" t="s">
        <v>51</v>
      </c>
      <c r="O215" s="3" t="s">
        <v>52</v>
      </c>
    </row>
    <row r="216" customFormat="false" ht="15" hidden="false" customHeight="false" outlineLevel="0" collapsed="false">
      <c r="A216" s="14" t="s">
        <v>4523</v>
      </c>
      <c r="B216" s="14" t="s">
        <v>4783</v>
      </c>
      <c r="C216" s="14" t="s">
        <v>145</v>
      </c>
      <c r="D216" s="14" t="s">
        <v>3238</v>
      </c>
      <c r="E216" s="14" t="s">
        <v>56</v>
      </c>
      <c r="F216" s="15" t="n">
        <v>660000</v>
      </c>
      <c r="G216" s="16" t="n">
        <v>0.65</v>
      </c>
      <c r="H216" s="16" t="n">
        <v>0.96</v>
      </c>
      <c r="I216" s="16" t="n">
        <v>0.761</v>
      </c>
      <c r="J216" s="16" t="n">
        <v>0.53</v>
      </c>
      <c r="K216" s="15" t="n">
        <f aca="false">ROUND(F216/100*G216*H216*I216/J216,2)</f>
        <v>5913.4</v>
      </c>
      <c r="L216" s="15" t="n">
        <v>5913.4</v>
      </c>
      <c r="M216" s="15" t="n">
        <f aca="false">L216-K216</f>
        <v>0</v>
      </c>
      <c r="N216" s="14" t="s">
        <v>61</v>
      </c>
      <c r="O216" s="14" t="s">
        <v>62</v>
      </c>
    </row>
    <row r="217" customFormat="false" ht="15" hidden="false" customHeight="false" outlineLevel="0" collapsed="false">
      <c r="A217" s="3" t="s">
        <v>4529</v>
      </c>
      <c r="B217" s="3" t="s">
        <v>4784</v>
      </c>
      <c r="C217" s="3" t="s">
        <v>105</v>
      </c>
      <c r="D217" s="3" t="s">
        <v>1213</v>
      </c>
      <c r="E217" s="3" t="s">
        <v>56</v>
      </c>
      <c r="F217" s="12" t="n">
        <v>440000</v>
      </c>
      <c r="G217" s="13" t="n">
        <v>0.75</v>
      </c>
      <c r="H217" s="13" t="n">
        <v>0.99</v>
      </c>
      <c r="I217" s="13" t="n">
        <v>0.761</v>
      </c>
      <c r="J217" s="13" t="n">
        <v>0.53</v>
      </c>
      <c r="K217" s="12" t="n">
        <f aca="false">ROUND(F217/100*G217*H217*I217/J217,2)</f>
        <v>4690.92</v>
      </c>
      <c r="L217" s="12" t="n">
        <v>4690.92</v>
      </c>
      <c r="M217" s="12" t="n">
        <f aca="false">L217-K217</f>
        <v>0</v>
      </c>
      <c r="N217" s="3" t="s">
        <v>61</v>
      </c>
      <c r="O217" s="3" t="s">
        <v>62</v>
      </c>
    </row>
    <row r="218" customFormat="false" ht="15" hidden="false" customHeight="false" outlineLevel="0" collapsed="false">
      <c r="A218" s="14" t="s">
        <v>4553</v>
      </c>
      <c r="B218" s="14" t="s">
        <v>4785</v>
      </c>
      <c r="C218" s="14" t="s">
        <v>89</v>
      </c>
      <c r="D218" s="14" t="s">
        <v>531</v>
      </c>
      <c r="E218" s="14" t="s">
        <v>56</v>
      </c>
      <c r="F218" s="15" t="n">
        <v>610000</v>
      </c>
      <c r="G218" s="16" t="n">
        <v>0.65</v>
      </c>
      <c r="H218" s="16" t="n">
        <v>1.35</v>
      </c>
      <c r="I218" s="16" t="n">
        <v>0.761</v>
      </c>
      <c r="J218" s="16" t="n">
        <v>0.53</v>
      </c>
      <c r="K218" s="15" t="n">
        <f aca="false">ROUND(F218/100*G218*H218*I218/J218,2)</f>
        <v>7685.74</v>
      </c>
      <c r="L218" s="15" t="n">
        <v>7685.74</v>
      </c>
      <c r="M218" s="15" t="n">
        <f aca="false">L218-K218</f>
        <v>0</v>
      </c>
      <c r="N218" s="14" t="s">
        <v>61</v>
      </c>
      <c r="O218" s="14" t="s">
        <v>62</v>
      </c>
    </row>
    <row r="219" customFormat="false" ht="15" hidden="false" customHeight="false" outlineLevel="0" collapsed="false">
      <c r="A219" s="3" t="s">
        <v>4553</v>
      </c>
      <c r="B219" s="3" t="s">
        <v>4786</v>
      </c>
      <c r="C219" s="3" t="s">
        <v>131</v>
      </c>
      <c r="D219" s="3" t="s">
        <v>2769</v>
      </c>
      <c r="E219" s="3" t="s">
        <v>74</v>
      </c>
      <c r="F219" s="12" t="n">
        <v>1175000</v>
      </c>
      <c r="G219" s="13" t="n">
        <v>0.38</v>
      </c>
      <c r="H219" s="13" t="n">
        <v>0.95</v>
      </c>
      <c r="I219" s="13" t="n">
        <v>0.761</v>
      </c>
      <c r="J219" s="13" t="n">
        <v>0.53</v>
      </c>
      <c r="K219" s="12" t="n">
        <f aca="false">ROUND(F219/100*G219*H219*I219/J219,2)</f>
        <v>6090.51</v>
      </c>
      <c r="L219" s="12" t="n">
        <v>6090.51</v>
      </c>
      <c r="M219" s="12" t="n">
        <f aca="false">L219-K219</f>
        <v>0</v>
      </c>
      <c r="N219" s="3" t="s">
        <v>61</v>
      </c>
      <c r="O219" s="3" t="s">
        <v>62</v>
      </c>
    </row>
    <row r="220" customFormat="false" ht="15" hidden="false" customHeight="false" outlineLevel="0" collapsed="false">
      <c r="A220" s="14" t="s">
        <v>4536</v>
      </c>
      <c r="B220" s="14" t="s">
        <v>4787</v>
      </c>
      <c r="C220" s="14" t="s">
        <v>159</v>
      </c>
      <c r="D220" s="14" t="s">
        <v>423</v>
      </c>
      <c r="E220" s="14" t="s">
        <v>56</v>
      </c>
      <c r="F220" s="15" t="n">
        <v>460000</v>
      </c>
      <c r="G220" s="16" t="n">
        <v>0.75</v>
      </c>
      <c r="H220" s="16" t="n">
        <v>1.15</v>
      </c>
      <c r="I220" s="16" t="n">
        <v>0.761</v>
      </c>
      <c r="J220" s="16" t="n">
        <v>0.53</v>
      </c>
      <c r="K220" s="15" t="n">
        <f aca="false">ROUND(F220/100*G220*H220*I220/J220,2)</f>
        <v>5696.73</v>
      </c>
      <c r="L220" s="15" t="n">
        <v>5696.73</v>
      </c>
      <c r="M220" s="15" t="n">
        <f aca="false">L220-K220</f>
        <v>0</v>
      </c>
      <c r="N220" s="14" t="s">
        <v>61</v>
      </c>
      <c r="O220" s="14" t="s">
        <v>62</v>
      </c>
    </row>
    <row r="221" customFormat="false" ht="15" hidden="false" customHeight="false" outlineLevel="0" collapsed="false">
      <c r="A221" s="3" t="s">
        <v>4658</v>
      </c>
      <c r="B221" s="3" t="s">
        <v>4788</v>
      </c>
      <c r="C221" s="3" t="s">
        <v>462</v>
      </c>
      <c r="D221" s="3" t="s">
        <v>3855</v>
      </c>
      <c r="E221" s="3" t="s">
        <v>50</v>
      </c>
      <c r="F221" s="12" t="n">
        <v>935000</v>
      </c>
      <c r="G221" s="13" t="n">
        <v>0.95</v>
      </c>
      <c r="H221" s="13" t="n">
        <v>1.34</v>
      </c>
      <c r="I221" s="13" t="n">
        <v>0.761</v>
      </c>
      <c r="J221" s="13" t="n">
        <v>0.53</v>
      </c>
      <c r="K221" s="12" t="n">
        <f aca="false">ROUND(F221/100*G221*H221*I221/J221,2)</f>
        <v>17090.27</v>
      </c>
      <c r="L221" s="12" t="n">
        <v>17090.26</v>
      </c>
      <c r="M221" s="12" t="n">
        <f aca="false">L221-K221</f>
        <v>-0.0100000000020373</v>
      </c>
      <c r="N221" s="3" t="s">
        <v>61</v>
      </c>
      <c r="O221" s="3" t="s">
        <v>62</v>
      </c>
    </row>
    <row r="222" customFormat="false" ht="15" hidden="false" customHeight="false" outlineLevel="0" collapsed="false">
      <c r="A222" s="14" t="s">
        <v>4521</v>
      </c>
      <c r="B222" s="14" t="s">
        <v>4789</v>
      </c>
      <c r="C222" s="14" t="s">
        <v>77</v>
      </c>
      <c r="D222" s="14" t="s">
        <v>2432</v>
      </c>
      <c r="E222" s="14" t="s">
        <v>74</v>
      </c>
      <c r="F222" s="15" t="n">
        <v>1125000</v>
      </c>
      <c r="G222" s="16" t="n">
        <v>0.38</v>
      </c>
      <c r="H222" s="16" t="n">
        <v>1.42</v>
      </c>
      <c r="I222" s="16" t="n">
        <v>0.761</v>
      </c>
      <c r="J222" s="16" t="n">
        <v>0.53</v>
      </c>
      <c r="K222" s="15" t="n">
        <f aca="false">ROUND(F222/100*G222*H222*I222/J222,2)</f>
        <v>8716.32</v>
      </c>
      <c r="L222" s="15" t="n">
        <v>8716.32</v>
      </c>
      <c r="M222" s="15" t="n">
        <f aca="false">L222-K222</f>
        <v>0</v>
      </c>
      <c r="N222" s="14" t="s">
        <v>61</v>
      </c>
      <c r="O222" s="14" t="s">
        <v>62</v>
      </c>
    </row>
    <row r="223" customFormat="false" ht="15" hidden="false" customHeight="false" outlineLevel="0" collapsed="false">
      <c r="A223" s="3" t="s">
        <v>4565</v>
      </c>
      <c r="B223" s="3" t="s">
        <v>4790</v>
      </c>
      <c r="C223" s="3" t="s">
        <v>139</v>
      </c>
      <c r="D223" s="3" t="s">
        <v>4791</v>
      </c>
      <c r="E223" s="3" t="s">
        <v>50</v>
      </c>
      <c r="F223" s="12" t="n">
        <v>825000</v>
      </c>
      <c r="G223" s="13" t="n">
        <v>0.95</v>
      </c>
      <c r="H223" s="13" t="n">
        <v>1.23</v>
      </c>
      <c r="I223" s="13" t="n">
        <v>0.761</v>
      </c>
      <c r="J223" s="13" t="n">
        <v>0.53</v>
      </c>
      <c r="K223" s="12" t="n">
        <f aca="false">ROUND(F223/100*G223*H223*I223/J223,2)</f>
        <v>13841.76</v>
      </c>
      <c r="L223" s="12" t="n">
        <v>13841.77</v>
      </c>
      <c r="M223" s="12" t="n">
        <f aca="false">L223-K223</f>
        <v>0.0100000000002183</v>
      </c>
      <c r="N223" s="3" t="s">
        <v>51</v>
      </c>
      <c r="O223" s="3" t="s">
        <v>52</v>
      </c>
    </row>
    <row r="224" customFormat="false" ht="15" hidden="false" customHeight="false" outlineLevel="0" collapsed="false">
      <c r="A224" s="14" t="s">
        <v>4571</v>
      </c>
      <c r="B224" s="14" t="s">
        <v>4792</v>
      </c>
      <c r="C224" s="14" t="s">
        <v>139</v>
      </c>
      <c r="D224" s="14" t="s">
        <v>1730</v>
      </c>
      <c r="E224" s="14" t="s">
        <v>74</v>
      </c>
      <c r="F224" s="15" t="n">
        <v>780000</v>
      </c>
      <c r="G224" s="16" t="n">
        <v>0.43</v>
      </c>
      <c r="H224" s="16" t="n">
        <v>1.23</v>
      </c>
      <c r="I224" s="16" t="n">
        <v>0.761</v>
      </c>
      <c r="J224" s="16" t="n">
        <v>0.53</v>
      </c>
      <c r="K224" s="15" t="n">
        <f aca="false">ROUND(F224/100*G224*H224*I224/J224,2)</f>
        <v>5923.48</v>
      </c>
      <c r="L224" s="15" t="n">
        <v>5923.48</v>
      </c>
      <c r="M224" s="15" t="n">
        <f aca="false">L224-K224</f>
        <v>0</v>
      </c>
      <c r="N224" s="14" t="s">
        <v>61</v>
      </c>
      <c r="O224" s="14" t="s">
        <v>62</v>
      </c>
    </row>
    <row r="225" customFormat="false" ht="15" hidden="false" customHeight="false" outlineLevel="0" collapsed="false">
      <c r="A225" s="3" t="s">
        <v>4557</v>
      </c>
      <c r="B225" s="3" t="s">
        <v>4793</v>
      </c>
      <c r="C225" s="3" t="s">
        <v>210</v>
      </c>
      <c r="D225" s="3" t="s">
        <v>1197</v>
      </c>
      <c r="E225" s="3" t="s">
        <v>56</v>
      </c>
      <c r="F225" s="12" t="n">
        <v>445000</v>
      </c>
      <c r="G225" s="13" t="n">
        <v>0.75</v>
      </c>
      <c r="H225" s="13" t="n">
        <v>1.21</v>
      </c>
      <c r="I225" s="13" t="n">
        <v>0.761</v>
      </c>
      <c r="J225" s="13" t="n">
        <v>0.53</v>
      </c>
      <c r="K225" s="12" t="n">
        <f aca="false">ROUND(F225/100*G225*H225*I225/J225,2)</f>
        <v>5798.5</v>
      </c>
      <c r="L225" s="12" t="n">
        <v>5798.5</v>
      </c>
      <c r="M225" s="12" t="n">
        <f aca="false">L225-K225</f>
        <v>0</v>
      </c>
      <c r="N225" s="3" t="s">
        <v>61</v>
      </c>
      <c r="O225" s="3" t="s">
        <v>62</v>
      </c>
    </row>
    <row r="226" customFormat="false" ht="15" hidden="false" customHeight="false" outlineLevel="0" collapsed="false">
      <c r="A226" s="14" t="s">
        <v>4580</v>
      </c>
      <c r="B226" s="14" t="s">
        <v>4794</v>
      </c>
      <c r="C226" s="14" t="s">
        <v>193</v>
      </c>
      <c r="D226" s="14" t="s">
        <v>878</v>
      </c>
      <c r="E226" s="14" t="s">
        <v>56</v>
      </c>
      <c r="F226" s="15" t="n">
        <v>440000</v>
      </c>
      <c r="G226" s="16" t="n">
        <v>0.75</v>
      </c>
      <c r="H226" s="16" t="n">
        <v>1.25</v>
      </c>
      <c r="I226" s="16" t="n">
        <v>0.761</v>
      </c>
      <c r="J226" s="16" t="n">
        <v>0.53</v>
      </c>
      <c r="K226" s="15" t="n">
        <f aca="false">ROUND(F226/100*G226*H226*I226/J226,2)</f>
        <v>5922.88</v>
      </c>
      <c r="L226" s="15" t="n">
        <v>5922.88</v>
      </c>
      <c r="M226" s="15" t="n">
        <f aca="false">L226-K226</f>
        <v>0</v>
      </c>
      <c r="N226" s="14" t="s">
        <v>61</v>
      </c>
      <c r="O226" s="14" t="s">
        <v>62</v>
      </c>
    </row>
    <row r="227" customFormat="false" ht="15" hidden="false" customHeight="false" outlineLevel="0" collapsed="false">
      <c r="A227" s="3" t="s">
        <v>4523</v>
      </c>
      <c r="B227" s="3" t="s">
        <v>4795</v>
      </c>
      <c r="C227" s="3" t="s">
        <v>89</v>
      </c>
      <c r="D227" s="3" t="s">
        <v>4382</v>
      </c>
      <c r="E227" s="3" t="s">
        <v>74</v>
      </c>
      <c r="F227" s="12" t="n">
        <v>1040000</v>
      </c>
      <c r="G227" s="13" t="n">
        <v>0.38</v>
      </c>
      <c r="H227" s="13" t="n">
        <v>1.35</v>
      </c>
      <c r="I227" s="13" t="n">
        <v>0.761</v>
      </c>
      <c r="J227" s="13" t="n">
        <v>0.53</v>
      </c>
      <c r="K227" s="12" t="n">
        <f aca="false">ROUND(F227/100*G227*H227*I227/J227,2)</f>
        <v>7660.54</v>
      </c>
      <c r="L227" s="12" t="n">
        <v>7660.55</v>
      </c>
      <c r="M227" s="12" t="n">
        <f aca="false">L227-K227</f>
        <v>0.0100000000002183</v>
      </c>
      <c r="N227" s="3" t="s">
        <v>61</v>
      </c>
      <c r="O227" s="3" t="s">
        <v>62</v>
      </c>
    </row>
    <row r="228" customFormat="false" ht="15" hidden="false" customHeight="false" outlineLevel="0" collapsed="false">
      <c r="A228" s="14" t="s">
        <v>4547</v>
      </c>
      <c r="B228" s="14" t="s">
        <v>4796</v>
      </c>
      <c r="C228" s="14" t="s">
        <v>159</v>
      </c>
      <c r="D228" s="14" t="s">
        <v>513</v>
      </c>
      <c r="E228" s="14" t="s">
        <v>56</v>
      </c>
      <c r="F228" s="15" t="n">
        <v>875000</v>
      </c>
      <c r="G228" s="16" t="n">
        <v>0.65</v>
      </c>
      <c r="H228" s="16" t="n">
        <v>1.15</v>
      </c>
      <c r="I228" s="16" t="n">
        <v>0.761</v>
      </c>
      <c r="J228" s="16" t="n">
        <v>0.53</v>
      </c>
      <c r="K228" s="15" t="n">
        <f aca="false">ROUND(F228/100*G228*H228*I228/J228,2)</f>
        <v>9391.35</v>
      </c>
      <c r="L228" s="15" t="n">
        <v>9391.35</v>
      </c>
      <c r="M228" s="15" t="n">
        <f aca="false">L228-K228</f>
        <v>0</v>
      </c>
      <c r="N228" s="14" t="s">
        <v>51</v>
      </c>
      <c r="O228" s="14" t="s">
        <v>52</v>
      </c>
    </row>
    <row r="229" customFormat="false" ht="15" hidden="false" customHeight="false" outlineLevel="0" collapsed="false">
      <c r="A229" s="3" t="s">
        <v>4551</v>
      </c>
      <c r="B229" s="3" t="s">
        <v>4797</v>
      </c>
      <c r="C229" s="3" t="s">
        <v>462</v>
      </c>
      <c r="D229" s="3" t="s">
        <v>2105</v>
      </c>
      <c r="E229" s="3" t="s">
        <v>74</v>
      </c>
      <c r="F229" s="12" t="n">
        <v>1950000</v>
      </c>
      <c r="G229" s="13" t="n">
        <v>0.38</v>
      </c>
      <c r="H229" s="13" t="n">
        <v>1.34</v>
      </c>
      <c r="I229" s="13" t="n">
        <v>0.761</v>
      </c>
      <c r="J229" s="13" t="n">
        <v>0.53</v>
      </c>
      <c r="K229" s="12" t="n">
        <f aca="false">ROUND(F229/100*G229*H229*I229/J229,2)</f>
        <v>14257.12</v>
      </c>
      <c r="L229" s="12" t="n">
        <v>14257.12</v>
      </c>
      <c r="M229" s="12" t="n">
        <f aca="false">L229-K229</f>
        <v>0</v>
      </c>
      <c r="N229" s="3" t="s">
        <v>61</v>
      </c>
      <c r="O229" s="3" t="s">
        <v>62</v>
      </c>
    </row>
    <row r="230" customFormat="false" ht="15" hidden="false" customHeight="false" outlineLevel="0" collapsed="false">
      <c r="A230" s="14" t="s">
        <v>4553</v>
      </c>
      <c r="B230" s="14" t="s">
        <v>4798</v>
      </c>
      <c r="C230" s="14" t="s">
        <v>48</v>
      </c>
      <c r="D230" s="14" t="s">
        <v>4799</v>
      </c>
      <c r="E230" s="14" t="s">
        <v>50</v>
      </c>
      <c r="F230" s="15" t="n">
        <v>880000</v>
      </c>
      <c r="G230" s="16" t="n">
        <v>0.95</v>
      </c>
      <c r="H230" s="16" t="n">
        <v>1.28</v>
      </c>
      <c r="I230" s="16" t="n">
        <v>0.761</v>
      </c>
      <c r="J230" s="16" t="n">
        <v>0.53</v>
      </c>
      <c r="K230" s="15" t="n">
        <f aca="false">ROUND(F230/100*G230*H230*I230/J230,2)</f>
        <v>15364.73</v>
      </c>
      <c r="L230" s="15" t="n">
        <v>15364.73</v>
      </c>
      <c r="M230" s="15" t="n">
        <f aca="false">L230-K230</f>
        <v>0</v>
      </c>
      <c r="N230" s="14" t="s">
        <v>51</v>
      </c>
      <c r="O230" s="14" t="s">
        <v>52</v>
      </c>
    </row>
    <row r="231" customFormat="false" ht="15" hidden="false" customHeight="false" outlineLevel="0" collapsed="false">
      <c r="A231" s="3" t="s">
        <v>4529</v>
      </c>
      <c r="B231" s="3" t="s">
        <v>4800</v>
      </c>
      <c r="C231" s="3" t="s">
        <v>188</v>
      </c>
      <c r="D231" s="3" t="s">
        <v>293</v>
      </c>
      <c r="E231" s="3" t="s">
        <v>56</v>
      </c>
      <c r="F231" s="12" t="n">
        <v>350000</v>
      </c>
      <c r="G231" s="13" t="n">
        <v>0.75</v>
      </c>
      <c r="H231" s="13" t="n">
        <v>1.35</v>
      </c>
      <c r="I231" s="13" t="n">
        <v>0.761</v>
      </c>
      <c r="J231" s="13" t="n">
        <v>0.53</v>
      </c>
      <c r="K231" s="12" t="n">
        <f aca="false">ROUND(F231/100*G231*H231*I231/J231,2)</f>
        <v>5088.29</v>
      </c>
      <c r="L231" s="12" t="n">
        <v>5088.29</v>
      </c>
      <c r="M231" s="12" t="n">
        <f aca="false">L231-K231</f>
        <v>0</v>
      </c>
      <c r="N231" s="3" t="s">
        <v>61</v>
      </c>
      <c r="O231" s="3" t="s">
        <v>62</v>
      </c>
    </row>
    <row r="232" customFormat="false" ht="15" hidden="false" customHeight="false" outlineLevel="0" collapsed="false">
      <c r="A232" s="14" t="s">
        <v>4617</v>
      </c>
      <c r="B232" s="14" t="s">
        <v>4801</v>
      </c>
      <c r="C232" s="14" t="s">
        <v>462</v>
      </c>
      <c r="D232" s="14" t="s">
        <v>2216</v>
      </c>
      <c r="E232" s="14" t="s">
        <v>56</v>
      </c>
      <c r="F232" s="15" t="n">
        <v>485000</v>
      </c>
      <c r="G232" s="16" t="n">
        <v>0.75</v>
      </c>
      <c r="H232" s="16" t="n">
        <v>1.34</v>
      </c>
      <c r="I232" s="16" t="n">
        <v>0.761</v>
      </c>
      <c r="J232" s="16" t="n">
        <v>0.53</v>
      </c>
      <c r="K232" s="15" t="n">
        <f aca="false">ROUND(F232/100*G232*H232*I232/J232,2)</f>
        <v>6998.69</v>
      </c>
      <c r="L232" s="15" t="n">
        <v>6998.69</v>
      </c>
      <c r="M232" s="15" t="n">
        <f aca="false">L232-K232</f>
        <v>0</v>
      </c>
      <c r="N232" s="14" t="s">
        <v>61</v>
      </c>
      <c r="O232" s="14" t="s">
        <v>62</v>
      </c>
    </row>
    <row r="233" customFormat="false" ht="15" hidden="false" customHeight="false" outlineLevel="0" collapsed="false">
      <c r="A233" s="3" t="s">
        <v>4571</v>
      </c>
      <c r="B233" s="3" t="s">
        <v>4802</v>
      </c>
      <c r="C233" s="3" t="s">
        <v>81</v>
      </c>
      <c r="D233" s="3" t="s">
        <v>4803</v>
      </c>
      <c r="E233" s="3" t="s">
        <v>50</v>
      </c>
      <c r="F233" s="12" t="n">
        <v>1710000</v>
      </c>
      <c r="G233" s="13" t="n">
        <v>0.8</v>
      </c>
      <c r="H233" s="13" t="n">
        <v>1.27</v>
      </c>
      <c r="I233" s="13" t="n">
        <v>0.761</v>
      </c>
      <c r="J233" s="13" t="n">
        <v>0.53</v>
      </c>
      <c r="K233" s="12" t="n">
        <f aca="false">ROUND(F233/100*G233*H233*I233/J233,2)</f>
        <v>24945.87</v>
      </c>
      <c r="L233" s="12" t="n">
        <v>24945.87</v>
      </c>
      <c r="M233" s="12" t="n">
        <f aca="false">L233-K233</f>
        <v>0</v>
      </c>
      <c r="N233" s="3" t="s">
        <v>70</v>
      </c>
      <c r="O233" s="3" t="s">
        <v>52</v>
      </c>
    </row>
    <row r="234" customFormat="false" ht="15" hidden="false" customHeight="false" outlineLevel="0" collapsed="false">
      <c r="A234" s="14" t="s">
        <v>4531</v>
      </c>
      <c r="B234" s="14" t="s">
        <v>4804</v>
      </c>
      <c r="C234" s="14" t="s">
        <v>159</v>
      </c>
      <c r="D234" s="14" t="s">
        <v>3658</v>
      </c>
      <c r="E234" s="14" t="s">
        <v>56</v>
      </c>
      <c r="F234" s="15" t="n">
        <v>935000</v>
      </c>
      <c r="G234" s="16" t="n">
        <v>0.65</v>
      </c>
      <c r="H234" s="16" t="n">
        <v>1.15</v>
      </c>
      <c r="I234" s="16" t="n">
        <v>0.761</v>
      </c>
      <c r="J234" s="16" t="n">
        <v>0.53</v>
      </c>
      <c r="K234" s="15" t="n">
        <f aca="false">ROUND(F234/100*G234*H234*I234/J234,2)</f>
        <v>10035.33</v>
      </c>
      <c r="L234" s="15" t="n">
        <v>10035.33</v>
      </c>
      <c r="M234" s="15" t="n">
        <f aca="false">L234-K234</f>
        <v>0</v>
      </c>
      <c r="N234" s="14" t="s">
        <v>51</v>
      </c>
      <c r="O234" s="14" t="s">
        <v>52</v>
      </c>
    </row>
    <row r="235" customFormat="false" ht="15" hidden="false" customHeight="false" outlineLevel="0" collapsed="false">
      <c r="A235" s="3" t="s">
        <v>4547</v>
      </c>
      <c r="B235" s="3" t="s">
        <v>4805</v>
      </c>
      <c r="C235" s="3" t="s">
        <v>85</v>
      </c>
      <c r="D235" s="3" t="s">
        <v>2385</v>
      </c>
      <c r="E235" s="3" t="s">
        <v>50</v>
      </c>
      <c r="F235" s="12" t="n">
        <v>1950000</v>
      </c>
      <c r="G235" s="13" t="n">
        <v>0.8</v>
      </c>
      <c r="H235" s="13" t="n">
        <v>1.28</v>
      </c>
      <c r="I235" s="13" t="n">
        <v>0.761</v>
      </c>
      <c r="J235" s="13" t="n">
        <v>0.53</v>
      </c>
      <c r="K235" s="12" t="n">
        <f aca="false">ROUND(F235/100*G235*H235*I235/J235,2)</f>
        <v>28671.03</v>
      </c>
      <c r="L235" s="12" t="n">
        <v>28671.03</v>
      </c>
      <c r="M235" s="12" t="n">
        <f aca="false">L235-K235</f>
        <v>0</v>
      </c>
      <c r="N235" s="3" t="s">
        <v>61</v>
      </c>
      <c r="O235" s="3" t="s">
        <v>62</v>
      </c>
    </row>
    <row r="236" customFormat="false" ht="15" hidden="false" customHeight="false" outlineLevel="0" collapsed="false">
      <c r="A236" s="14" t="s">
        <v>4582</v>
      </c>
      <c r="B236" s="14" t="s">
        <v>4806</v>
      </c>
      <c r="C236" s="14" t="s">
        <v>210</v>
      </c>
      <c r="D236" s="14" t="s">
        <v>1573</v>
      </c>
      <c r="E236" s="14" t="s">
        <v>56</v>
      </c>
      <c r="F236" s="15" t="n">
        <v>480000</v>
      </c>
      <c r="G236" s="16" t="n">
        <v>0.75</v>
      </c>
      <c r="H236" s="16" t="n">
        <v>1.21</v>
      </c>
      <c r="I236" s="16" t="n">
        <v>0.761</v>
      </c>
      <c r="J236" s="16" t="n">
        <v>0.53</v>
      </c>
      <c r="K236" s="15" t="n">
        <f aca="false">ROUND(F236/100*G236*H236*I236/J236,2)</f>
        <v>6254.56</v>
      </c>
      <c r="L236" s="15" t="n">
        <v>6254.56</v>
      </c>
      <c r="M236" s="15" t="n">
        <f aca="false">L236-K236</f>
        <v>0</v>
      </c>
      <c r="N236" s="14" t="s">
        <v>51</v>
      </c>
      <c r="O236" s="14" t="s">
        <v>52</v>
      </c>
    </row>
    <row r="237" customFormat="false" ht="15" hidden="false" customHeight="false" outlineLevel="0" collapsed="false">
      <c r="A237" s="3" t="s">
        <v>4525</v>
      </c>
      <c r="B237" s="3" t="s">
        <v>4807</v>
      </c>
      <c r="C237" s="3" t="s">
        <v>131</v>
      </c>
      <c r="D237" s="3" t="s">
        <v>189</v>
      </c>
      <c r="E237" s="3" t="s">
        <v>50</v>
      </c>
      <c r="F237" s="12" t="n">
        <v>565000</v>
      </c>
      <c r="G237" s="13" t="n">
        <v>0.95</v>
      </c>
      <c r="H237" s="13" t="n">
        <v>0.95</v>
      </c>
      <c r="I237" s="13" t="n">
        <v>0.761</v>
      </c>
      <c r="J237" s="13" t="n">
        <v>0.53</v>
      </c>
      <c r="K237" s="12" t="n">
        <f aca="false">ROUND(F237/100*G237*H237*I237/J237,2)</f>
        <v>7321.57</v>
      </c>
      <c r="L237" s="12" t="n">
        <v>7321.57</v>
      </c>
      <c r="M237" s="12" t="n">
        <f aca="false">L237-K237</f>
        <v>0</v>
      </c>
      <c r="N237" s="3" t="s">
        <v>61</v>
      </c>
      <c r="O237" s="3" t="s">
        <v>62</v>
      </c>
    </row>
    <row r="238" customFormat="false" ht="15" hidden="false" customHeight="false" outlineLevel="0" collapsed="false">
      <c r="A238" s="14" t="s">
        <v>4615</v>
      </c>
      <c r="B238" s="14" t="s">
        <v>4808</v>
      </c>
      <c r="C238" s="14" t="s">
        <v>326</v>
      </c>
      <c r="D238" s="14" t="s">
        <v>2126</v>
      </c>
      <c r="E238" s="14" t="s">
        <v>56</v>
      </c>
      <c r="F238" s="15" t="n">
        <v>540000</v>
      </c>
      <c r="G238" s="16" t="n">
        <v>0.65</v>
      </c>
      <c r="H238" s="16" t="n">
        <v>1.12</v>
      </c>
      <c r="I238" s="16" t="n">
        <v>0.761</v>
      </c>
      <c r="J238" s="16" t="n">
        <v>0.53</v>
      </c>
      <c r="K238" s="15" t="n">
        <f aca="false">ROUND(F238/100*G238*H238*I238/J238,2)</f>
        <v>5644.61</v>
      </c>
      <c r="L238" s="15" t="n">
        <v>5644.61</v>
      </c>
      <c r="M238" s="15" t="n">
        <f aca="false">L238-K238</f>
        <v>0</v>
      </c>
      <c r="N238" s="14" t="s">
        <v>61</v>
      </c>
      <c r="O238" s="14" t="s">
        <v>62</v>
      </c>
    </row>
    <row r="239" customFormat="false" ht="15" hidden="false" customHeight="false" outlineLevel="0" collapsed="false">
      <c r="A239" s="3" t="s">
        <v>4589</v>
      </c>
      <c r="B239" s="3" t="s">
        <v>4809</v>
      </c>
      <c r="C239" s="3" t="s">
        <v>77</v>
      </c>
      <c r="D239" s="3" t="s">
        <v>878</v>
      </c>
      <c r="E239" s="3" t="s">
        <v>56</v>
      </c>
      <c r="F239" s="12" t="n">
        <v>640000</v>
      </c>
      <c r="G239" s="13" t="n">
        <v>0.65</v>
      </c>
      <c r="H239" s="13" t="n">
        <v>1.42</v>
      </c>
      <c r="I239" s="13" t="n">
        <v>0.761</v>
      </c>
      <c r="J239" s="13" t="n">
        <v>0.53</v>
      </c>
      <c r="K239" s="12" t="n">
        <f aca="false">ROUND(F239/100*G239*H239*I239/J239,2)</f>
        <v>8481.85</v>
      </c>
      <c r="L239" s="12" t="n">
        <v>8481.85</v>
      </c>
      <c r="M239" s="12" t="n">
        <f aca="false">L239-K239</f>
        <v>0</v>
      </c>
      <c r="N239" s="3" t="s">
        <v>70</v>
      </c>
      <c r="O239" s="3" t="s">
        <v>52</v>
      </c>
    </row>
    <row r="240" customFormat="false" ht="15" hidden="false" customHeight="false" outlineLevel="0" collapsed="false">
      <c r="A240" s="14" t="s">
        <v>4582</v>
      </c>
      <c r="B240" s="14" t="s">
        <v>4810</v>
      </c>
      <c r="C240" s="14" t="s">
        <v>105</v>
      </c>
      <c r="D240" s="14" t="s">
        <v>3242</v>
      </c>
      <c r="E240" s="14" t="s">
        <v>56</v>
      </c>
      <c r="F240" s="15" t="n">
        <v>410000</v>
      </c>
      <c r="G240" s="16" t="n">
        <v>0.75</v>
      </c>
      <c r="H240" s="16" t="n">
        <v>0.99</v>
      </c>
      <c r="I240" s="16" t="n">
        <v>0.761</v>
      </c>
      <c r="J240" s="16" t="n">
        <v>0.53</v>
      </c>
      <c r="K240" s="15" t="n">
        <f aca="false">ROUND(F240/100*G240*H240*I240/J240,2)</f>
        <v>4371.08</v>
      </c>
      <c r="L240" s="15" t="n">
        <v>4371.09</v>
      </c>
      <c r="M240" s="15" t="n">
        <f aca="false">L240-K240</f>
        <v>0.0100000000002183</v>
      </c>
      <c r="N240" s="14" t="s">
        <v>51</v>
      </c>
      <c r="O240" s="14" t="s">
        <v>52</v>
      </c>
    </row>
    <row r="241" customFormat="false" ht="15" hidden="false" customHeight="false" outlineLevel="0" collapsed="false">
      <c r="A241" s="3" t="s">
        <v>4582</v>
      </c>
      <c r="B241" s="3" t="s">
        <v>4811</v>
      </c>
      <c r="C241" s="3" t="s">
        <v>117</v>
      </c>
      <c r="D241" s="3" t="s">
        <v>812</v>
      </c>
      <c r="E241" s="3" t="s">
        <v>50</v>
      </c>
      <c r="F241" s="12" t="n">
        <v>415000</v>
      </c>
      <c r="G241" s="13" t="n">
        <v>1.15</v>
      </c>
      <c r="H241" s="13" t="n">
        <v>0.91</v>
      </c>
      <c r="I241" s="13" t="n">
        <v>0.761</v>
      </c>
      <c r="J241" s="13" t="n">
        <v>0.53</v>
      </c>
      <c r="K241" s="12" t="n">
        <f aca="false">ROUND(F241/100*G241*H241*I241/J241,2)</f>
        <v>6235.86</v>
      </c>
      <c r="L241" s="12" t="n">
        <v>6235.85</v>
      </c>
      <c r="M241" s="12" t="n">
        <f aca="false">L241-K241</f>
        <v>-0.00999999999930878</v>
      </c>
      <c r="N241" s="3" t="s">
        <v>61</v>
      </c>
      <c r="O241" s="3" t="s">
        <v>62</v>
      </c>
    </row>
    <row r="242" customFormat="false" ht="15" hidden="false" customHeight="false" outlineLevel="0" collapsed="false">
      <c r="A242" s="14" t="s">
        <v>4557</v>
      </c>
      <c r="B242" s="14" t="s">
        <v>4812</v>
      </c>
      <c r="C242" s="14" t="s">
        <v>59</v>
      </c>
      <c r="D242" s="14" t="s">
        <v>153</v>
      </c>
      <c r="E242" s="14" t="s">
        <v>56</v>
      </c>
      <c r="F242" s="15" t="n">
        <v>400000</v>
      </c>
      <c r="G242" s="16" t="n">
        <v>0.75</v>
      </c>
      <c r="H242" s="16" t="n">
        <v>0.97</v>
      </c>
      <c r="I242" s="16" t="n">
        <v>0.761</v>
      </c>
      <c r="J242" s="16" t="n">
        <v>0.53</v>
      </c>
      <c r="K242" s="15" t="n">
        <f aca="false">ROUND(F242/100*G242*H242*I242/J242,2)</f>
        <v>4178.32</v>
      </c>
      <c r="L242" s="15" t="n">
        <v>4178.32</v>
      </c>
      <c r="M242" s="15" t="n">
        <f aca="false">L242-K242</f>
        <v>0</v>
      </c>
      <c r="N242" s="14" t="s">
        <v>61</v>
      </c>
      <c r="O242" s="14" t="s">
        <v>62</v>
      </c>
    </row>
    <row r="243" customFormat="false" ht="15" hidden="false" customHeight="false" outlineLevel="0" collapsed="false">
      <c r="A243" s="3" t="s">
        <v>4578</v>
      </c>
      <c r="B243" s="3" t="s">
        <v>4813</v>
      </c>
      <c r="C243" s="3" t="s">
        <v>266</v>
      </c>
      <c r="D243" s="3" t="s">
        <v>1085</v>
      </c>
      <c r="E243" s="3" t="s">
        <v>56</v>
      </c>
      <c r="F243" s="12" t="n">
        <v>375000</v>
      </c>
      <c r="G243" s="13" t="n">
        <v>0.75</v>
      </c>
      <c r="H243" s="13" t="n">
        <v>1.1</v>
      </c>
      <c r="I243" s="13" t="n">
        <v>0.761</v>
      </c>
      <c r="J243" s="13" t="n">
        <v>0.53</v>
      </c>
      <c r="K243" s="12" t="n">
        <f aca="false">ROUND(F243/100*G243*H243*I243/J243,2)</f>
        <v>4442.16</v>
      </c>
      <c r="L243" s="12" t="n">
        <v>4442.15</v>
      </c>
      <c r="M243" s="12" t="n">
        <f aca="false">L243-K243</f>
        <v>-0.0100000000002183</v>
      </c>
      <c r="N243" s="3" t="s">
        <v>61</v>
      </c>
      <c r="O243" s="3" t="s">
        <v>62</v>
      </c>
    </row>
    <row r="244" customFormat="false" ht="15" hidden="false" customHeight="false" outlineLevel="0" collapsed="false">
      <c r="A244" s="14" t="s">
        <v>4557</v>
      </c>
      <c r="B244" s="14" t="s">
        <v>4814</v>
      </c>
      <c r="C244" s="14" t="s">
        <v>131</v>
      </c>
      <c r="D244" s="14" t="s">
        <v>4489</v>
      </c>
      <c r="E244" s="14" t="s">
        <v>50</v>
      </c>
      <c r="F244" s="15" t="n">
        <v>790000</v>
      </c>
      <c r="G244" s="16" t="n">
        <v>0.95</v>
      </c>
      <c r="H244" s="16" t="n">
        <v>0.95</v>
      </c>
      <c r="I244" s="16" t="n">
        <v>0.761</v>
      </c>
      <c r="J244" s="16" t="n">
        <v>0.53</v>
      </c>
      <c r="K244" s="15" t="n">
        <f aca="false">ROUND(F244/100*G244*H244*I244/J244,2)</f>
        <v>10237.24</v>
      </c>
      <c r="L244" s="15" t="n">
        <v>10237.25</v>
      </c>
      <c r="M244" s="15" t="n">
        <f aca="false">L244-K244</f>
        <v>0.0100000000002183</v>
      </c>
      <c r="N244" s="14" t="s">
        <v>61</v>
      </c>
      <c r="O244" s="14" t="s">
        <v>62</v>
      </c>
    </row>
    <row r="245" customFormat="false" ht="15" hidden="false" customHeight="false" outlineLevel="0" collapsed="false">
      <c r="A245" s="3" t="s">
        <v>4523</v>
      </c>
      <c r="B245" s="3" t="s">
        <v>4815</v>
      </c>
      <c r="C245" s="3" t="s">
        <v>77</v>
      </c>
      <c r="D245" s="3" t="s">
        <v>1909</v>
      </c>
      <c r="E245" s="3" t="s">
        <v>56</v>
      </c>
      <c r="F245" s="12" t="n">
        <v>460000</v>
      </c>
      <c r="G245" s="13" t="n">
        <v>0.75</v>
      </c>
      <c r="H245" s="13" t="n">
        <v>1.42</v>
      </c>
      <c r="I245" s="13" t="n">
        <v>0.761</v>
      </c>
      <c r="J245" s="13" t="n">
        <v>0.53</v>
      </c>
      <c r="K245" s="12" t="n">
        <f aca="false">ROUND(F245/100*G245*H245*I245/J245,2)</f>
        <v>7034.22</v>
      </c>
      <c r="L245" s="12" t="n">
        <v>7034.23</v>
      </c>
      <c r="M245" s="12" t="n">
        <f aca="false">L245-K245</f>
        <v>0.00999999999930878</v>
      </c>
      <c r="N245" s="3" t="s">
        <v>61</v>
      </c>
      <c r="O245" s="3" t="s">
        <v>62</v>
      </c>
    </row>
    <row r="246" customFormat="false" ht="15" hidden="false" customHeight="false" outlineLevel="0" collapsed="false">
      <c r="A246" s="14" t="s">
        <v>4693</v>
      </c>
      <c r="B246" s="14" t="s">
        <v>4816</v>
      </c>
      <c r="C246" s="14" t="s">
        <v>275</v>
      </c>
      <c r="D246" s="14" t="s">
        <v>575</v>
      </c>
      <c r="E246" s="14" t="s">
        <v>56</v>
      </c>
      <c r="F246" s="15" t="n">
        <v>505000</v>
      </c>
      <c r="G246" s="16" t="n">
        <v>0.65</v>
      </c>
      <c r="H246" s="16" t="n">
        <v>1.19</v>
      </c>
      <c r="I246" s="16" t="n">
        <v>0.761</v>
      </c>
      <c r="J246" s="16" t="n">
        <v>0.53</v>
      </c>
      <c r="K246" s="15" t="n">
        <f aca="false">ROUND(F246/100*G246*H246*I246/J246,2)</f>
        <v>5608.68</v>
      </c>
      <c r="L246" s="15" t="n">
        <v>5608.68</v>
      </c>
      <c r="M246" s="15" t="n">
        <f aca="false">L246-K246</f>
        <v>0</v>
      </c>
      <c r="N246" s="14" t="s">
        <v>61</v>
      </c>
      <c r="O246" s="14" t="s">
        <v>62</v>
      </c>
    </row>
    <row r="247" customFormat="false" ht="15" hidden="false" customHeight="false" outlineLevel="0" collapsed="false">
      <c r="A247" s="3" t="s">
        <v>4644</v>
      </c>
      <c r="B247" s="3" t="s">
        <v>4817</v>
      </c>
      <c r="C247" s="3" t="s">
        <v>217</v>
      </c>
      <c r="D247" s="3" t="s">
        <v>923</v>
      </c>
      <c r="E247" s="3" t="s">
        <v>56</v>
      </c>
      <c r="F247" s="12" t="n">
        <v>745000</v>
      </c>
      <c r="G247" s="13" t="n">
        <v>0.65</v>
      </c>
      <c r="H247" s="13" t="n">
        <v>1.3</v>
      </c>
      <c r="I247" s="13" t="n">
        <v>0.761</v>
      </c>
      <c r="J247" s="13" t="n">
        <v>0.53</v>
      </c>
      <c r="K247" s="12" t="n">
        <f aca="false">ROUND(F247/100*G247*H247*I247/J247,2)</f>
        <v>9039.03</v>
      </c>
      <c r="L247" s="12" t="n">
        <v>9039.03</v>
      </c>
      <c r="M247" s="12" t="n">
        <f aca="false">L247-K247</f>
        <v>0</v>
      </c>
      <c r="N247" s="3" t="s">
        <v>51</v>
      </c>
      <c r="O247" s="3" t="s">
        <v>52</v>
      </c>
    </row>
    <row r="248" customFormat="false" ht="15" hidden="false" customHeight="false" outlineLevel="0" collapsed="false">
      <c r="A248" s="14" t="s">
        <v>4565</v>
      </c>
      <c r="B248" s="14" t="s">
        <v>4818</v>
      </c>
      <c r="C248" s="14" t="s">
        <v>89</v>
      </c>
      <c r="D248" s="14" t="s">
        <v>1000</v>
      </c>
      <c r="E248" s="14" t="s">
        <v>56</v>
      </c>
      <c r="F248" s="15" t="n">
        <v>845000</v>
      </c>
      <c r="G248" s="16" t="n">
        <v>0.65</v>
      </c>
      <c r="H248" s="16" t="n">
        <v>1.35</v>
      </c>
      <c r="I248" s="16" t="n">
        <v>0.761</v>
      </c>
      <c r="J248" s="16" t="n">
        <v>0.53</v>
      </c>
      <c r="K248" s="15" t="n">
        <f aca="false">ROUND(F248/100*G248*H248*I248/J248,2)</f>
        <v>10646.64</v>
      </c>
      <c r="L248" s="15" t="n">
        <v>10646.64</v>
      </c>
      <c r="M248" s="15" t="n">
        <f aca="false">L248-K248</f>
        <v>0</v>
      </c>
      <c r="N248" s="14" t="s">
        <v>61</v>
      </c>
      <c r="O248" s="14" t="s">
        <v>62</v>
      </c>
    </row>
    <row r="249" customFormat="false" ht="15" hidden="false" customHeight="false" outlineLevel="0" collapsed="false">
      <c r="A249" s="3" t="s">
        <v>4542</v>
      </c>
      <c r="B249" s="3" t="s">
        <v>4819</v>
      </c>
      <c r="C249" s="3" t="s">
        <v>117</v>
      </c>
      <c r="D249" s="3" t="s">
        <v>2511</v>
      </c>
      <c r="E249" s="3" t="s">
        <v>56</v>
      </c>
      <c r="F249" s="12" t="n">
        <v>540000</v>
      </c>
      <c r="G249" s="13" t="n">
        <v>0.65</v>
      </c>
      <c r="H249" s="13" t="n">
        <v>0.91</v>
      </c>
      <c r="I249" s="13" t="n">
        <v>0.761</v>
      </c>
      <c r="J249" s="13" t="n">
        <v>0.53</v>
      </c>
      <c r="K249" s="12" t="n">
        <f aca="false">ROUND(F249/100*G249*H249*I249/J249,2)</f>
        <v>4586.25</v>
      </c>
      <c r="L249" s="12" t="n">
        <v>4586.24</v>
      </c>
      <c r="M249" s="12" t="n">
        <f aca="false">L249-K249</f>
        <v>-0.0100000000002183</v>
      </c>
      <c r="N249" s="3" t="s">
        <v>61</v>
      </c>
      <c r="O249" s="3" t="s">
        <v>62</v>
      </c>
    </row>
    <row r="250" customFormat="false" ht="15" hidden="false" customHeight="false" outlineLevel="0" collapsed="false">
      <c r="A250" s="14" t="s">
        <v>4565</v>
      </c>
      <c r="B250" s="14" t="s">
        <v>4820</v>
      </c>
      <c r="C250" s="14" t="s">
        <v>114</v>
      </c>
      <c r="D250" s="14" t="s">
        <v>865</v>
      </c>
      <c r="E250" s="14" t="s">
        <v>50</v>
      </c>
      <c r="F250" s="15" t="n">
        <v>440000</v>
      </c>
      <c r="G250" s="16" t="n">
        <v>1.15</v>
      </c>
      <c r="H250" s="16" t="n">
        <v>1.36</v>
      </c>
      <c r="I250" s="16" t="n">
        <v>0.761</v>
      </c>
      <c r="J250" s="16" t="n">
        <v>0.53</v>
      </c>
      <c r="K250" s="15" t="n">
        <f aca="false">ROUND(F250/100*G250*H250*I250/J250,2)</f>
        <v>9880.94</v>
      </c>
      <c r="L250" s="15" t="n">
        <v>9880.94</v>
      </c>
      <c r="M250" s="15" t="n">
        <f aca="false">L250-K250</f>
        <v>0</v>
      </c>
      <c r="N250" s="14" t="s">
        <v>61</v>
      </c>
      <c r="O250" s="14" t="s">
        <v>62</v>
      </c>
    </row>
    <row r="251" customFormat="false" ht="15" hidden="false" customHeight="false" outlineLevel="0" collapsed="false">
      <c r="A251" s="3" t="s">
        <v>4531</v>
      </c>
      <c r="B251" s="3" t="s">
        <v>4821</v>
      </c>
      <c r="C251" s="3" t="s">
        <v>159</v>
      </c>
      <c r="D251" s="3" t="s">
        <v>2910</v>
      </c>
      <c r="E251" s="3" t="s">
        <v>56</v>
      </c>
      <c r="F251" s="12" t="n">
        <v>745000</v>
      </c>
      <c r="G251" s="13" t="n">
        <v>0.65</v>
      </c>
      <c r="H251" s="13" t="n">
        <v>1.15</v>
      </c>
      <c r="I251" s="13" t="n">
        <v>0.761</v>
      </c>
      <c r="J251" s="13" t="n">
        <v>0.53</v>
      </c>
      <c r="K251" s="12" t="n">
        <f aca="false">ROUND(F251/100*G251*H251*I251/J251,2)</f>
        <v>7996.06</v>
      </c>
      <c r="L251" s="12" t="n">
        <v>7996.06</v>
      </c>
      <c r="M251" s="12" t="n">
        <f aca="false">L251-K251</f>
        <v>0</v>
      </c>
      <c r="N251" s="3" t="s">
        <v>61</v>
      </c>
      <c r="O251" s="3" t="s">
        <v>62</v>
      </c>
    </row>
    <row r="252" customFormat="false" ht="15" hidden="false" customHeight="false" outlineLevel="0" collapsed="false">
      <c r="A252" s="14" t="s">
        <v>4557</v>
      </c>
      <c r="B252" s="14" t="s">
        <v>4822</v>
      </c>
      <c r="C252" s="14" t="s">
        <v>417</v>
      </c>
      <c r="D252" s="14" t="s">
        <v>445</v>
      </c>
      <c r="E252" s="14" t="s">
        <v>56</v>
      </c>
      <c r="F252" s="15" t="n">
        <v>860000</v>
      </c>
      <c r="G252" s="16" t="n">
        <v>0.65</v>
      </c>
      <c r="H252" s="16" t="n">
        <v>1.24</v>
      </c>
      <c r="I252" s="16" t="n">
        <v>0.761</v>
      </c>
      <c r="J252" s="16" t="n">
        <v>0.53</v>
      </c>
      <c r="K252" s="15" t="n">
        <f aca="false">ROUND(F252/100*G252*H252*I252/J252,2)</f>
        <v>9952.73</v>
      </c>
      <c r="L252" s="15" t="n">
        <v>9952.73</v>
      </c>
      <c r="M252" s="15" t="n">
        <f aca="false">L252-K252</f>
        <v>0</v>
      </c>
      <c r="N252" s="14" t="s">
        <v>51</v>
      </c>
      <c r="O252" s="14" t="s">
        <v>52</v>
      </c>
    </row>
    <row r="253" customFormat="false" ht="15" hidden="false" customHeight="false" outlineLevel="0" collapsed="false">
      <c r="A253" s="3" t="s">
        <v>4538</v>
      </c>
      <c r="B253" s="3" t="s">
        <v>4823</v>
      </c>
      <c r="C253" s="3" t="s">
        <v>114</v>
      </c>
      <c r="D253" s="3" t="s">
        <v>986</v>
      </c>
      <c r="E253" s="3" t="s">
        <v>56</v>
      </c>
      <c r="F253" s="12" t="n">
        <v>350000</v>
      </c>
      <c r="G253" s="13" t="n">
        <v>0.75</v>
      </c>
      <c r="H253" s="13" t="n">
        <v>1.36</v>
      </c>
      <c r="I253" s="13" t="n">
        <v>0.761</v>
      </c>
      <c r="J253" s="13" t="n">
        <v>0.53</v>
      </c>
      <c r="K253" s="12" t="n">
        <f aca="false">ROUND(F253/100*G253*H253*I253/J253,2)</f>
        <v>5125.98</v>
      </c>
      <c r="L253" s="12" t="n">
        <v>5125.98</v>
      </c>
      <c r="M253" s="12" t="n">
        <f aca="false">L253-K253</f>
        <v>0</v>
      </c>
      <c r="N253" s="3" t="s">
        <v>61</v>
      </c>
      <c r="O253" s="3" t="s">
        <v>62</v>
      </c>
    </row>
    <row r="254" customFormat="false" ht="15" hidden="false" customHeight="false" outlineLevel="0" collapsed="false">
      <c r="A254" s="14" t="s">
        <v>4534</v>
      </c>
      <c r="B254" s="14" t="s">
        <v>4824</v>
      </c>
      <c r="C254" s="14" t="s">
        <v>108</v>
      </c>
      <c r="D254" s="14" t="s">
        <v>3471</v>
      </c>
      <c r="E254" s="14" t="s">
        <v>56</v>
      </c>
      <c r="F254" s="15" t="n">
        <v>525000</v>
      </c>
      <c r="G254" s="16" t="n">
        <v>0.65</v>
      </c>
      <c r="H254" s="16" t="n">
        <v>0.93</v>
      </c>
      <c r="I254" s="16" t="n">
        <v>0.761</v>
      </c>
      <c r="J254" s="16" t="n">
        <v>0.53</v>
      </c>
      <c r="K254" s="15" t="n">
        <f aca="false">ROUND(F254/100*G254*H254*I254/J254,2)</f>
        <v>4556.85</v>
      </c>
      <c r="L254" s="15" t="n">
        <v>4556.85</v>
      </c>
      <c r="M254" s="15" t="n">
        <f aca="false">L254-K254</f>
        <v>0</v>
      </c>
      <c r="N254" s="14" t="s">
        <v>61</v>
      </c>
      <c r="O254" s="14" t="s">
        <v>62</v>
      </c>
    </row>
    <row r="255" customFormat="false" ht="15" hidden="false" customHeight="false" outlineLevel="0" collapsed="false">
      <c r="A255" s="3" t="s">
        <v>4519</v>
      </c>
      <c r="B255" s="3" t="s">
        <v>4825</v>
      </c>
      <c r="C255" s="3" t="s">
        <v>210</v>
      </c>
      <c r="D255" s="3" t="s">
        <v>2764</v>
      </c>
      <c r="E255" s="3" t="s">
        <v>56</v>
      </c>
      <c r="F255" s="12" t="n">
        <v>360000</v>
      </c>
      <c r="G255" s="13" t="n">
        <v>0.75</v>
      </c>
      <c r="H255" s="13" t="n">
        <v>1.21</v>
      </c>
      <c r="I255" s="13" t="n">
        <v>0.761</v>
      </c>
      <c r="J255" s="13" t="n">
        <v>0.53</v>
      </c>
      <c r="K255" s="12" t="n">
        <f aca="false">ROUND(F255/100*G255*H255*I255/J255,2)</f>
        <v>4690.92</v>
      </c>
      <c r="L255" s="12" t="n">
        <v>4690.92</v>
      </c>
      <c r="M255" s="12" t="n">
        <f aca="false">L255-K255</f>
        <v>0</v>
      </c>
      <c r="N255" s="3" t="s">
        <v>51</v>
      </c>
      <c r="O255" s="3" t="s">
        <v>52</v>
      </c>
    </row>
    <row r="256" customFormat="false" ht="15" hidden="false" customHeight="false" outlineLevel="0" collapsed="false">
      <c r="A256" s="14" t="s">
        <v>4565</v>
      </c>
      <c r="B256" s="14" t="s">
        <v>4826</v>
      </c>
      <c r="C256" s="14" t="s">
        <v>114</v>
      </c>
      <c r="D256" s="14" t="s">
        <v>3033</v>
      </c>
      <c r="E256" s="14" t="s">
        <v>74</v>
      </c>
      <c r="F256" s="15" t="n">
        <v>1940000</v>
      </c>
      <c r="G256" s="16" t="n">
        <v>0.38</v>
      </c>
      <c r="H256" s="16" t="n">
        <v>1.36</v>
      </c>
      <c r="I256" s="16" t="n">
        <v>0.761</v>
      </c>
      <c r="J256" s="16" t="n">
        <v>0.53</v>
      </c>
      <c r="K256" s="15" t="n">
        <f aca="false">ROUND(F256/100*G256*H256*I256/J256,2)</f>
        <v>14395.71</v>
      </c>
      <c r="L256" s="15" t="n">
        <v>14395.71</v>
      </c>
      <c r="M256" s="15" t="n">
        <f aca="false">L256-K256</f>
        <v>0</v>
      </c>
      <c r="N256" s="14" t="s">
        <v>51</v>
      </c>
      <c r="O256" s="14" t="s">
        <v>52</v>
      </c>
    </row>
    <row r="257" customFormat="false" ht="15" hidden="false" customHeight="false" outlineLevel="0" collapsed="false">
      <c r="A257" s="3" t="s">
        <v>4567</v>
      </c>
      <c r="B257" s="3" t="s">
        <v>4827</v>
      </c>
      <c r="C257" s="3" t="s">
        <v>210</v>
      </c>
      <c r="D257" s="3" t="s">
        <v>281</v>
      </c>
      <c r="E257" s="3" t="s">
        <v>56</v>
      </c>
      <c r="F257" s="12" t="n">
        <v>760000</v>
      </c>
      <c r="G257" s="13" t="n">
        <v>0.65</v>
      </c>
      <c r="H257" s="13" t="n">
        <v>1.21</v>
      </c>
      <c r="I257" s="13" t="n">
        <v>0.761</v>
      </c>
      <c r="J257" s="13" t="n">
        <v>0.53</v>
      </c>
      <c r="K257" s="12" t="n">
        <f aca="false">ROUND(F257/100*G257*H257*I257/J257,2)</f>
        <v>8582.64</v>
      </c>
      <c r="L257" s="12" t="n">
        <v>8582.64</v>
      </c>
      <c r="M257" s="12" t="n">
        <f aca="false">L257-K257</f>
        <v>0</v>
      </c>
      <c r="N257" s="3" t="s">
        <v>51</v>
      </c>
      <c r="O257" s="3" t="s">
        <v>52</v>
      </c>
    </row>
    <row r="258" customFormat="false" ht="15" hidden="false" customHeight="false" outlineLevel="0" collapsed="false">
      <c r="A258" s="14" t="s">
        <v>4619</v>
      </c>
      <c r="B258" s="14" t="s">
        <v>4828</v>
      </c>
      <c r="C258" s="14" t="s">
        <v>220</v>
      </c>
      <c r="D258" s="14" t="s">
        <v>4829</v>
      </c>
      <c r="E258" s="14" t="s">
        <v>133</v>
      </c>
      <c r="F258" s="15" t="n">
        <v>1005000</v>
      </c>
      <c r="G258" s="16" t="n">
        <v>0.34</v>
      </c>
      <c r="H258" s="16" t="n">
        <v>1.01</v>
      </c>
      <c r="I258" s="16" t="n">
        <v>0.761</v>
      </c>
      <c r="J258" s="16" t="n">
        <v>0.53</v>
      </c>
      <c r="K258" s="15" t="n">
        <f aca="false">ROUND(F258/100*G258*H258*I258/J258,2)</f>
        <v>4955.36</v>
      </c>
      <c r="L258" s="15" t="n">
        <v>4955.36</v>
      </c>
      <c r="M258" s="15" t="n">
        <f aca="false">L258-K258</f>
        <v>0</v>
      </c>
      <c r="N258" s="14" t="s">
        <v>70</v>
      </c>
      <c r="O258" s="14" t="s">
        <v>52</v>
      </c>
    </row>
    <row r="259" customFormat="false" ht="15" hidden="false" customHeight="false" outlineLevel="0" collapsed="false">
      <c r="A259" s="3" t="s">
        <v>4534</v>
      </c>
      <c r="B259" s="3" t="s">
        <v>4830</v>
      </c>
      <c r="C259" s="3" t="s">
        <v>193</v>
      </c>
      <c r="D259" s="3" t="s">
        <v>3877</v>
      </c>
      <c r="E259" s="3" t="s">
        <v>74</v>
      </c>
      <c r="F259" s="12" t="n">
        <v>530000</v>
      </c>
      <c r="G259" s="13" t="n">
        <v>0.43</v>
      </c>
      <c r="H259" s="13" t="n">
        <v>1.25</v>
      </c>
      <c r="I259" s="13" t="n">
        <v>0.761</v>
      </c>
      <c r="J259" s="13" t="n">
        <v>0.53</v>
      </c>
      <c r="K259" s="12" t="n">
        <f aca="false">ROUND(F259/100*G259*H259*I259/J259,2)</f>
        <v>4090.38</v>
      </c>
      <c r="L259" s="12" t="n">
        <v>4090.38</v>
      </c>
      <c r="M259" s="12" t="n">
        <f aca="false">L259-K259</f>
        <v>0</v>
      </c>
      <c r="N259" s="3" t="s">
        <v>61</v>
      </c>
      <c r="O259" s="3" t="s">
        <v>62</v>
      </c>
    </row>
    <row r="260" customFormat="false" ht="15" hidden="false" customHeight="false" outlineLevel="0" collapsed="false">
      <c r="A260" s="14" t="s">
        <v>4553</v>
      </c>
      <c r="B260" s="14" t="s">
        <v>4831</v>
      </c>
      <c r="C260" s="14" t="s">
        <v>887</v>
      </c>
      <c r="D260" s="14" t="s">
        <v>2539</v>
      </c>
      <c r="E260" s="14" t="s">
        <v>50</v>
      </c>
      <c r="F260" s="15" t="n">
        <v>1435000</v>
      </c>
      <c r="G260" s="16" t="n">
        <v>0.8</v>
      </c>
      <c r="H260" s="16" t="n">
        <v>1.37</v>
      </c>
      <c r="I260" s="16" t="n">
        <v>0.761</v>
      </c>
      <c r="J260" s="16" t="n">
        <v>0.53</v>
      </c>
      <c r="K260" s="15" t="n">
        <f aca="false">ROUND(F260/100*G260*H260*I260/J260,2)</f>
        <v>22582.46</v>
      </c>
      <c r="L260" s="15" t="n">
        <v>22582.46</v>
      </c>
      <c r="M260" s="15" t="n">
        <f aca="false">L260-K260</f>
        <v>0</v>
      </c>
      <c r="N260" s="14" t="s">
        <v>61</v>
      </c>
      <c r="O260" s="14" t="s">
        <v>62</v>
      </c>
    </row>
    <row r="261" customFormat="false" ht="15" hidden="false" customHeight="false" outlineLevel="0" collapsed="false">
      <c r="A261" s="3" t="s">
        <v>4523</v>
      </c>
      <c r="B261" s="3" t="s">
        <v>4832</v>
      </c>
      <c r="C261" s="3" t="s">
        <v>188</v>
      </c>
      <c r="D261" s="3" t="s">
        <v>2069</v>
      </c>
      <c r="E261" s="3" t="s">
        <v>56</v>
      </c>
      <c r="F261" s="12" t="n">
        <v>195000</v>
      </c>
      <c r="G261" s="13" t="n">
        <v>0.92</v>
      </c>
      <c r="H261" s="13" t="n">
        <v>1.35</v>
      </c>
      <c r="I261" s="13" t="n">
        <v>0.761</v>
      </c>
      <c r="J261" s="13" t="n">
        <v>0.53</v>
      </c>
      <c r="K261" s="12" t="n">
        <f aca="false">ROUND(F261/100*G261*H261*I261/J261,2)</f>
        <v>3477.48</v>
      </c>
      <c r="L261" s="12" t="n">
        <v>3477.48</v>
      </c>
      <c r="M261" s="12" t="n">
        <f aca="false">L261-K261</f>
        <v>0</v>
      </c>
      <c r="N261" s="3" t="s">
        <v>61</v>
      </c>
      <c r="O261" s="3" t="s">
        <v>62</v>
      </c>
    </row>
    <row r="262" customFormat="false" ht="15" hidden="false" customHeight="false" outlineLevel="0" collapsed="false">
      <c r="A262" s="14" t="s">
        <v>4693</v>
      </c>
      <c r="B262" s="14" t="s">
        <v>4833</v>
      </c>
      <c r="C262" s="14" t="s">
        <v>136</v>
      </c>
      <c r="D262" s="14" t="s">
        <v>842</v>
      </c>
      <c r="E262" s="14" t="s">
        <v>56</v>
      </c>
      <c r="F262" s="15" t="n">
        <v>565000</v>
      </c>
      <c r="G262" s="16" t="n">
        <v>0.65</v>
      </c>
      <c r="H262" s="16" t="n">
        <v>1.32</v>
      </c>
      <c r="I262" s="16" t="n">
        <v>0.761</v>
      </c>
      <c r="J262" s="16" t="n">
        <v>0.53</v>
      </c>
      <c r="K262" s="15" t="n">
        <f aca="false">ROUND(F262/100*G262*H262*I262/J262,2)</f>
        <v>6960.57</v>
      </c>
      <c r="L262" s="15" t="n">
        <v>6960.56</v>
      </c>
      <c r="M262" s="15" t="n">
        <f aca="false">L262-K262</f>
        <v>-0.00999999999930878</v>
      </c>
      <c r="N262" s="14" t="s">
        <v>61</v>
      </c>
      <c r="O262" s="14" t="s">
        <v>62</v>
      </c>
    </row>
    <row r="263" customFormat="false" ht="15" hidden="false" customHeight="false" outlineLevel="0" collapsed="false">
      <c r="A263" s="3" t="s">
        <v>4531</v>
      </c>
      <c r="B263" s="3" t="s">
        <v>4834</v>
      </c>
      <c r="C263" s="3" t="s">
        <v>305</v>
      </c>
      <c r="D263" s="3" t="s">
        <v>3940</v>
      </c>
      <c r="E263" s="3" t="s">
        <v>74</v>
      </c>
      <c r="F263" s="12" t="n">
        <v>620000</v>
      </c>
      <c r="G263" s="13" t="n">
        <v>0.43</v>
      </c>
      <c r="H263" s="13" t="n">
        <v>1.12</v>
      </c>
      <c r="I263" s="13" t="n">
        <v>0.761</v>
      </c>
      <c r="J263" s="13" t="n">
        <v>0.53</v>
      </c>
      <c r="K263" s="12" t="n">
        <f aca="false">ROUND(F263/100*G263*H263*I263/J263,2)</f>
        <v>4287.33</v>
      </c>
      <c r="L263" s="12" t="n">
        <v>4287.33</v>
      </c>
      <c r="M263" s="12" t="n">
        <f aca="false">L263-K263</f>
        <v>0</v>
      </c>
      <c r="N263" s="3" t="s">
        <v>51</v>
      </c>
      <c r="O263" s="3" t="s">
        <v>52</v>
      </c>
    </row>
    <row r="264" customFormat="false" ht="15" hidden="false" customHeight="false" outlineLevel="0" collapsed="false">
      <c r="A264" s="14" t="s">
        <v>4519</v>
      </c>
      <c r="B264" s="14" t="s">
        <v>4835</v>
      </c>
      <c r="C264" s="14" t="s">
        <v>145</v>
      </c>
      <c r="D264" s="14" t="s">
        <v>4836</v>
      </c>
      <c r="E264" s="14" t="s">
        <v>74</v>
      </c>
      <c r="F264" s="15" t="n">
        <v>690000</v>
      </c>
      <c r="G264" s="16" t="n">
        <v>0.43</v>
      </c>
      <c r="H264" s="16" t="n">
        <v>0.96</v>
      </c>
      <c r="I264" s="16" t="n">
        <v>0.761</v>
      </c>
      <c r="J264" s="16" t="n">
        <v>0.53</v>
      </c>
      <c r="K264" s="15" t="n">
        <f aca="false">ROUND(F264/100*G264*H264*I264/J264,2)</f>
        <v>4089.76</v>
      </c>
      <c r="L264" s="15" t="n">
        <v>4089.76</v>
      </c>
      <c r="M264" s="15" t="n">
        <f aca="false">L264-K264</f>
        <v>0</v>
      </c>
      <c r="N264" s="14" t="s">
        <v>61</v>
      </c>
      <c r="O264" s="14" t="s">
        <v>62</v>
      </c>
    </row>
    <row r="265" customFormat="false" ht="15" hidden="false" customHeight="false" outlineLevel="0" collapsed="false">
      <c r="A265" s="3" t="s">
        <v>4589</v>
      </c>
      <c r="B265" s="3" t="s">
        <v>4837</v>
      </c>
      <c r="C265" s="3" t="s">
        <v>77</v>
      </c>
      <c r="D265" s="3" t="s">
        <v>2043</v>
      </c>
      <c r="E265" s="3" t="s">
        <v>50</v>
      </c>
      <c r="F265" s="12" t="n">
        <v>1950000</v>
      </c>
      <c r="G265" s="13" t="n">
        <v>0.8</v>
      </c>
      <c r="H265" s="13" t="n">
        <v>1.42</v>
      </c>
      <c r="I265" s="13" t="n">
        <v>0.761</v>
      </c>
      <c r="J265" s="13" t="n">
        <v>0.53</v>
      </c>
      <c r="K265" s="12" t="n">
        <f aca="false">ROUND(F265/100*G265*H265*I265/J265,2)</f>
        <v>31806.93</v>
      </c>
      <c r="L265" s="12" t="n">
        <v>31806.93</v>
      </c>
      <c r="M265" s="12" t="n">
        <f aca="false">L265-K265</f>
        <v>0</v>
      </c>
      <c r="N265" s="3" t="s">
        <v>51</v>
      </c>
      <c r="O265" s="3" t="s">
        <v>52</v>
      </c>
    </row>
    <row r="266" customFormat="false" ht="15" hidden="false" customHeight="false" outlineLevel="0" collapsed="false">
      <c r="A266" s="14" t="s">
        <v>4519</v>
      </c>
      <c r="B266" s="14" t="s">
        <v>4838</v>
      </c>
      <c r="C266" s="14" t="s">
        <v>193</v>
      </c>
      <c r="D266" s="14" t="s">
        <v>838</v>
      </c>
      <c r="E266" s="14" t="s">
        <v>56</v>
      </c>
      <c r="F266" s="15" t="n">
        <v>225000</v>
      </c>
      <c r="G266" s="16" t="n">
        <v>0.92</v>
      </c>
      <c r="H266" s="16" t="n">
        <v>1.25</v>
      </c>
      <c r="I266" s="16" t="n">
        <v>0.761</v>
      </c>
      <c r="J266" s="16" t="n">
        <v>0.53</v>
      </c>
      <c r="K266" s="15" t="n">
        <f aca="false">ROUND(F266/100*G266*H266*I266/J266,2)</f>
        <v>3715.26</v>
      </c>
      <c r="L266" s="15" t="n">
        <v>3715.26</v>
      </c>
      <c r="M266" s="15" t="n">
        <f aca="false">L266-K266</f>
        <v>0</v>
      </c>
      <c r="N266" s="14" t="s">
        <v>51</v>
      </c>
      <c r="O266" s="14" t="s">
        <v>52</v>
      </c>
    </row>
    <row r="267" customFormat="false" ht="15" hidden="false" customHeight="false" outlineLevel="0" collapsed="false">
      <c r="A267" s="3" t="s">
        <v>4578</v>
      </c>
      <c r="B267" s="3" t="s">
        <v>4839</v>
      </c>
      <c r="C267" s="3" t="s">
        <v>89</v>
      </c>
      <c r="D267" s="3" t="s">
        <v>1506</v>
      </c>
      <c r="E267" s="3" t="s">
        <v>56</v>
      </c>
      <c r="F267" s="12" t="n">
        <v>655000</v>
      </c>
      <c r="G267" s="13" t="n">
        <v>0.65</v>
      </c>
      <c r="H267" s="13" t="n">
        <v>1.35</v>
      </c>
      <c r="I267" s="13" t="n">
        <v>0.761</v>
      </c>
      <c r="J267" s="13" t="n">
        <v>0.53</v>
      </c>
      <c r="K267" s="12" t="n">
        <f aca="false">ROUND(F267/100*G267*H267*I267/J267,2)</f>
        <v>8252.72</v>
      </c>
      <c r="L267" s="12" t="n">
        <v>8252.73</v>
      </c>
      <c r="M267" s="12" t="n">
        <f aca="false">L267-K267</f>
        <v>0.0100000000002183</v>
      </c>
      <c r="N267" s="3" t="s">
        <v>61</v>
      </c>
      <c r="O267" s="3" t="s">
        <v>62</v>
      </c>
    </row>
    <row r="268" customFormat="false" ht="15" hidden="false" customHeight="false" outlineLevel="0" collapsed="false">
      <c r="A268" s="14" t="s">
        <v>4619</v>
      </c>
      <c r="B268" s="14" t="s">
        <v>4840</v>
      </c>
      <c r="C268" s="14" t="s">
        <v>93</v>
      </c>
      <c r="D268" s="14" t="s">
        <v>1290</v>
      </c>
      <c r="E268" s="14" t="s">
        <v>56</v>
      </c>
      <c r="F268" s="15" t="n">
        <v>215000</v>
      </c>
      <c r="G268" s="16" t="n">
        <v>0.92</v>
      </c>
      <c r="H268" s="16" t="n">
        <v>1.39</v>
      </c>
      <c r="I268" s="16" t="n">
        <v>0.761</v>
      </c>
      <c r="J268" s="16" t="n">
        <v>0.53</v>
      </c>
      <c r="K268" s="15" t="n">
        <f aca="false">ROUND(F268/100*G268*H268*I268/J268,2)</f>
        <v>3947.75</v>
      </c>
      <c r="L268" s="15" t="n">
        <v>3947.75</v>
      </c>
      <c r="M268" s="15" t="n">
        <f aca="false">L268-K268</f>
        <v>0</v>
      </c>
      <c r="N268" s="14" t="s">
        <v>51</v>
      </c>
      <c r="O268" s="14" t="s">
        <v>52</v>
      </c>
    </row>
    <row r="269" customFormat="false" ht="15" hidden="false" customHeight="false" outlineLevel="0" collapsed="false">
      <c r="A269" s="3" t="s">
        <v>4521</v>
      </c>
      <c r="B269" s="3" t="s">
        <v>4841</v>
      </c>
      <c r="C269" s="3" t="s">
        <v>435</v>
      </c>
      <c r="D269" s="3" t="s">
        <v>1000</v>
      </c>
      <c r="E269" s="3" t="s">
        <v>56</v>
      </c>
      <c r="F269" s="12" t="n">
        <v>260000</v>
      </c>
      <c r="G269" s="13" t="n">
        <v>0.75</v>
      </c>
      <c r="H269" s="13" t="n">
        <v>1.13</v>
      </c>
      <c r="I269" s="13" t="n">
        <v>0.761</v>
      </c>
      <c r="J269" s="13" t="n">
        <v>0.53</v>
      </c>
      <c r="K269" s="12" t="n">
        <f aca="false">ROUND(F269/100*G269*H269*I269/J269,2)</f>
        <v>3163.89</v>
      </c>
      <c r="L269" s="12" t="n">
        <v>3163.9</v>
      </c>
      <c r="M269" s="12" t="n">
        <f aca="false">L269-K269</f>
        <v>0.0100000000002183</v>
      </c>
      <c r="N269" s="3" t="s">
        <v>61</v>
      </c>
      <c r="O269" s="3" t="s">
        <v>62</v>
      </c>
    </row>
    <row r="270" customFormat="false" ht="15" hidden="false" customHeight="false" outlineLevel="0" collapsed="false">
      <c r="A270" s="14" t="s">
        <v>4519</v>
      </c>
      <c r="B270" s="14" t="s">
        <v>4842</v>
      </c>
      <c r="C270" s="14" t="s">
        <v>196</v>
      </c>
      <c r="D270" s="14" t="s">
        <v>197</v>
      </c>
      <c r="E270" s="14" t="s">
        <v>74</v>
      </c>
      <c r="F270" s="15" t="n">
        <v>1885000</v>
      </c>
      <c r="G270" s="16" t="n">
        <v>0.38</v>
      </c>
      <c r="H270" s="16" t="n">
        <v>1.04</v>
      </c>
      <c r="I270" s="16" t="n">
        <v>0.761</v>
      </c>
      <c r="J270" s="16" t="n">
        <v>0.53</v>
      </c>
      <c r="K270" s="15" t="n">
        <f aca="false">ROUND(F270/100*G270*H270*I270/J270,2)</f>
        <v>10696.39</v>
      </c>
      <c r="L270" s="15" t="n">
        <v>10696.39</v>
      </c>
      <c r="M270" s="15" t="n">
        <f aca="false">L270-K270</f>
        <v>0</v>
      </c>
      <c r="N270" s="14" t="s">
        <v>61</v>
      </c>
      <c r="O270" s="14" t="s">
        <v>62</v>
      </c>
    </row>
    <row r="271" customFormat="false" ht="15" hidden="false" customHeight="false" outlineLevel="0" collapsed="false">
      <c r="A271" s="3" t="s">
        <v>4553</v>
      </c>
      <c r="B271" s="3" t="s">
        <v>4843</v>
      </c>
      <c r="C271" s="3" t="s">
        <v>435</v>
      </c>
      <c r="D271" s="3" t="s">
        <v>717</v>
      </c>
      <c r="E271" s="3" t="s">
        <v>56</v>
      </c>
      <c r="F271" s="12" t="n">
        <v>1475000</v>
      </c>
      <c r="G271" s="13" t="n">
        <v>0.55</v>
      </c>
      <c r="H271" s="13" t="n">
        <v>1.13</v>
      </c>
      <c r="I271" s="13" t="n">
        <v>0.761</v>
      </c>
      <c r="J271" s="13" t="n">
        <v>0.53</v>
      </c>
      <c r="K271" s="12" t="n">
        <f aca="false">ROUND(F271/100*G271*H271*I271/J271,2)</f>
        <v>13162.61</v>
      </c>
      <c r="L271" s="12" t="n">
        <v>13162.61</v>
      </c>
      <c r="M271" s="12" t="n">
        <f aca="false">L271-K271</f>
        <v>0</v>
      </c>
      <c r="N271" s="3" t="s">
        <v>61</v>
      </c>
      <c r="O271" s="3" t="s">
        <v>62</v>
      </c>
    </row>
    <row r="272" customFormat="false" ht="15" hidden="false" customHeight="false" outlineLevel="0" collapsed="false">
      <c r="A272" s="14" t="s">
        <v>4592</v>
      </c>
      <c r="B272" s="14" t="s">
        <v>4844</v>
      </c>
      <c r="C272" s="14" t="s">
        <v>48</v>
      </c>
      <c r="D272" s="14" t="s">
        <v>2161</v>
      </c>
      <c r="E272" s="14" t="s">
        <v>56</v>
      </c>
      <c r="F272" s="15" t="n">
        <v>305000</v>
      </c>
      <c r="G272" s="16" t="n">
        <v>0.75</v>
      </c>
      <c r="H272" s="16" t="n">
        <v>1.28</v>
      </c>
      <c r="I272" s="16" t="n">
        <v>0.761</v>
      </c>
      <c r="J272" s="16" t="n">
        <v>0.53</v>
      </c>
      <c r="K272" s="15" t="n">
        <f aca="false">ROUND(F272/100*G272*H272*I272/J272,2)</f>
        <v>4204.17</v>
      </c>
      <c r="L272" s="15" t="n">
        <v>4204.17</v>
      </c>
      <c r="M272" s="15" t="n">
        <f aca="false">L272-K272</f>
        <v>0</v>
      </c>
      <c r="N272" s="14" t="s">
        <v>61</v>
      </c>
      <c r="O272" s="14" t="s">
        <v>62</v>
      </c>
    </row>
    <row r="273" customFormat="false" ht="15" hidden="false" customHeight="false" outlineLevel="0" collapsed="false">
      <c r="A273" s="3" t="s">
        <v>4658</v>
      </c>
      <c r="B273" s="3" t="s">
        <v>4845</v>
      </c>
      <c r="C273" s="3" t="s">
        <v>224</v>
      </c>
      <c r="D273" s="3" t="s">
        <v>2320</v>
      </c>
      <c r="E273" s="3" t="s">
        <v>50</v>
      </c>
      <c r="F273" s="12" t="n">
        <v>620000</v>
      </c>
      <c r="G273" s="13" t="n">
        <v>0.95</v>
      </c>
      <c r="H273" s="13" t="n">
        <v>1.1</v>
      </c>
      <c r="I273" s="13" t="n">
        <v>0.761</v>
      </c>
      <c r="J273" s="13" t="n">
        <v>0.53</v>
      </c>
      <c r="K273" s="12" t="n">
        <f aca="false">ROUND(F273/100*G273*H273*I273/J273,2)</f>
        <v>9302.87</v>
      </c>
      <c r="L273" s="12" t="n">
        <v>9302.87</v>
      </c>
      <c r="M273" s="12" t="n">
        <f aca="false">L273-K273</f>
        <v>0</v>
      </c>
      <c r="N273" s="3" t="s">
        <v>61</v>
      </c>
      <c r="O273" s="3" t="s">
        <v>62</v>
      </c>
    </row>
    <row r="274" customFormat="false" ht="15" hidden="false" customHeight="false" outlineLevel="0" collapsed="false">
      <c r="A274" s="14" t="s">
        <v>4542</v>
      </c>
      <c r="B274" s="14" t="s">
        <v>4846</v>
      </c>
      <c r="C274" s="14" t="s">
        <v>77</v>
      </c>
      <c r="D274" s="14" t="s">
        <v>902</v>
      </c>
      <c r="E274" s="14" t="s">
        <v>50</v>
      </c>
      <c r="F274" s="15" t="n">
        <v>1830000</v>
      </c>
      <c r="G274" s="16" t="n">
        <v>0.8</v>
      </c>
      <c r="H274" s="16" t="n">
        <v>1.42</v>
      </c>
      <c r="I274" s="16" t="n">
        <v>0.761</v>
      </c>
      <c r="J274" s="16" t="n">
        <v>0.53</v>
      </c>
      <c r="K274" s="15" t="n">
        <f aca="false">ROUND(F274/100*G274*H274*I274/J274,2)</f>
        <v>29849.58</v>
      </c>
      <c r="L274" s="15" t="n">
        <v>29849.58</v>
      </c>
      <c r="M274" s="15" t="n">
        <f aca="false">L274-K274</f>
        <v>0</v>
      </c>
      <c r="N274" s="14" t="s">
        <v>61</v>
      </c>
      <c r="O274" s="14" t="s">
        <v>62</v>
      </c>
    </row>
    <row r="275" customFormat="false" ht="15" hidden="false" customHeight="false" outlineLevel="0" collapsed="false">
      <c r="A275" s="3" t="s">
        <v>4531</v>
      </c>
      <c r="B275" s="3" t="s">
        <v>4847</v>
      </c>
      <c r="C275" s="3" t="s">
        <v>462</v>
      </c>
      <c r="D275" s="3" t="s">
        <v>1883</v>
      </c>
      <c r="E275" s="3" t="s">
        <v>56</v>
      </c>
      <c r="F275" s="12" t="n">
        <v>1065000</v>
      </c>
      <c r="G275" s="13" t="n">
        <v>0.55</v>
      </c>
      <c r="H275" s="13" t="n">
        <v>1.34</v>
      </c>
      <c r="I275" s="13" t="n">
        <v>0.761</v>
      </c>
      <c r="J275" s="13" t="n">
        <v>0.53</v>
      </c>
      <c r="K275" s="12" t="n">
        <f aca="false">ROUND(F275/100*G275*H275*I275/J275,2)</f>
        <v>11270.05</v>
      </c>
      <c r="L275" s="12" t="n">
        <v>11270.05</v>
      </c>
      <c r="M275" s="12" t="n">
        <f aca="false">L275-K275</f>
        <v>0</v>
      </c>
      <c r="N275" s="3" t="s">
        <v>61</v>
      </c>
      <c r="O275" s="3" t="s">
        <v>62</v>
      </c>
    </row>
    <row r="276" customFormat="false" ht="15" hidden="false" customHeight="false" outlineLevel="0" collapsed="false">
      <c r="A276" s="14" t="s">
        <v>4592</v>
      </c>
      <c r="B276" s="14" t="s">
        <v>4848</v>
      </c>
      <c r="C276" s="14" t="s">
        <v>305</v>
      </c>
      <c r="D276" s="14" t="s">
        <v>1609</v>
      </c>
      <c r="E276" s="14" t="s">
        <v>56</v>
      </c>
      <c r="F276" s="15" t="n">
        <v>120000</v>
      </c>
      <c r="G276" s="16" t="n">
        <v>0.92</v>
      </c>
      <c r="H276" s="16" t="n">
        <v>1.12</v>
      </c>
      <c r="I276" s="16" t="n">
        <v>0.761</v>
      </c>
      <c r="J276" s="16" t="n">
        <v>0.53</v>
      </c>
      <c r="K276" s="15" t="n">
        <f aca="false">ROUND(F276/100*G276*H276*I276/J276,2)</f>
        <v>1775.4</v>
      </c>
      <c r="L276" s="15" t="n">
        <v>1775.4</v>
      </c>
      <c r="M276" s="15" t="n">
        <f aca="false">L276-K276</f>
        <v>0</v>
      </c>
      <c r="N276" s="14" t="s">
        <v>61</v>
      </c>
      <c r="O276" s="14" t="s">
        <v>62</v>
      </c>
    </row>
    <row r="277" customFormat="false" ht="15" hidden="false" customHeight="false" outlineLevel="0" collapsed="false">
      <c r="A277" s="3" t="s">
        <v>4592</v>
      </c>
      <c r="B277" s="3" t="s">
        <v>4849</v>
      </c>
      <c r="C277" s="3" t="s">
        <v>77</v>
      </c>
      <c r="D277" s="3" t="s">
        <v>3026</v>
      </c>
      <c r="E277" s="3" t="s">
        <v>56</v>
      </c>
      <c r="F277" s="12" t="n">
        <v>345000</v>
      </c>
      <c r="G277" s="13" t="n">
        <v>0.75</v>
      </c>
      <c r="H277" s="13" t="n">
        <v>1.42</v>
      </c>
      <c r="I277" s="13" t="n">
        <v>0.761</v>
      </c>
      <c r="J277" s="13" t="n">
        <v>0.53</v>
      </c>
      <c r="K277" s="12" t="n">
        <f aca="false">ROUND(F277/100*G277*H277*I277/J277,2)</f>
        <v>5275.67</v>
      </c>
      <c r="L277" s="12" t="n">
        <v>5275.67</v>
      </c>
      <c r="M277" s="12" t="n">
        <f aca="false">L277-K277</f>
        <v>0</v>
      </c>
      <c r="N277" s="3" t="s">
        <v>61</v>
      </c>
      <c r="O277" s="3" t="s">
        <v>62</v>
      </c>
    </row>
    <row r="278" customFormat="false" ht="15" hidden="false" customHeight="false" outlineLevel="0" collapsed="false">
      <c r="A278" s="14" t="s">
        <v>4571</v>
      </c>
      <c r="B278" s="14" t="s">
        <v>4850</v>
      </c>
      <c r="C278" s="14" t="s">
        <v>89</v>
      </c>
      <c r="D278" s="14" t="s">
        <v>4851</v>
      </c>
      <c r="E278" s="14" t="s">
        <v>56</v>
      </c>
      <c r="F278" s="15" t="n">
        <v>810000</v>
      </c>
      <c r="G278" s="16" t="n">
        <v>0.65</v>
      </c>
      <c r="H278" s="16" t="n">
        <v>1.35</v>
      </c>
      <c r="I278" s="16" t="n">
        <v>0.761</v>
      </c>
      <c r="J278" s="16" t="n">
        <v>0.53</v>
      </c>
      <c r="K278" s="15" t="n">
        <f aca="false">ROUND(F278/100*G278*H278*I278/J278,2)</f>
        <v>10205.66</v>
      </c>
      <c r="L278" s="15" t="n">
        <v>10205.66</v>
      </c>
      <c r="M278" s="15" t="n">
        <f aca="false">L278-K278</f>
        <v>0</v>
      </c>
      <c r="N278" s="14" t="s">
        <v>61</v>
      </c>
      <c r="O278" s="14" t="s">
        <v>62</v>
      </c>
    </row>
    <row r="279" customFormat="false" ht="15" hidden="false" customHeight="false" outlineLevel="0" collapsed="false">
      <c r="A279" s="3" t="s">
        <v>4617</v>
      </c>
      <c r="B279" s="3" t="s">
        <v>4852</v>
      </c>
      <c r="C279" s="3" t="s">
        <v>224</v>
      </c>
      <c r="D279" s="3" t="s">
        <v>3004</v>
      </c>
      <c r="E279" s="3" t="s">
        <v>56</v>
      </c>
      <c r="F279" s="12" t="n">
        <v>515000</v>
      </c>
      <c r="G279" s="13" t="n">
        <v>0.65</v>
      </c>
      <c r="H279" s="13" t="n">
        <v>1.1</v>
      </c>
      <c r="I279" s="13" t="n">
        <v>0.761</v>
      </c>
      <c r="J279" s="13" t="n">
        <v>0.53</v>
      </c>
      <c r="K279" s="12" t="n">
        <f aca="false">ROUND(F279/100*G279*H279*I279/J279,2)</f>
        <v>5287.16</v>
      </c>
      <c r="L279" s="12" t="n">
        <v>5287.15</v>
      </c>
      <c r="M279" s="12" t="n">
        <f aca="false">L279-K279</f>
        <v>-0.0100000000002183</v>
      </c>
      <c r="N279" s="3" t="s">
        <v>61</v>
      </c>
      <c r="O279" s="3" t="s">
        <v>62</v>
      </c>
    </row>
    <row r="280" customFormat="false" ht="15" hidden="false" customHeight="false" outlineLevel="0" collapsed="false">
      <c r="A280" s="14" t="s">
        <v>4547</v>
      </c>
      <c r="B280" s="14" t="s">
        <v>4853</v>
      </c>
      <c r="C280" s="14" t="s">
        <v>174</v>
      </c>
      <c r="D280" s="14" t="s">
        <v>1442</v>
      </c>
      <c r="E280" s="14" t="s">
        <v>50</v>
      </c>
      <c r="F280" s="15" t="n">
        <v>390000</v>
      </c>
      <c r="G280" s="16" t="n">
        <v>1.15</v>
      </c>
      <c r="H280" s="16" t="n">
        <v>1.55</v>
      </c>
      <c r="I280" s="16" t="n">
        <v>0.761</v>
      </c>
      <c r="J280" s="16" t="n">
        <v>0.53</v>
      </c>
      <c r="K280" s="15" t="n">
        <f aca="false">ROUND(F280/100*G280*H280*I280/J280,2)</f>
        <v>9981.66</v>
      </c>
      <c r="L280" s="15" t="n">
        <v>9981.66</v>
      </c>
      <c r="M280" s="15" t="n">
        <f aca="false">L280-K280</f>
        <v>0</v>
      </c>
      <c r="N280" s="14" t="s">
        <v>61</v>
      </c>
      <c r="O280" s="14" t="s">
        <v>62</v>
      </c>
    </row>
    <row r="281" customFormat="false" ht="15" hidden="false" customHeight="false" outlineLevel="0" collapsed="false">
      <c r="A281" s="3" t="s">
        <v>4644</v>
      </c>
      <c r="B281" s="3" t="s">
        <v>4854</v>
      </c>
      <c r="C281" s="3" t="s">
        <v>114</v>
      </c>
      <c r="D281" s="3" t="s">
        <v>615</v>
      </c>
      <c r="E281" s="3" t="s">
        <v>56</v>
      </c>
      <c r="F281" s="12" t="n">
        <v>290000</v>
      </c>
      <c r="G281" s="13" t="n">
        <v>0.75</v>
      </c>
      <c r="H281" s="13" t="n">
        <v>1.36</v>
      </c>
      <c r="I281" s="13" t="n">
        <v>0.761</v>
      </c>
      <c r="J281" s="13" t="n">
        <v>0.53</v>
      </c>
      <c r="K281" s="12" t="n">
        <f aca="false">ROUND(F281/100*G281*H281*I281/J281,2)</f>
        <v>4247.24</v>
      </c>
      <c r="L281" s="12" t="n">
        <v>4247.24</v>
      </c>
      <c r="M281" s="12" t="n">
        <f aca="false">L281-K281</f>
        <v>0</v>
      </c>
      <c r="N281" s="3" t="s">
        <v>61</v>
      </c>
      <c r="O281" s="3" t="s">
        <v>62</v>
      </c>
    </row>
    <row r="282" customFormat="false" ht="15" hidden="false" customHeight="false" outlineLevel="0" collapsed="false">
      <c r="A282" s="14" t="s">
        <v>4519</v>
      </c>
      <c r="B282" s="14" t="s">
        <v>4855</v>
      </c>
      <c r="C282" s="14" t="s">
        <v>305</v>
      </c>
      <c r="D282" s="14" t="s">
        <v>2845</v>
      </c>
      <c r="E282" s="14" t="s">
        <v>74</v>
      </c>
      <c r="F282" s="15" t="n">
        <v>1270000</v>
      </c>
      <c r="G282" s="16" t="n">
        <v>0.38</v>
      </c>
      <c r="H282" s="16" t="n">
        <v>1.12</v>
      </c>
      <c r="I282" s="16" t="n">
        <v>0.761</v>
      </c>
      <c r="J282" s="16" t="n">
        <v>0.53</v>
      </c>
      <c r="K282" s="15" t="n">
        <f aca="false">ROUND(F282/100*G282*H282*I282/J282,2)</f>
        <v>7760.94</v>
      </c>
      <c r="L282" s="15" t="n">
        <v>7760.94</v>
      </c>
      <c r="M282" s="15" t="n">
        <f aca="false">L282-K282</f>
        <v>0</v>
      </c>
      <c r="N282" s="14" t="s">
        <v>61</v>
      </c>
      <c r="O282" s="14" t="s">
        <v>62</v>
      </c>
    </row>
    <row r="283" customFormat="false" ht="15" hidden="false" customHeight="false" outlineLevel="0" collapsed="false">
      <c r="A283" s="3" t="s">
        <v>4644</v>
      </c>
      <c r="B283" s="3" t="s">
        <v>4856</v>
      </c>
      <c r="C283" s="3" t="s">
        <v>152</v>
      </c>
      <c r="D283" s="3" t="s">
        <v>720</v>
      </c>
      <c r="E283" s="3" t="s">
        <v>50</v>
      </c>
      <c r="F283" s="12" t="n">
        <v>395000</v>
      </c>
      <c r="G283" s="13" t="n">
        <v>1.15</v>
      </c>
      <c r="H283" s="13" t="n">
        <v>1</v>
      </c>
      <c r="I283" s="13" t="n">
        <v>0.761</v>
      </c>
      <c r="J283" s="13" t="n">
        <v>0.53</v>
      </c>
      <c r="K283" s="12" t="n">
        <f aca="false">ROUND(F283/100*G283*H283*I283/J283,2)</f>
        <v>6522.34</v>
      </c>
      <c r="L283" s="12" t="n">
        <v>6522.34</v>
      </c>
      <c r="M283" s="12" t="n">
        <f aca="false">L283-K283</f>
        <v>0</v>
      </c>
      <c r="N283" s="3" t="s">
        <v>61</v>
      </c>
      <c r="O283" s="3" t="s">
        <v>62</v>
      </c>
    </row>
    <row r="284" customFormat="false" ht="15" hidden="false" customHeight="false" outlineLevel="0" collapsed="false">
      <c r="A284" s="14" t="s">
        <v>4536</v>
      </c>
      <c r="B284" s="14" t="s">
        <v>4857</v>
      </c>
      <c r="C284" s="14" t="s">
        <v>128</v>
      </c>
      <c r="D284" s="14" t="s">
        <v>3877</v>
      </c>
      <c r="E284" s="14" t="s">
        <v>74</v>
      </c>
      <c r="F284" s="15" t="n">
        <v>1165000</v>
      </c>
      <c r="G284" s="16" t="n">
        <v>0.38</v>
      </c>
      <c r="H284" s="16" t="n">
        <v>1.25</v>
      </c>
      <c r="I284" s="16" t="n">
        <v>0.761</v>
      </c>
      <c r="J284" s="16" t="n">
        <v>0.53</v>
      </c>
      <c r="K284" s="15" t="n">
        <f aca="false">ROUND(F284/100*G284*H284*I284/J284,2)</f>
        <v>7945.63</v>
      </c>
      <c r="L284" s="15" t="n">
        <v>7945.63</v>
      </c>
      <c r="M284" s="15" t="n">
        <f aca="false">L284-K284</f>
        <v>0</v>
      </c>
      <c r="N284" s="14" t="s">
        <v>61</v>
      </c>
      <c r="O284" s="14" t="s">
        <v>62</v>
      </c>
    </row>
    <row r="285" customFormat="false" ht="15" hidden="false" customHeight="false" outlineLevel="0" collapsed="false">
      <c r="A285" s="3" t="s">
        <v>4540</v>
      </c>
      <c r="B285" s="3" t="s">
        <v>4858</v>
      </c>
      <c r="C285" s="3" t="s">
        <v>145</v>
      </c>
      <c r="D285" s="3" t="s">
        <v>2987</v>
      </c>
      <c r="E285" s="3" t="s">
        <v>50</v>
      </c>
      <c r="F285" s="12" t="n">
        <v>1150000</v>
      </c>
      <c r="G285" s="13" t="n">
        <v>0.8</v>
      </c>
      <c r="H285" s="13" t="n">
        <v>0.96</v>
      </c>
      <c r="I285" s="13" t="n">
        <v>0.761</v>
      </c>
      <c r="J285" s="13" t="n">
        <v>0.53</v>
      </c>
      <c r="K285" s="12" t="n">
        <f aca="false">ROUND(F285/100*G285*H285*I285/J285,2)</f>
        <v>12681.42</v>
      </c>
      <c r="L285" s="12" t="n">
        <v>12681.42</v>
      </c>
      <c r="M285" s="12" t="n">
        <f aca="false">L285-K285</f>
        <v>0</v>
      </c>
      <c r="N285" s="3" t="s">
        <v>61</v>
      </c>
      <c r="O285" s="3" t="s">
        <v>62</v>
      </c>
    </row>
    <row r="286" customFormat="false" ht="15" hidden="false" customHeight="false" outlineLevel="0" collapsed="false">
      <c r="A286" s="14" t="s">
        <v>4538</v>
      </c>
      <c r="B286" s="14" t="s">
        <v>4859</v>
      </c>
      <c r="C286" s="14" t="s">
        <v>243</v>
      </c>
      <c r="D286" s="14" t="s">
        <v>153</v>
      </c>
      <c r="E286" s="14" t="s">
        <v>56</v>
      </c>
      <c r="F286" s="15" t="n">
        <v>1190000</v>
      </c>
      <c r="G286" s="16" t="n">
        <v>0.55</v>
      </c>
      <c r="H286" s="16" t="n">
        <v>1.14</v>
      </c>
      <c r="I286" s="16" t="n">
        <v>0.761</v>
      </c>
      <c r="J286" s="16" t="n">
        <v>0.53</v>
      </c>
      <c r="K286" s="15" t="n">
        <f aca="false">ROUND(F286/100*G286*H286*I286/J286,2)</f>
        <v>10713.3</v>
      </c>
      <c r="L286" s="15" t="n">
        <v>10713.3</v>
      </c>
      <c r="M286" s="15" t="n">
        <f aca="false">L286-K286</f>
        <v>0</v>
      </c>
      <c r="N286" s="14" t="s">
        <v>61</v>
      </c>
      <c r="O286" s="14" t="s">
        <v>62</v>
      </c>
    </row>
    <row r="287" customFormat="false" ht="15" hidden="false" customHeight="false" outlineLevel="0" collapsed="false">
      <c r="A287" s="3" t="s">
        <v>4582</v>
      </c>
      <c r="B287" s="3" t="s">
        <v>4860</v>
      </c>
      <c r="C287" s="3" t="s">
        <v>48</v>
      </c>
      <c r="D287" s="3" t="s">
        <v>849</v>
      </c>
      <c r="E287" s="3" t="s">
        <v>74</v>
      </c>
      <c r="F287" s="12" t="n">
        <v>810000</v>
      </c>
      <c r="G287" s="13" t="n">
        <v>0.43</v>
      </c>
      <c r="H287" s="13" t="n">
        <v>1.28</v>
      </c>
      <c r="I287" s="13" t="n">
        <v>0.761</v>
      </c>
      <c r="J287" s="13" t="n">
        <v>0.53</v>
      </c>
      <c r="K287" s="12" t="n">
        <f aca="false">ROUND(F287/100*G287*H287*I287/J287,2)</f>
        <v>6401.36</v>
      </c>
      <c r="L287" s="12" t="n">
        <v>6401.36</v>
      </c>
      <c r="M287" s="12" t="n">
        <f aca="false">L287-K287</f>
        <v>0</v>
      </c>
      <c r="N287" s="3" t="s">
        <v>61</v>
      </c>
      <c r="O287" s="3" t="s">
        <v>62</v>
      </c>
    </row>
    <row r="288" customFormat="false" ht="15" hidden="false" customHeight="false" outlineLevel="0" collapsed="false">
      <c r="A288" s="14" t="s">
        <v>4658</v>
      </c>
      <c r="B288" s="14" t="s">
        <v>4861</v>
      </c>
      <c r="C288" s="14" t="s">
        <v>417</v>
      </c>
      <c r="D288" s="14" t="s">
        <v>2585</v>
      </c>
      <c r="E288" s="14" t="s">
        <v>74</v>
      </c>
      <c r="F288" s="15" t="n">
        <v>405000</v>
      </c>
      <c r="G288" s="16" t="n">
        <v>0.48</v>
      </c>
      <c r="H288" s="16" t="n">
        <v>1.24</v>
      </c>
      <c r="I288" s="16" t="n">
        <v>0.761</v>
      </c>
      <c r="J288" s="16" t="n">
        <v>0.53</v>
      </c>
      <c r="K288" s="15" t="n">
        <f aca="false">ROUND(F288/100*G288*H288*I288/J288,2)</f>
        <v>3461.2</v>
      </c>
      <c r="L288" s="15" t="n">
        <v>3461.2</v>
      </c>
      <c r="M288" s="15" t="n">
        <f aca="false">L288-K288</f>
        <v>0</v>
      </c>
      <c r="N288" s="14" t="s">
        <v>61</v>
      </c>
      <c r="O288" s="14" t="s">
        <v>62</v>
      </c>
    </row>
    <row r="289" customFormat="false" ht="15" hidden="false" customHeight="false" outlineLevel="0" collapsed="false">
      <c r="A289" s="3" t="s">
        <v>4529</v>
      </c>
      <c r="B289" s="3" t="s">
        <v>4862</v>
      </c>
      <c r="C289" s="3" t="s">
        <v>93</v>
      </c>
      <c r="D289" s="3" t="s">
        <v>1290</v>
      </c>
      <c r="E289" s="3" t="s">
        <v>56</v>
      </c>
      <c r="F289" s="12" t="n">
        <v>550000</v>
      </c>
      <c r="G289" s="13" t="n">
        <v>0.65</v>
      </c>
      <c r="H289" s="13" t="n">
        <v>1.39</v>
      </c>
      <c r="I289" s="13" t="n">
        <v>0.761</v>
      </c>
      <c r="J289" s="13" t="n">
        <v>0.53</v>
      </c>
      <c r="K289" s="12" t="n">
        <f aca="false">ROUND(F289/100*G289*H289*I289/J289,2)</f>
        <v>7135.09</v>
      </c>
      <c r="L289" s="12" t="n">
        <v>7135.09</v>
      </c>
      <c r="M289" s="12" t="n">
        <f aca="false">L289-K289</f>
        <v>0</v>
      </c>
      <c r="N289" s="3" t="s">
        <v>51</v>
      </c>
      <c r="O289" s="3" t="s">
        <v>52</v>
      </c>
    </row>
    <row r="290" customFormat="false" ht="15" hidden="false" customHeight="false" outlineLevel="0" collapsed="false">
      <c r="A290" s="14" t="s">
        <v>4538</v>
      </c>
      <c r="B290" s="14" t="s">
        <v>4863</v>
      </c>
      <c r="C290" s="14" t="s">
        <v>237</v>
      </c>
      <c r="D290" s="14" t="s">
        <v>1238</v>
      </c>
      <c r="E290" s="14" t="s">
        <v>56</v>
      </c>
      <c r="F290" s="15" t="n">
        <v>1085000</v>
      </c>
      <c r="G290" s="16" t="n">
        <v>0.55</v>
      </c>
      <c r="H290" s="16" t="n">
        <v>1.33</v>
      </c>
      <c r="I290" s="16" t="n">
        <v>0.761</v>
      </c>
      <c r="J290" s="16" t="n">
        <v>0.53</v>
      </c>
      <c r="K290" s="15" t="n">
        <f aca="false">ROUND(F290/100*G290*H290*I290/J290,2)</f>
        <v>11396.01</v>
      </c>
      <c r="L290" s="15" t="n">
        <v>11396.01</v>
      </c>
      <c r="M290" s="15" t="n">
        <f aca="false">L290-K290</f>
        <v>0</v>
      </c>
      <c r="N290" s="14" t="s">
        <v>61</v>
      </c>
      <c r="O290" s="14" t="s">
        <v>62</v>
      </c>
    </row>
    <row r="291" customFormat="false" ht="15" hidden="false" customHeight="false" outlineLevel="0" collapsed="false">
      <c r="A291" s="3" t="s">
        <v>4567</v>
      </c>
      <c r="B291" s="3" t="s">
        <v>4864</v>
      </c>
      <c r="C291" s="3" t="s">
        <v>169</v>
      </c>
      <c r="D291" s="3" t="s">
        <v>2260</v>
      </c>
      <c r="E291" s="3" t="s">
        <v>56</v>
      </c>
      <c r="F291" s="12" t="n">
        <v>1950000</v>
      </c>
      <c r="G291" s="13" t="n">
        <v>0.55</v>
      </c>
      <c r="H291" s="13" t="n">
        <v>1.07</v>
      </c>
      <c r="I291" s="13" t="n">
        <v>0.761</v>
      </c>
      <c r="J291" s="13" t="n">
        <v>0.53</v>
      </c>
      <c r="K291" s="12" t="n">
        <f aca="false">ROUND(F291/100*G291*H291*I291/J291,2)</f>
        <v>16477.44</v>
      </c>
      <c r="L291" s="12" t="n">
        <v>16477.45</v>
      </c>
      <c r="M291" s="12" t="n">
        <f aca="false">L291-K291</f>
        <v>0.0100000000020373</v>
      </c>
      <c r="N291" s="3" t="s">
        <v>61</v>
      </c>
      <c r="O291" s="3" t="s">
        <v>62</v>
      </c>
    </row>
    <row r="292" customFormat="false" ht="15" hidden="false" customHeight="false" outlineLevel="0" collapsed="false">
      <c r="A292" s="14" t="s">
        <v>4547</v>
      </c>
      <c r="B292" s="14" t="s">
        <v>4865</v>
      </c>
      <c r="C292" s="14" t="s">
        <v>120</v>
      </c>
      <c r="D292" s="14" t="s">
        <v>1874</v>
      </c>
      <c r="E292" s="14" t="s">
        <v>50</v>
      </c>
      <c r="F292" s="15" t="n">
        <v>315000</v>
      </c>
      <c r="G292" s="16" t="n">
        <v>1.15</v>
      </c>
      <c r="H292" s="16" t="n">
        <v>1.15</v>
      </c>
      <c r="I292" s="16" t="n">
        <v>0.761</v>
      </c>
      <c r="J292" s="16" t="n">
        <v>0.53</v>
      </c>
      <c r="K292" s="15" t="n">
        <f aca="false">ROUND(F292/100*G292*H292*I292/J292,2)</f>
        <v>5981.57</v>
      </c>
      <c r="L292" s="15" t="n">
        <v>5981.57</v>
      </c>
      <c r="M292" s="15" t="n">
        <f aca="false">L292-K292</f>
        <v>0</v>
      </c>
      <c r="N292" s="14" t="s">
        <v>61</v>
      </c>
      <c r="O292" s="14" t="s">
        <v>62</v>
      </c>
    </row>
    <row r="293" customFormat="false" ht="15" hidden="false" customHeight="false" outlineLevel="0" collapsed="false">
      <c r="A293" s="3" t="s">
        <v>4534</v>
      </c>
      <c r="B293" s="3" t="s">
        <v>4866</v>
      </c>
      <c r="C293" s="3" t="s">
        <v>326</v>
      </c>
      <c r="D293" s="3" t="s">
        <v>1344</v>
      </c>
      <c r="E293" s="3" t="s">
        <v>56</v>
      </c>
      <c r="F293" s="12" t="n">
        <v>285000</v>
      </c>
      <c r="G293" s="13" t="n">
        <v>0.75</v>
      </c>
      <c r="H293" s="13" t="n">
        <v>1.12</v>
      </c>
      <c r="I293" s="13" t="n">
        <v>0.761</v>
      </c>
      <c r="J293" s="13" t="n">
        <v>0.53</v>
      </c>
      <c r="K293" s="12" t="n">
        <f aca="false">ROUND(F293/100*G293*H293*I293/J293,2)</f>
        <v>3437.42</v>
      </c>
      <c r="L293" s="12" t="n">
        <v>3437.42</v>
      </c>
      <c r="M293" s="12" t="n">
        <f aca="false">L293-K293</f>
        <v>0</v>
      </c>
      <c r="N293" s="3" t="s">
        <v>61</v>
      </c>
      <c r="O293" s="3" t="s">
        <v>62</v>
      </c>
    </row>
    <row r="294" customFormat="false" ht="15" hidden="false" customHeight="false" outlineLevel="0" collapsed="false">
      <c r="A294" s="14" t="s">
        <v>4553</v>
      </c>
      <c r="B294" s="14" t="s">
        <v>4867</v>
      </c>
      <c r="C294" s="14" t="s">
        <v>136</v>
      </c>
      <c r="D294" s="14" t="s">
        <v>1063</v>
      </c>
      <c r="E294" s="14" t="s">
        <v>56</v>
      </c>
      <c r="F294" s="15" t="n">
        <v>540000</v>
      </c>
      <c r="G294" s="16" t="n">
        <v>0.65</v>
      </c>
      <c r="H294" s="16" t="n">
        <v>1.32</v>
      </c>
      <c r="I294" s="16" t="n">
        <v>0.761</v>
      </c>
      <c r="J294" s="16" t="n">
        <v>0.53</v>
      </c>
      <c r="K294" s="15" t="n">
        <f aca="false">ROUND(F294/100*G294*H294*I294/J294,2)</f>
        <v>6652.58</v>
      </c>
      <c r="L294" s="15" t="n">
        <v>6652.58</v>
      </c>
      <c r="M294" s="15" t="n">
        <f aca="false">L294-K294</f>
        <v>0</v>
      </c>
      <c r="N294" s="14" t="s">
        <v>61</v>
      </c>
      <c r="O294" s="14" t="s">
        <v>62</v>
      </c>
    </row>
    <row r="295" customFormat="false" ht="15" hidden="false" customHeight="false" outlineLevel="0" collapsed="false">
      <c r="A295" s="3" t="s">
        <v>4578</v>
      </c>
      <c r="B295" s="3" t="s">
        <v>4868</v>
      </c>
      <c r="C295" s="3" t="s">
        <v>145</v>
      </c>
      <c r="D295" s="3" t="s">
        <v>60</v>
      </c>
      <c r="E295" s="3" t="s">
        <v>56</v>
      </c>
      <c r="F295" s="12" t="n">
        <v>340000</v>
      </c>
      <c r="G295" s="13" t="n">
        <v>0.75</v>
      </c>
      <c r="H295" s="13" t="n">
        <v>0.96</v>
      </c>
      <c r="I295" s="13" t="n">
        <v>0.761</v>
      </c>
      <c r="J295" s="13" t="n">
        <v>0.53</v>
      </c>
      <c r="K295" s="12" t="n">
        <f aca="false">ROUND(F295/100*G295*H295*I295/J295,2)</f>
        <v>3514.96</v>
      </c>
      <c r="L295" s="12" t="n">
        <v>3514.96</v>
      </c>
      <c r="M295" s="12" t="n">
        <f aca="false">L295-K295</f>
        <v>0</v>
      </c>
      <c r="N295" s="3" t="s">
        <v>61</v>
      </c>
      <c r="O295" s="3" t="s">
        <v>62</v>
      </c>
    </row>
    <row r="296" customFormat="false" ht="15" hidden="false" customHeight="false" outlineLevel="0" collapsed="false">
      <c r="A296" s="14" t="s">
        <v>4644</v>
      </c>
      <c r="B296" s="14" t="s">
        <v>4869</v>
      </c>
      <c r="C296" s="14" t="s">
        <v>48</v>
      </c>
      <c r="D296" s="14" t="s">
        <v>2115</v>
      </c>
      <c r="E296" s="14" t="s">
        <v>50</v>
      </c>
      <c r="F296" s="15" t="n">
        <v>650000</v>
      </c>
      <c r="G296" s="16" t="n">
        <v>0.95</v>
      </c>
      <c r="H296" s="16" t="n">
        <v>1.28</v>
      </c>
      <c r="I296" s="16" t="n">
        <v>0.761</v>
      </c>
      <c r="J296" s="16" t="n">
        <v>0.53</v>
      </c>
      <c r="K296" s="15" t="n">
        <f aca="false">ROUND(F296/100*G296*H296*I296/J296,2)</f>
        <v>11348.95</v>
      </c>
      <c r="L296" s="15" t="n">
        <v>11348.95</v>
      </c>
      <c r="M296" s="15" t="n">
        <f aca="false">L296-K296</f>
        <v>0</v>
      </c>
      <c r="N296" s="14" t="s">
        <v>61</v>
      </c>
      <c r="O296" s="14" t="s">
        <v>62</v>
      </c>
    </row>
    <row r="297" customFormat="false" ht="15" hidden="false" customHeight="false" outlineLevel="0" collapsed="false">
      <c r="A297" s="3" t="s">
        <v>4542</v>
      </c>
      <c r="B297" s="3" t="s">
        <v>4870</v>
      </c>
      <c r="C297" s="3" t="s">
        <v>275</v>
      </c>
      <c r="D297" s="3" t="s">
        <v>303</v>
      </c>
      <c r="E297" s="3" t="s">
        <v>56</v>
      </c>
      <c r="F297" s="12" t="n">
        <v>660000</v>
      </c>
      <c r="G297" s="13" t="n">
        <v>0.65</v>
      </c>
      <c r="H297" s="13" t="n">
        <v>1.19</v>
      </c>
      <c r="I297" s="13" t="n">
        <v>0.761</v>
      </c>
      <c r="J297" s="13" t="n">
        <v>0.53</v>
      </c>
      <c r="K297" s="12" t="n">
        <f aca="false">ROUND(F297/100*G297*H297*I297/J297,2)</f>
        <v>7330.15</v>
      </c>
      <c r="L297" s="12" t="n">
        <v>7330.15</v>
      </c>
      <c r="M297" s="12" t="n">
        <f aca="false">L297-K297</f>
        <v>0</v>
      </c>
      <c r="N297" s="3" t="s">
        <v>61</v>
      </c>
      <c r="O297" s="3" t="s">
        <v>62</v>
      </c>
    </row>
    <row r="298" customFormat="false" ht="15" hidden="false" customHeight="false" outlineLevel="0" collapsed="false">
      <c r="A298" s="14" t="s">
        <v>4525</v>
      </c>
      <c r="B298" s="14" t="s">
        <v>4871</v>
      </c>
      <c r="C298" s="14" t="s">
        <v>220</v>
      </c>
      <c r="D298" s="14" t="s">
        <v>3026</v>
      </c>
      <c r="E298" s="14" t="s">
        <v>56</v>
      </c>
      <c r="F298" s="15" t="n">
        <v>610000</v>
      </c>
      <c r="G298" s="16" t="n">
        <v>0.65</v>
      </c>
      <c r="H298" s="16" t="n">
        <v>1.01</v>
      </c>
      <c r="I298" s="16" t="n">
        <v>0.761</v>
      </c>
      <c r="J298" s="16" t="n">
        <v>0.53</v>
      </c>
      <c r="K298" s="15" t="n">
        <f aca="false">ROUND(F298/100*G298*H298*I298/J298,2)</f>
        <v>5750.07</v>
      </c>
      <c r="L298" s="15" t="n">
        <v>5750.07</v>
      </c>
      <c r="M298" s="15" t="n">
        <f aca="false">L298-K298</f>
        <v>0</v>
      </c>
      <c r="N298" s="14" t="s">
        <v>61</v>
      </c>
      <c r="O298" s="14" t="s">
        <v>62</v>
      </c>
    </row>
    <row r="299" customFormat="false" ht="15" hidden="false" customHeight="false" outlineLevel="0" collapsed="false">
      <c r="A299" s="3" t="s">
        <v>4580</v>
      </c>
      <c r="B299" s="3" t="s">
        <v>4872</v>
      </c>
      <c r="C299" s="3" t="s">
        <v>145</v>
      </c>
      <c r="D299" s="3" t="s">
        <v>1440</v>
      </c>
      <c r="E299" s="3" t="s">
        <v>56</v>
      </c>
      <c r="F299" s="12" t="n">
        <v>385000</v>
      </c>
      <c r="G299" s="13" t="n">
        <v>0.75</v>
      </c>
      <c r="H299" s="13" t="n">
        <v>0.96</v>
      </c>
      <c r="I299" s="13" t="n">
        <v>0.761</v>
      </c>
      <c r="J299" s="13" t="n">
        <v>0.53</v>
      </c>
      <c r="K299" s="12" t="n">
        <f aca="false">ROUND(F299/100*G299*H299*I299/J299,2)</f>
        <v>3980.17</v>
      </c>
      <c r="L299" s="12" t="n">
        <v>3980.17</v>
      </c>
      <c r="M299" s="12" t="n">
        <f aca="false">L299-K299</f>
        <v>0</v>
      </c>
      <c r="N299" s="3" t="s">
        <v>70</v>
      </c>
      <c r="O299" s="3" t="s">
        <v>52</v>
      </c>
    </row>
    <row r="300" customFormat="false" ht="15" hidden="false" customHeight="false" outlineLevel="0" collapsed="false">
      <c r="A300" s="14" t="s">
        <v>4523</v>
      </c>
      <c r="B300" s="14" t="s">
        <v>4873</v>
      </c>
      <c r="C300" s="14" t="s">
        <v>159</v>
      </c>
      <c r="D300" s="14" t="s">
        <v>287</v>
      </c>
      <c r="E300" s="14" t="s">
        <v>56</v>
      </c>
      <c r="F300" s="15" t="n">
        <v>500000</v>
      </c>
      <c r="G300" s="16" t="n">
        <v>0.65</v>
      </c>
      <c r="H300" s="16" t="n">
        <v>1.15</v>
      </c>
      <c r="I300" s="16" t="n">
        <v>0.761</v>
      </c>
      <c r="J300" s="16" t="n">
        <v>0.53</v>
      </c>
      <c r="K300" s="15" t="n">
        <f aca="false">ROUND(F300/100*G300*H300*I300/J300,2)</f>
        <v>5366.49</v>
      </c>
      <c r="L300" s="15" t="n">
        <v>5366.49</v>
      </c>
      <c r="M300" s="15" t="n">
        <f aca="false">L300-K300</f>
        <v>0</v>
      </c>
      <c r="N300" s="14" t="s">
        <v>61</v>
      </c>
      <c r="O300" s="14" t="s">
        <v>62</v>
      </c>
    </row>
    <row r="301" customFormat="false" ht="15" hidden="false" customHeight="false" outlineLevel="0" collapsed="false">
      <c r="A301" s="3" t="s">
        <v>4619</v>
      </c>
      <c r="B301" s="3" t="s">
        <v>4874</v>
      </c>
      <c r="C301" s="3" t="s">
        <v>193</v>
      </c>
      <c r="D301" s="3" t="s">
        <v>4154</v>
      </c>
      <c r="E301" s="3" t="s">
        <v>157</v>
      </c>
      <c r="F301" s="12" t="n">
        <v>345000</v>
      </c>
      <c r="G301" s="13" t="n">
        <v>0.88</v>
      </c>
      <c r="H301" s="13" t="n">
        <v>1.25</v>
      </c>
      <c r="I301" s="13" t="n">
        <v>0.761</v>
      </c>
      <c r="J301" s="13" t="n">
        <v>0.53</v>
      </c>
      <c r="K301" s="12" t="n">
        <f aca="false">ROUND(F301/100*G301*H301*I301/J301,2)</f>
        <v>5449.05</v>
      </c>
      <c r="L301" s="12" t="n">
        <v>5449.05</v>
      </c>
      <c r="M301" s="12" t="n">
        <f aca="false">L301-K301</f>
        <v>0</v>
      </c>
      <c r="N301" s="3" t="s">
        <v>51</v>
      </c>
      <c r="O301" s="3" t="s">
        <v>52</v>
      </c>
    </row>
    <row r="302" customFormat="false" ht="15" hidden="false" customHeight="false" outlineLevel="0" collapsed="false">
      <c r="A302" s="14" t="s">
        <v>4571</v>
      </c>
      <c r="B302" s="14" t="s">
        <v>4875</v>
      </c>
      <c r="C302" s="14" t="s">
        <v>887</v>
      </c>
      <c r="D302" s="14" t="s">
        <v>622</v>
      </c>
      <c r="E302" s="14" t="s">
        <v>56</v>
      </c>
      <c r="F302" s="15" t="n">
        <v>250000</v>
      </c>
      <c r="G302" s="16" t="n">
        <v>0.75</v>
      </c>
      <c r="H302" s="16" t="n">
        <v>1.37</v>
      </c>
      <c r="I302" s="16" t="n">
        <v>0.761</v>
      </c>
      <c r="J302" s="16" t="n">
        <v>0.53</v>
      </c>
      <c r="K302" s="15" t="n">
        <f aca="false">ROUND(F302/100*G302*H302*I302/J302,2)</f>
        <v>3688.34</v>
      </c>
      <c r="L302" s="15" t="n">
        <v>3688.34</v>
      </c>
      <c r="M302" s="15" t="n">
        <f aca="false">L302-K302</f>
        <v>0</v>
      </c>
      <c r="N302" s="14" t="s">
        <v>51</v>
      </c>
      <c r="O302" s="14" t="s">
        <v>52</v>
      </c>
    </row>
    <row r="303" customFormat="false" ht="15" hidden="false" customHeight="false" outlineLevel="0" collapsed="false">
      <c r="A303" s="3" t="s">
        <v>4644</v>
      </c>
      <c r="B303" s="3" t="s">
        <v>4876</v>
      </c>
      <c r="C303" s="3" t="s">
        <v>85</v>
      </c>
      <c r="D303" s="3" t="s">
        <v>1498</v>
      </c>
      <c r="E303" s="3" t="s">
        <v>56</v>
      </c>
      <c r="F303" s="12" t="n">
        <v>375000</v>
      </c>
      <c r="G303" s="13" t="n">
        <v>0.75</v>
      </c>
      <c r="H303" s="13" t="n">
        <v>1.28</v>
      </c>
      <c r="I303" s="13" t="n">
        <v>0.761</v>
      </c>
      <c r="J303" s="13" t="n">
        <v>0.53</v>
      </c>
      <c r="K303" s="12" t="n">
        <f aca="false">ROUND(F303/100*G303*H303*I303/J303,2)</f>
        <v>5169.06</v>
      </c>
      <c r="L303" s="12" t="n">
        <v>5169.05</v>
      </c>
      <c r="M303" s="12" t="n">
        <f aca="false">L303-K303</f>
        <v>-0.0100000000002183</v>
      </c>
      <c r="N303" s="3" t="s">
        <v>61</v>
      </c>
      <c r="O303" s="3" t="s">
        <v>62</v>
      </c>
    </row>
    <row r="304" customFormat="false" ht="15" hidden="false" customHeight="false" outlineLevel="0" collapsed="false">
      <c r="A304" s="14" t="s">
        <v>4563</v>
      </c>
      <c r="B304" s="14" t="s">
        <v>4877</v>
      </c>
      <c r="C304" s="14" t="s">
        <v>159</v>
      </c>
      <c r="D304" s="14" t="s">
        <v>490</v>
      </c>
      <c r="E304" s="14" t="s">
        <v>74</v>
      </c>
      <c r="F304" s="15" t="n">
        <v>800000</v>
      </c>
      <c r="G304" s="16" t="n">
        <v>0.43</v>
      </c>
      <c r="H304" s="16" t="n">
        <v>1.15</v>
      </c>
      <c r="I304" s="16" t="n">
        <v>0.761</v>
      </c>
      <c r="J304" s="16" t="n">
        <v>0.53</v>
      </c>
      <c r="K304" s="15" t="n">
        <f aca="false">ROUND(F304/100*G304*H304*I304/J304,2)</f>
        <v>5680.22</v>
      </c>
      <c r="L304" s="15" t="n">
        <v>5680.22</v>
      </c>
      <c r="M304" s="15" t="n">
        <f aca="false">L304-K304</f>
        <v>0</v>
      </c>
      <c r="N304" s="14" t="s">
        <v>61</v>
      </c>
      <c r="O304" s="14" t="s">
        <v>62</v>
      </c>
    </row>
    <row r="305" customFormat="false" ht="15" hidden="false" customHeight="false" outlineLevel="0" collapsed="false">
      <c r="A305" s="3" t="s">
        <v>4619</v>
      </c>
      <c r="B305" s="3" t="s">
        <v>4878</v>
      </c>
      <c r="C305" s="3" t="s">
        <v>224</v>
      </c>
      <c r="D305" s="3" t="s">
        <v>3026</v>
      </c>
      <c r="E305" s="3" t="s">
        <v>56</v>
      </c>
      <c r="F305" s="12" t="n">
        <v>1650000</v>
      </c>
      <c r="G305" s="13" t="n">
        <v>0.55</v>
      </c>
      <c r="H305" s="13" t="n">
        <v>1.1</v>
      </c>
      <c r="I305" s="13" t="n">
        <v>0.761</v>
      </c>
      <c r="J305" s="13" t="n">
        <v>0.53</v>
      </c>
      <c r="K305" s="12" t="n">
        <f aca="false">ROUND(F305/100*G305*H305*I305/J305,2)</f>
        <v>14333.36</v>
      </c>
      <c r="L305" s="12" t="n">
        <v>14333.37</v>
      </c>
      <c r="M305" s="12" t="n">
        <f aca="false">L305-K305</f>
        <v>0.0100000000002183</v>
      </c>
      <c r="N305" s="3" t="s">
        <v>61</v>
      </c>
      <c r="O305" s="3" t="s">
        <v>62</v>
      </c>
    </row>
    <row r="306" customFormat="false" ht="15" hidden="false" customHeight="false" outlineLevel="0" collapsed="false">
      <c r="A306" s="14" t="s">
        <v>4547</v>
      </c>
      <c r="B306" s="14" t="s">
        <v>4879</v>
      </c>
      <c r="C306" s="14" t="s">
        <v>462</v>
      </c>
      <c r="D306" s="14" t="s">
        <v>4880</v>
      </c>
      <c r="E306" s="14" t="s">
        <v>133</v>
      </c>
      <c r="F306" s="15" t="n">
        <v>815000</v>
      </c>
      <c r="G306" s="16" t="n">
        <v>0.38</v>
      </c>
      <c r="H306" s="16" t="n">
        <v>1.34</v>
      </c>
      <c r="I306" s="16" t="n">
        <v>0.761</v>
      </c>
      <c r="J306" s="16" t="n">
        <v>0.53</v>
      </c>
      <c r="K306" s="15" t="n">
        <f aca="false">ROUND(F306/100*G306*H306*I306/J306,2)</f>
        <v>5958.74</v>
      </c>
      <c r="L306" s="15" t="n">
        <v>5958.74</v>
      </c>
      <c r="M306" s="15" t="n">
        <f aca="false">L306-K306</f>
        <v>0</v>
      </c>
      <c r="N306" s="14" t="s">
        <v>61</v>
      </c>
      <c r="O306" s="14" t="s">
        <v>62</v>
      </c>
    </row>
    <row r="307" customFormat="false" ht="15" hidden="false" customHeight="false" outlineLevel="0" collapsed="false">
      <c r="A307" s="3" t="s">
        <v>4531</v>
      </c>
      <c r="B307" s="3" t="s">
        <v>4881</v>
      </c>
      <c r="C307" s="3" t="s">
        <v>68</v>
      </c>
      <c r="D307" s="3" t="s">
        <v>2987</v>
      </c>
      <c r="E307" s="3" t="s">
        <v>50</v>
      </c>
      <c r="F307" s="12" t="n">
        <v>520000</v>
      </c>
      <c r="G307" s="13" t="n">
        <v>0.95</v>
      </c>
      <c r="H307" s="13" t="n">
        <v>1.38</v>
      </c>
      <c r="I307" s="13" t="n">
        <v>0.761</v>
      </c>
      <c r="J307" s="13" t="n">
        <v>0.53</v>
      </c>
      <c r="K307" s="12" t="n">
        <f aca="false">ROUND(F307/100*G307*H307*I307/J307,2)</f>
        <v>9788.47</v>
      </c>
      <c r="L307" s="12" t="n">
        <v>9788.47</v>
      </c>
      <c r="M307" s="12" t="n">
        <f aca="false">L307-K307</f>
        <v>0</v>
      </c>
      <c r="N307" s="3" t="s">
        <v>61</v>
      </c>
      <c r="O307" s="3" t="s">
        <v>62</v>
      </c>
    </row>
    <row r="308" customFormat="false" ht="15" hidden="false" customHeight="false" outlineLevel="0" collapsed="false">
      <c r="A308" s="14" t="s">
        <v>4582</v>
      </c>
      <c r="B308" s="14" t="s">
        <v>4882</v>
      </c>
      <c r="C308" s="14" t="s">
        <v>243</v>
      </c>
      <c r="D308" s="14" t="s">
        <v>4883</v>
      </c>
      <c r="E308" s="14" t="s">
        <v>50</v>
      </c>
      <c r="F308" s="15" t="n">
        <v>700000</v>
      </c>
      <c r="G308" s="16" t="n">
        <v>0.95</v>
      </c>
      <c r="H308" s="16" t="n">
        <v>1.14</v>
      </c>
      <c r="I308" s="16" t="n">
        <v>0.761</v>
      </c>
      <c r="J308" s="16" t="n">
        <v>0.53</v>
      </c>
      <c r="K308" s="15" t="n">
        <f aca="false">ROUND(F308/100*G308*H308*I308/J308,2)</f>
        <v>10885.17</v>
      </c>
      <c r="L308" s="15" t="n">
        <v>10885.17</v>
      </c>
      <c r="M308" s="15" t="n">
        <f aca="false">L308-K308</f>
        <v>0</v>
      </c>
      <c r="N308" s="14" t="s">
        <v>61</v>
      </c>
      <c r="O308" s="14" t="s">
        <v>62</v>
      </c>
    </row>
    <row r="310" customFormat="false" ht="15" hidden="false" customHeight="false" outlineLevel="0" collapsed="false">
      <c r="A310" s="10" t="s">
        <v>551</v>
      </c>
      <c r="C310" s="17" t="n">
        <f aca="false">COUNTA(B5:B308)</f>
        <v>304</v>
      </c>
    </row>
    <row r="311" customFormat="false" ht="15" hidden="false" customHeight="false" outlineLevel="0" collapsed="false">
      <c r="A311" s="10" t="s">
        <v>552</v>
      </c>
      <c r="C311" s="17" t="n">
        <f aca="false">COUNTIF(O5:O308,"bound")</f>
        <v>222</v>
      </c>
    </row>
    <row r="312" customFormat="false" ht="15" hidden="false" customHeight="false" outlineLevel="0" collapsed="false">
      <c r="A312" s="10" t="s">
        <v>553</v>
      </c>
      <c r="C312" s="18" t="n">
        <f aca="false">AVERAGE(L5:L308)</f>
        <v>8538.18618421053</v>
      </c>
    </row>
    <row r="313" customFormat="false" ht="15" hidden="false" customHeight="false" outlineLevel="0" collapsed="false">
      <c r="A313" s="10" t="s">
        <v>554</v>
      </c>
      <c r="C313" s="18" t="n">
        <f aca="false">AVERAGEIF(O5:O308,"bound",L5:L308)</f>
        <v>8530.71828828829</v>
      </c>
    </row>
    <row r="314" customFormat="false" ht="15" hidden="false" customHeight="false" outlineLevel="0" collapsed="false">
      <c r="A314" s="10" t="s">
        <v>555</v>
      </c>
      <c r="C314" s="18" t="n">
        <f aca="false">SUMIF(O5:O308,"bound",L5:L308)</f>
        <v>1893819.46</v>
      </c>
    </row>
    <row r="315" customFormat="false" ht="15" hidden="false" customHeight="false" outlineLevel="0" collapsed="false">
      <c r="A315" s="10" t="s">
        <v>556</v>
      </c>
      <c r="C315" s="19" t="n">
        <v>0.761</v>
      </c>
    </row>
  </sheetData>
  <autoFilter ref="A4:O3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2026-08-28T05:57:09Z</dcterms:created>
  <dc:creator>openpyxl</dc:creator>
  <dc:description/>
  <dc:language>en-US</dc:language>
  <cp:lastModifiedBy/>
  <dcterms:modified xsi:type="dcterms:W3CDTF">2026-08-28T05:57:12Z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