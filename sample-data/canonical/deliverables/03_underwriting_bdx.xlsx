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nnual Summary" sheetId="2" state="visible" r:id="rId4"/>
    <sheet name="2025-08" sheetId="3" state="visible" r:id="rId5"/>
    <sheet name="2025-09" sheetId="4" state="visible" r:id="rId6"/>
    <sheet name="2025-10" sheetId="5" state="visible" r:id="rId7"/>
    <sheet name="2025-11" sheetId="6" state="visible" r:id="rId8"/>
    <sheet name="2025-12" sheetId="7" state="visible" r:id="rId9"/>
    <sheet name="2026-01" sheetId="8" state="visible" r:id="rId10"/>
    <sheet name="2026-02" sheetId="9" state="visible" r:id="rId11"/>
    <sheet name="2026-03" sheetId="10" state="visible" r:id="rId12"/>
    <sheet name="2026-04" sheetId="11" state="visible" r:id="rId13"/>
    <sheet name="2026-05" sheetId="12" state="visible" r:id="rId14"/>
    <sheet name="2026-06" sheetId="13" state="visible" r:id="rId15"/>
    <sheet name="2026-07" sheetId="14" state="visible" r:id="rId16"/>
  </sheets>
  <definedNames>
    <definedName function="false" hidden="true" localSheetId="2" name="_xlnm._FilterDatabase" vbProcedure="false">'2025-08'!$A$4:$W$172</definedName>
    <definedName function="false" hidden="true" localSheetId="3" name="_xlnm._FilterDatabase" vbProcedure="false">'2025-09'!$A$4:$W$148</definedName>
    <definedName function="false" hidden="true" localSheetId="4" name="_xlnm._FilterDatabase" vbProcedure="false">'2025-10'!$A$4:$W$178</definedName>
    <definedName function="false" hidden="true" localSheetId="5" name="_xlnm._FilterDatabase" vbProcedure="false">'2025-11'!$A$4:$W$187</definedName>
    <definedName function="false" hidden="true" localSheetId="6" name="_xlnm._FilterDatabase" vbProcedure="false">'2025-12'!$A$4:$W$199</definedName>
    <definedName function="false" hidden="true" localSheetId="7" name="_xlnm._FilterDatabase" vbProcedure="false">'2026-01'!$A$4:$W$193</definedName>
    <definedName function="false" hidden="true" localSheetId="8" name="_xlnm._FilterDatabase" vbProcedure="false">'2026-02'!$A$4:$W$221</definedName>
    <definedName function="false" hidden="true" localSheetId="9" name="_xlnm._FilterDatabase" vbProcedure="false">'2026-03'!$A$4:$W$245</definedName>
    <definedName function="false" hidden="true" localSheetId="10" name="_xlnm._FilterDatabase" vbProcedure="false">'2026-04'!$A$4:$W$214</definedName>
    <definedName function="false" hidden="true" localSheetId="11" name="_xlnm._FilterDatabase" vbProcedure="false">'2026-05'!$A$4:$W$208</definedName>
    <definedName function="false" hidden="true" localSheetId="12" name="_xlnm._FilterDatabase" vbProcedure="false">'2026-06'!$A$4:$W$271</definedName>
    <definedName function="false" hidden="true" localSheetId="13" name="_xlnm._FilterDatabase" vbProcedure="false">'2026-07'!$A$4:$W$226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<sst xmlns="http://schemas.openxmlformats.org/spreadsheetml/2006/main" count="10051" uniqueCount="3451">
  <si>
    <t xml:space="preserve">03 · Underwriting BDX</t>
  </si>
  <si>
    <t xml:space="preserve">Source: canonical_dataset.json (ADR 0043), sha256 965b986a29d24a4c… — verified against canonical_manifest.json. All figures derive read-only from that frozen artifact; no new numbers generated. Column conventions are standard rater/BDX/bordereau layouts (Kent's reference workbooks are not on this VM) — 'middle' fidelity per the build brief.</t>
  </si>
  <si>
    <t xml:space="preserve">Scope</t>
  </si>
  <si>
    <t xml:space="preserve">BOUND book only (2,414 policies). Indicative/declined excluded.</t>
  </si>
  <si>
    <t xml:space="preserve">Split</t>
  </si>
  <si>
    <t xml:space="preserve">12.5% Broker + 12.5% Torque + 75% Markets; Markets = Σ ten syndicates (7.5% each).</t>
  </si>
  <si>
    <t xml:space="preserve">Fees</t>
  </si>
  <si>
    <t xml:space="preserve">$350 policy fee/policy; $250 inspection for AV ≥ $1M.</t>
  </si>
  <si>
    <t xml:space="preserve">Reconciliation</t>
  </si>
  <si>
    <t xml:space="preserve">See 'Annual Summary' — Δ rows foot to 0; premium = GWP $23,020,114.17.</t>
  </si>
  <si>
    <t xml:space="preserve">Rounding residual</t>
  </si>
  <si>
    <t xml:space="preserve">Explicit column; standard bordereau practice so the row foots exactly.</t>
  </si>
  <si>
    <t xml:space="preserve">Underwriting BDX — Annual Summary</t>
  </si>
  <si>
    <t xml:space="preserve">Each row pulls that month tab's TOTAL row. Grand total ties to artifact GWP $23,020,114.17.</t>
  </si>
  <si>
    <t xml:space="preserve">Month</t>
  </si>
  <si>
    <t xml:space="preserve">Bound Premium</t>
  </si>
  <si>
    <t xml:space="preserve">Broker 12.5%</t>
  </si>
  <si>
    <t xml:space="preserve">Torque 12.5%</t>
  </si>
  <si>
    <t xml:space="preserve">Markets 75%</t>
  </si>
  <si>
    <t xml:space="preserve">Rounding Residual</t>
  </si>
  <si>
    <t xml:space="preserve">Beazley</t>
  </si>
  <si>
    <t xml:space="preserve">Hiscox</t>
  </si>
  <si>
    <t xml:space="preserve">Chaucer</t>
  </si>
  <si>
    <t xml:space="preserve">Ark</t>
  </si>
  <si>
    <t xml:space="preserve">Brit</t>
  </si>
  <si>
    <t xml:space="preserve">Canopius</t>
  </si>
  <si>
    <t xml:space="preserve">Apollo</t>
  </si>
  <si>
    <t xml:space="preserve">Antares</t>
  </si>
  <si>
    <t xml:space="preserve">MS Amlin</t>
  </si>
  <si>
    <t xml:space="preserve">Ascot</t>
  </si>
  <si>
    <t xml:space="preserve">Policy Fee</t>
  </si>
  <si>
    <t xml:space="preserve">Inspection Fee</t>
  </si>
  <si>
    <t xml:space="preserve">Fee Total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</si>
  <si>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</si>
  <si>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</si>
  <si>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</si>
  <si>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</si>
  <si>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</si>
  <si>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</si>
  <si>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</si>
  <si>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</si>
  <si>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</si>
  <si>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</si>
  <si>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</si>
  <si>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</si>
  <si>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GRAND TOTAL</t>
  </si>
  <si>
    <t xml:space="preserve">RECONCILIATION</t>
  </si>
  <si>
    <t xml:space="preserve">Annual bound premium (grand total)</t>
  </si>
  <si>
    <t xml:space="preserve">Artifact GWP (bound)</t>
  </si>
  <si>
    <t xml:space="preserve">Δ premium vs GWP (must be 0)</t>
  </si>
  <si>
    <t xml:space="preserve">Broker+Torque+Markets+Residual</t>
  </si>
  <si>
    <t xml:space="preserve">Δ split vs premium (must be 0)</t>
  </si>
  <si>
    <t xml:space="preserve">Σ ten syndicate columns</t>
  </si>
  <si>
    <t xml:space="preserve">Markets 75% (grand total)</t>
  </si>
  <si>
    <t xml:space="preserve">Δ syndicates vs markets (must be 0)</t>
  </si>
  <si>
    <t xml:space="preserve">Per-syndicate total (each, from tabs)</t>
  </si>
  <si>
    <t xml:space="preserve">  memo: theoretical 0.075 × GWP</t>
  </si>
  <si>
    <t xml:space="preserve">Fee income (grand total)</t>
  </si>
  <si>
    <t xml:space="preserve">  artifact fee_income_total</t>
  </si>
  <si>
    <t xml:space="preserve">Underwriting BDX — 2025-08  (Bound book only)</t>
  </si>
  <si>
    <t xml:space="preserve">Indicative/declined premium excluded. Markets 75% = SUM of the ten syndicate columns (7.5% each). Residual = Premium − (Broker+Torque+Markets) so the row foots exactly.</t>
  </si>
  <si>
    <t xml:space="preserve">Policy Number</t>
  </si>
  <si>
    <t xml:space="preserve">Effective Date</t>
  </si>
  <si>
    <t xml:space="preserve">Insured</t>
  </si>
  <si>
    <t xml:space="preserve">State</t>
  </si>
  <si>
    <t xml:space="preserve">Agreed Value</t>
  </si>
  <si>
    <t xml:space="preserve">CANON-202508-000003</t>
  </si>
  <si>
    <t xml:space="preserve">2025-08-20</t>
  </si>
  <si>
    <t xml:space="preserve">Everett Delacroix</t>
  </si>
  <si>
    <t xml:space="preserve">KS</t>
  </si>
  <si>
    <t xml:space="preserve">CANON-202508-000004</t>
  </si>
  <si>
    <t xml:space="preserve">2025-08-16</t>
  </si>
  <si>
    <t xml:space="preserve">Desmond Underwood</t>
  </si>
  <si>
    <t xml:space="preserve">NV</t>
  </si>
  <si>
    <t xml:space="preserve">CANON-202508-000008</t>
  </si>
  <si>
    <t xml:space="preserve">2025-08-10</t>
  </si>
  <si>
    <t xml:space="preserve">Callum Rourke</t>
  </si>
  <si>
    <t xml:space="preserve">AL</t>
  </si>
  <si>
    <t xml:space="preserve">CANON-202508-000009</t>
  </si>
  <si>
    <t xml:space="preserve">2025-08-01</t>
  </si>
  <si>
    <t xml:space="preserve">Ottilie Vandermeer</t>
  </si>
  <si>
    <t xml:space="preserve">NM</t>
  </si>
  <si>
    <t xml:space="preserve">CANON-202508-000011</t>
  </si>
  <si>
    <t xml:space="preserve">2025-08-05</t>
  </si>
  <si>
    <t xml:space="preserve">Desmond Thistlewood</t>
  </si>
  <si>
    <t xml:space="preserve">OH</t>
  </si>
  <si>
    <t xml:space="preserve">CANON-202508-000012</t>
  </si>
  <si>
    <t xml:space="preserve">2025-08-30</t>
  </si>
  <si>
    <t xml:space="preserve">Callum Thistlewood</t>
  </si>
  <si>
    <t xml:space="preserve">CA</t>
  </si>
  <si>
    <t xml:space="preserve">CANON-202508-000013</t>
  </si>
  <si>
    <t xml:space="preserve">2025-08-15</t>
  </si>
  <si>
    <t xml:space="preserve">Leopold Fairweather</t>
  </si>
  <si>
    <t xml:space="preserve">NY</t>
  </si>
  <si>
    <t xml:space="preserve">CANON-202508-000014</t>
  </si>
  <si>
    <t xml:space="preserve">2025-08-07</t>
  </si>
  <si>
    <t xml:space="preserve">Callum Montoya</t>
  </si>
  <si>
    <t xml:space="preserve">CANON-202508-000018</t>
  </si>
  <si>
    <t xml:space="preserve">Sunniva Blackwood</t>
  </si>
  <si>
    <t xml:space="preserve">IL</t>
  </si>
  <si>
    <t xml:space="preserve">CANON-202508-000020</t>
  </si>
  <si>
    <t xml:space="preserve">Anouk Bellandi</t>
  </si>
  <si>
    <t xml:space="preserve">NC</t>
  </si>
  <si>
    <t xml:space="preserve">CANON-202508-000021</t>
  </si>
  <si>
    <t xml:space="preserve">2025-08-27</t>
  </si>
  <si>
    <t xml:space="preserve">Beatrix Castellanos</t>
  </si>
  <si>
    <t xml:space="preserve">CANON-202508-000023</t>
  </si>
  <si>
    <t xml:space="preserve">2025-08-13</t>
  </si>
  <si>
    <t xml:space="preserve">Thaddeus Chattopadhyay</t>
  </si>
  <si>
    <t xml:space="preserve">DE</t>
  </si>
  <si>
    <t xml:space="preserve">CANON-202508-000024</t>
  </si>
  <si>
    <t xml:space="preserve">Wilhelmina Montoya</t>
  </si>
  <si>
    <t xml:space="preserve">MD</t>
  </si>
  <si>
    <t xml:space="preserve">CANON-202508-000025</t>
  </si>
  <si>
    <t xml:space="preserve">2025-08-21</t>
  </si>
  <si>
    <t xml:space="preserve">MN</t>
  </si>
  <si>
    <t xml:space="preserve">CANON-202508-000026</t>
  </si>
  <si>
    <t xml:space="preserve">Desmond Chattopadhyay</t>
  </si>
  <si>
    <t xml:space="preserve">IN</t>
  </si>
  <si>
    <t xml:space="preserve">CANON-202508-000027</t>
  </si>
  <si>
    <t xml:space="preserve">Ingrid Kingsford</t>
  </si>
  <si>
    <t xml:space="preserve">VT</t>
  </si>
  <si>
    <t xml:space="preserve">CANON-202508-000028</t>
  </si>
  <si>
    <t xml:space="preserve">2025-08-29</t>
  </si>
  <si>
    <t xml:space="preserve">Everett Nakashima</t>
  </si>
  <si>
    <t xml:space="preserve">WA</t>
  </si>
  <si>
    <t xml:space="preserve">CANON-202508-000029</t>
  </si>
  <si>
    <t xml:space="preserve">2025-08-17</t>
  </si>
  <si>
    <t xml:space="preserve">Desmond Harrington</t>
  </si>
  <si>
    <t xml:space="preserve">CANON-202508-000030</t>
  </si>
  <si>
    <t xml:space="preserve">2025-08-23</t>
  </si>
  <si>
    <t xml:space="preserve">Aurelio Thistlewood</t>
  </si>
  <si>
    <t xml:space="preserve">PA</t>
  </si>
  <si>
    <t xml:space="preserve">CANON-202508-000031</t>
  </si>
  <si>
    <t xml:space="preserve">2025-08-12</t>
  </si>
  <si>
    <t xml:space="preserve">Aurelio Pennington</t>
  </si>
  <si>
    <t xml:space="preserve">CANON-202508-000032</t>
  </si>
  <si>
    <t xml:space="preserve">Mireille Okonkwo</t>
  </si>
  <si>
    <t xml:space="preserve">TX</t>
  </si>
  <si>
    <t xml:space="preserve">CANON-202508-000033</t>
  </si>
  <si>
    <t xml:space="preserve">Emiliano Underwood</t>
  </si>
  <si>
    <t xml:space="preserve">CANON-202508-000034</t>
  </si>
  <si>
    <t xml:space="preserve">2025-08-22</t>
  </si>
  <si>
    <t xml:space="preserve">Desmond Vasquez</t>
  </si>
  <si>
    <t xml:space="preserve">CANON-202508-000035</t>
  </si>
  <si>
    <t xml:space="preserve">Everett Harrington</t>
  </si>
  <si>
    <t xml:space="preserve">CANON-202508-000036</t>
  </si>
  <si>
    <t xml:space="preserve">WY</t>
  </si>
  <si>
    <t xml:space="preserve">CANON-202508-000037</t>
  </si>
  <si>
    <t xml:space="preserve">2025-08-26</t>
  </si>
  <si>
    <t xml:space="preserve">Everett Vandermeer</t>
  </si>
  <si>
    <t xml:space="preserve">CANON-202508-000038</t>
  </si>
  <si>
    <t xml:space="preserve">Wilhelmina Ashcombe</t>
  </si>
  <si>
    <t xml:space="preserve">MI</t>
  </si>
  <si>
    <t xml:space="preserve">CANON-202508-000039</t>
  </si>
  <si>
    <t xml:space="preserve">2025-08-08</t>
  </si>
  <si>
    <t xml:space="preserve">Horace Vandermeer</t>
  </si>
  <si>
    <t xml:space="preserve">FL</t>
  </si>
  <si>
    <t xml:space="preserve">CANON-202508-000040</t>
  </si>
  <si>
    <t xml:space="preserve">2025-08-14</t>
  </si>
  <si>
    <t xml:space="preserve">Lorenzo Ashcombe</t>
  </si>
  <si>
    <t xml:space="preserve">CANON-202508-000042</t>
  </si>
  <si>
    <t xml:space="preserve">Saoirse Castellanos</t>
  </si>
  <si>
    <t xml:space="preserve">ND</t>
  </si>
  <si>
    <t xml:space="preserve">CANON-202508-000044</t>
  </si>
  <si>
    <t xml:space="preserve">Ingrid Fairweather</t>
  </si>
  <si>
    <t xml:space="preserve">UT</t>
  </si>
  <si>
    <t xml:space="preserve">CANON-202508-000045</t>
  </si>
  <si>
    <t xml:space="preserve">2025-08-19</t>
  </si>
  <si>
    <t xml:space="preserve">Delphine Underwood</t>
  </si>
  <si>
    <t xml:space="preserve">CANON-202508-000047</t>
  </si>
  <si>
    <t xml:space="preserve">Sunniva Thistlewood</t>
  </si>
  <si>
    <t xml:space="preserve">NH</t>
  </si>
  <si>
    <t xml:space="preserve">CANON-202508-000048</t>
  </si>
  <si>
    <t xml:space="preserve">Anouk Fairweather</t>
  </si>
  <si>
    <t xml:space="preserve">CANON-202508-000051</t>
  </si>
  <si>
    <t xml:space="preserve">Lorenzo Nakashima</t>
  </si>
  <si>
    <t xml:space="preserve">CANON-202508-000052</t>
  </si>
  <si>
    <t xml:space="preserve">CANON-202508-000053</t>
  </si>
  <si>
    <t xml:space="preserve">Ottilie Castellanos</t>
  </si>
  <si>
    <t xml:space="preserve">LA</t>
  </si>
  <si>
    <t xml:space="preserve">CANON-202508-000054</t>
  </si>
  <si>
    <t xml:space="preserve">Ingrid Whitlock</t>
  </si>
  <si>
    <t xml:space="preserve">CANON-202508-000057</t>
  </si>
  <si>
    <t xml:space="preserve">Thaddeus Whitlock</t>
  </si>
  <si>
    <t xml:space="preserve">AZ</t>
  </si>
  <si>
    <t xml:space="preserve">CANON-202508-000058</t>
  </si>
  <si>
    <t xml:space="preserve">2025-08-09</t>
  </si>
  <si>
    <t xml:space="preserve">Ramona Montoya</t>
  </si>
  <si>
    <t xml:space="preserve">CO</t>
  </si>
  <si>
    <t xml:space="preserve">CANON-202508-000059</t>
  </si>
  <si>
    <t xml:space="preserve">2025-08-11</t>
  </si>
  <si>
    <t xml:space="preserve">Callum Vandermeer</t>
  </si>
  <si>
    <t xml:space="preserve">MA</t>
  </si>
  <si>
    <t xml:space="preserve">CANON-202508-000060</t>
  </si>
  <si>
    <t xml:space="preserve">2025-08-03</t>
  </si>
  <si>
    <t xml:space="preserve">Priya Chattopadhyay</t>
  </si>
  <si>
    <t xml:space="preserve">VA</t>
  </si>
  <si>
    <t xml:space="preserve">CANON-202508-000064</t>
  </si>
  <si>
    <t xml:space="preserve">Emiliano Merriweather</t>
  </si>
  <si>
    <t xml:space="preserve">CANON-202508-000065</t>
  </si>
  <si>
    <t xml:space="preserve">2025-08-25</t>
  </si>
  <si>
    <t xml:space="preserve">Cassius Merriweather</t>
  </si>
  <si>
    <t xml:space="preserve">AK</t>
  </si>
  <si>
    <t xml:space="preserve">CANON-202508-000067</t>
  </si>
  <si>
    <t xml:space="preserve">2025-08-04</t>
  </si>
  <si>
    <t xml:space="preserve">Mireille Fairweather</t>
  </si>
  <si>
    <t xml:space="preserve">CANON-202508-000068</t>
  </si>
  <si>
    <t xml:space="preserve">NE</t>
  </si>
  <si>
    <t xml:space="preserve">CANON-202508-000069</t>
  </si>
  <si>
    <t xml:space="preserve">CANON-202508-000070</t>
  </si>
  <si>
    <t xml:space="preserve">Sunniva Harrington</t>
  </si>
  <si>
    <t xml:space="preserve">CANON-202508-000071</t>
  </si>
  <si>
    <t xml:space="preserve">Everett Blackwood</t>
  </si>
  <si>
    <t xml:space="preserve">CANON-202508-000073</t>
  </si>
  <si>
    <t xml:space="preserve">Cassius Kingsford</t>
  </si>
  <si>
    <t xml:space="preserve">CANON-202508-000074</t>
  </si>
  <si>
    <t xml:space="preserve">Callum Delacroix</t>
  </si>
  <si>
    <t xml:space="preserve">CANON-202508-000075</t>
  </si>
  <si>
    <t xml:space="preserve">Fenwick Montoya</t>
  </si>
  <si>
    <t xml:space="preserve">CANON-202508-000076</t>
  </si>
  <si>
    <t xml:space="preserve">Priya Okonkwo</t>
  </si>
  <si>
    <t xml:space="preserve">IA</t>
  </si>
  <si>
    <t xml:space="preserve">CANON-202508-000077</t>
  </si>
  <si>
    <t xml:space="preserve">2025-08-24</t>
  </si>
  <si>
    <t xml:space="preserve">Thaddeus Bellandi</t>
  </si>
  <si>
    <t xml:space="preserve">CANON-202508-000078</t>
  </si>
  <si>
    <t xml:space="preserve">Saoirse Thistlewood</t>
  </si>
  <si>
    <t xml:space="preserve">CANON-202508-000080</t>
  </si>
  <si>
    <t xml:space="preserve">Horace Blackwood</t>
  </si>
  <si>
    <t xml:space="preserve">MS</t>
  </si>
  <si>
    <t xml:space="preserve">CANON-202508-000081</t>
  </si>
  <si>
    <t xml:space="preserve">Emiliano Montoya</t>
  </si>
  <si>
    <t xml:space="preserve">TN</t>
  </si>
  <si>
    <t xml:space="preserve">CANON-202508-000082</t>
  </si>
  <si>
    <t xml:space="preserve">Sunniva Merriweather</t>
  </si>
  <si>
    <t xml:space="preserve">CANON-202508-000083</t>
  </si>
  <si>
    <t xml:space="preserve">Fenwick Chattopadhyay</t>
  </si>
  <si>
    <t xml:space="preserve">CANON-202508-000086</t>
  </si>
  <si>
    <t xml:space="preserve">Emiliano Rourke</t>
  </si>
  <si>
    <t xml:space="preserve">CANON-202508-000087</t>
  </si>
  <si>
    <t xml:space="preserve">CANON-202508-000088</t>
  </si>
  <si>
    <t xml:space="preserve">2025-08-28</t>
  </si>
  <si>
    <t xml:space="preserve">Aurelio Castellanos</t>
  </si>
  <si>
    <t xml:space="preserve">CANON-202508-000089</t>
  </si>
  <si>
    <t xml:space="preserve">Sunniva Farkas</t>
  </si>
  <si>
    <t xml:space="preserve">WI</t>
  </si>
  <si>
    <t xml:space="preserve">CANON-202508-000090</t>
  </si>
  <si>
    <t xml:space="preserve">Everett Pennington</t>
  </si>
  <si>
    <t xml:space="preserve">CANON-202508-000093</t>
  </si>
  <si>
    <t xml:space="preserve">Fenwick Rourke</t>
  </si>
  <si>
    <t xml:space="preserve">CT</t>
  </si>
  <si>
    <t xml:space="preserve">CANON-202508-000096</t>
  </si>
  <si>
    <t xml:space="preserve">Ottilie Montoya</t>
  </si>
  <si>
    <t xml:space="preserve">CANON-202508-000097</t>
  </si>
  <si>
    <t xml:space="preserve">Desmond Montoya</t>
  </si>
  <si>
    <t xml:space="preserve">WV</t>
  </si>
  <si>
    <t xml:space="preserve">CANON-202508-000098</t>
  </si>
  <si>
    <t xml:space="preserve">Noor Ashcombe</t>
  </si>
  <si>
    <t xml:space="preserve">CANON-202508-000099</t>
  </si>
  <si>
    <t xml:space="preserve">2025-08-06</t>
  </si>
  <si>
    <t xml:space="preserve">Wilhelmina Nakashima</t>
  </si>
  <si>
    <t xml:space="preserve">CANON-202508-000100</t>
  </si>
  <si>
    <t xml:space="preserve">Desmond Bellandi</t>
  </si>
  <si>
    <t xml:space="preserve">CANON-202508-000101</t>
  </si>
  <si>
    <t xml:space="preserve">Desmond Fairweather</t>
  </si>
  <si>
    <t xml:space="preserve">CANON-202508-000103</t>
  </si>
  <si>
    <t xml:space="preserve">Anouk Vandermeer</t>
  </si>
  <si>
    <t xml:space="preserve">CANON-202508-000104</t>
  </si>
  <si>
    <t xml:space="preserve">Mireille Kingsford</t>
  </si>
  <si>
    <t xml:space="preserve">CANON-202508-000105</t>
  </si>
  <si>
    <t xml:space="preserve">2025-08-02</t>
  </si>
  <si>
    <t xml:space="preserve">Fitzgerald Ashcombe</t>
  </si>
  <si>
    <t xml:space="preserve">CANON-202508-000106</t>
  </si>
  <si>
    <t xml:space="preserve">Delphine Merriweather</t>
  </si>
  <si>
    <t xml:space="preserve">CANON-202508-000107</t>
  </si>
  <si>
    <t xml:space="preserve">Ingrid Farkas</t>
  </si>
  <si>
    <t xml:space="preserve">CANON-202508-000108</t>
  </si>
  <si>
    <t xml:space="preserve">Fitzgerald Delacroix</t>
  </si>
  <si>
    <t xml:space="preserve">NJ</t>
  </si>
  <si>
    <t xml:space="preserve">CANON-202508-000109</t>
  </si>
  <si>
    <t xml:space="preserve">Mireille Nakashima</t>
  </si>
  <si>
    <t xml:space="preserve">CANON-202508-000110</t>
  </si>
  <si>
    <t xml:space="preserve">Lorenzo Castellanos</t>
  </si>
  <si>
    <t xml:space="preserve">CANON-202508-000111</t>
  </si>
  <si>
    <t xml:space="preserve">Delphine Whitlock</t>
  </si>
  <si>
    <t xml:space="preserve">CANON-202508-000112</t>
  </si>
  <si>
    <t xml:space="preserve">Lorenzo Larsson</t>
  </si>
  <si>
    <t xml:space="preserve">CANON-202508-000114</t>
  </si>
  <si>
    <t xml:space="preserve">Everett Underwood</t>
  </si>
  <si>
    <t xml:space="preserve">CANON-202508-000116</t>
  </si>
  <si>
    <t xml:space="preserve">CANON-202508-000117</t>
  </si>
  <si>
    <t xml:space="preserve">Noor Thistlewood</t>
  </si>
  <si>
    <t xml:space="preserve">CANON-202508-000118</t>
  </si>
  <si>
    <t xml:space="preserve">Saoirse Underwood</t>
  </si>
  <si>
    <t xml:space="preserve">CANON-202508-000120</t>
  </si>
  <si>
    <t xml:space="preserve">Ramona Whitlock</t>
  </si>
  <si>
    <t xml:space="preserve">CANON-202508-000121</t>
  </si>
  <si>
    <t xml:space="preserve">OK</t>
  </si>
  <si>
    <t xml:space="preserve">CANON-202508-000122</t>
  </si>
  <si>
    <t xml:space="preserve">Fitzgerald Chattopadhyay</t>
  </si>
  <si>
    <t xml:space="preserve">CANON-202508-000123</t>
  </si>
  <si>
    <t xml:space="preserve">CANON-202508-000126</t>
  </si>
  <si>
    <t xml:space="preserve">Wilhelmina Whitlock</t>
  </si>
  <si>
    <t xml:space="preserve">CANON-202508-000127</t>
  </si>
  <si>
    <t xml:space="preserve">Marisol Ashcombe</t>
  </si>
  <si>
    <t xml:space="preserve">CANON-202508-000128</t>
  </si>
  <si>
    <t xml:space="preserve">CANON-202508-000129</t>
  </si>
  <si>
    <t xml:space="preserve">2025-08-31</t>
  </si>
  <si>
    <t xml:space="preserve">CANON-202508-000130</t>
  </si>
  <si>
    <t xml:space="preserve">Leopold Merriweather</t>
  </si>
  <si>
    <t xml:space="preserve">CANON-202508-000131</t>
  </si>
  <si>
    <t xml:space="preserve">SD</t>
  </si>
  <si>
    <t xml:space="preserve">CANON-202508-000132</t>
  </si>
  <si>
    <t xml:space="preserve">Wilhelmina Farkas</t>
  </si>
  <si>
    <t xml:space="preserve">CANON-202508-000133</t>
  </si>
  <si>
    <t xml:space="preserve">Desmond Okonkwo</t>
  </si>
  <si>
    <t xml:space="preserve">CANON-202508-000134</t>
  </si>
  <si>
    <t xml:space="preserve">Emiliano Pennington</t>
  </si>
  <si>
    <t xml:space="preserve">CANON-202508-000139</t>
  </si>
  <si>
    <t xml:space="preserve">CANON-202508-000140</t>
  </si>
  <si>
    <t xml:space="preserve">Leopold Nakashima</t>
  </si>
  <si>
    <t xml:space="preserve">CANON-202508-000141</t>
  </si>
  <si>
    <t xml:space="preserve">Lorenzo Pennington</t>
  </si>
  <si>
    <t xml:space="preserve">CANON-202508-000142</t>
  </si>
  <si>
    <t xml:space="preserve">AR</t>
  </si>
  <si>
    <t xml:space="preserve">CANON-202508-000144</t>
  </si>
  <si>
    <t xml:space="preserve">Desmond Pennington</t>
  </si>
  <si>
    <t xml:space="preserve">HI</t>
  </si>
  <si>
    <t xml:space="preserve">CANON-202508-000145</t>
  </si>
  <si>
    <t xml:space="preserve">Lorenzo Kingsford</t>
  </si>
  <si>
    <t xml:space="preserve">CANON-202508-000146</t>
  </si>
  <si>
    <t xml:space="preserve">CANON-202508-000147</t>
  </si>
  <si>
    <t xml:space="preserve">Delphine Delacroix</t>
  </si>
  <si>
    <t xml:space="preserve">CANON-202508-000148</t>
  </si>
  <si>
    <t xml:space="preserve">Desmond Rourke</t>
  </si>
  <si>
    <t xml:space="preserve">CANON-202508-000149</t>
  </si>
  <si>
    <t xml:space="preserve">Wilhelmina Merriweather</t>
  </si>
  <si>
    <t xml:space="preserve">SC</t>
  </si>
  <si>
    <t xml:space="preserve">CANON-202508-000150</t>
  </si>
  <si>
    <t xml:space="preserve">Thaddeus Merriweather</t>
  </si>
  <si>
    <t xml:space="preserve">CANON-202508-000151</t>
  </si>
  <si>
    <t xml:space="preserve">Lorenzo Vasquez</t>
  </si>
  <si>
    <t xml:space="preserve">CANON-202508-000153</t>
  </si>
  <si>
    <t xml:space="preserve">CANON-202508-000155</t>
  </si>
  <si>
    <t xml:space="preserve">Wilhelmina Fairweather</t>
  </si>
  <si>
    <t xml:space="preserve">CANON-202508-000156</t>
  </si>
  <si>
    <t xml:space="preserve">Marisol Okonkwo</t>
  </si>
  <si>
    <t xml:space="preserve">CANON-202508-000157</t>
  </si>
  <si>
    <t xml:space="preserve">Sunniva Larsson</t>
  </si>
  <si>
    <t xml:space="preserve">CANON-202508-000158</t>
  </si>
  <si>
    <t xml:space="preserve">Marisol Harrington</t>
  </si>
  <si>
    <t xml:space="preserve">OR</t>
  </si>
  <si>
    <t xml:space="preserve">CANON-202508-000160</t>
  </si>
  <si>
    <t xml:space="preserve">Emiliano Vandermeer</t>
  </si>
  <si>
    <t xml:space="preserve">CANON-202508-000161</t>
  </si>
  <si>
    <t xml:space="preserve">Delphine Castellanos</t>
  </si>
  <si>
    <t xml:space="preserve">CANON-202508-000162</t>
  </si>
  <si>
    <t xml:space="preserve">Desmond Blackwood</t>
  </si>
  <si>
    <t xml:space="preserve">CANON-202508-000163</t>
  </si>
  <si>
    <t xml:space="preserve">CANON-202508-000164</t>
  </si>
  <si>
    <t xml:space="preserve">CANON-202508-000165</t>
  </si>
  <si>
    <t xml:space="preserve">Saoirse Kingsford</t>
  </si>
  <si>
    <t xml:space="preserve">CANON-202508-000166</t>
  </si>
  <si>
    <t xml:space="preserve">Callum Chattopadhyay</t>
  </si>
  <si>
    <t xml:space="preserve">CANON-202508-000167</t>
  </si>
  <si>
    <t xml:space="preserve">Leopold Kingsford</t>
  </si>
  <si>
    <t xml:space="preserve">CANON-202508-000168</t>
  </si>
  <si>
    <t xml:space="preserve">Marisol Bellandi</t>
  </si>
  <si>
    <t xml:space="preserve">CANON-202508-000169</t>
  </si>
  <si>
    <t xml:space="preserve">Aurelio Fairweather</t>
  </si>
  <si>
    <t xml:space="preserve">CANON-202508-000170</t>
  </si>
  <si>
    <t xml:space="preserve">Marisol Blackwood</t>
  </si>
  <si>
    <t xml:space="preserve">CANON-202508-000171</t>
  </si>
  <si>
    <t xml:space="preserve">Cassius Farkas</t>
  </si>
  <si>
    <t xml:space="preserve">CANON-202508-000172</t>
  </si>
  <si>
    <t xml:space="preserve">Sunniva Whitlock</t>
  </si>
  <si>
    <t xml:space="preserve">KY</t>
  </si>
  <si>
    <t xml:space="preserve">CANON-202508-000173</t>
  </si>
  <si>
    <t xml:space="preserve">Ingrid Pennington</t>
  </si>
  <si>
    <t xml:space="preserve">CANON-202508-000174</t>
  </si>
  <si>
    <t xml:space="preserve">Noor Vasquez</t>
  </si>
  <si>
    <t xml:space="preserve">GA</t>
  </si>
  <si>
    <t xml:space="preserve">CANON-202508-000175</t>
  </si>
  <si>
    <t xml:space="preserve">2025-08-18</t>
  </si>
  <si>
    <t xml:space="preserve">Leopold Chattopadhyay</t>
  </si>
  <si>
    <t xml:space="preserve">CANON-202508-000177</t>
  </si>
  <si>
    <t xml:space="preserve">Emiliano Vasquez</t>
  </si>
  <si>
    <t xml:space="preserve">CANON-202508-000178</t>
  </si>
  <si>
    <t xml:space="preserve">Emiliano Larsson</t>
  </si>
  <si>
    <t xml:space="preserve">CANON-202508-000179</t>
  </si>
  <si>
    <t xml:space="preserve">Callum Farkas</t>
  </si>
  <si>
    <t xml:space="preserve">CANON-202508-000180</t>
  </si>
  <si>
    <t xml:space="preserve">Thaddeus Harrington</t>
  </si>
  <si>
    <t xml:space="preserve">CANON-202508-000181</t>
  </si>
  <si>
    <t xml:space="preserve">Cassius Okonkwo</t>
  </si>
  <si>
    <t xml:space="preserve">CANON-202508-000182</t>
  </si>
  <si>
    <t xml:space="preserve">CANON-202508-000184</t>
  </si>
  <si>
    <t xml:space="preserve">Sunniva Nakashima</t>
  </si>
  <si>
    <t xml:space="preserve">CANON-202508-000185</t>
  </si>
  <si>
    <t xml:space="preserve">CANON-202508-000186</t>
  </si>
  <si>
    <t xml:space="preserve">Ramona Pennington</t>
  </si>
  <si>
    <t xml:space="preserve">CANON-202508-000187</t>
  </si>
  <si>
    <t xml:space="preserve">Anouk Delacroix</t>
  </si>
  <si>
    <t xml:space="preserve">CANON-202508-000189</t>
  </si>
  <si>
    <t xml:space="preserve">Aurelio Harrington</t>
  </si>
  <si>
    <t xml:space="preserve">MT</t>
  </si>
  <si>
    <t xml:space="preserve">CANON-202508-000190</t>
  </si>
  <si>
    <t xml:space="preserve">Thaddeus Delacroix</t>
  </si>
  <si>
    <t xml:space="preserve">CANON-202508-000191</t>
  </si>
  <si>
    <t xml:space="preserve">Leopold Whitlock</t>
  </si>
  <si>
    <t xml:space="preserve">CANON-202508-000192</t>
  </si>
  <si>
    <t xml:space="preserve">Fenwick Vasquez</t>
  </si>
  <si>
    <t xml:space="preserve">CANON-202508-000193</t>
  </si>
  <si>
    <t xml:space="preserve">Marisol Castellanos</t>
  </si>
  <si>
    <t xml:space="preserve">CANON-202508-000195</t>
  </si>
  <si>
    <t xml:space="preserve">CANON-202508-000197</t>
  </si>
  <si>
    <t xml:space="preserve">Desmond Vandermeer</t>
  </si>
  <si>
    <t xml:space="preserve">CANON-202508-000198</t>
  </si>
  <si>
    <t xml:space="preserve">Aurelio Delacroix</t>
  </si>
  <si>
    <t xml:space="preserve">CANON-202508-000199</t>
  </si>
  <si>
    <t xml:space="preserve">Fenwick Underwood</t>
  </si>
  <si>
    <t xml:space="preserve">CANON-202508-000200</t>
  </si>
  <si>
    <t xml:space="preserve">Thaddeus Kingsford</t>
  </si>
  <si>
    <t xml:space="preserve">CANON-202508-000202</t>
  </si>
  <si>
    <t xml:space="preserve">Delphine Larsson</t>
  </si>
  <si>
    <t xml:space="preserve">CANON-202508-000203</t>
  </si>
  <si>
    <t xml:space="preserve">Beatrix Chattopadhyay</t>
  </si>
  <si>
    <t xml:space="preserve">CANON-202508-000204</t>
  </si>
  <si>
    <t xml:space="preserve">Leopold Rourke</t>
  </si>
  <si>
    <t xml:space="preserve">ID</t>
  </si>
  <si>
    <t xml:space="preserve">CANON-202508-000205</t>
  </si>
  <si>
    <t xml:space="preserve">Ramona Merriweather</t>
  </si>
  <si>
    <t xml:space="preserve">CANON-202508-000206</t>
  </si>
  <si>
    <t xml:space="preserve">Thaddeus Blackwood</t>
  </si>
  <si>
    <t xml:space="preserve">CANON-202508-000207</t>
  </si>
  <si>
    <t xml:space="preserve">Aurelio Larsson</t>
  </si>
  <si>
    <t xml:space="preserve">CANON-202508-000208</t>
  </si>
  <si>
    <t xml:space="preserve">Beatrix Bellandi</t>
  </si>
  <si>
    <t xml:space="preserve">CANON-202508-000209</t>
  </si>
  <si>
    <t xml:space="preserve">Leopold Bellandi</t>
  </si>
  <si>
    <t xml:space="preserve">CANON-202508-000210</t>
  </si>
  <si>
    <t xml:space="preserve">CANON-202508-000211</t>
  </si>
  <si>
    <t xml:space="preserve">Delphine Vandermeer</t>
  </si>
  <si>
    <t xml:space="preserve">CANON-202508-000213</t>
  </si>
  <si>
    <t xml:space="preserve">Horace Okonkwo</t>
  </si>
  <si>
    <t xml:space="preserve">CANON-202508-000214</t>
  </si>
  <si>
    <t xml:space="preserve">Anouk Chattopadhyay</t>
  </si>
  <si>
    <t xml:space="preserve">MO</t>
  </si>
  <si>
    <t xml:space="preserve">CANON-202508-000215</t>
  </si>
  <si>
    <t xml:space="preserve">Lorenzo Merriweather</t>
  </si>
  <si>
    <t xml:space="preserve">CANON-202508-000216</t>
  </si>
  <si>
    <t xml:space="preserve">Fenwick Whitlock</t>
  </si>
  <si>
    <t xml:space="preserve">CANON-202508-000218</t>
  </si>
  <si>
    <t xml:space="preserve">Mireille Ashcombe</t>
  </si>
  <si>
    <t xml:space="preserve">CANON-202508-000219</t>
  </si>
  <si>
    <t xml:space="preserve">Mireille Castellanos</t>
  </si>
  <si>
    <t xml:space="preserve">CANON-202508-000220</t>
  </si>
  <si>
    <t xml:space="preserve">Fitzgerald Rourke</t>
  </si>
  <si>
    <t xml:space="preserve">TOTAL</t>
  </si>
  <si>
    <t xml:space="preserve">Foot check: Premium − (B+T+M+Resid)</t>
  </si>
  <si>
    <t xml:space="preserve">Foot check: Markets − Σ(10 syndicates)</t>
  </si>
  <si>
    <t xml:space="preserve">Underwriting BDX — 2025-09  (Bound book only)</t>
  </si>
  <si>
    <t xml:space="preserve">CANON-202509-000221</t>
  </si>
  <si>
    <t xml:space="preserve">2025-09-15</t>
  </si>
  <si>
    <t xml:space="preserve">CANON-202509-000222</t>
  </si>
  <si>
    <t xml:space="preserve">2025-09-11</t>
  </si>
  <si>
    <t xml:space="preserve">CANON-202509-000224</t>
  </si>
  <si>
    <t xml:space="preserve">2025-09-01</t>
  </si>
  <si>
    <t xml:space="preserve">CANON-202509-000225</t>
  </si>
  <si>
    <t xml:space="preserve">2025-09-29</t>
  </si>
  <si>
    <t xml:space="preserve">Sunniva Fairweather</t>
  </si>
  <si>
    <t xml:space="preserve">CANON-202509-000226</t>
  </si>
  <si>
    <t xml:space="preserve">2025-09-23</t>
  </si>
  <si>
    <t xml:space="preserve">Anouk Pennington</t>
  </si>
  <si>
    <t xml:space="preserve">CANON-202509-000227</t>
  </si>
  <si>
    <t xml:space="preserve">2025-09-21</t>
  </si>
  <si>
    <t xml:space="preserve">Desmond Merriweather</t>
  </si>
  <si>
    <t xml:space="preserve">CANON-202509-000228</t>
  </si>
  <si>
    <t xml:space="preserve">2025-09-08</t>
  </si>
  <si>
    <t xml:space="preserve">CANON-202509-000230</t>
  </si>
  <si>
    <t xml:space="preserve">2025-09-05</t>
  </si>
  <si>
    <t xml:space="preserve">CANON-202509-000231</t>
  </si>
  <si>
    <t xml:space="preserve">2025-09-20</t>
  </si>
  <si>
    <t xml:space="preserve">Everett Larsson</t>
  </si>
  <si>
    <t xml:space="preserve">CANON-202509-000234</t>
  </si>
  <si>
    <t xml:space="preserve">2025-09-27</t>
  </si>
  <si>
    <t xml:space="preserve">Cassius Delacroix</t>
  </si>
  <si>
    <t xml:space="preserve">CANON-202509-000235</t>
  </si>
  <si>
    <t xml:space="preserve">Fitzgerald Castellanos</t>
  </si>
  <si>
    <t xml:space="preserve">CANON-202509-000236</t>
  </si>
  <si>
    <t xml:space="preserve">Fenwick Delacroix</t>
  </si>
  <si>
    <t xml:space="preserve">CANON-202509-000238</t>
  </si>
  <si>
    <t xml:space="preserve">2025-09-13</t>
  </si>
  <si>
    <t xml:space="preserve">CANON-202509-000240</t>
  </si>
  <si>
    <t xml:space="preserve">Marisol Merriweather</t>
  </si>
  <si>
    <t xml:space="preserve">CANON-202509-000241</t>
  </si>
  <si>
    <t xml:space="preserve">2025-09-12</t>
  </si>
  <si>
    <t xml:space="preserve">CANON-202509-000243</t>
  </si>
  <si>
    <t xml:space="preserve">2025-09-30</t>
  </si>
  <si>
    <t xml:space="preserve">Wilhelmina Harrington</t>
  </si>
  <si>
    <t xml:space="preserve">CANON-202509-000244</t>
  </si>
  <si>
    <t xml:space="preserve">2025-09-10</t>
  </si>
  <si>
    <t xml:space="preserve">Wilhelmina Delacroix</t>
  </si>
  <si>
    <t xml:space="preserve">CANON-202509-000245</t>
  </si>
  <si>
    <t xml:space="preserve">2025-09-16</t>
  </si>
  <si>
    <t xml:space="preserve">Ottilie Thistlewood</t>
  </si>
  <si>
    <t xml:space="preserve">CANON-202509-000246</t>
  </si>
  <si>
    <t xml:space="preserve">CANON-202509-000247</t>
  </si>
  <si>
    <t xml:space="preserve">2025-09-14</t>
  </si>
  <si>
    <t xml:space="preserve">CANON-202509-000248</t>
  </si>
  <si>
    <t xml:space="preserve">Fenwick Larsson</t>
  </si>
  <si>
    <t xml:space="preserve">CANON-202509-000249</t>
  </si>
  <si>
    <t xml:space="preserve">2025-09-28</t>
  </si>
  <si>
    <t xml:space="preserve">Saoirse Nakashima</t>
  </si>
  <si>
    <t xml:space="preserve">CANON-202509-000250</t>
  </si>
  <si>
    <t xml:space="preserve">Saoirse Okonkwo</t>
  </si>
  <si>
    <t xml:space="preserve">CANON-202509-000251</t>
  </si>
  <si>
    <t xml:space="preserve">2025-09-02</t>
  </si>
  <si>
    <t xml:space="preserve">CANON-202509-000253</t>
  </si>
  <si>
    <t xml:space="preserve">2025-09-04</t>
  </si>
  <si>
    <t xml:space="preserve">Lorenzo Underwood</t>
  </si>
  <si>
    <t xml:space="preserve">CANON-202509-000254</t>
  </si>
  <si>
    <t xml:space="preserve">Mireille Rourke</t>
  </si>
  <si>
    <t xml:space="preserve">CANON-202509-000255</t>
  </si>
  <si>
    <t xml:space="preserve">2025-09-09</t>
  </si>
  <si>
    <t xml:space="preserve">Cassius Thistlewood</t>
  </si>
  <si>
    <t xml:space="preserve">CANON-202509-000256</t>
  </si>
  <si>
    <t xml:space="preserve">2025-09-25</t>
  </si>
  <si>
    <t xml:space="preserve">Cassius Castellanos</t>
  </si>
  <si>
    <t xml:space="preserve">CANON-202509-000258</t>
  </si>
  <si>
    <t xml:space="preserve">Ingrid Nakashima</t>
  </si>
  <si>
    <t xml:space="preserve">CANON-202509-000260</t>
  </si>
  <si>
    <t xml:space="preserve">Anouk Larsson</t>
  </si>
  <si>
    <t xml:space="preserve">CANON-202509-000261</t>
  </si>
  <si>
    <t xml:space="preserve">Callum Vasquez</t>
  </si>
  <si>
    <t xml:space="preserve">CANON-202509-000262</t>
  </si>
  <si>
    <t xml:space="preserve">CANON-202509-000263</t>
  </si>
  <si>
    <t xml:space="preserve">Fenwick Okonkwo</t>
  </si>
  <si>
    <t xml:space="preserve">CANON-202509-000266</t>
  </si>
  <si>
    <t xml:space="preserve">2025-09-19</t>
  </si>
  <si>
    <t xml:space="preserve">Fenwick Castellanos</t>
  </si>
  <si>
    <t xml:space="preserve">CANON-202509-000267</t>
  </si>
  <si>
    <t xml:space="preserve">Mireille Farkas</t>
  </si>
  <si>
    <t xml:space="preserve">CANON-202509-000268</t>
  </si>
  <si>
    <t xml:space="preserve">Leopold Castellanos</t>
  </si>
  <si>
    <t xml:space="preserve">CANON-202509-000269</t>
  </si>
  <si>
    <t xml:space="preserve">Anouk Okonkwo</t>
  </si>
  <si>
    <t xml:space="preserve">CANON-202509-000270</t>
  </si>
  <si>
    <t xml:space="preserve">2025-09-22</t>
  </si>
  <si>
    <t xml:space="preserve">CANON-202509-000271</t>
  </si>
  <si>
    <t xml:space="preserve">Ottilie Vasquez</t>
  </si>
  <si>
    <t xml:space="preserve">CANON-202509-000274</t>
  </si>
  <si>
    <t xml:space="preserve">2025-09-03</t>
  </si>
  <si>
    <t xml:space="preserve">Saoirse Chattopadhyay</t>
  </si>
  <si>
    <t xml:space="preserve">CANON-202509-000275</t>
  </si>
  <si>
    <t xml:space="preserve">Cassius Rourke</t>
  </si>
  <si>
    <t xml:space="preserve">CANON-202509-000276</t>
  </si>
  <si>
    <t xml:space="preserve">CANON-202509-000277</t>
  </si>
  <si>
    <t xml:space="preserve">Ramona Rourke</t>
  </si>
  <si>
    <t xml:space="preserve">CANON-202509-000281</t>
  </si>
  <si>
    <t xml:space="preserve">CANON-202509-000282</t>
  </si>
  <si>
    <t xml:space="preserve">Wilhelmina Pennington</t>
  </si>
  <si>
    <t xml:space="preserve">CANON-202509-000283</t>
  </si>
  <si>
    <t xml:space="preserve">CANON-202509-000285</t>
  </si>
  <si>
    <t xml:space="preserve">Everett Montoya</t>
  </si>
  <si>
    <t xml:space="preserve">CANON-202509-000286</t>
  </si>
  <si>
    <t xml:space="preserve">CANON-202509-000288</t>
  </si>
  <si>
    <t xml:space="preserve">CANON-202509-000290</t>
  </si>
  <si>
    <t xml:space="preserve">2025-09-24</t>
  </si>
  <si>
    <t xml:space="preserve">Beatrix Fairweather</t>
  </si>
  <si>
    <t xml:space="preserve">CANON-202509-000293</t>
  </si>
  <si>
    <t xml:space="preserve">Ramona Farkas</t>
  </si>
  <si>
    <t xml:space="preserve">CANON-202509-000294</t>
  </si>
  <si>
    <t xml:space="preserve">Sunniva Pennington</t>
  </si>
  <si>
    <t xml:space="preserve">CANON-202509-000296</t>
  </si>
  <si>
    <t xml:space="preserve">Lorenzo Montoya</t>
  </si>
  <si>
    <t xml:space="preserve">CANON-202509-000297</t>
  </si>
  <si>
    <t xml:space="preserve">Fitzgerald Kingsford</t>
  </si>
  <si>
    <t xml:space="preserve">CANON-202509-000300</t>
  </si>
  <si>
    <t xml:space="preserve">Ramona Vandermeer</t>
  </si>
  <si>
    <t xml:space="preserve">CANON-202509-000301</t>
  </si>
  <si>
    <t xml:space="preserve">Leopold Pennington</t>
  </si>
  <si>
    <t xml:space="preserve">CANON-202509-000303</t>
  </si>
  <si>
    <t xml:space="preserve">CANON-202509-000304</t>
  </si>
  <si>
    <t xml:space="preserve">Fenwick Thistlewood</t>
  </si>
  <si>
    <t xml:space="preserve">CANON-202509-000305</t>
  </si>
  <si>
    <t xml:space="preserve">Leopold Blackwood</t>
  </si>
  <si>
    <t xml:space="preserve">CANON-202509-000306</t>
  </si>
  <si>
    <t xml:space="preserve">CANON-202509-000308</t>
  </si>
  <si>
    <t xml:space="preserve">Fenwick Bellandi</t>
  </si>
  <si>
    <t xml:space="preserve">CANON-202509-000309</t>
  </si>
  <si>
    <t xml:space="preserve">Anouk Blackwood</t>
  </si>
  <si>
    <t xml:space="preserve">CANON-202509-000310</t>
  </si>
  <si>
    <t xml:space="preserve">Cassius Blackwood</t>
  </si>
  <si>
    <t xml:space="preserve">CANON-202509-000311</t>
  </si>
  <si>
    <t xml:space="preserve">2025-09-17</t>
  </si>
  <si>
    <t xml:space="preserve">Ramona Nakashima</t>
  </si>
  <si>
    <t xml:space="preserve">CANON-202509-000313</t>
  </si>
  <si>
    <t xml:space="preserve">CANON-202509-000314</t>
  </si>
  <si>
    <t xml:space="preserve">Everett Fairweather</t>
  </si>
  <si>
    <t xml:space="preserve">CANON-202509-000315</t>
  </si>
  <si>
    <t xml:space="preserve">Beatrix Okonkwo</t>
  </si>
  <si>
    <t xml:space="preserve">CANON-202509-000316</t>
  </si>
  <si>
    <t xml:space="preserve">Horace Rourke</t>
  </si>
  <si>
    <t xml:space="preserve">CANON-202509-000317</t>
  </si>
  <si>
    <t xml:space="preserve">Ingrid Montoya</t>
  </si>
  <si>
    <t xml:space="preserve">CANON-202509-000318</t>
  </si>
  <si>
    <t xml:space="preserve">Saoirse Delacroix</t>
  </si>
  <si>
    <t xml:space="preserve">CANON-202509-000319</t>
  </si>
  <si>
    <t xml:space="preserve">CANON-202509-000320</t>
  </si>
  <si>
    <t xml:space="preserve">CANON-202509-000321</t>
  </si>
  <si>
    <t xml:space="preserve">CANON-202509-000322</t>
  </si>
  <si>
    <t xml:space="preserve">CANON-202509-000326</t>
  </si>
  <si>
    <t xml:space="preserve">Leopold Vasquez</t>
  </si>
  <si>
    <t xml:space="preserve">CANON-202509-000328</t>
  </si>
  <si>
    <t xml:space="preserve">Fitzgerald Underwood</t>
  </si>
  <si>
    <t xml:space="preserve">CANON-202509-000329</t>
  </si>
  <si>
    <t xml:space="preserve">Anouk Montoya</t>
  </si>
  <si>
    <t xml:space="preserve">CANON-202509-000331</t>
  </si>
  <si>
    <t xml:space="preserve">Saoirse Blackwood</t>
  </si>
  <si>
    <t xml:space="preserve">CANON-202509-000333</t>
  </si>
  <si>
    <t xml:space="preserve">CANON-202509-000334</t>
  </si>
  <si>
    <t xml:space="preserve">Thaddeus Thistlewood</t>
  </si>
  <si>
    <t xml:space="preserve">CANON-202509-000336</t>
  </si>
  <si>
    <t xml:space="preserve">CANON-202509-000337</t>
  </si>
  <si>
    <t xml:space="preserve">Horace Whitlock</t>
  </si>
  <si>
    <t xml:space="preserve">CANON-202509-000338</t>
  </si>
  <si>
    <t xml:space="preserve">Ramona Blackwood</t>
  </si>
  <si>
    <t xml:space="preserve">CANON-202509-000340</t>
  </si>
  <si>
    <t xml:space="preserve">CANON-202509-000341</t>
  </si>
  <si>
    <t xml:space="preserve">2025-09-26</t>
  </si>
  <si>
    <t xml:space="preserve">Mireille Harrington</t>
  </si>
  <si>
    <t xml:space="preserve">CANON-202509-000343</t>
  </si>
  <si>
    <t xml:space="preserve">Ottilie Okonkwo</t>
  </si>
  <si>
    <t xml:space="preserve">CANON-202509-000344</t>
  </si>
  <si>
    <t xml:space="preserve">Ingrid Larsson</t>
  </si>
  <si>
    <t xml:space="preserve">CANON-202509-000345</t>
  </si>
  <si>
    <t xml:space="preserve">CANON-202509-000346</t>
  </si>
  <si>
    <t xml:space="preserve">CANON-202509-000348</t>
  </si>
  <si>
    <t xml:space="preserve">CANON-202509-000349</t>
  </si>
  <si>
    <t xml:space="preserve">Emiliano Fairweather</t>
  </si>
  <si>
    <t xml:space="preserve">CANON-202509-000350</t>
  </si>
  <si>
    <t xml:space="preserve">Wilhelmina Larsson</t>
  </si>
  <si>
    <t xml:space="preserve">CANON-202509-000351</t>
  </si>
  <si>
    <t xml:space="preserve">Emiliano Blackwood</t>
  </si>
  <si>
    <t xml:space="preserve">CANON-202509-000353</t>
  </si>
  <si>
    <t xml:space="preserve">Priya Thistlewood</t>
  </si>
  <si>
    <t xml:space="preserve">CANON-202509-000354</t>
  </si>
  <si>
    <t xml:space="preserve">Sunniva Montoya</t>
  </si>
  <si>
    <t xml:space="preserve">CANON-202509-000356</t>
  </si>
  <si>
    <t xml:space="preserve">Marisol Thistlewood</t>
  </si>
  <si>
    <t xml:space="preserve">CANON-202509-000357</t>
  </si>
  <si>
    <t xml:space="preserve">Noor Blackwood</t>
  </si>
  <si>
    <t xml:space="preserve">CANON-202509-000359</t>
  </si>
  <si>
    <t xml:space="preserve">Noor Harrington</t>
  </si>
  <si>
    <t xml:space="preserve">CANON-202509-000360</t>
  </si>
  <si>
    <t xml:space="preserve">Everett Kingsford</t>
  </si>
  <si>
    <t xml:space="preserve">CANON-202509-000361</t>
  </si>
  <si>
    <t xml:space="preserve">CANON-202509-000362</t>
  </si>
  <si>
    <t xml:space="preserve">Horace Bellandi</t>
  </si>
  <si>
    <t xml:space="preserve">CANON-202509-000364</t>
  </si>
  <si>
    <t xml:space="preserve">Fenwick Blackwood</t>
  </si>
  <si>
    <t xml:space="preserve">CANON-202509-000365</t>
  </si>
  <si>
    <t xml:space="preserve">Callum Ashcombe</t>
  </si>
  <si>
    <t xml:space="preserve">CANON-202509-000367</t>
  </si>
  <si>
    <t xml:space="preserve">Priya Montoya</t>
  </si>
  <si>
    <t xml:space="preserve">CANON-202509-000370</t>
  </si>
  <si>
    <t xml:space="preserve">CANON-202509-000371</t>
  </si>
  <si>
    <t xml:space="preserve">CANON-202509-000372</t>
  </si>
  <si>
    <t xml:space="preserve">Leopold Harrington</t>
  </si>
  <si>
    <t xml:space="preserve">CANON-202509-000373</t>
  </si>
  <si>
    <t xml:space="preserve">CANON-202509-000374</t>
  </si>
  <si>
    <t xml:space="preserve">Ramona Fairweather</t>
  </si>
  <si>
    <t xml:space="preserve">CANON-202509-000375</t>
  </si>
  <si>
    <t xml:space="preserve">CANON-202509-000377</t>
  </si>
  <si>
    <t xml:space="preserve">2025-09-18</t>
  </si>
  <si>
    <t xml:space="preserve">Desmond Ashcombe</t>
  </si>
  <si>
    <t xml:space="preserve">CANON-202509-000378</t>
  </si>
  <si>
    <t xml:space="preserve">Aurelio Chattopadhyay</t>
  </si>
  <si>
    <t xml:space="preserve">CANON-202509-000379</t>
  </si>
  <si>
    <t xml:space="preserve">Ingrid Chattopadhyay</t>
  </si>
  <si>
    <t xml:space="preserve">CANON-202509-000382</t>
  </si>
  <si>
    <t xml:space="preserve">CANON-202509-000385</t>
  </si>
  <si>
    <t xml:space="preserve">Delphine Montoya</t>
  </si>
  <si>
    <t xml:space="preserve">CANON-202509-000386</t>
  </si>
  <si>
    <t xml:space="preserve">Leopold Vandermeer</t>
  </si>
  <si>
    <t xml:space="preserve">CANON-202509-000387</t>
  </si>
  <si>
    <t xml:space="preserve">Beatrix Ashcombe</t>
  </si>
  <si>
    <t xml:space="preserve">CANON-202509-000389</t>
  </si>
  <si>
    <t xml:space="preserve">Aurelio Merriweather</t>
  </si>
  <si>
    <t xml:space="preserve">CANON-202509-000390</t>
  </si>
  <si>
    <t xml:space="preserve">Wilhelmina Castellanos</t>
  </si>
  <si>
    <t xml:space="preserve">CANON-202509-000391</t>
  </si>
  <si>
    <t xml:space="preserve">CANON-202509-000392</t>
  </si>
  <si>
    <t xml:space="preserve">Beatrix Kingsford</t>
  </si>
  <si>
    <t xml:space="preserve">CANON-202509-000393</t>
  </si>
  <si>
    <t xml:space="preserve">2025-09-07</t>
  </si>
  <si>
    <t xml:space="preserve">RI</t>
  </si>
  <si>
    <t xml:space="preserve">CANON-202509-000394</t>
  </si>
  <si>
    <t xml:space="preserve">CANON-202509-000396</t>
  </si>
  <si>
    <t xml:space="preserve">CANON-202509-000397</t>
  </si>
  <si>
    <t xml:space="preserve">Priya Harrington</t>
  </si>
  <si>
    <t xml:space="preserve">CANON-202509-000399</t>
  </si>
  <si>
    <t xml:space="preserve">Noor Kingsford</t>
  </si>
  <si>
    <t xml:space="preserve">CANON-202509-000400</t>
  </si>
  <si>
    <t xml:space="preserve">Leopold Underwood</t>
  </si>
  <si>
    <t xml:space="preserve">CANON-202509-000401</t>
  </si>
  <si>
    <t xml:space="preserve">Emiliano Kingsford</t>
  </si>
  <si>
    <t xml:space="preserve">CANON-202509-000405</t>
  </si>
  <si>
    <t xml:space="preserve">Ottilie Fairweather</t>
  </si>
  <si>
    <t xml:space="preserve">CANON-202509-000407</t>
  </si>
  <si>
    <t xml:space="preserve">CANON-202509-000408</t>
  </si>
  <si>
    <t xml:space="preserve">Horace Ashcombe</t>
  </si>
  <si>
    <t xml:space="preserve">CANON-202509-000409</t>
  </si>
  <si>
    <t xml:space="preserve">Beatrix Whitlock</t>
  </si>
  <si>
    <t xml:space="preserve">CANON-202509-000410</t>
  </si>
  <si>
    <t xml:space="preserve">Horace Vasquez</t>
  </si>
  <si>
    <t xml:space="preserve">CANON-202509-000411</t>
  </si>
  <si>
    <t xml:space="preserve">Aurelio Underwood</t>
  </si>
  <si>
    <t xml:space="preserve">CANON-202509-000413</t>
  </si>
  <si>
    <t xml:space="preserve">CANON-202509-000415</t>
  </si>
  <si>
    <t xml:space="preserve">Mireille Chattopadhyay</t>
  </si>
  <si>
    <t xml:space="preserve">CANON-202509-000416</t>
  </si>
  <si>
    <t xml:space="preserve">CANON-202509-000418</t>
  </si>
  <si>
    <t xml:space="preserve">Fitzgerald Bellandi</t>
  </si>
  <si>
    <t xml:space="preserve">CANON-202509-000419</t>
  </si>
  <si>
    <t xml:space="preserve">Emiliano Farkas</t>
  </si>
  <si>
    <t xml:space="preserve">CANON-202509-000420</t>
  </si>
  <si>
    <t xml:space="preserve">CANON-202509-000421</t>
  </si>
  <si>
    <t xml:space="preserve">Everett Thistlewood</t>
  </si>
  <si>
    <t xml:space="preserve">CANON-202509-000423</t>
  </si>
  <si>
    <t xml:space="preserve">CANON-202509-000424</t>
  </si>
  <si>
    <t xml:space="preserve">CANON-202509-000425</t>
  </si>
  <si>
    <t xml:space="preserve">Underwriting BDX — 2025-10  (Bound book only)</t>
  </si>
  <si>
    <t xml:space="preserve">CANON-202510-000428</t>
  </si>
  <si>
    <t xml:space="preserve">2025-10-20</t>
  </si>
  <si>
    <t xml:space="preserve">Emiliano Bellandi</t>
  </si>
  <si>
    <t xml:space="preserve">CANON-202510-000430</t>
  </si>
  <si>
    <t xml:space="preserve">2025-10-14</t>
  </si>
  <si>
    <t xml:space="preserve">CANON-202510-000431</t>
  </si>
  <si>
    <t xml:space="preserve">2025-10-11</t>
  </si>
  <si>
    <t xml:space="preserve">Callum Kingsford</t>
  </si>
  <si>
    <t xml:space="preserve">CANON-202510-000432</t>
  </si>
  <si>
    <t xml:space="preserve">2025-10-24</t>
  </si>
  <si>
    <t xml:space="preserve">CANON-202510-000434</t>
  </si>
  <si>
    <t xml:space="preserve">2025-10-10</t>
  </si>
  <si>
    <t xml:space="preserve">CANON-202510-000436</t>
  </si>
  <si>
    <t xml:space="preserve">2025-10-31</t>
  </si>
  <si>
    <t xml:space="preserve">Ramona Castellanos</t>
  </si>
  <si>
    <t xml:space="preserve">CANON-202510-000437</t>
  </si>
  <si>
    <t xml:space="preserve">2025-10-17</t>
  </si>
  <si>
    <t xml:space="preserve">CANON-202510-000438</t>
  </si>
  <si>
    <t xml:space="preserve">2025-10-27</t>
  </si>
  <si>
    <t xml:space="preserve">CANON-202510-000439</t>
  </si>
  <si>
    <t xml:space="preserve">Saoirse Vandermeer</t>
  </si>
  <si>
    <t xml:space="preserve">CANON-202510-000441</t>
  </si>
  <si>
    <t xml:space="preserve">2025-10-25</t>
  </si>
  <si>
    <t xml:space="preserve">Aurelio Farkas</t>
  </si>
  <si>
    <t xml:space="preserve">CANON-202510-000442</t>
  </si>
  <si>
    <t xml:space="preserve">2025-10-15</t>
  </si>
  <si>
    <t xml:space="preserve">Desmond Castellanos</t>
  </si>
  <si>
    <t xml:space="preserve">CANON-202510-000443</t>
  </si>
  <si>
    <t xml:space="preserve">2025-10-28</t>
  </si>
  <si>
    <t xml:space="preserve">Fitzgerald Nakashima</t>
  </si>
  <si>
    <t xml:space="preserve">CANON-202510-000444</t>
  </si>
  <si>
    <t xml:space="preserve">2025-10-08</t>
  </si>
  <si>
    <t xml:space="preserve">CANON-202510-000445</t>
  </si>
  <si>
    <t xml:space="preserve">2025-10-12</t>
  </si>
  <si>
    <t xml:space="preserve">Beatrix Montoya</t>
  </si>
  <si>
    <t xml:space="preserve">CANON-202510-000447</t>
  </si>
  <si>
    <t xml:space="preserve">2025-10-30</t>
  </si>
  <si>
    <t xml:space="preserve">CANON-202510-000449</t>
  </si>
  <si>
    <t xml:space="preserve">Desmond Nakashima</t>
  </si>
  <si>
    <t xml:space="preserve">CANON-202510-000450</t>
  </si>
  <si>
    <t xml:space="preserve">Callum Nakashima</t>
  </si>
  <si>
    <t xml:space="preserve">CANON-202510-000451</t>
  </si>
  <si>
    <t xml:space="preserve">Aurelio Vasquez</t>
  </si>
  <si>
    <t xml:space="preserve">CANON-202510-000452</t>
  </si>
  <si>
    <t xml:space="preserve">2025-10-03</t>
  </si>
  <si>
    <t xml:space="preserve">CANON-202510-000453</t>
  </si>
  <si>
    <t xml:space="preserve">Ingrid Okonkwo</t>
  </si>
  <si>
    <t xml:space="preserve">CANON-202510-000454</t>
  </si>
  <si>
    <t xml:space="preserve">CANON-202510-000457</t>
  </si>
  <si>
    <t xml:space="preserve">Aurelio Whitlock</t>
  </si>
  <si>
    <t xml:space="preserve">CANON-202510-000458</t>
  </si>
  <si>
    <t xml:space="preserve">2025-10-09</t>
  </si>
  <si>
    <t xml:space="preserve">CANON-202510-000460</t>
  </si>
  <si>
    <t xml:space="preserve">Mireille Thistlewood</t>
  </si>
  <si>
    <t xml:space="preserve">CANON-202510-000461</t>
  </si>
  <si>
    <t xml:space="preserve">Fitzgerald Vasquez</t>
  </si>
  <si>
    <t xml:space="preserve">CANON-202510-000462</t>
  </si>
  <si>
    <t xml:space="preserve">2025-10-26</t>
  </si>
  <si>
    <t xml:space="preserve">Anouk Ashcombe</t>
  </si>
  <si>
    <t xml:space="preserve">CANON-202510-000463</t>
  </si>
  <si>
    <t xml:space="preserve">2025-10-22</t>
  </si>
  <si>
    <t xml:space="preserve">CANON-202510-000464</t>
  </si>
  <si>
    <t xml:space="preserve">Cassius Vasquez</t>
  </si>
  <si>
    <t xml:space="preserve">CANON-202510-000465</t>
  </si>
  <si>
    <t xml:space="preserve">CANON-202510-000466</t>
  </si>
  <si>
    <t xml:space="preserve">2025-10-23</t>
  </si>
  <si>
    <t xml:space="preserve">Cassius Underwood</t>
  </si>
  <si>
    <t xml:space="preserve">CANON-202510-000467</t>
  </si>
  <si>
    <t xml:space="preserve">2025-10-19</t>
  </si>
  <si>
    <t xml:space="preserve">CANON-202510-000471</t>
  </si>
  <si>
    <t xml:space="preserve">Emiliano Castellanos</t>
  </si>
  <si>
    <t xml:space="preserve">CANON-202510-000472</t>
  </si>
  <si>
    <t xml:space="preserve">CANON-202510-000474</t>
  </si>
  <si>
    <t xml:space="preserve">2025-10-06</t>
  </si>
  <si>
    <t xml:space="preserve">CANON-202510-000475</t>
  </si>
  <si>
    <t xml:space="preserve">Saoirse Whitlock</t>
  </si>
  <si>
    <t xml:space="preserve">CANON-202510-000476</t>
  </si>
  <si>
    <t xml:space="preserve">CANON-202510-000478</t>
  </si>
  <si>
    <t xml:space="preserve">Ramona Larsson</t>
  </si>
  <si>
    <t xml:space="preserve">CANON-202510-000479</t>
  </si>
  <si>
    <t xml:space="preserve">CANON-202510-000480</t>
  </si>
  <si>
    <t xml:space="preserve">2025-10-16</t>
  </si>
  <si>
    <t xml:space="preserve">Anouk Merriweather</t>
  </si>
  <si>
    <t xml:space="preserve">CANON-202510-000481</t>
  </si>
  <si>
    <t xml:space="preserve">Delphine Farkas</t>
  </si>
  <si>
    <t xml:space="preserve">CANON-202510-000482</t>
  </si>
  <si>
    <t xml:space="preserve">2025-10-02</t>
  </si>
  <si>
    <t xml:space="preserve">Anouk Farkas</t>
  </si>
  <si>
    <t xml:space="preserve">CANON-202510-000485</t>
  </si>
  <si>
    <t xml:space="preserve">CANON-202510-000487</t>
  </si>
  <si>
    <t xml:space="preserve">CANON-202510-000488</t>
  </si>
  <si>
    <t xml:space="preserve">2025-10-07</t>
  </si>
  <si>
    <t xml:space="preserve">Anouk Vasquez</t>
  </si>
  <si>
    <t xml:space="preserve">CANON-202510-000491</t>
  </si>
  <si>
    <t xml:space="preserve">Saoirse Vasquez</t>
  </si>
  <si>
    <t xml:space="preserve">CANON-202510-000492</t>
  </si>
  <si>
    <t xml:space="preserve">Beatrix Vandermeer</t>
  </si>
  <si>
    <t xml:space="preserve">CANON-202510-000493</t>
  </si>
  <si>
    <t xml:space="preserve">CANON-202510-000495</t>
  </si>
  <si>
    <t xml:space="preserve">2025-10-04</t>
  </si>
  <si>
    <t xml:space="preserve">Cassius Vandermeer</t>
  </si>
  <si>
    <t xml:space="preserve">CANON-202510-000496</t>
  </si>
  <si>
    <t xml:space="preserve">CANON-202510-000498</t>
  </si>
  <si>
    <t xml:space="preserve">Ottilie Rourke</t>
  </si>
  <si>
    <t xml:space="preserve">CANON-202510-000499</t>
  </si>
  <si>
    <t xml:space="preserve">CANON-202510-000500</t>
  </si>
  <si>
    <t xml:space="preserve">CANON-202510-000501</t>
  </si>
  <si>
    <t xml:space="preserve">CANON-202510-000504</t>
  </si>
  <si>
    <t xml:space="preserve">Marisol Delacroix</t>
  </si>
  <si>
    <t xml:space="preserve">CANON-202510-000505</t>
  </si>
  <si>
    <t xml:space="preserve">Sunniva Okonkwo</t>
  </si>
  <si>
    <t xml:space="preserve">CANON-202510-000507</t>
  </si>
  <si>
    <t xml:space="preserve">CANON-202510-000508</t>
  </si>
  <si>
    <t xml:space="preserve">CANON-202510-000509</t>
  </si>
  <si>
    <t xml:space="preserve">2025-10-13</t>
  </si>
  <si>
    <t xml:space="preserve">Beatrix Harrington</t>
  </si>
  <si>
    <t xml:space="preserve">CANON-202510-000510</t>
  </si>
  <si>
    <t xml:space="preserve">Priya Blackwood</t>
  </si>
  <si>
    <t xml:space="preserve">CANON-202510-000511</t>
  </si>
  <si>
    <t xml:space="preserve">Horace Montoya</t>
  </si>
  <si>
    <t xml:space="preserve">CANON-202510-000512</t>
  </si>
  <si>
    <t xml:space="preserve">CANON-202510-000514</t>
  </si>
  <si>
    <t xml:space="preserve">CANON-202510-000515</t>
  </si>
  <si>
    <t xml:space="preserve">Thaddeus Vandermeer</t>
  </si>
  <si>
    <t xml:space="preserve">CANON-202510-000517</t>
  </si>
  <si>
    <t xml:space="preserve">2025-10-01</t>
  </si>
  <si>
    <t xml:space="preserve">CANON-202510-000520</t>
  </si>
  <si>
    <t xml:space="preserve">CANON-202510-000521</t>
  </si>
  <si>
    <t xml:space="preserve">Ingrid Rourke</t>
  </si>
  <si>
    <t xml:space="preserve">CANON-202510-000522</t>
  </si>
  <si>
    <t xml:space="preserve">CANON-202510-000523</t>
  </si>
  <si>
    <t xml:space="preserve">CANON-202510-000524</t>
  </si>
  <si>
    <t xml:space="preserve">CANON-202510-000525</t>
  </si>
  <si>
    <t xml:space="preserve">CANON-202510-000526</t>
  </si>
  <si>
    <t xml:space="preserve">CANON-202510-000528</t>
  </si>
  <si>
    <t xml:space="preserve">Marisol Pennington</t>
  </si>
  <si>
    <t xml:space="preserve">CANON-202510-000529</t>
  </si>
  <si>
    <t xml:space="preserve">CANON-202510-000531</t>
  </si>
  <si>
    <t xml:space="preserve">CANON-202510-000533</t>
  </si>
  <si>
    <t xml:space="preserve">CANON-202510-000534</t>
  </si>
  <si>
    <t xml:space="preserve">CANON-202510-000535</t>
  </si>
  <si>
    <t xml:space="preserve">Thaddeus Castellanos</t>
  </si>
  <si>
    <t xml:space="preserve">CANON-202510-000537</t>
  </si>
  <si>
    <t xml:space="preserve">Ramona Bellandi</t>
  </si>
  <si>
    <t xml:space="preserve">CANON-202510-000538</t>
  </si>
  <si>
    <t xml:space="preserve">Ottilie Harrington</t>
  </si>
  <si>
    <t xml:space="preserve">CANON-202510-000539</t>
  </si>
  <si>
    <t xml:space="preserve">Noor Castellanos</t>
  </si>
  <si>
    <t xml:space="preserve">CANON-202510-000540</t>
  </si>
  <si>
    <t xml:space="preserve">Sunniva Bellandi</t>
  </si>
  <si>
    <t xml:space="preserve">CANON-202510-000543</t>
  </si>
  <si>
    <t xml:space="preserve">CANON-202510-000544</t>
  </si>
  <si>
    <t xml:space="preserve">Ottilie Whitlock</t>
  </si>
  <si>
    <t xml:space="preserve">CANON-202510-000546</t>
  </si>
  <si>
    <t xml:space="preserve">2025-10-18</t>
  </si>
  <si>
    <t xml:space="preserve">CANON-202510-000548</t>
  </si>
  <si>
    <t xml:space="preserve">Anouk Nakashima</t>
  </si>
  <si>
    <t xml:space="preserve">CANON-202510-000549</t>
  </si>
  <si>
    <t xml:space="preserve">CANON-202510-000550</t>
  </si>
  <si>
    <t xml:space="preserve">CANON-202510-000553</t>
  </si>
  <si>
    <t xml:space="preserve">CANON-202510-000554</t>
  </si>
  <si>
    <t xml:space="preserve">Fitzgerald Fairweather</t>
  </si>
  <si>
    <t xml:space="preserve">CANON-202510-000556</t>
  </si>
  <si>
    <t xml:space="preserve">Cassius Chattopadhyay</t>
  </si>
  <si>
    <t xml:space="preserve">CANON-202510-000557</t>
  </si>
  <si>
    <t xml:space="preserve">Ingrid Underwood</t>
  </si>
  <si>
    <t xml:space="preserve">CANON-202510-000558</t>
  </si>
  <si>
    <t xml:space="preserve">CANON-202510-000559</t>
  </si>
  <si>
    <t xml:space="preserve">Lorenzo Whitlock</t>
  </si>
  <si>
    <t xml:space="preserve">CANON-202510-000560</t>
  </si>
  <si>
    <t xml:space="preserve">Noor Larsson</t>
  </si>
  <si>
    <t xml:space="preserve">CANON-202510-000561</t>
  </si>
  <si>
    <t xml:space="preserve">CANON-202510-000563</t>
  </si>
  <si>
    <t xml:space="preserve">CANON-202510-000564</t>
  </si>
  <si>
    <t xml:space="preserve">Horace Larsson</t>
  </si>
  <si>
    <t xml:space="preserve">CANON-202510-000565</t>
  </si>
  <si>
    <t xml:space="preserve">ME</t>
  </si>
  <si>
    <t xml:space="preserve">CANON-202510-000566</t>
  </si>
  <si>
    <t xml:space="preserve">Thaddeus Nakashima</t>
  </si>
  <si>
    <t xml:space="preserve">CANON-202510-000567</t>
  </si>
  <si>
    <t xml:space="preserve">Leopold Okonkwo</t>
  </si>
  <si>
    <t xml:space="preserve">CANON-202510-000568</t>
  </si>
  <si>
    <t xml:space="preserve">Mireille Vasquez</t>
  </si>
  <si>
    <t xml:space="preserve">CANON-202510-000569</t>
  </si>
  <si>
    <t xml:space="preserve">Everett Merriweather</t>
  </si>
  <si>
    <t xml:space="preserve">CANON-202510-000570</t>
  </si>
  <si>
    <t xml:space="preserve">CANON-202510-000571</t>
  </si>
  <si>
    <t xml:space="preserve">2025-10-21</t>
  </si>
  <si>
    <t xml:space="preserve">Lorenzo Fairweather</t>
  </si>
  <si>
    <t xml:space="preserve">CANON-202510-000572</t>
  </si>
  <si>
    <t xml:space="preserve">CANON-202510-000573</t>
  </si>
  <si>
    <t xml:space="preserve">2025-10-29</t>
  </si>
  <si>
    <t xml:space="preserve">Mireille Delacroix</t>
  </si>
  <si>
    <t xml:space="preserve">CANON-202510-000575</t>
  </si>
  <si>
    <t xml:space="preserve">CANON-202510-000576</t>
  </si>
  <si>
    <t xml:space="preserve">CANON-202510-000579</t>
  </si>
  <si>
    <t xml:space="preserve">CANON-202510-000580</t>
  </si>
  <si>
    <t xml:space="preserve">CANON-202510-000581</t>
  </si>
  <si>
    <t xml:space="preserve">CANON-202510-000584</t>
  </si>
  <si>
    <t xml:space="preserve">CANON-202510-000585</t>
  </si>
  <si>
    <t xml:space="preserve">Aurelio Okonkwo</t>
  </si>
  <si>
    <t xml:space="preserve">CANON-202510-000586</t>
  </si>
  <si>
    <t xml:space="preserve">CANON-202510-000587</t>
  </si>
  <si>
    <t xml:space="preserve">CANON-202510-000588</t>
  </si>
  <si>
    <t xml:space="preserve">Callum Harrington</t>
  </si>
  <si>
    <t xml:space="preserve">CANON-202510-000591</t>
  </si>
  <si>
    <t xml:space="preserve">CANON-202510-000592</t>
  </si>
  <si>
    <t xml:space="preserve">Ottilie Blackwood</t>
  </si>
  <si>
    <t xml:space="preserve">CANON-202510-000593</t>
  </si>
  <si>
    <t xml:space="preserve">Cassius Pennington</t>
  </si>
  <si>
    <t xml:space="preserve">CANON-202510-000596</t>
  </si>
  <si>
    <t xml:space="preserve">Desmond Kingsford</t>
  </si>
  <si>
    <t xml:space="preserve">CANON-202510-000597</t>
  </si>
  <si>
    <t xml:space="preserve">CANON-202510-000599</t>
  </si>
  <si>
    <t xml:space="preserve">CANON-202510-000600</t>
  </si>
  <si>
    <t xml:space="preserve">CANON-202510-000605</t>
  </si>
  <si>
    <t xml:space="preserve">CANON-202510-000606</t>
  </si>
  <si>
    <t xml:space="preserve">CANON-202510-000607</t>
  </si>
  <si>
    <t xml:space="preserve">Ramona Ashcombe</t>
  </si>
  <si>
    <t xml:space="preserve">CANON-202510-000608</t>
  </si>
  <si>
    <t xml:space="preserve">Fenwick Pennington</t>
  </si>
  <si>
    <t xml:space="preserve">CANON-202510-000609</t>
  </si>
  <si>
    <t xml:space="preserve">Horace Pennington</t>
  </si>
  <si>
    <t xml:space="preserve">CANON-202510-000610</t>
  </si>
  <si>
    <t xml:space="preserve">CANON-202510-000613</t>
  </si>
  <si>
    <t xml:space="preserve">Priya Larsson</t>
  </si>
  <si>
    <t xml:space="preserve">CANON-202510-000614</t>
  </si>
  <si>
    <t xml:space="preserve">Priya Pennington</t>
  </si>
  <si>
    <t xml:space="preserve">CANON-202510-000617</t>
  </si>
  <si>
    <t xml:space="preserve">CANON-202510-000618</t>
  </si>
  <si>
    <t xml:space="preserve">CANON-202510-000620</t>
  </si>
  <si>
    <t xml:space="preserve">Everett Farkas</t>
  </si>
  <si>
    <t xml:space="preserve">CANON-202510-000621</t>
  </si>
  <si>
    <t xml:space="preserve">Saoirse Rourke</t>
  </si>
  <si>
    <t xml:space="preserve">CANON-202510-000623</t>
  </si>
  <si>
    <t xml:space="preserve">Horace Kingsford</t>
  </si>
  <si>
    <t xml:space="preserve">CANON-202510-000625</t>
  </si>
  <si>
    <t xml:space="preserve">Ottilie Nakashima</t>
  </si>
  <si>
    <t xml:space="preserve">CANON-202510-000626</t>
  </si>
  <si>
    <t xml:space="preserve">CANON-202510-000627</t>
  </si>
  <si>
    <t xml:space="preserve">Delphine Ashcombe</t>
  </si>
  <si>
    <t xml:space="preserve">CANON-202510-000628</t>
  </si>
  <si>
    <t xml:space="preserve">CANON-202510-000631</t>
  </si>
  <si>
    <t xml:space="preserve">CANON-202510-000632</t>
  </si>
  <si>
    <t xml:space="preserve">CANON-202510-000633</t>
  </si>
  <si>
    <t xml:space="preserve">CANON-202510-000634</t>
  </si>
  <si>
    <t xml:space="preserve">CANON-202510-000639</t>
  </si>
  <si>
    <t xml:space="preserve">Noor Vandermeer</t>
  </si>
  <si>
    <t xml:space="preserve">CANON-202510-000641</t>
  </si>
  <si>
    <t xml:space="preserve">Beatrix Blackwood</t>
  </si>
  <si>
    <t xml:space="preserve">CANON-202510-000642</t>
  </si>
  <si>
    <t xml:space="preserve">CANON-202510-000643</t>
  </si>
  <si>
    <t xml:space="preserve">Callum Underwood</t>
  </si>
  <si>
    <t xml:space="preserve">CANON-202510-000644</t>
  </si>
  <si>
    <t xml:space="preserve">CANON-202510-000645</t>
  </si>
  <si>
    <t xml:space="preserve">CANON-202510-000647</t>
  </si>
  <si>
    <t xml:space="preserve">Wilhelmina Bellandi</t>
  </si>
  <si>
    <t xml:space="preserve">CANON-202510-000648</t>
  </si>
  <si>
    <t xml:space="preserve">CANON-202510-000650</t>
  </si>
  <si>
    <t xml:space="preserve">CANON-202510-000651</t>
  </si>
  <si>
    <t xml:space="preserve">CANON-202510-000654</t>
  </si>
  <si>
    <t xml:space="preserve">CANON-202510-000655</t>
  </si>
  <si>
    <t xml:space="preserve">CANON-202510-000656</t>
  </si>
  <si>
    <t xml:space="preserve">Noor Farkas</t>
  </si>
  <si>
    <t xml:space="preserve">CANON-202510-000659</t>
  </si>
  <si>
    <t xml:space="preserve">Fenwick Merriweather</t>
  </si>
  <si>
    <t xml:space="preserve">CANON-202510-000660</t>
  </si>
  <si>
    <t xml:space="preserve">Mireille Underwood</t>
  </si>
  <si>
    <t xml:space="preserve">CANON-202510-000661</t>
  </si>
  <si>
    <t xml:space="preserve">Lorenzo Blackwood</t>
  </si>
  <si>
    <t xml:space="preserve">CANON-202510-000662</t>
  </si>
  <si>
    <t xml:space="preserve">CANON-202510-000663</t>
  </si>
  <si>
    <t xml:space="preserve">CANON-202510-000664</t>
  </si>
  <si>
    <t xml:space="preserve">CANON-202510-000665</t>
  </si>
  <si>
    <t xml:space="preserve">CANON-202510-000667</t>
  </si>
  <si>
    <t xml:space="preserve">Fenwick Vandermeer</t>
  </si>
  <si>
    <t xml:space="preserve">CANON-202510-000669</t>
  </si>
  <si>
    <t xml:space="preserve">Thaddeus Larsson</t>
  </si>
  <si>
    <t xml:space="preserve">CANON-202510-000670</t>
  </si>
  <si>
    <t xml:space="preserve">CANON-202510-000671</t>
  </si>
  <si>
    <t xml:space="preserve">Lorenzo Okonkwo</t>
  </si>
  <si>
    <t xml:space="preserve">CANON-202510-000672</t>
  </si>
  <si>
    <t xml:space="preserve">Noor Delacroix</t>
  </si>
  <si>
    <t xml:space="preserve">CANON-202510-000673</t>
  </si>
  <si>
    <t xml:space="preserve">CANON-202510-000674</t>
  </si>
  <si>
    <t xml:space="preserve">CANON-202510-000675</t>
  </si>
  <si>
    <t xml:space="preserve">Wilhelmina Rourke</t>
  </si>
  <si>
    <t xml:space="preserve">CANON-202510-000676</t>
  </si>
  <si>
    <t xml:space="preserve">Sunniva Ashcombe</t>
  </si>
  <si>
    <t xml:space="preserve">CANON-202510-000677</t>
  </si>
  <si>
    <t xml:space="preserve">Underwriting BDX — 2025-11  (Bound book only)</t>
  </si>
  <si>
    <t xml:space="preserve">CANON-202511-000678</t>
  </si>
  <si>
    <t xml:space="preserve">2025-11-16</t>
  </si>
  <si>
    <t xml:space="preserve">CANON-202511-000679</t>
  </si>
  <si>
    <t xml:space="preserve">2025-11-09</t>
  </si>
  <si>
    <t xml:space="preserve">CANON-202511-000680</t>
  </si>
  <si>
    <t xml:space="preserve">2025-11-21</t>
  </si>
  <si>
    <t xml:space="preserve">CANON-202511-000681</t>
  </si>
  <si>
    <t xml:space="preserve">2025-11-20</t>
  </si>
  <si>
    <t xml:space="preserve">CANON-202511-000683</t>
  </si>
  <si>
    <t xml:space="preserve">2025-11-25</t>
  </si>
  <si>
    <t xml:space="preserve">CANON-202511-000684</t>
  </si>
  <si>
    <t xml:space="preserve">2025-11-19</t>
  </si>
  <si>
    <t xml:space="preserve">CANON-202511-000685</t>
  </si>
  <si>
    <t xml:space="preserve">2025-11-28</t>
  </si>
  <si>
    <t xml:space="preserve">CANON-202511-000687</t>
  </si>
  <si>
    <t xml:space="preserve">2025-11-06</t>
  </si>
  <si>
    <t xml:space="preserve">CANON-202511-000688</t>
  </si>
  <si>
    <t xml:space="preserve">2025-11-12</t>
  </si>
  <si>
    <t xml:space="preserve">CANON-202511-000689</t>
  </si>
  <si>
    <t xml:space="preserve">2025-11-17</t>
  </si>
  <si>
    <t xml:space="preserve">CANON-202511-000692</t>
  </si>
  <si>
    <t xml:space="preserve">2025-11-03</t>
  </si>
  <si>
    <t xml:space="preserve">Leopold Thistlewood</t>
  </si>
  <si>
    <t xml:space="preserve">CANON-202511-000693</t>
  </si>
  <si>
    <t xml:space="preserve">CANON-202511-000694</t>
  </si>
  <si>
    <t xml:space="preserve">2025-11-11</t>
  </si>
  <si>
    <t xml:space="preserve">CANON-202511-000695</t>
  </si>
  <si>
    <t xml:space="preserve">2025-11-07</t>
  </si>
  <si>
    <t xml:space="preserve">Marisol Vasquez</t>
  </si>
  <si>
    <t xml:space="preserve">CANON-202511-000696</t>
  </si>
  <si>
    <t xml:space="preserve">2025-11-23</t>
  </si>
  <si>
    <t xml:space="preserve">Ottilie Pennington</t>
  </si>
  <si>
    <t xml:space="preserve">CANON-202511-000697</t>
  </si>
  <si>
    <t xml:space="preserve">2025-11-18</t>
  </si>
  <si>
    <t xml:space="preserve">CANON-202511-000698</t>
  </si>
  <si>
    <t xml:space="preserve">CANON-202511-000699</t>
  </si>
  <si>
    <t xml:space="preserve">2025-11-29</t>
  </si>
  <si>
    <t xml:space="preserve">Ingrid Harrington</t>
  </si>
  <si>
    <t xml:space="preserve">CANON-202511-000700</t>
  </si>
  <si>
    <t xml:space="preserve">2025-11-05</t>
  </si>
  <si>
    <t xml:space="preserve">CANON-202511-000701</t>
  </si>
  <si>
    <t xml:space="preserve">Saoirse Fairweather</t>
  </si>
  <si>
    <t xml:space="preserve">CANON-202511-000702</t>
  </si>
  <si>
    <t xml:space="preserve">CANON-202511-000703</t>
  </si>
  <si>
    <t xml:space="preserve">2025-11-08</t>
  </si>
  <si>
    <t xml:space="preserve">CANON-202511-000704</t>
  </si>
  <si>
    <t xml:space="preserve">2025-11-27</t>
  </si>
  <si>
    <t xml:space="preserve">CANON-202511-000706</t>
  </si>
  <si>
    <t xml:space="preserve">Thaddeus Vasquez</t>
  </si>
  <si>
    <t xml:space="preserve">CANON-202511-000707</t>
  </si>
  <si>
    <t xml:space="preserve">2025-11-26</t>
  </si>
  <si>
    <t xml:space="preserve">CANON-202511-000708</t>
  </si>
  <si>
    <t xml:space="preserve">CANON-202511-000710</t>
  </si>
  <si>
    <t xml:space="preserve">2025-11-10</t>
  </si>
  <si>
    <t xml:space="preserve">CANON-202511-000711</t>
  </si>
  <si>
    <t xml:space="preserve">Emiliano Harrington</t>
  </si>
  <si>
    <t xml:space="preserve">CANON-202511-000713</t>
  </si>
  <si>
    <t xml:space="preserve">CANON-202511-000714</t>
  </si>
  <si>
    <t xml:space="preserve">2025-11-24</t>
  </si>
  <si>
    <t xml:space="preserve">CANON-202511-000715</t>
  </si>
  <si>
    <t xml:space="preserve">Fitzgerald Okonkwo</t>
  </si>
  <si>
    <t xml:space="preserve">CANON-202511-000716</t>
  </si>
  <si>
    <t xml:space="preserve">Wilhelmina Chattopadhyay</t>
  </si>
  <si>
    <t xml:space="preserve">CANON-202511-000717</t>
  </si>
  <si>
    <t xml:space="preserve">CANON-202511-000718</t>
  </si>
  <si>
    <t xml:space="preserve">CANON-202511-000719</t>
  </si>
  <si>
    <t xml:space="preserve">CANON-202511-000720</t>
  </si>
  <si>
    <t xml:space="preserve">CANON-202511-000721</t>
  </si>
  <si>
    <t xml:space="preserve">2025-11-22</t>
  </si>
  <si>
    <t xml:space="preserve">CANON-202511-000722</t>
  </si>
  <si>
    <t xml:space="preserve">CANON-202511-000724</t>
  </si>
  <si>
    <t xml:space="preserve">CANON-202511-000726</t>
  </si>
  <si>
    <t xml:space="preserve">2025-11-15</t>
  </si>
  <si>
    <t xml:space="preserve">CANON-202511-000727</t>
  </si>
  <si>
    <t xml:space="preserve">2025-11-13</t>
  </si>
  <si>
    <t xml:space="preserve">Callum Pennington</t>
  </si>
  <si>
    <t xml:space="preserve">CANON-202511-000728</t>
  </si>
  <si>
    <t xml:space="preserve">Everett Ashcombe</t>
  </si>
  <si>
    <t xml:space="preserve">CANON-202511-000729</t>
  </si>
  <si>
    <t xml:space="preserve">Aurelio Bellandi</t>
  </si>
  <si>
    <t xml:space="preserve">CANON-202511-000730</t>
  </si>
  <si>
    <t xml:space="preserve">2025-11-01</t>
  </si>
  <si>
    <t xml:space="preserve">Lorenzo Chattopadhyay</t>
  </si>
  <si>
    <t xml:space="preserve">CANON-202511-000731</t>
  </si>
  <si>
    <t xml:space="preserve">CANON-202511-000732</t>
  </si>
  <si>
    <t xml:space="preserve">CANON-202511-000733</t>
  </si>
  <si>
    <t xml:space="preserve">Mireille Montoya</t>
  </si>
  <si>
    <t xml:space="preserve">CANON-202511-000736</t>
  </si>
  <si>
    <t xml:space="preserve">CANON-202511-000737</t>
  </si>
  <si>
    <t xml:space="preserve">2025-11-04</t>
  </si>
  <si>
    <t xml:space="preserve">Horace Chattopadhyay</t>
  </si>
  <si>
    <t xml:space="preserve">CANON-202511-000739</t>
  </si>
  <si>
    <t xml:space="preserve">2025-11-02</t>
  </si>
  <si>
    <t xml:space="preserve">CANON-202511-000740</t>
  </si>
  <si>
    <t xml:space="preserve">Wilhelmina Underwood</t>
  </si>
  <si>
    <t xml:space="preserve">CANON-202511-000742</t>
  </si>
  <si>
    <t xml:space="preserve">CANON-202511-000743</t>
  </si>
  <si>
    <t xml:space="preserve">Emiliano Okonkwo</t>
  </si>
  <si>
    <t xml:space="preserve">CANON-202511-000747</t>
  </si>
  <si>
    <t xml:space="preserve">Wilhelmina Thistlewood</t>
  </si>
  <si>
    <t xml:space="preserve">CANON-202511-000748</t>
  </si>
  <si>
    <t xml:space="preserve">Fitzgerald Blackwood</t>
  </si>
  <si>
    <t xml:space="preserve">CANON-202511-000751</t>
  </si>
  <si>
    <t xml:space="preserve">2025-11-30</t>
  </si>
  <si>
    <t xml:space="preserve">Anouk Thistlewood</t>
  </si>
  <si>
    <t xml:space="preserve">CANON-202511-000752</t>
  </si>
  <si>
    <t xml:space="preserve">CANON-202511-000753</t>
  </si>
  <si>
    <t xml:space="preserve">CANON-202511-000754</t>
  </si>
  <si>
    <t xml:space="preserve">CANON-202511-000758</t>
  </si>
  <si>
    <t xml:space="preserve">CANON-202511-000760</t>
  </si>
  <si>
    <t xml:space="preserve">Horace Delacroix</t>
  </si>
  <si>
    <t xml:space="preserve">CANON-202511-000762</t>
  </si>
  <si>
    <t xml:space="preserve">CANON-202511-000763</t>
  </si>
  <si>
    <t xml:space="preserve">Ottilie Chattopadhyay</t>
  </si>
  <si>
    <t xml:space="preserve">CANON-202511-000765</t>
  </si>
  <si>
    <t xml:space="preserve">Priya Bellandi</t>
  </si>
  <si>
    <t xml:space="preserve">CANON-202511-000766</t>
  </si>
  <si>
    <t xml:space="preserve">2025-11-14</t>
  </si>
  <si>
    <t xml:space="preserve">Wilhelmina Kingsford</t>
  </si>
  <si>
    <t xml:space="preserve">CANON-202511-000767</t>
  </si>
  <si>
    <t xml:space="preserve">Cassius Fairweather</t>
  </si>
  <si>
    <t xml:space="preserve">CANON-202511-000768</t>
  </si>
  <si>
    <t xml:space="preserve">Priya Ashcombe</t>
  </si>
  <si>
    <t xml:space="preserve">CANON-202511-000769</t>
  </si>
  <si>
    <t xml:space="preserve">Thaddeus Pennington</t>
  </si>
  <si>
    <t xml:space="preserve">CANON-202511-000772</t>
  </si>
  <si>
    <t xml:space="preserve">Horace Thistlewood</t>
  </si>
  <si>
    <t xml:space="preserve">CANON-202511-000773</t>
  </si>
  <si>
    <t xml:space="preserve">Aurelio Blackwood</t>
  </si>
  <si>
    <t xml:space="preserve">CANON-202511-000774</t>
  </si>
  <si>
    <t xml:space="preserve">Leopold Montoya</t>
  </si>
  <si>
    <t xml:space="preserve">CANON-202511-000775</t>
  </si>
  <si>
    <t xml:space="preserve">CANON-202511-000776</t>
  </si>
  <si>
    <t xml:space="preserve">Horace Castellanos</t>
  </si>
  <si>
    <t xml:space="preserve">CANON-202511-000777</t>
  </si>
  <si>
    <t xml:space="preserve">CANON-202511-000779</t>
  </si>
  <si>
    <t xml:space="preserve">CANON-202511-000780</t>
  </si>
  <si>
    <t xml:space="preserve">Beatrix Merriweather</t>
  </si>
  <si>
    <t xml:space="preserve">CANON-202511-000781</t>
  </si>
  <si>
    <t xml:space="preserve">Everett Castellanos</t>
  </si>
  <si>
    <t xml:space="preserve">CANON-202511-000782</t>
  </si>
  <si>
    <t xml:space="preserve">CANON-202511-000783</t>
  </si>
  <si>
    <t xml:space="preserve">Priya Vandermeer</t>
  </si>
  <si>
    <t xml:space="preserve">CANON-202511-000784</t>
  </si>
  <si>
    <t xml:space="preserve">Aurelio Montoya</t>
  </si>
  <si>
    <t xml:space="preserve">CANON-202511-000785</t>
  </si>
  <si>
    <t xml:space="preserve">Ramona Vasquez</t>
  </si>
  <si>
    <t xml:space="preserve">CANON-202511-000786</t>
  </si>
  <si>
    <t xml:space="preserve">CANON-202511-000791</t>
  </si>
  <si>
    <t xml:space="preserve">Beatrix Pennington</t>
  </si>
  <si>
    <t xml:space="preserve">CANON-202511-000792</t>
  </si>
  <si>
    <t xml:space="preserve">CANON-202511-000793</t>
  </si>
  <si>
    <t xml:space="preserve">Sunniva Castellanos</t>
  </si>
  <si>
    <t xml:space="preserve">CANON-202511-000794</t>
  </si>
  <si>
    <t xml:space="preserve">CANON-202511-000795</t>
  </si>
  <si>
    <t xml:space="preserve">CANON-202511-000796</t>
  </si>
  <si>
    <t xml:space="preserve">CANON-202511-000797</t>
  </si>
  <si>
    <t xml:space="preserve">CANON-202511-000798</t>
  </si>
  <si>
    <t xml:space="preserve">Fenwick Harrington</t>
  </si>
  <si>
    <t xml:space="preserve">CANON-202511-000799</t>
  </si>
  <si>
    <t xml:space="preserve">Saoirse Larsson</t>
  </si>
  <si>
    <t xml:space="preserve">CANON-202511-000800</t>
  </si>
  <si>
    <t xml:space="preserve">CANON-202511-000802</t>
  </si>
  <si>
    <t xml:space="preserve">Ottilie Merriweather</t>
  </si>
  <si>
    <t xml:space="preserve">CANON-202511-000804</t>
  </si>
  <si>
    <t xml:space="preserve">Horace Farkas</t>
  </si>
  <si>
    <t xml:space="preserve">CANON-202511-000805</t>
  </si>
  <si>
    <t xml:space="preserve">Noor Montoya</t>
  </si>
  <si>
    <t xml:space="preserve">CANON-202511-000806</t>
  </si>
  <si>
    <t xml:space="preserve">Mireille Bellandi</t>
  </si>
  <si>
    <t xml:space="preserve">CANON-202511-000807</t>
  </si>
  <si>
    <t xml:space="preserve">CANON-202511-000812</t>
  </si>
  <si>
    <t xml:space="preserve">CANON-202511-000813</t>
  </si>
  <si>
    <t xml:space="preserve">CANON-202511-000817</t>
  </si>
  <si>
    <t xml:space="preserve">CANON-202511-000819</t>
  </si>
  <si>
    <t xml:space="preserve">CANON-202511-000820</t>
  </si>
  <si>
    <t xml:space="preserve">Lorenzo Farkas</t>
  </si>
  <si>
    <t xml:space="preserve">CANON-202511-000821</t>
  </si>
  <si>
    <t xml:space="preserve">Ramona Thistlewood</t>
  </si>
  <si>
    <t xml:space="preserve">CANON-202511-000822</t>
  </si>
  <si>
    <t xml:space="preserve">CANON-202511-000823</t>
  </si>
  <si>
    <t xml:space="preserve">CANON-202511-000824</t>
  </si>
  <si>
    <t xml:space="preserve">CANON-202511-000825</t>
  </si>
  <si>
    <t xml:space="preserve">CANON-202511-000826</t>
  </si>
  <si>
    <t xml:space="preserve">Noor Pennington</t>
  </si>
  <si>
    <t xml:space="preserve">CANON-202511-000827</t>
  </si>
  <si>
    <t xml:space="preserve">CANON-202511-000828</t>
  </si>
  <si>
    <t xml:space="preserve">Ramona Chattopadhyay</t>
  </si>
  <si>
    <t xml:space="preserve">CANON-202511-000829</t>
  </si>
  <si>
    <t xml:space="preserve">Everett Whitlock</t>
  </si>
  <si>
    <t xml:space="preserve">CANON-202511-000830</t>
  </si>
  <si>
    <t xml:space="preserve">CANON-202511-000831</t>
  </si>
  <si>
    <t xml:space="preserve">CANON-202511-000832</t>
  </si>
  <si>
    <t xml:space="preserve">Callum Fairweather</t>
  </si>
  <si>
    <t xml:space="preserve">CANON-202511-000834</t>
  </si>
  <si>
    <t xml:space="preserve">Ingrid Merriweather</t>
  </si>
  <si>
    <t xml:space="preserve">CANON-202511-000835</t>
  </si>
  <si>
    <t xml:space="preserve">CANON-202511-000836</t>
  </si>
  <si>
    <t xml:space="preserve">Cassius Larsson</t>
  </si>
  <si>
    <t xml:space="preserve">CANON-202511-000837</t>
  </si>
  <si>
    <t xml:space="preserve">CANON-202511-000838</t>
  </si>
  <si>
    <t xml:space="preserve">CANON-202511-000839</t>
  </si>
  <si>
    <t xml:space="preserve">CANON-202511-000840</t>
  </si>
  <si>
    <t xml:space="preserve">CANON-202511-000842</t>
  </si>
  <si>
    <t xml:space="preserve">CANON-202511-000843</t>
  </si>
  <si>
    <t xml:space="preserve">CANON-202511-000845</t>
  </si>
  <si>
    <t xml:space="preserve">Fitzgerald Vandermeer</t>
  </si>
  <si>
    <t xml:space="preserve">CANON-202511-000846</t>
  </si>
  <si>
    <t xml:space="preserve">Noor Bellandi</t>
  </si>
  <si>
    <t xml:space="preserve">CANON-202511-000849</t>
  </si>
  <si>
    <t xml:space="preserve">Marisol Fairweather</t>
  </si>
  <si>
    <t xml:space="preserve">CANON-202511-000853</t>
  </si>
  <si>
    <t xml:space="preserve">CANON-202511-000855</t>
  </si>
  <si>
    <t xml:space="preserve">Noor Fairweather</t>
  </si>
  <si>
    <t xml:space="preserve">CANON-202511-000856</t>
  </si>
  <si>
    <t xml:space="preserve">CANON-202511-000858</t>
  </si>
  <si>
    <t xml:space="preserve">Everett Rourke</t>
  </si>
  <si>
    <t xml:space="preserve">CANON-202511-000859</t>
  </si>
  <si>
    <t xml:space="preserve">CANON-202511-000860</t>
  </si>
  <si>
    <t xml:space="preserve">CANON-202511-000861</t>
  </si>
  <si>
    <t xml:space="preserve">CANON-202511-000862</t>
  </si>
  <si>
    <t xml:space="preserve">Delphine Blackwood</t>
  </si>
  <si>
    <t xml:space="preserve">CANON-202511-000863</t>
  </si>
  <si>
    <t xml:space="preserve">CANON-202511-000864</t>
  </si>
  <si>
    <t xml:space="preserve">CANON-202511-000865</t>
  </si>
  <si>
    <t xml:space="preserve">CANON-202511-000866</t>
  </si>
  <si>
    <t xml:space="preserve">CANON-202511-000867</t>
  </si>
  <si>
    <t xml:space="preserve">CANON-202511-000869</t>
  </si>
  <si>
    <t xml:space="preserve">CANON-202511-000872</t>
  </si>
  <si>
    <t xml:space="preserve">Beatrix Vasquez</t>
  </si>
  <si>
    <t xml:space="preserve">CANON-202511-000873</t>
  </si>
  <si>
    <t xml:space="preserve">CANON-202511-000874</t>
  </si>
  <si>
    <t xml:space="preserve">Aurelio Nakashima</t>
  </si>
  <si>
    <t xml:space="preserve">CANON-202511-000875</t>
  </si>
  <si>
    <t xml:space="preserve">CANON-202511-000876</t>
  </si>
  <si>
    <t xml:space="preserve">CANON-202511-000877</t>
  </si>
  <si>
    <t xml:space="preserve">CANON-202511-000878</t>
  </si>
  <si>
    <t xml:space="preserve">CANON-202511-000879</t>
  </si>
  <si>
    <t xml:space="preserve">Sunniva Vandermeer</t>
  </si>
  <si>
    <t xml:space="preserve">CANON-202511-000880</t>
  </si>
  <si>
    <t xml:space="preserve">CANON-202511-000881</t>
  </si>
  <si>
    <t xml:space="preserve">CANON-202511-000884</t>
  </si>
  <si>
    <t xml:space="preserve">CANON-202511-000885</t>
  </si>
  <si>
    <t xml:space="preserve">CANON-202511-000886</t>
  </si>
  <si>
    <t xml:space="preserve">CANON-202511-000891</t>
  </si>
  <si>
    <t xml:space="preserve">Lorenzo Rourke</t>
  </si>
  <si>
    <t xml:space="preserve">CANON-202511-000893</t>
  </si>
  <si>
    <t xml:space="preserve">Marisol Larsson</t>
  </si>
  <si>
    <t xml:space="preserve">CANON-202511-000895</t>
  </si>
  <si>
    <t xml:space="preserve">CANON-202511-000897</t>
  </si>
  <si>
    <t xml:space="preserve">CANON-202511-000898</t>
  </si>
  <si>
    <t xml:space="preserve">CANON-202511-000899</t>
  </si>
  <si>
    <t xml:space="preserve">CANON-202511-000900</t>
  </si>
  <si>
    <t xml:space="preserve">Desmond Farkas</t>
  </si>
  <si>
    <t xml:space="preserve">CANON-202511-000902</t>
  </si>
  <si>
    <t xml:space="preserve">Wilhelmina Blackwood</t>
  </si>
  <si>
    <t xml:space="preserve">CANON-202511-000903</t>
  </si>
  <si>
    <t xml:space="preserve">CANON-202511-000904</t>
  </si>
  <si>
    <t xml:space="preserve">CANON-202511-000905</t>
  </si>
  <si>
    <t xml:space="preserve">Delphine Pennington</t>
  </si>
  <si>
    <t xml:space="preserve">CANON-202511-000906</t>
  </si>
  <si>
    <t xml:space="preserve">CANON-202511-000907</t>
  </si>
  <si>
    <t xml:space="preserve">CANON-202511-000908</t>
  </si>
  <si>
    <t xml:space="preserve">Anouk Harrington</t>
  </si>
  <si>
    <t xml:space="preserve">CANON-202511-000909</t>
  </si>
  <si>
    <t xml:space="preserve">CANON-202511-000910</t>
  </si>
  <si>
    <t xml:space="preserve">Thaddeus Fairweather</t>
  </si>
  <si>
    <t xml:space="preserve">CANON-202511-000911</t>
  </si>
  <si>
    <t xml:space="preserve">CANON-202511-000912</t>
  </si>
  <si>
    <t xml:space="preserve">CANON-202511-000913</t>
  </si>
  <si>
    <t xml:space="preserve">CANON-202511-000914</t>
  </si>
  <si>
    <t xml:space="preserve">CANON-202511-000915</t>
  </si>
  <si>
    <t xml:space="preserve">CANON-202511-000916</t>
  </si>
  <si>
    <t xml:space="preserve">Leopold Ashcombe</t>
  </si>
  <si>
    <t xml:space="preserve">CANON-202511-000917</t>
  </si>
  <si>
    <t xml:space="preserve">CANON-202511-000919</t>
  </si>
  <si>
    <t xml:space="preserve">CANON-202511-000920</t>
  </si>
  <si>
    <t xml:space="preserve">Thaddeus Rourke</t>
  </si>
  <si>
    <t xml:space="preserve">CANON-202511-000921</t>
  </si>
  <si>
    <t xml:space="preserve">CANON-202511-000922</t>
  </si>
  <si>
    <t xml:space="preserve">CANON-202511-000923</t>
  </si>
  <si>
    <t xml:space="preserve">CANON-202511-000924</t>
  </si>
  <si>
    <t xml:space="preserve">Priya Castellanos</t>
  </si>
  <si>
    <t xml:space="preserve">CANON-202511-000925</t>
  </si>
  <si>
    <t xml:space="preserve">Underwriting BDX — 2025-12  (Bound book only)</t>
  </si>
  <si>
    <t xml:space="preserve">CANON-202512-000926</t>
  </si>
  <si>
    <t xml:space="preserve">2025-12-23</t>
  </si>
  <si>
    <t xml:space="preserve">Emiliano Chattopadhyay</t>
  </si>
  <si>
    <t xml:space="preserve">CANON-202512-000927</t>
  </si>
  <si>
    <t xml:space="preserve">2025-12-17</t>
  </si>
  <si>
    <t xml:space="preserve">CANON-202512-000929</t>
  </si>
  <si>
    <t xml:space="preserve">2025-12-27</t>
  </si>
  <si>
    <t xml:space="preserve">CANON-202512-000930</t>
  </si>
  <si>
    <t xml:space="preserve">2025-12-06</t>
  </si>
  <si>
    <t xml:space="preserve">CANON-202512-000931</t>
  </si>
  <si>
    <t xml:space="preserve">2025-12-03</t>
  </si>
  <si>
    <t xml:space="preserve">Thaddeus Ashcombe</t>
  </si>
  <si>
    <t xml:space="preserve">CANON-202512-000933</t>
  </si>
  <si>
    <t xml:space="preserve">2025-12-09</t>
  </si>
  <si>
    <t xml:space="preserve">Marisol Kingsford</t>
  </si>
  <si>
    <t xml:space="preserve">CANON-202512-000934</t>
  </si>
  <si>
    <t xml:space="preserve">Anouk Whitlock</t>
  </si>
  <si>
    <t xml:space="preserve">CANON-202512-000935</t>
  </si>
  <si>
    <t xml:space="preserve">Marisol Montoya</t>
  </si>
  <si>
    <t xml:space="preserve">CANON-202512-000939</t>
  </si>
  <si>
    <t xml:space="preserve">2025-12-15</t>
  </si>
  <si>
    <t xml:space="preserve">CANON-202512-000940</t>
  </si>
  <si>
    <t xml:space="preserve">2025-12-25</t>
  </si>
  <si>
    <t xml:space="preserve">CANON-202512-000941</t>
  </si>
  <si>
    <t xml:space="preserve">2025-12-10</t>
  </si>
  <si>
    <t xml:space="preserve">CANON-202512-000942</t>
  </si>
  <si>
    <t xml:space="preserve">2025-12-24</t>
  </si>
  <si>
    <t xml:space="preserve">CANON-202512-000943</t>
  </si>
  <si>
    <t xml:space="preserve">CANON-202512-000944</t>
  </si>
  <si>
    <t xml:space="preserve">2025-12-18</t>
  </si>
  <si>
    <t xml:space="preserve">CANON-202512-000945</t>
  </si>
  <si>
    <t xml:space="preserve">CANON-202512-000946</t>
  </si>
  <si>
    <t xml:space="preserve">2025-12-04</t>
  </si>
  <si>
    <t xml:space="preserve">CANON-202512-000947</t>
  </si>
  <si>
    <t xml:space="preserve">CANON-202512-000948</t>
  </si>
  <si>
    <t xml:space="preserve">2025-12-21</t>
  </si>
  <si>
    <t xml:space="preserve">Emiliano Whitlock</t>
  </si>
  <si>
    <t xml:space="preserve">CANON-202512-000950</t>
  </si>
  <si>
    <t xml:space="preserve">CANON-202512-000951</t>
  </si>
  <si>
    <t xml:space="preserve">2025-12-29</t>
  </si>
  <si>
    <t xml:space="preserve">Marisol Rourke</t>
  </si>
  <si>
    <t xml:space="preserve">CANON-202512-000952</t>
  </si>
  <si>
    <t xml:space="preserve">Lorenzo Vandermeer</t>
  </si>
  <si>
    <t xml:space="preserve">CANON-202512-000953</t>
  </si>
  <si>
    <t xml:space="preserve">CANON-202512-000954</t>
  </si>
  <si>
    <t xml:space="preserve">Aurelio Rourke</t>
  </si>
  <si>
    <t xml:space="preserve">CANON-202512-000955</t>
  </si>
  <si>
    <t xml:space="preserve">2025-12-30</t>
  </si>
  <si>
    <t xml:space="preserve">CANON-202512-000956</t>
  </si>
  <si>
    <t xml:space="preserve">Sunniva Rourke</t>
  </si>
  <si>
    <t xml:space="preserve">CANON-202512-000957</t>
  </si>
  <si>
    <t xml:space="preserve">CANON-202512-000958</t>
  </si>
  <si>
    <t xml:space="preserve">2025-12-11</t>
  </si>
  <si>
    <t xml:space="preserve">Mireille Larsson</t>
  </si>
  <si>
    <t xml:space="preserve">CANON-202512-000960</t>
  </si>
  <si>
    <t xml:space="preserve">CANON-202512-000961</t>
  </si>
  <si>
    <t xml:space="preserve">2025-12-01</t>
  </si>
  <si>
    <t xml:space="preserve">CANON-202512-000963</t>
  </si>
  <si>
    <t xml:space="preserve">2025-12-31</t>
  </si>
  <si>
    <t xml:space="preserve">CANON-202512-000964</t>
  </si>
  <si>
    <t xml:space="preserve">2025-12-16</t>
  </si>
  <si>
    <t xml:space="preserve">CANON-202512-000965</t>
  </si>
  <si>
    <t xml:space="preserve">2025-12-12</t>
  </si>
  <si>
    <t xml:space="preserve">CANON-202512-000967</t>
  </si>
  <si>
    <t xml:space="preserve">2025-12-19</t>
  </si>
  <si>
    <t xml:space="preserve">CANON-202512-000970</t>
  </si>
  <si>
    <t xml:space="preserve">Ramona Harrington</t>
  </si>
  <si>
    <t xml:space="preserve">CANON-202512-000971</t>
  </si>
  <si>
    <t xml:space="preserve">CANON-202512-000972</t>
  </si>
  <si>
    <t xml:space="preserve">2025-12-13</t>
  </si>
  <si>
    <t xml:space="preserve">Delphine Okonkwo</t>
  </si>
  <si>
    <t xml:space="preserve">CANON-202512-000975</t>
  </si>
  <si>
    <t xml:space="preserve">CANON-202512-000976</t>
  </si>
  <si>
    <t xml:space="preserve">CANON-202512-000980</t>
  </si>
  <si>
    <t xml:space="preserve">CANON-202512-000981</t>
  </si>
  <si>
    <t xml:space="preserve">CANON-202512-000982</t>
  </si>
  <si>
    <t xml:space="preserve">CANON-202512-000983</t>
  </si>
  <si>
    <t xml:space="preserve">CANON-202512-000984</t>
  </si>
  <si>
    <t xml:space="preserve">2025-12-20</t>
  </si>
  <si>
    <t xml:space="preserve">CANON-202512-000986</t>
  </si>
  <si>
    <t xml:space="preserve">Mireille Blackwood</t>
  </si>
  <si>
    <t xml:space="preserve">CANON-202512-000987</t>
  </si>
  <si>
    <t xml:space="preserve">CANON-202512-000988</t>
  </si>
  <si>
    <t xml:space="preserve">CANON-202512-000989</t>
  </si>
  <si>
    <t xml:space="preserve">CANON-202512-000990</t>
  </si>
  <si>
    <t xml:space="preserve">Ingrid Castellanos</t>
  </si>
  <si>
    <t xml:space="preserve">CANON-202512-000994</t>
  </si>
  <si>
    <t xml:space="preserve">CANON-202512-000998</t>
  </si>
  <si>
    <t xml:space="preserve">CANON-202512-000999</t>
  </si>
  <si>
    <t xml:space="preserve">Mireille Merriweather</t>
  </si>
  <si>
    <t xml:space="preserve">CANON-202512-001000</t>
  </si>
  <si>
    <t xml:space="preserve">CANON-202512-001001</t>
  </si>
  <si>
    <t xml:space="preserve">CANON-202512-001003</t>
  </si>
  <si>
    <t xml:space="preserve">CANON-202512-001005</t>
  </si>
  <si>
    <t xml:space="preserve">Fitzgerald Montoya</t>
  </si>
  <si>
    <t xml:space="preserve">CANON-202512-001006</t>
  </si>
  <si>
    <t xml:space="preserve">2025-12-22</t>
  </si>
  <si>
    <t xml:space="preserve">Priya Farkas</t>
  </si>
  <si>
    <t xml:space="preserve">CANON-202512-001008</t>
  </si>
  <si>
    <t xml:space="preserve">CANON-202512-001009</t>
  </si>
  <si>
    <t xml:space="preserve">Fitzgerald Pennington</t>
  </si>
  <si>
    <t xml:space="preserve">CANON-202512-001010</t>
  </si>
  <si>
    <t xml:space="preserve">Delphine Nakashima</t>
  </si>
  <si>
    <t xml:space="preserve">CANON-202512-001012</t>
  </si>
  <si>
    <t xml:space="preserve">CANON-202512-001013</t>
  </si>
  <si>
    <t xml:space="preserve">2025-12-26</t>
  </si>
  <si>
    <t xml:space="preserve">CANON-202512-001015</t>
  </si>
  <si>
    <t xml:space="preserve">2025-12-02</t>
  </si>
  <si>
    <t xml:space="preserve">CANON-202512-001017</t>
  </si>
  <si>
    <t xml:space="preserve">CANON-202512-001018</t>
  </si>
  <si>
    <t xml:space="preserve">CANON-202512-001020</t>
  </si>
  <si>
    <t xml:space="preserve">2025-12-05</t>
  </si>
  <si>
    <t xml:space="preserve">Fenwick Farkas</t>
  </si>
  <si>
    <t xml:space="preserve">CANON-202512-001021</t>
  </si>
  <si>
    <t xml:space="preserve">CANON-202512-001022</t>
  </si>
  <si>
    <t xml:space="preserve">CANON-202512-001026</t>
  </si>
  <si>
    <t xml:space="preserve">CANON-202512-001027</t>
  </si>
  <si>
    <t xml:space="preserve">CANON-202512-001028</t>
  </si>
  <si>
    <t xml:space="preserve">CANON-202512-001031</t>
  </si>
  <si>
    <t xml:space="preserve">CANON-202512-001032</t>
  </si>
  <si>
    <t xml:space="preserve">CANON-202512-001033</t>
  </si>
  <si>
    <t xml:space="preserve">Priya Merriweather</t>
  </si>
  <si>
    <t xml:space="preserve">CANON-202512-001034</t>
  </si>
  <si>
    <t xml:space="preserve">CANON-202512-001035</t>
  </si>
  <si>
    <t xml:space="preserve">CANON-202512-001036</t>
  </si>
  <si>
    <t xml:space="preserve">CANON-202512-001037</t>
  </si>
  <si>
    <t xml:space="preserve">Cassius Nakashima</t>
  </si>
  <si>
    <t xml:space="preserve">CANON-202512-001038</t>
  </si>
  <si>
    <t xml:space="preserve">CANON-202512-001040</t>
  </si>
  <si>
    <t xml:space="preserve">2025-12-28</t>
  </si>
  <si>
    <t xml:space="preserve">CANON-202512-001042</t>
  </si>
  <si>
    <t xml:space="preserve">CANON-202512-001043</t>
  </si>
  <si>
    <t xml:space="preserve">CANON-202512-001047</t>
  </si>
  <si>
    <t xml:space="preserve">CANON-202512-001049</t>
  </si>
  <si>
    <t xml:space="preserve">CANON-202512-001052</t>
  </si>
  <si>
    <t xml:space="preserve">CANON-202512-001053</t>
  </si>
  <si>
    <t xml:space="preserve">2025-12-08</t>
  </si>
  <si>
    <t xml:space="preserve">CANON-202512-001055</t>
  </si>
  <si>
    <t xml:space="preserve">CANON-202512-001056</t>
  </si>
  <si>
    <t xml:space="preserve">CANON-202512-001057</t>
  </si>
  <si>
    <t xml:space="preserve">CANON-202512-001059</t>
  </si>
  <si>
    <t xml:space="preserve">CANON-202512-001061</t>
  </si>
  <si>
    <t xml:space="preserve">CANON-202512-001062</t>
  </si>
  <si>
    <t xml:space="preserve">CANON-202512-001063</t>
  </si>
  <si>
    <t xml:space="preserve">CANON-202512-001064</t>
  </si>
  <si>
    <t xml:space="preserve">2025-12-14</t>
  </si>
  <si>
    <t xml:space="preserve">CANON-202512-001065</t>
  </si>
  <si>
    <t xml:space="preserve">Sunniva Chattopadhyay</t>
  </si>
  <si>
    <t xml:space="preserve">CANON-202512-001066</t>
  </si>
  <si>
    <t xml:space="preserve">CANON-202512-001067</t>
  </si>
  <si>
    <t xml:space="preserve">CANON-202512-001068</t>
  </si>
  <si>
    <t xml:space="preserve">Callum Okonkwo</t>
  </si>
  <si>
    <t xml:space="preserve">CANON-202512-001069</t>
  </si>
  <si>
    <t xml:space="preserve">2025-12-07</t>
  </si>
  <si>
    <t xml:space="preserve">CANON-202512-001071</t>
  </si>
  <si>
    <t xml:space="preserve">CANON-202512-001072</t>
  </si>
  <si>
    <t xml:space="preserve">CANON-202512-001073</t>
  </si>
  <si>
    <t xml:space="preserve">Ottilie Kingsford</t>
  </si>
  <si>
    <t xml:space="preserve">CANON-202512-001074</t>
  </si>
  <si>
    <t xml:space="preserve">Ramona Delacroix</t>
  </si>
  <si>
    <t xml:space="preserve">CANON-202512-001075</t>
  </si>
  <si>
    <t xml:space="preserve">CANON-202512-001076</t>
  </si>
  <si>
    <t xml:space="preserve">CANON-202512-001077</t>
  </si>
  <si>
    <t xml:space="preserve">Thaddeus Montoya</t>
  </si>
  <si>
    <t xml:space="preserve">CANON-202512-001078</t>
  </si>
  <si>
    <t xml:space="preserve">CANON-202512-001079</t>
  </si>
  <si>
    <t xml:space="preserve">CANON-202512-001080</t>
  </si>
  <si>
    <t xml:space="preserve">Fitzgerald Thistlewood</t>
  </si>
  <si>
    <t xml:space="preserve">CANON-202512-001081</t>
  </si>
  <si>
    <t xml:space="preserve">Noor Underwood</t>
  </si>
  <si>
    <t xml:space="preserve">CANON-202512-001082</t>
  </si>
  <si>
    <t xml:space="preserve">CANON-202512-001083</t>
  </si>
  <si>
    <t xml:space="preserve">CANON-202512-001084</t>
  </si>
  <si>
    <t xml:space="preserve">CANON-202512-001085</t>
  </si>
  <si>
    <t xml:space="preserve">Lorenzo Delacroix</t>
  </si>
  <si>
    <t xml:space="preserve">CANON-202512-001087</t>
  </si>
  <si>
    <t xml:space="preserve">Wilhelmina Okonkwo</t>
  </si>
  <si>
    <t xml:space="preserve">CANON-202512-001088</t>
  </si>
  <si>
    <t xml:space="preserve">CANON-202512-001090</t>
  </si>
  <si>
    <t xml:space="preserve">CANON-202512-001091</t>
  </si>
  <si>
    <t xml:space="preserve">CANON-202512-001092</t>
  </si>
  <si>
    <t xml:space="preserve">Lorenzo Thistlewood</t>
  </si>
  <si>
    <t xml:space="preserve">CANON-202512-001093</t>
  </si>
  <si>
    <t xml:space="preserve">CANON-202512-001095</t>
  </si>
  <si>
    <t xml:space="preserve">CANON-202512-001096</t>
  </si>
  <si>
    <t xml:space="preserve">CANON-202512-001097</t>
  </si>
  <si>
    <t xml:space="preserve">Cassius Bellandi</t>
  </si>
  <si>
    <t xml:space="preserve">CANON-202512-001099</t>
  </si>
  <si>
    <t xml:space="preserve">CANON-202512-001100</t>
  </si>
  <si>
    <t xml:space="preserve">CANON-202512-001101</t>
  </si>
  <si>
    <t xml:space="preserve">CANON-202512-001103</t>
  </si>
  <si>
    <t xml:space="preserve">CANON-202512-001104</t>
  </si>
  <si>
    <t xml:space="preserve">Marisol Whitlock</t>
  </si>
  <si>
    <t xml:space="preserve">CANON-202512-001106</t>
  </si>
  <si>
    <t xml:space="preserve">Anouk Castellanos</t>
  </si>
  <si>
    <t xml:space="preserve">CANON-202512-001107</t>
  </si>
  <si>
    <t xml:space="preserve">CANON-202512-001108</t>
  </si>
  <si>
    <t xml:space="preserve">CANON-202512-001110</t>
  </si>
  <si>
    <t xml:space="preserve">CANON-202512-001111</t>
  </si>
  <si>
    <t xml:space="preserve">CANON-202512-001112</t>
  </si>
  <si>
    <t xml:space="preserve">CANON-202512-001114</t>
  </si>
  <si>
    <t xml:space="preserve">CANON-202512-001115</t>
  </si>
  <si>
    <t xml:space="preserve">CANON-202512-001116</t>
  </si>
  <si>
    <t xml:space="preserve">Ramona Kingsford</t>
  </si>
  <si>
    <t xml:space="preserve">CANON-202512-001117</t>
  </si>
  <si>
    <t xml:space="preserve">CANON-202512-001118</t>
  </si>
  <si>
    <t xml:space="preserve">Beatrix Farkas</t>
  </si>
  <si>
    <t xml:space="preserve">CANON-202512-001119</t>
  </si>
  <si>
    <t xml:space="preserve">CANON-202512-001120</t>
  </si>
  <si>
    <t xml:space="preserve">CANON-202512-001123</t>
  </si>
  <si>
    <t xml:space="preserve">Sunniva Kingsford</t>
  </si>
  <si>
    <t xml:space="preserve">CANON-202512-001125</t>
  </si>
  <si>
    <t xml:space="preserve">CANON-202512-001127</t>
  </si>
  <si>
    <t xml:space="preserve">CANON-202512-001129</t>
  </si>
  <si>
    <t xml:space="preserve">CANON-202512-001130</t>
  </si>
  <si>
    <t xml:space="preserve">Emiliano Delacroix</t>
  </si>
  <si>
    <t xml:space="preserve">CANON-202512-001131</t>
  </si>
  <si>
    <t xml:space="preserve">CANON-202512-001132</t>
  </si>
  <si>
    <t xml:space="preserve">CANON-202512-001133</t>
  </si>
  <si>
    <t xml:space="preserve">CANON-202512-001134</t>
  </si>
  <si>
    <t xml:space="preserve">CANON-202512-001135</t>
  </si>
  <si>
    <t xml:space="preserve">CANON-202512-001136</t>
  </si>
  <si>
    <t xml:space="preserve">CANON-202512-001137</t>
  </si>
  <si>
    <t xml:space="preserve">CANON-202512-001139</t>
  </si>
  <si>
    <t xml:space="preserve">CANON-202512-001141</t>
  </si>
  <si>
    <t xml:space="preserve">CANON-202512-001142</t>
  </si>
  <si>
    <t xml:space="preserve">Lorenzo Bellandi</t>
  </si>
  <si>
    <t xml:space="preserve">CANON-202512-001144</t>
  </si>
  <si>
    <t xml:space="preserve">CANON-202512-001145</t>
  </si>
  <si>
    <t xml:space="preserve">CANON-202512-001146</t>
  </si>
  <si>
    <t xml:space="preserve">Lorenzo Harrington</t>
  </si>
  <si>
    <t xml:space="preserve">CANON-202512-001147</t>
  </si>
  <si>
    <t xml:space="preserve">CANON-202512-001148</t>
  </si>
  <si>
    <t xml:space="preserve">CANON-202512-001149</t>
  </si>
  <si>
    <t xml:space="preserve">Ingrid Vasquez</t>
  </si>
  <si>
    <t xml:space="preserve">CANON-202512-001150</t>
  </si>
  <si>
    <t xml:space="preserve">CANON-202512-001152</t>
  </si>
  <si>
    <t xml:space="preserve">CANON-202512-001153</t>
  </si>
  <si>
    <t xml:space="preserve">Ingrid Blackwood</t>
  </si>
  <si>
    <t xml:space="preserve">CANON-202512-001155</t>
  </si>
  <si>
    <t xml:space="preserve">CANON-202512-001156</t>
  </si>
  <si>
    <t xml:space="preserve">CANON-202512-001158</t>
  </si>
  <si>
    <t xml:space="preserve">CANON-202512-001159</t>
  </si>
  <si>
    <t xml:space="preserve">CANON-202512-001160</t>
  </si>
  <si>
    <t xml:space="preserve">Ingrid Ashcombe</t>
  </si>
  <si>
    <t xml:space="preserve">CANON-202512-001161</t>
  </si>
  <si>
    <t xml:space="preserve">CANON-202512-001163</t>
  </si>
  <si>
    <t xml:space="preserve">CANON-202512-001164</t>
  </si>
  <si>
    <t xml:space="preserve">CANON-202512-001167</t>
  </si>
  <si>
    <t xml:space="preserve">CANON-202512-001168</t>
  </si>
  <si>
    <t xml:space="preserve">Delphine Vasquez</t>
  </si>
  <si>
    <t xml:space="preserve">CANON-202512-001169</t>
  </si>
  <si>
    <t xml:space="preserve">CANON-202512-001170</t>
  </si>
  <si>
    <t xml:space="preserve">CANON-202512-001171</t>
  </si>
  <si>
    <t xml:space="preserve">CANON-202512-001172</t>
  </si>
  <si>
    <t xml:space="preserve">Anouk Kingsford</t>
  </si>
  <si>
    <t xml:space="preserve">CANON-202512-001173</t>
  </si>
  <si>
    <t xml:space="preserve">CANON-202512-001174</t>
  </si>
  <si>
    <t xml:space="preserve">CANON-202512-001175</t>
  </si>
  <si>
    <t xml:space="preserve">CANON-202512-001177</t>
  </si>
  <si>
    <t xml:space="preserve">Horace Harrington</t>
  </si>
  <si>
    <t xml:space="preserve">CANON-202512-001179</t>
  </si>
  <si>
    <t xml:space="preserve">CANON-202512-001180</t>
  </si>
  <si>
    <t xml:space="preserve">CANON-202512-001181</t>
  </si>
  <si>
    <t xml:space="preserve">CANON-202512-001182</t>
  </si>
  <si>
    <t xml:space="preserve">CANON-202512-001183</t>
  </si>
  <si>
    <t xml:space="preserve">CANON-202512-001184</t>
  </si>
  <si>
    <t xml:space="preserve">Ingrid Vandermeer</t>
  </si>
  <si>
    <t xml:space="preserve">CANON-202512-001185</t>
  </si>
  <si>
    <t xml:space="preserve">CANON-202512-001186</t>
  </si>
  <si>
    <t xml:space="preserve">CANON-202512-001187</t>
  </si>
  <si>
    <t xml:space="preserve">CANON-202512-001188</t>
  </si>
  <si>
    <t xml:space="preserve">CANON-202512-001190</t>
  </si>
  <si>
    <t xml:space="preserve">Fitzgerald Merriweather</t>
  </si>
  <si>
    <t xml:space="preserve">CANON-202512-001191</t>
  </si>
  <si>
    <t xml:space="preserve">CANON-202512-001192</t>
  </si>
  <si>
    <t xml:space="preserve">Underwriting BDX — 2026-01  (Bound book only)</t>
  </si>
  <si>
    <t xml:space="preserve">CANON-202601-001194</t>
  </si>
  <si>
    <t xml:space="preserve">2026-01-09</t>
  </si>
  <si>
    <t xml:space="preserve">CANON-202601-001195</t>
  </si>
  <si>
    <t xml:space="preserve">2026-01-22</t>
  </si>
  <si>
    <t xml:space="preserve">CANON-202601-001196</t>
  </si>
  <si>
    <t xml:space="preserve">2026-01-27</t>
  </si>
  <si>
    <t xml:space="preserve">CANON-202601-001197</t>
  </si>
  <si>
    <t xml:space="preserve">2026-01-31</t>
  </si>
  <si>
    <t xml:space="preserve">CANON-202601-001200</t>
  </si>
  <si>
    <t xml:space="preserve">2026-01-30</t>
  </si>
  <si>
    <t xml:space="preserve">CANON-202601-001201</t>
  </si>
  <si>
    <t xml:space="preserve">2026-01-14</t>
  </si>
  <si>
    <t xml:space="preserve">CANON-202601-001202</t>
  </si>
  <si>
    <t xml:space="preserve">2026-01-20</t>
  </si>
  <si>
    <t xml:space="preserve">CANON-202601-001203</t>
  </si>
  <si>
    <t xml:space="preserve">Beatrix Delacroix</t>
  </si>
  <si>
    <t xml:space="preserve">CANON-202601-001204</t>
  </si>
  <si>
    <t xml:space="preserve">2026-01-11</t>
  </si>
  <si>
    <t xml:space="preserve">CANON-202601-001209</t>
  </si>
  <si>
    <t xml:space="preserve">CANON-202601-001210</t>
  </si>
  <si>
    <t xml:space="preserve">2026-01-19</t>
  </si>
  <si>
    <t xml:space="preserve">CANON-202601-001211</t>
  </si>
  <si>
    <t xml:space="preserve">2026-01-08</t>
  </si>
  <si>
    <t xml:space="preserve">CANON-202601-001212</t>
  </si>
  <si>
    <t xml:space="preserve">Mireille Vandermeer</t>
  </si>
  <si>
    <t xml:space="preserve">CANON-202601-001214</t>
  </si>
  <si>
    <t xml:space="preserve">2026-01-12</t>
  </si>
  <si>
    <t xml:space="preserve">CANON-202601-001215</t>
  </si>
  <si>
    <t xml:space="preserve">CANON-202601-001216</t>
  </si>
  <si>
    <t xml:space="preserve">CANON-202601-001217</t>
  </si>
  <si>
    <t xml:space="preserve">2026-01-16</t>
  </si>
  <si>
    <t xml:space="preserve">Cassius Ashcombe</t>
  </si>
  <si>
    <t xml:space="preserve">CANON-202601-001218</t>
  </si>
  <si>
    <t xml:space="preserve">Wilhelmina Vasquez</t>
  </si>
  <si>
    <t xml:space="preserve">CANON-202601-001219</t>
  </si>
  <si>
    <t xml:space="preserve">2026-01-13</t>
  </si>
  <si>
    <t xml:space="preserve">CANON-202601-001220</t>
  </si>
  <si>
    <t xml:space="preserve">Callum Blackwood</t>
  </si>
  <si>
    <t xml:space="preserve">CANON-202601-001221</t>
  </si>
  <si>
    <t xml:space="preserve">2026-01-02</t>
  </si>
  <si>
    <t xml:space="preserve">CANON-202601-001223</t>
  </si>
  <si>
    <t xml:space="preserve">2026-01-01</t>
  </si>
  <si>
    <t xml:space="preserve">CANON-202601-001228</t>
  </si>
  <si>
    <t xml:space="preserve">2026-01-21</t>
  </si>
  <si>
    <t xml:space="preserve">CANON-202601-001230</t>
  </si>
  <si>
    <t xml:space="preserve">CANON-202601-001232</t>
  </si>
  <si>
    <t xml:space="preserve">CANON-202601-001235</t>
  </si>
  <si>
    <t xml:space="preserve">CANON-202601-001239</t>
  </si>
  <si>
    <t xml:space="preserve">2026-01-18</t>
  </si>
  <si>
    <t xml:space="preserve">CANON-202601-001240</t>
  </si>
  <si>
    <t xml:space="preserve">Beatrix Thistlewood</t>
  </si>
  <si>
    <t xml:space="preserve">CANON-202601-001241</t>
  </si>
  <si>
    <t xml:space="preserve">2026-01-10</t>
  </si>
  <si>
    <t xml:space="preserve">Cassius Montoya</t>
  </si>
  <si>
    <t xml:space="preserve">CANON-202601-001243</t>
  </si>
  <si>
    <t xml:space="preserve">Priya Underwood</t>
  </si>
  <si>
    <t xml:space="preserve">CANON-202601-001244</t>
  </si>
  <si>
    <t xml:space="preserve">CANON-202601-001247</t>
  </si>
  <si>
    <t xml:space="preserve">CANON-202601-001248</t>
  </si>
  <si>
    <t xml:space="preserve">CANON-202601-001249</t>
  </si>
  <si>
    <t xml:space="preserve">CANON-202601-001250</t>
  </si>
  <si>
    <t xml:space="preserve">CANON-202601-001251</t>
  </si>
  <si>
    <t xml:space="preserve">CANON-202601-001253</t>
  </si>
  <si>
    <t xml:space="preserve">2026-01-24</t>
  </si>
  <si>
    <t xml:space="preserve">Priya Nakashima</t>
  </si>
  <si>
    <t xml:space="preserve">CANON-202601-001255</t>
  </si>
  <si>
    <t xml:space="preserve">2026-01-29</t>
  </si>
  <si>
    <t xml:space="preserve">Marisol Nakashima</t>
  </si>
  <si>
    <t xml:space="preserve">CANON-202601-001256</t>
  </si>
  <si>
    <t xml:space="preserve">CANON-202601-001257</t>
  </si>
  <si>
    <t xml:space="preserve">CANON-202601-001258</t>
  </si>
  <si>
    <t xml:space="preserve">CANON-202601-001261</t>
  </si>
  <si>
    <t xml:space="preserve">CANON-202601-001262</t>
  </si>
  <si>
    <t xml:space="preserve">2026-01-25</t>
  </si>
  <si>
    <t xml:space="preserve">CANON-202601-001264</t>
  </si>
  <si>
    <t xml:space="preserve">CANON-202601-001265</t>
  </si>
  <si>
    <t xml:space="preserve">2026-01-06</t>
  </si>
  <si>
    <t xml:space="preserve">CANON-202601-001266</t>
  </si>
  <si>
    <t xml:space="preserve">Cassius Harrington</t>
  </si>
  <si>
    <t xml:space="preserve">CANON-202601-001267</t>
  </si>
  <si>
    <t xml:space="preserve">CANON-202601-001268</t>
  </si>
  <si>
    <t xml:space="preserve">CANON-202601-001270</t>
  </si>
  <si>
    <t xml:space="preserve">CANON-202601-001274</t>
  </si>
  <si>
    <t xml:space="preserve">CANON-202601-001275</t>
  </si>
  <si>
    <t xml:space="preserve">CANON-202601-001277</t>
  </si>
  <si>
    <t xml:space="preserve">CANON-202601-001278</t>
  </si>
  <si>
    <t xml:space="preserve">2026-01-26</t>
  </si>
  <si>
    <t xml:space="preserve">CANON-202601-001281</t>
  </si>
  <si>
    <t xml:space="preserve">CANON-202601-001283</t>
  </si>
  <si>
    <t xml:space="preserve">CANON-202601-001285</t>
  </si>
  <si>
    <t xml:space="preserve">Saoirse Montoya</t>
  </si>
  <si>
    <t xml:space="preserve">CANON-202601-001287</t>
  </si>
  <si>
    <t xml:space="preserve">CANON-202601-001288</t>
  </si>
  <si>
    <t xml:space="preserve">CANON-202601-001289</t>
  </si>
  <si>
    <t xml:space="preserve">Beatrix Nakashima</t>
  </si>
  <si>
    <t xml:space="preserve">CANON-202601-001290</t>
  </si>
  <si>
    <t xml:space="preserve">CANON-202601-001291</t>
  </si>
  <si>
    <t xml:space="preserve">CANON-202601-001292</t>
  </si>
  <si>
    <t xml:space="preserve">CANON-202601-001293</t>
  </si>
  <si>
    <t xml:space="preserve">CANON-202601-001294</t>
  </si>
  <si>
    <t xml:space="preserve">CANON-202601-001295</t>
  </si>
  <si>
    <t xml:space="preserve">CANON-202601-001296</t>
  </si>
  <si>
    <t xml:space="preserve">2026-01-28</t>
  </si>
  <si>
    <t xml:space="preserve">CANON-202601-001297</t>
  </si>
  <si>
    <t xml:space="preserve">Saoirse Harrington</t>
  </si>
  <si>
    <t xml:space="preserve">CANON-202601-001299</t>
  </si>
  <si>
    <t xml:space="preserve">2026-01-03</t>
  </si>
  <si>
    <t xml:space="preserve">CANON-202601-001300</t>
  </si>
  <si>
    <t xml:space="preserve">CANON-202601-001302</t>
  </si>
  <si>
    <t xml:space="preserve">CANON-202601-001303</t>
  </si>
  <si>
    <t xml:space="preserve">CANON-202601-001304</t>
  </si>
  <si>
    <t xml:space="preserve">CANON-202601-001305</t>
  </si>
  <si>
    <t xml:space="preserve">Delphine Rourke</t>
  </si>
  <si>
    <t xml:space="preserve">CANON-202601-001306</t>
  </si>
  <si>
    <t xml:space="preserve">2026-01-17</t>
  </si>
  <si>
    <t xml:space="preserve">CANON-202601-001307</t>
  </si>
  <si>
    <t xml:space="preserve">CANON-202601-001308</t>
  </si>
  <si>
    <t xml:space="preserve">CANON-202601-001311</t>
  </si>
  <si>
    <t xml:space="preserve">CANON-202601-001312</t>
  </si>
  <si>
    <t xml:space="preserve">CANON-202601-001313</t>
  </si>
  <si>
    <t xml:space="preserve">2026-01-04</t>
  </si>
  <si>
    <t xml:space="preserve">CANON-202601-001315</t>
  </si>
  <si>
    <t xml:space="preserve">CANON-202601-001316</t>
  </si>
  <si>
    <t xml:space="preserve">CANON-202601-001317</t>
  </si>
  <si>
    <t xml:space="preserve">CANON-202601-001318</t>
  </si>
  <si>
    <t xml:space="preserve">CANON-202601-001319</t>
  </si>
  <si>
    <t xml:space="preserve">CANON-202601-001321</t>
  </si>
  <si>
    <t xml:space="preserve">CANON-202601-001323</t>
  </si>
  <si>
    <t xml:space="preserve">CANON-202601-001324</t>
  </si>
  <si>
    <t xml:space="preserve">CANON-202601-001325</t>
  </si>
  <si>
    <t xml:space="preserve">CANON-202601-001326</t>
  </si>
  <si>
    <t xml:space="preserve">Priya Kingsford</t>
  </si>
  <si>
    <t xml:space="preserve">CANON-202601-001327</t>
  </si>
  <si>
    <t xml:space="preserve">CANON-202601-001328</t>
  </si>
  <si>
    <t xml:space="preserve">CANON-202601-001330</t>
  </si>
  <si>
    <t xml:space="preserve">CANON-202601-001331</t>
  </si>
  <si>
    <t xml:space="preserve">CANON-202601-001332</t>
  </si>
  <si>
    <t xml:space="preserve">CANON-202601-001334</t>
  </si>
  <si>
    <t xml:space="preserve">CANON-202601-001335</t>
  </si>
  <si>
    <t xml:space="preserve">CANON-202601-001336</t>
  </si>
  <si>
    <t xml:space="preserve">CANON-202601-001337</t>
  </si>
  <si>
    <t xml:space="preserve">CANON-202601-001338</t>
  </si>
  <si>
    <t xml:space="preserve">CANON-202601-001339</t>
  </si>
  <si>
    <t xml:space="preserve">CANON-202601-001344</t>
  </si>
  <si>
    <t xml:space="preserve">CANON-202601-001345</t>
  </si>
  <si>
    <t xml:space="preserve">CANON-202601-001346</t>
  </si>
  <si>
    <t xml:space="preserve">CANON-202601-001348</t>
  </si>
  <si>
    <t xml:space="preserve">CANON-202601-001349</t>
  </si>
  <si>
    <t xml:space="preserve">CANON-202601-001351</t>
  </si>
  <si>
    <t xml:space="preserve">CANON-202601-001352</t>
  </si>
  <si>
    <t xml:space="preserve">Desmond Delacroix</t>
  </si>
  <si>
    <t xml:space="preserve">CANON-202601-001353</t>
  </si>
  <si>
    <t xml:space="preserve">2026-01-23</t>
  </si>
  <si>
    <t xml:space="preserve">CANON-202601-001354</t>
  </si>
  <si>
    <t xml:space="preserve">CANON-202601-001355</t>
  </si>
  <si>
    <t xml:space="preserve">Mireille Whitlock</t>
  </si>
  <si>
    <t xml:space="preserve">CANON-202601-001357</t>
  </si>
  <si>
    <t xml:space="preserve">CANON-202601-001358</t>
  </si>
  <si>
    <t xml:space="preserve">CANON-202601-001361</t>
  </si>
  <si>
    <t xml:space="preserve">CANON-202601-001362</t>
  </si>
  <si>
    <t xml:space="preserve">Noor Chattopadhyay</t>
  </si>
  <si>
    <t xml:space="preserve">CANON-202601-001365</t>
  </si>
  <si>
    <t xml:space="preserve">2026-01-05</t>
  </si>
  <si>
    <t xml:space="preserve">CANON-202601-001366</t>
  </si>
  <si>
    <t xml:space="preserve">CANON-202601-001370</t>
  </si>
  <si>
    <t xml:space="preserve">CANON-202601-001372</t>
  </si>
  <si>
    <t xml:space="preserve">CANON-202601-001374</t>
  </si>
  <si>
    <t xml:space="preserve">CANON-202601-001375</t>
  </si>
  <si>
    <t xml:space="preserve">CANON-202601-001376</t>
  </si>
  <si>
    <t xml:space="preserve">CANON-202601-001377</t>
  </si>
  <si>
    <t xml:space="preserve">CANON-202601-001378</t>
  </si>
  <si>
    <t xml:space="preserve">CANON-202601-001380</t>
  </si>
  <si>
    <t xml:space="preserve">CANON-202601-001382</t>
  </si>
  <si>
    <t xml:space="preserve">CANON-202601-001383</t>
  </si>
  <si>
    <t xml:space="preserve">CANON-202601-001384</t>
  </si>
  <si>
    <t xml:space="preserve">CANON-202601-001385</t>
  </si>
  <si>
    <t xml:space="preserve">CANON-202601-001386</t>
  </si>
  <si>
    <t xml:space="preserve">CANON-202601-001388</t>
  </si>
  <si>
    <t xml:space="preserve">CANON-202601-001390</t>
  </si>
  <si>
    <t xml:space="preserve">CANON-202601-001391</t>
  </si>
  <si>
    <t xml:space="preserve">CANON-202601-001392</t>
  </si>
  <si>
    <t xml:space="preserve">CANON-202601-001393</t>
  </si>
  <si>
    <t xml:space="preserve">CANON-202601-001394</t>
  </si>
  <si>
    <t xml:space="preserve">CANON-202601-001395</t>
  </si>
  <si>
    <t xml:space="preserve">CANON-202601-001397</t>
  </si>
  <si>
    <t xml:space="preserve">CANON-202601-001398</t>
  </si>
  <si>
    <t xml:space="preserve">Callum Whitlock</t>
  </si>
  <si>
    <t xml:space="preserve">CANON-202601-001399</t>
  </si>
  <si>
    <t xml:space="preserve">CANON-202601-001402</t>
  </si>
  <si>
    <t xml:space="preserve">2026-01-15</t>
  </si>
  <si>
    <t xml:space="preserve">CANON-202601-001403</t>
  </si>
  <si>
    <t xml:space="preserve">Saoirse Ashcombe</t>
  </si>
  <si>
    <t xml:space="preserve">CANON-202601-001404</t>
  </si>
  <si>
    <t xml:space="preserve">CANON-202601-001405</t>
  </si>
  <si>
    <t xml:space="preserve">CANON-202601-001406</t>
  </si>
  <si>
    <t xml:space="preserve">CANON-202601-001407</t>
  </si>
  <si>
    <t xml:space="preserve">CANON-202601-001408</t>
  </si>
  <si>
    <t xml:space="preserve">Priya Fairweather</t>
  </si>
  <si>
    <t xml:space="preserve">CANON-202601-001409</t>
  </si>
  <si>
    <t xml:space="preserve">CANON-202601-001412</t>
  </si>
  <si>
    <t xml:space="preserve">CANON-202601-001413</t>
  </si>
  <si>
    <t xml:space="preserve">CANON-202601-001415</t>
  </si>
  <si>
    <t xml:space="preserve">CANON-202601-001417</t>
  </si>
  <si>
    <t xml:space="preserve">Horace Fairweather</t>
  </si>
  <si>
    <t xml:space="preserve">CANON-202601-001418</t>
  </si>
  <si>
    <t xml:space="preserve">CANON-202601-001419</t>
  </si>
  <si>
    <t xml:space="preserve">CANON-202601-001420</t>
  </si>
  <si>
    <t xml:space="preserve">CANON-202601-001421</t>
  </si>
  <si>
    <t xml:space="preserve">CANON-202601-001422</t>
  </si>
  <si>
    <t xml:space="preserve">CANON-202601-001423</t>
  </si>
  <si>
    <t xml:space="preserve">CANON-202601-001424</t>
  </si>
  <si>
    <t xml:space="preserve">CANON-202601-001425</t>
  </si>
  <si>
    <t xml:space="preserve">CANON-202601-001426</t>
  </si>
  <si>
    <t xml:space="preserve">CANON-202601-001427</t>
  </si>
  <si>
    <t xml:space="preserve">CANON-202601-001428</t>
  </si>
  <si>
    <t xml:space="preserve">Fenwick Nakashima</t>
  </si>
  <si>
    <t xml:space="preserve">CANON-202601-001430</t>
  </si>
  <si>
    <t xml:space="preserve">CANON-202601-001432</t>
  </si>
  <si>
    <t xml:space="preserve">CANON-202601-001433</t>
  </si>
  <si>
    <t xml:space="preserve">CANON-202601-001434</t>
  </si>
  <si>
    <t xml:space="preserve">CANON-202601-001435</t>
  </si>
  <si>
    <t xml:space="preserve">CANON-202601-001436</t>
  </si>
  <si>
    <t xml:space="preserve">CANON-202601-001437</t>
  </si>
  <si>
    <t xml:space="preserve">CANON-202601-001438</t>
  </si>
  <si>
    <t xml:space="preserve">CANON-202601-001439</t>
  </si>
  <si>
    <t xml:space="preserve">CANON-202601-001440</t>
  </si>
  <si>
    <t xml:space="preserve">CANON-202601-001441</t>
  </si>
  <si>
    <t xml:space="preserve">CANON-202601-001442</t>
  </si>
  <si>
    <t xml:space="preserve">CANON-202601-001444</t>
  </si>
  <si>
    <t xml:space="preserve">CANON-202601-001446</t>
  </si>
  <si>
    <t xml:space="preserve">CANON-202601-001447</t>
  </si>
  <si>
    <t xml:space="preserve">CANON-202601-001448</t>
  </si>
  <si>
    <t xml:space="preserve">CANON-202601-001449</t>
  </si>
  <si>
    <t xml:space="preserve">CANON-202601-001450</t>
  </si>
  <si>
    <t xml:space="preserve">Emiliano Nakashima</t>
  </si>
  <si>
    <t xml:space="preserve">CANON-202601-001451</t>
  </si>
  <si>
    <t xml:space="preserve">CANON-202601-001453</t>
  </si>
  <si>
    <t xml:space="preserve">CANON-202601-001454</t>
  </si>
  <si>
    <t xml:space="preserve">CANON-202601-001456</t>
  </si>
  <si>
    <t xml:space="preserve">CANON-202601-001457</t>
  </si>
  <si>
    <t xml:space="preserve">Delphine Harrington</t>
  </si>
  <si>
    <t xml:space="preserve">CANON-202601-001458</t>
  </si>
  <si>
    <t xml:space="preserve">CANON-202601-001459</t>
  </si>
  <si>
    <t xml:space="preserve">CANON-202601-001460</t>
  </si>
  <si>
    <t xml:space="preserve">CANON-202601-001461</t>
  </si>
  <si>
    <t xml:space="preserve">Underwriting BDX — 2026-02  (Bound book only)</t>
  </si>
  <si>
    <t xml:space="preserve">CANON-202602-001463</t>
  </si>
  <si>
    <t xml:space="preserve">2026-02-17</t>
  </si>
  <si>
    <t xml:space="preserve">CANON-202602-001464</t>
  </si>
  <si>
    <t xml:space="preserve">2026-02-11</t>
  </si>
  <si>
    <t xml:space="preserve">CANON-202602-001465</t>
  </si>
  <si>
    <t xml:space="preserve">2026-02-23</t>
  </si>
  <si>
    <t xml:space="preserve">CANON-202602-001466</t>
  </si>
  <si>
    <t xml:space="preserve">2026-02-19</t>
  </si>
  <si>
    <t xml:space="preserve">CANON-202602-001467</t>
  </si>
  <si>
    <t xml:space="preserve">2026-02-28</t>
  </si>
  <si>
    <t xml:space="preserve">CANON-202602-001468</t>
  </si>
  <si>
    <t xml:space="preserve">2026-02-24</t>
  </si>
  <si>
    <t xml:space="preserve">CANON-202602-001470</t>
  </si>
  <si>
    <t xml:space="preserve">CANON-202602-001471</t>
  </si>
  <si>
    <t xml:space="preserve">2026-02-03</t>
  </si>
  <si>
    <t xml:space="preserve">Fenwick Kingsford</t>
  </si>
  <si>
    <t xml:space="preserve">CANON-202602-001472</t>
  </si>
  <si>
    <t xml:space="preserve">CANON-202602-001473</t>
  </si>
  <si>
    <t xml:space="preserve">CANON-202602-001474</t>
  </si>
  <si>
    <t xml:space="preserve">CANON-202602-001475</t>
  </si>
  <si>
    <t xml:space="preserve">2026-02-21</t>
  </si>
  <si>
    <t xml:space="preserve">CANON-202602-001476</t>
  </si>
  <si>
    <t xml:space="preserve">CANON-202602-001477</t>
  </si>
  <si>
    <t xml:space="preserve">2026-02-26</t>
  </si>
  <si>
    <t xml:space="preserve">CANON-202602-001478</t>
  </si>
  <si>
    <t xml:space="preserve">CANON-202602-001479</t>
  </si>
  <si>
    <t xml:space="preserve">2026-02-10</t>
  </si>
  <si>
    <t xml:space="preserve">CANON-202602-001480</t>
  </si>
  <si>
    <t xml:space="preserve">2026-02-09</t>
  </si>
  <si>
    <t xml:space="preserve">CANON-202602-001481</t>
  </si>
  <si>
    <t xml:space="preserve">CANON-202602-001482</t>
  </si>
  <si>
    <t xml:space="preserve">CANON-202602-001483</t>
  </si>
  <si>
    <t xml:space="preserve">2026-02-15</t>
  </si>
  <si>
    <t xml:space="preserve">CANON-202602-001484</t>
  </si>
  <si>
    <t xml:space="preserve">CANON-202602-001485</t>
  </si>
  <si>
    <t xml:space="preserve">CANON-202602-001486</t>
  </si>
  <si>
    <t xml:space="preserve">CANON-202602-001487</t>
  </si>
  <si>
    <t xml:space="preserve">2026-02-25</t>
  </si>
  <si>
    <t xml:space="preserve">CANON-202602-001488</t>
  </si>
  <si>
    <t xml:space="preserve">CANON-202602-001489</t>
  </si>
  <si>
    <t xml:space="preserve">2026-02-05</t>
  </si>
  <si>
    <t xml:space="preserve">CANON-202602-001490</t>
  </si>
  <si>
    <t xml:space="preserve">2026-02-04</t>
  </si>
  <si>
    <t xml:space="preserve">CANON-202602-001491</t>
  </si>
  <si>
    <t xml:space="preserve">CANON-202602-001492</t>
  </si>
  <si>
    <t xml:space="preserve">CANON-202602-001493</t>
  </si>
  <si>
    <t xml:space="preserve">2026-02-02</t>
  </si>
  <si>
    <t xml:space="preserve">Beatrix Rourke</t>
  </si>
  <si>
    <t xml:space="preserve">CANON-202602-001494</t>
  </si>
  <si>
    <t xml:space="preserve">2026-02-13</t>
  </si>
  <si>
    <t xml:space="preserve">CANON-202602-001496</t>
  </si>
  <si>
    <t xml:space="preserve">2026-02-01</t>
  </si>
  <si>
    <t xml:space="preserve">CANON-202602-001499</t>
  </si>
  <si>
    <t xml:space="preserve">CANON-202602-001500</t>
  </si>
  <si>
    <t xml:space="preserve">CANON-202602-001501</t>
  </si>
  <si>
    <t xml:space="preserve">CANON-202602-001502</t>
  </si>
  <si>
    <t xml:space="preserve">CANON-202602-001503</t>
  </si>
  <si>
    <t xml:space="preserve">CANON-202602-001504</t>
  </si>
  <si>
    <t xml:space="preserve">2026-02-18</t>
  </si>
  <si>
    <t xml:space="preserve">CANON-202602-001505</t>
  </si>
  <si>
    <t xml:space="preserve">CANON-202602-001506</t>
  </si>
  <si>
    <t xml:space="preserve">2026-02-14</t>
  </si>
  <si>
    <t xml:space="preserve">CANON-202602-001507</t>
  </si>
  <si>
    <t xml:space="preserve">2026-02-12</t>
  </si>
  <si>
    <t xml:space="preserve">CANON-202602-001508</t>
  </si>
  <si>
    <t xml:space="preserve">CANON-202602-001509</t>
  </si>
  <si>
    <t xml:space="preserve">CANON-202602-001512</t>
  </si>
  <si>
    <t xml:space="preserve">CANON-202602-001515</t>
  </si>
  <si>
    <t xml:space="preserve">2026-02-08</t>
  </si>
  <si>
    <t xml:space="preserve">CANON-202602-001517</t>
  </si>
  <si>
    <t xml:space="preserve">CANON-202602-001519</t>
  </si>
  <si>
    <t xml:space="preserve">Noor Okonkwo</t>
  </si>
  <si>
    <t xml:space="preserve">CANON-202602-001522</t>
  </si>
  <si>
    <t xml:space="preserve">CANON-202602-001523</t>
  </si>
  <si>
    <t xml:space="preserve">CANON-202602-001525</t>
  </si>
  <si>
    <t xml:space="preserve">CANON-202602-001527</t>
  </si>
  <si>
    <t xml:space="preserve">CANON-202602-001528</t>
  </si>
  <si>
    <t xml:space="preserve">CANON-202602-001529</t>
  </si>
  <si>
    <t xml:space="preserve">CANON-202602-001530</t>
  </si>
  <si>
    <t xml:space="preserve">CANON-202602-001531</t>
  </si>
  <si>
    <t xml:space="preserve">CANON-202602-001533</t>
  </si>
  <si>
    <t xml:space="preserve">CANON-202602-001534</t>
  </si>
  <si>
    <t xml:space="preserve">CANON-202602-001535</t>
  </si>
  <si>
    <t xml:space="preserve">CANON-202602-001536</t>
  </si>
  <si>
    <t xml:space="preserve">CANON-202602-001537</t>
  </si>
  <si>
    <t xml:space="preserve">CANON-202602-001538</t>
  </si>
  <si>
    <t xml:space="preserve">CANON-202602-001539</t>
  </si>
  <si>
    <t xml:space="preserve">2026-02-06</t>
  </si>
  <si>
    <t xml:space="preserve">CANON-202602-001540</t>
  </si>
  <si>
    <t xml:space="preserve">CANON-202602-001541</t>
  </si>
  <si>
    <t xml:space="preserve">CANON-202602-001542</t>
  </si>
  <si>
    <t xml:space="preserve">2026-02-07</t>
  </si>
  <si>
    <t xml:space="preserve">CANON-202602-001544</t>
  </si>
  <si>
    <t xml:space="preserve">CANON-202602-001545</t>
  </si>
  <si>
    <t xml:space="preserve">CANON-202602-001546</t>
  </si>
  <si>
    <t xml:space="preserve">Emiliano Ashcombe</t>
  </si>
  <si>
    <t xml:space="preserve">CANON-202602-001547</t>
  </si>
  <si>
    <t xml:space="preserve">Callum Larsson</t>
  </si>
  <si>
    <t xml:space="preserve">CANON-202602-001548</t>
  </si>
  <si>
    <t xml:space="preserve">CANON-202602-001549</t>
  </si>
  <si>
    <t xml:space="preserve">2026-02-27</t>
  </si>
  <si>
    <t xml:space="preserve">CANON-202602-001550</t>
  </si>
  <si>
    <t xml:space="preserve">2026-02-22</t>
  </si>
  <si>
    <t xml:space="preserve">CANON-202602-001551</t>
  </si>
  <si>
    <t xml:space="preserve">CANON-202602-001552</t>
  </si>
  <si>
    <t xml:space="preserve">CANON-202602-001553</t>
  </si>
  <si>
    <t xml:space="preserve">CANON-202602-001555</t>
  </si>
  <si>
    <t xml:space="preserve">CANON-202602-001556</t>
  </si>
  <si>
    <t xml:space="preserve">CANON-202602-001557</t>
  </si>
  <si>
    <t xml:space="preserve">CANON-202602-001558</t>
  </si>
  <si>
    <t xml:space="preserve">CANON-202602-001559</t>
  </si>
  <si>
    <t xml:space="preserve">CANON-202602-001560</t>
  </si>
  <si>
    <t xml:space="preserve">CANON-202602-001562</t>
  </si>
  <si>
    <t xml:space="preserve">CANON-202602-001563</t>
  </si>
  <si>
    <t xml:space="preserve">CANON-202602-001564</t>
  </si>
  <si>
    <t xml:space="preserve">CANON-202602-001566</t>
  </si>
  <si>
    <t xml:space="preserve">CANON-202602-001567</t>
  </si>
  <si>
    <t xml:space="preserve">Leopold Farkas</t>
  </si>
  <si>
    <t xml:space="preserve">CANON-202602-001568</t>
  </si>
  <si>
    <t xml:space="preserve">CANON-202602-001569</t>
  </si>
  <si>
    <t xml:space="preserve">CANON-202602-001571</t>
  </si>
  <si>
    <t xml:space="preserve">CANON-202602-001574</t>
  </si>
  <si>
    <t xml:space="preserve">Ingrid Bellandi</t>
  </si>
  <si>
    <t xml:space="preserve">CANON-202602-001575</t>
  </si>
  <si>
    <t xml:space="preserve">CANON-202602-001576</t>
  </si>
  <si>
    <t xml:space="preserve">CANON-202602-001577</t>
  </si>
  <si>
    <t xml:space="preserve">Everett Bellandi</t>
  </si>
  <si>
    <t xml:space="preserve">CANON-202602-001578</t>
  </si>
  <si>
    <t xml:space="preserve">CANON-202602-001579</t>
  </si>
  <si>
    <t xml:space="preserve">Saoirse Farkas</t>
  </si>
  <si>
    <t xml:space="preserve">CANON-202602-001581</t>
  </si>
  <si>
    <t xml:space="preserve">CANON-202602-001582</t>
  </si>
  <si>
    <t xml:space="preserve">CANON-202602-001583</t>
  </si>
  <si>
    <t xml:space="preserve">CANON-202602-001584</t>
  </si>
  <si>
    <t xml:space="preserve">CANON-202602-001587</t>
  </si>
  <si>
    <t xml:space="preserve">CANON-202602-001588</t>
  </si>
  <si>
    <t xml:space="preserve">CANON-202602-001589</t>
  </si>
  <si>
    <t xml:space="preserve">CANON-202602-001590</t>
  </si>
  <si>
    <t xml:space="preserve">CANON-202602-001591</t>
  </si>
  <si>
    <t xml:space="preserve">CANON-202602-001592</t>
  </si>
  <si>
    <t xml:space="preserve">CANON-202602-001593</t>
  </si>
  <si>
    <t xml:space="preserve">CANON-202602-001595</t>
  </si>
  <si>
    <t xml:space="preserve">CANON-202602-001596</t>
  </si>
  <si>
    <t xml:space="preserve">CANON-202602-001597</t>
  </si>
  <si>
    <t xml:space="preserve">CANON-202602-001598</t>
  </si>
  <si>
    <t xml:space="preserve">CANON-202602-001599</t>
  </si>
  <si>
    <t xml:space="preserve">CANON-202602-001602</t>
  </si>
  <si>
    <t xml:space="preserve">CANON-202602-001603</t>
  </si>
  <si>
    <t xml:space="preserve">CANON-202602-001604</t>
  </si>
  <si>
    <t xml:space="preserve">CANON-202602-001606</t>
  </si>
  <si>
    <t xml:space="preserve">CANON-202602-001608</t>
  </si>
  <si>
    <t xml:space="preserve">Priya Vasquez</t>
  </si>
  <si>
    <t xml:space="preserve">CANON-202602-001609</t>
  </si>
  <si>
    <t xml:space="preserve">CANON-202602-001610</t>
  </si>
  <si>
    <t xml:space="preserve">Noor Rourke</t>
  </si>
  <si>
    <t xml:space="preserve">CANON-202602-001611</t>
  </si>
  <si>
    <t xml:space="preserve">Delphine Chattopadhyay</t>
  </si>
  <si>
    <t xml:space="preserve">CANON-202602-001612</t>
  </si>
  <si>
    <t xml:space="preserve">CANON-202602-001613</t>
  </si>
  <si>
    <t xml:space="preserve">CANON-202602-001614</t>
  </si>
  <si>
    <t xml:space="preserve">CANON-202602-001617</t>
  </si>
  <si>
    <t xml:space="preserve">CANON-202602-001618</t>
  </si>
  <si>
    <t xml:space="preserve">CANON-202602-001619</t>
  </si>
  <si>
    <t xml:space="preserve">CANON-202602-001621</t>
  </si>
  <si>
    <t xml:space="preserve">Ottilie Ashcombe</t>
  </si>
  <si>
    <t xml:space="preserve">CANON-202602-001622</t>
  </si>
  <si>
    <t xml:space="preserve">CANON-202602-001623</t>
  </si>
  <si>
    <t xml:space="preserve">CANON-202602-001624</t>
  </si>
  <si>
    <t xml:space="preserve">CANON-202602-001625</t>
  </si>
  <si>
    <t xml:space="preserve">CANON-202602-001626</t>
  </si>
  <si>
    <t xml:space="preserve">CANON-202602-001627</t>
  </si>
  <si>
    <t xml:space="preserve">CANON-202602-001628</t>
  </si>
  <si>
    <t xml:space="preserve">CANON-202602-001629</t>
  </si>
  <si>
    <t xml:space="preserve">CANON-202602-001630</t>
  </si>
  <si>
    <t xml:space="preserve">2026-02-20</t>
  </si>
  <si>
    <t xml:space="preserve">CANON-202602-001631</t>
  </si>
  <si>
    <t xml:space="preserve">CANON-202602-001633</t>
  </si>
  <si>
    <t xml:space="preserve">CANON-202602-001634</t>
  </si>
  <si>
    <t xml:space="preserve">CANON-202602-001635</t>
  </si>
  <si>
    <t xml:space="preserve">CANON-202602-001636</t>
  </si>
  <si>
    <t xml:space="preserve">CANON-202602-001638</t>
  </si>
  <si>
    <t xml:space="preserve">CANON-202602-001639</t>
  </si>
  <si>
    <t xml:space="preserve">CANON-202602-001640</t>
  </si>
  <si>
    <t xml:space="preserve">CANON-202602-001641</t>
  </si>
  <si>
    <t xml:space="preserve">CANON-202602-001643</t>
  </si>
  <si>
    <t xml:space="preserve">CANON-202602-001644</t>
  </si>
  <si>
    <t xml:space="preserve">CANON-202602-001645</t>
  </si>
  <si>
    <t xml:space="preserve">CANON-202602-001647</t>
  </si>
  <si>
    <t xml:space="preserve">CANON-202602-001648</t>
  </si>
  <si>
    <t xml:space="preserve">CANON-202602-001649</t>
  </si>
  <si>
    <t xml:space="preserve">CANON-202602-001650</t>
  </si>
  <si>
    <t xml:space="preserve">CANON-202602-001651</t>
  </si>
  <si>
    <t xml:space="preserve">CANON-202602-001653</t>
  </si>
  <si>
    <t xml:space="preserve">CANON-202602-001654</t>
  </si>
  <si>
    <t xml:space="preserve">CANON-202602-001655</t>
  </si>
  <si>
    <t xml:space="preserve">CANON-202602-001656</t>
  </si>
  <si>
    <t xml:space="preserve">Ramona Okonkwo</t>
  </si>
  <si>
    <t xml:space="preserve">CANON-202602-001657</t>
  </si>
  <si>
    <t xml:space="preserve">Delphine Thistlewood</t>
  </si>
  <si>
    <t xml:space="preserve">CANON-202602-001658</t>
  </si>
  <si>
    <t xml:space="preserve">CANON-202602-001660</t>
  </si>
  <si>
    <t xml:space="preserve">CANON-202602-001663</t>
  </si>
  <si>
    <t xml:space="preserve">CANON-202602-001664</t>
  </si>
  <si>
    <t xml:space="preserve">CANON-202602-001666</t>
  </si>
  <si>
    <t xml:space="preserve">CANON-202602-001667</t>
  </si>
  <si>
    <t xml:space="preserve">CANON-202602-001668</t>
  </si>
  <si>
    <t xml:space="preserve">Desmond Whitlock</t>
  </si>
  <si>
    <t xml:space="preserve">CANON-202602-001669</t>
  </si>
  <si>
    <t xml:space="preserve">Saoirse Merriweather</t>
  </si>
  <si>
    <t xml:space="preserve">CANON-202602-001670</t>
  </si>
  <si>
    <t xml:space="preserve">CANON-202602-001673</t>
  </si>
  <si>
    <t xml:space="preserve">CANON-202602-001675</t>
  </si>
  <si>
    <t xml:space="preserve">CANON-202602-001677</t>
  </si>
  <si>
    <t xml:space="preserve">CANON-202602-001678</t>
  </si>
  <si>
    <t xml:space="preserve">CANON-202602-001679</t>
  </si>
  <si>
    <t xml:space="preserve">CANON-202602-001680</t>
  </si>
  <si>
    <t xml:space="preserve">CANON-202602-001681</t>
  </si>
  <si>
    <t xml:space="preserve">CANON-202602-001682</t>
  </si>
  <si>
    <t xml:space="preserve">CANON-202602-001686</t>
  </si>
  <si>
    <t xml:space="preserve">CANON-202602-001687</t>
  </si>
  <si>
    <t xml:space="preserve">CANON-202602-001688</t>
  </si>
  <si>
    <t xml:space="preserve">CANON-202602-001689</t>
  </si>
  <si>
    <t xml:space="preserve">CANON-202602-001690</t>
  </si>
  <si>
    <t xml:space="preserve">CANON-202602-001692</t>
  </si>
  <si>
    <t xml:space="preserve">CANON-202602-001695</t>
  </si>
  <si>
    <t xml:space="preserve">Ottilie Farkas</t>
  </si>
  <si>
    <t xml:space="preserve">CANON-202602-001696</t>
  </si>
  <si>
    <t xml:space="preserve">CANON-202602-001697</t>
  </si>
  <si>
    <t xml:space="preserve">CANON-202602-001698</t>
  </si>
  <si>
    <t xml:space="preserve">CANON-202602-001701</t>
  </si>
  <si>
    <t xml:space="preserve">CANON-202602-001702</t>
  </si>
  <si>
    <t xml:space="preserve">CANON-202602-001704</t>
  </si>
  <si>
    <t xml:space="preserve">2026-02-16</t>
  </si>
  <si>
    <t xml:space="preserve">CANON-202602-001705</t>
  </si>
  <si>
    <t xml:space="preserve">CANON-202602-001706</t>
  </si>
  <si>
    <t xml:space="preserve">CANON-202602-001707</t>
  </si>
  <si>
    <t xml:space="preserve">CANON-202602-001708</t>
  </si>
  <si>
    <t xml:space="preserve">CANON-202602-001709</t>
  </si>
  <si>
    <t xml:space="preserve">CANON-202602-001710</t>
  </si>
  <si>
    <t xml:space="preserve">CANON-202602-001711</t>
  </si>
  <si>
    <t xml:space="preserve">Horace Underwood</t>
  </si>
  <si>
    <t xml:space="preserve">CANON-202602-001713</t>
  </si>
  <si>
    <t xml:space="preserve">CANON-202602-001714</t>
  </si>
  <si>
    <t xml:space="preserve">CANON-202602-001715</t>
  </si>
  <si>
    <t xml:space="preserve">CANON-202602-001716</t>
  </si>
  <si>
    <t xml:space="preserve">CANON-202602-001717</t>
  </si>
  <si>
    <t xml:space="preserve">Delphine Bellandi</t>
  </si>
  <si>
    <t xml:space="preserve">CANON-202602-001719</t>
  </si>
  <si>
    <t xml:space="preserve">CANON-202602-001720</t>
  </si>
  <si>
    <t xml:space="preserve">CANON-202602-001723</t>
  </si>
  <si>
    <t xml:space="preserve">CANON-202602-001726</t>
  </si>
  <si>
    <t xml:space="preserve">CANON-202602-001727</t>
  </si>
  <si>
    <t xml:space="preserve">CANON-202602-001728</t>
  </si>
  <si>
    <t xml:space="preserve">CANON-202602-001729</t>
  </si>
  <si>
    <t xml:space="preserve">CANON-202602-001730</t>
  </si>
  <si>
    <t xml:space="preserve">CANON-202602-001731</t>
  </si>
  <si>
    <t xml:space="preserve">CANON-202602-001732</t>
  </si>
  <si>
    <t xml:space="preserve">CANON-202602-001735</t>
  </si>
  <si>
    <t xml:space="preserve">CANON-202602-001737</t>
  </si>
  <si>
    <t xml:space="preserve">CANON-202602-001739</t>
  </si>
  <si>
    <t xml:space="preserve">CANON-202602-001741</t>
  </si>
  <si>
    <t xml:space="preserve">CANON-202602-001742</t>
  </si>
  <si>
    <t xml:space="preserve">CANON-202602-001743</t>
  </si>
  <si>
    <t xml:space="preserve">CANON-202602-001744</t>
  </si>
  <si>
    <t xml:space="preserve">CANON-202602-001745</t>
  </si>
  <si>
    <t xml:space="preserve">Underwriting BDX — 2026-03  (Bound book only)</t>
  </si>
  <si>
    <t xml:space="preserve">CANON-202603-001746</t>
  </si>
  <si>
    <t xml:space="preserve">2026-03-09</t>
  </si>
  <si>
    <t xml:space="preserve">CANON-202603-001747</t>
  </si>
  <si>
    <t xml:space="preserve">CANON-202603-001748</t>
  </si>
  <si>
    <t xml:space="preserve">2026-03-14</t>
  </si>
  <si>
    <t xml:space="preserve">Noor Whitlock</t>
  </si>
  <si>
    <t xml:space="preserve">CANON-202603-001750</t>
  </si>
  <si>
    <t xml:space="preserve">2026-03-28</t>
  </si>
  <si>
    <t xml:space="preserve">CANON-202603-001751</t>
  </si>
  <si>
    <t xml:space="preserve">2026-03-26</t>
  </si>
  <si>
    <t xml:space="preserve">CANON-202603-001752</t>
  </si>
  <si>
    <t xml:space="preserve">2026-03-20</t>
  </si>
  <si>
    <t xml:space="preserve">CANON-202603-001753</t>
  </si>
  <si>
    <t xml:space="preserve">2026-03-19</t>
  </si>
  <si>
    <t xml:space="preserve">Marisol Farkas</t>
  </si>
  <si>
    <t xml:space="preserve">CANON-202603-001754</t>
  </si>
  <si>
    <t xml:space="preserve">2026-03-24</t>
  </si>
  <si>
    <t xml:space="preserve">CANON-202603-001755</t>
  </si>
  <si>
    <t xml:space="preserve">2026-03-29</t>
  </si>
  <si>
    <t xml:space="preserve">CANON-202603-001756</t>
  </si>
  <si>
    <t xml:space="preserve">2026-03-10</t>
  </si>
  <si>
    <t xml:space="preserve">CANON-202603-001757</t>
  </si>
  <si>
    <t xml:space="preserve">2026-03-08</t>
  </si>
  <si>
    <t xml:space="preserve">CANON-202603-001758</t>
  </si>
  <si>
    <t xml:space="preserve">2026-03-30</t>
  </si>
  <si>
    <t xml:space="preserve">CANON-202603-001759</t>
  </si>
  <si>
    <t xml:space="preserve">CANON-202603-001760</t>
  </si>
  <si>
    <t xml:space="preserve">2026-03-15</t>
  </si>
  <si>
    <t xml:space="preserve">CANON-202603-001761</t>
  </si>
  <si>
    <t xml:space="preserve">2026-03-17</t>
  </si>
  <si>
    <t xml:space="preserve">Ottilie Delacroix</t>
  </si>
  <si>
    <t xml:space="preserve">CANON-202603-001762</t>
  </si>
  <si>
    <t xml:space="preserve">2026-03-04</t>
  </si>
  <si>
    <t xml:space="preserve">CANON-202603-001763</t>
  </si>
  <si>
    <t xml:space="preserve">2026-03-25</t>
  </si>
  <si>
    <t xml:space="preserve">CANON-202603-001764</t>
  </si>
  <si>
    <t xml:space="preserve">2026-03-22</t>
  </si>
  <si>
    <t xml:space="preserve">CANON-202603-001767</t>
  </si>
  <si>
    <t xml:space="preserve">CANON-202603-001768</t>
  </si>
  <si>
    <t xml:space="preserve">CANON-202603-001769</t>
  </si>
  <si>
    <t xml:space="preserve">CANON-202603-001770</t>
  </si>
  <si>
    <t xml:space="preserve">CANON-202603-001772</t>
  </si>
  <si>
    <t xml:space="preserve">2026-03-07</t>
  </si>
  <si>
    <t xml:space="preserve">CANON-202603-001773</t>
  </si>
  <si>
    <t xml:space="preserve">2026-03-12</t>
  </si>
  <si>
    <t xml:space="preserve">CANON-202603-001774</t>
  </si>
  <si>
    <t xml:space="preserve">CANON-202603-001776</t>
  </si>
  <si>
    <t xml:space="preserve">CANON-202603-001777</t>
  </si>
  <si>
    <t xml:space="preserve">2026-03-11</t>
  </si>
  <si>
    <t xml:space="preserve">CANON-202603-001779</t>
  </si>
  <si>
    <t xml:space="preserve">2026-03-31</t>
  </si>
  <si>
    <t xml:space="preserve">CANON-202603-001780</t>
  </si>
  <si>
    <t xml:space="preserve">CANON-202603-001781</t>
  </si>
  <si>
    <t xml:space="preserve">Ottilie Bellandi</t>
  </si>
  <si>
    <t xml:space="preserve">CANON-202603-001783</t>
  </si>
  <si>
    <t xml:space="preserve">CANON-202603-001784</t>
  </si>
  <si>
    <t xml:space="preserve">2026-03-16</t>
  </si>
  <si>
    <t xml:space="preserve">CANON-202603-001785</t>
  </si>
  <si>
    <t xml:space="preserve">CANON-202603-001786</t>
  </si>
  <si>
    <t xml:space="preserve">2026-03-18</t>
  </si>
  <si>
    <t xml:space="preserve">Anouk Rourke</t>
  </si>
  <si>
    <t xml:space="preserve">CANON-202603-001787</t>
  </si>
  <si>
    <t xml:space="preserve">2026-03-03</t>
  </si>
  <si>
    <t xml:space="preserve">CANON-202603-001788</t>
  </si>
  <si>
    <t xml:space="preserve">2026-03-23</t>
  </si>
  <si>
    <t xml:space="preserve">CANON-202603-001789</t>
  </si>
  <si>
    <t xml:space="preserve">Leopold Larsson</t>
  </si>
  <si>
    <t xml:space="preserve">CANON-202603-001790</t>
  </si>
  <si>
    <t xml:space="preserve">CANON-202603-001791</t>
  </si>
  <si>
    <t xml:space="preserve">CANON-202603-001793</t>
  </si>
  <si>
    <t xml:space="preserve">CANON-202603-001794</t>
  </si>
  <si>
    <t xml:space="preserve">CANON-202603-001795</t>
  </si>
  <si>
    <t xml:space="preserve">CANON-202603-001796</t>
  </si>
  <si>
    <t xml:space="preserve">CANON-202603-001797</t>
  </si>
  <si>
    <t xml:space="preserve">Delphine Fairweather</t>
  </si>
  <si>
    <t xml:space="preserve">CANON-202603-001798</t>
  </si>
  <si>
    <t xml:space="preserve">2026-03-21</t>
  </si>
  <si>
    <t xml:space="preserve">CANON-202603-001799</t>
  </si>
  <si>
    <t xml:space="preserve">CANON-202603-001800</t>
  </si>
  <si>
    <t xml:space="preserve">2026-03-06</t>
  </si>
  <si>
    <t xml:space="preserve">CANON-202603-001802</t>
  </si>
  <si>
    <t xml:space="preserve">CANON-202603-001803</t>
  </si>
  <si>
    <t xml:space="preserve">CANON-202603-001805</t>
  </si>
  <si>
    <t xml:space="preserve">2026-03-02</t>
  </si>
  <si>
    <t xml:space="preserve">Thaddeus Farkas</t>
  </si>
  <si>
    <t xml:space="preserve">CANON-202603-001807</t>
  </si>
  <si>
    <t xml:space="preserve">CANON-202603-001808</t>
  </si>
  <si>
    <t xml:space="preserve">CANON-202603-001810</t>
  </si>
  <si>
    <t xml:space="preserve">CANON-202603-001811</t>
  </si>
  <si>
    <t xml:space="preserve">CANON-202603-001812</t>
  </si>
  <si>
    <t xml:space="preserve">CANON-202603-001813</t>
  </si>
  <si>
    <t xml:space="preserve">CANON-202603-001814</t>
  </si>
  <si>
    <t xml:space="preserve">CANON-202603-001816</t>
  </si>
  <si>
    <t xml:space="preserve">CANON-202603-001817</t>
  </si>
  <si>
    <t xml:space="preserve">2026-03-05</t>
  </si>
  <si>
    <t xml:space="preserve">CANON-202603-001818</t>
  </si>
  <si>
    <t xml:space="preserve">CANON-202603-001819</t>
  </si>
  <si>
    <t xml:space="preserve">CANON-202603-001820</t>
  </si>
  <si>
    <t xml:space="preserve">CANON-202603-001822</t>
  </si>
  <si>
    <t xml:space="preserve">CANON-202603-001823</t>
  </si>
  <si>
    <t xml:space="preserve">CANON-202603-001824</t>
  </si>
  <si>
    <t xml:space="preserve">CANON-202603-001826</t>
  </si>
  <si>
    <t xml:space="preserve">CANON-202603-001827</t>
  </si>
  <si>
    <t xml:space="preserve">CANON-202603-001828</t>
  </si>
  <si>
    <t xml:space="preserve">CANON-202603-001829</t>
  </si>
  <si>
    <t xml:space="preserve">2026-03-01</t>
  </si>
  <si>
    <t xml:space="preserve">CANON-202603-001830</t>
  </si>
  <si>
    <t xml:space="preserve">2026-03-27</t>
  </si>
  <si>
    <t xml:space="preserve">Anouk Underwood</t>
  </si>
  <si>
    <t xml:space="preserve">CANON-202603-001831</t>
  </si>
  <si>
    <t xml:space="preserve">CANON-202603-001832</t>
  </si>
  <si>
    <t xml:space="preserve">CANON-202603-001833</t>
  </si>
  <si>
    <t xml:space="preserve">CANON-202603-001834</t>
  </si>
  <si>
    <t xml:space="preserve">CANON-202603-001835</t>
  </si>
  <si>
    <t xml:space="preserve">CANON-202603-001837</t>
  </si>
  <si>
    <t xml:space="preserve">CANON-202603-001839</t>
  </si>
  <si>
    <t xml:space="preserve">CANON-202603-001841</t>
  </si>
  <si>
    <t xml:space="preserve">CANON-202603-001842</t>
  </si>
  <si>
    <t xml:space="preserve">Callum Merriweather</t>
  </si>
  <si>
    <t xml:space="preserve">CANON-202603-001843</t>
  </si>
  <si>
    <t xml:space="preserve">CANON-202603-001845</t>
  </si>
  <si>
    <t xml:space="preserve">CANON-202603-001846</t>
  </si>
  <si>
    <t xml:space="preserve">CANON-202603-001847</t>
  </si>
  <si>
    <t xml:space="preserve">CANON-202603-001849</t>
  </si>
  <si>
    <t xml:space="preserve">CANON-202603-001850</t>
  </si>
  <si>
    <t xml:space="preserve">CANON-202603-001851</t>
  </si>
  <si>
    <t xml:space="preserve">CANON-202603-001852</t>
  </si>
  <si>
    <t xml:space="preserve">CANON-202603-001853</t>
  </si>
  <si>
    <t xml:space="preserve">CANON-202603-001854</t>
  </si>
  <si>
    <t xml:space="preserve">CANON-202603-001855</t>
  </si>
  <si>
    <t xml:space="preserve">CANON-202603-001856</t>
  </si>
  <si>
    <t xml:space="preserve">Marisol Chattopadhyay</t>
  </si>
  <si>
    <t xml:space="preserve">CANON-202603-001857</t>
  </si>
  <si>
    <t xml:space="preserve">CANON-202603-001859</t>
  </si>
  <si>
    <t xml:space="preserve">CANON-202603-001860</t>
  </si>
  <si>
    <t xml:space="preserve">Callum Bellandi</t>
  </si>
  <si>
    <t xml:space="preserve">CANON-202603-001861</t>
  </si>
  <si>
    <t xml:space="preserve">CANON-202603-001862</t>
  </si>
  <si>
    <t xml:space="preserve">CANON-202603-001863</t>
  </si>
  <si>
    <t xml:space="preserve">CANON-202603-001864</t>
  </si>
  <si>
    <t xml:space="preserve">CANON-202603-001866</t>
  </si>
  <si>
    <t xml:space="preserve">CANON-202603-001867</t>
  </si>
  <si>
    <t xml:space="preserve">CANON-202603-001868</t>
  </si>
  <si>
    <t xml:space="preserve">CANON-202603-001869</t>
  </si>
  <si>
    <t xml:space="preserve">CANON-202603-001870</t>
  </si>
  <si>
    <t xml:space="preserve">CANON-202603-001871</t>
  </si>
  <si>
    <t xml:space="preserve">CANON-202603-001873</t>
  </si>
  <si>
    <t xml:space="preserve">CANON-202603-001874</t>
  </si>
  <si>
    <t xml:space="preserve">CANON-202603-001877</t>
  </si>
  <si>
    <t xml:space="preserve">CANON-202603-001880</t>
  </si>
  <si>
    <t xml:space="preserve">Thaddeus Underwood</t>
  </si>
  <si>
    <t xml:space="preserve">CANON-202603-001881</t>
  </si>
  <si>
    <t xml:space="preserve">CANON-202603-001882</t>
  </si>
  <si>
    <t xml:space="preserve">CANON-202603-001883</t>
  </si>
  <si>
    <t xml:space="preserve">CANON-202603-001885</t>
  </si>
  <si>
    <t xml:space="preserve">CANON-202603-001887</t>
  </si>
  <si>
    <t xml:space="preserve">CANON-202603-001888</t>
  </si>
  <si>
    <t xml:space="preserve">CANON-202603-001889</t>
  </si>
  <si>
    <t xml:space="preserve">CANON-202603-001890</t>
  </si>
  <si>
    <t xml:space="preserve">CANON-202603-001891</t>
  </si>
  <si>
    <t xml:space="preserve">Noor Nakashima</t>
  </si>
  <si>
    <t xml:space="preserve">CANON-202603-001893</t>
  </si>
  <si>
    <t xml:space="preserve">CANON-202603-001894</t>
  </si>
  <si>
    <t xml:space="preserve">CANON-202603-001895</t>
  </si>
  <si>
    <t xml:space="preserve">CANON-202603-001896</t>
  </si>
  <si>
    <t xml:space="preserve">CANON-202603-001897</t>
  </si>
  <si>
    <t xml:space="preserve">CANON-202603-001898</t>
  </si>
  <si>
    <t xml:space="preserve">CANON-202603-001899</t>
  </si>
  <si>
    <t xml:space="preserve">CANON-202603-001901</t>
  </si>
  <si>
    <t xml:space="preserve">CANON-202603-001903</t>
  </si>
  <si>
    <t xml:space="preserve">CANON-202603-001905</t>
  </si>
  <si>
    <t xml:space="preserve">CANON-202603-001906</t>
  </si>
  <si>
    <t xml:space="preserve">CANON-202603-001908</t>
  </si>
  <si>
    <t xml:space="preserve">CANON-202603-001909</t>
  </si>
  <si>
    <t xml:space="preserve">CANON-202603-001911</t>
  </si>
  <si>
    <t xml:space="preserve">CANON-202603-001912</t>
  </si>
  <si>
    <t xml:space="preserve">Noor Merriweather</t>
  </si>
  <si>
    <t xml:space="preserve">CANON-202603-001915</t>
  </si>
  <si>
    <t xml:space="preserve">CANON-202603-001917</t>
  </si>
  <si>
    <t xml:space="preserve">CANON-202603-001918</t>
  </si>
  <si>
    <t xml:space="preserve">CANON-202603-001920</t>
  </si>
  <si>
    <t xml:space="preserve">CANON-202603-001921</t>
  </si>
  <si>
    <t xml:space="preserve">Sunniva Delacroix</t>
  </si>
  <si>
    <t xml:space="preserve">CANON-202603-001924</t>
  </si>
  <si>
    <t xml:space="preserve">CANON-202603-001925</t>
  </si>
  <si>
    <t xml:space="preserve">CANON-202603-001926</t>
  </si>
  <si>
    <t xml:space="preserve">CANON-202603-001927</t>
  </si>
  <si>
    <t xml:space="preserve">CANON-202603-001928</t>
  </si>
  <si>
    <t xml:space="preserve">CANON-202603-001929</t>
  </si>
  <si>
    <t xml:space="preserve">CANON-202603-001931</t>
  </si>
  <si>
    <t xml:space="preserve">CANON-202603-001932</t>
  </si>
  <si>
    <t xml:space="preserve">CANON-202603-001935</t>
  </si>
  <si>
    <t xml:space="preserve">CANON-202603-001936</t>
  </si>
  <si>
    <t xml:space="preserve">CANON-202603-001937</t>
  </si>
  <si>
    <t xml:space="preserve">CANON-202603-001939</t>
  </si>
  <si>
    <t xml:space="preserve">CANON-202603-001940</t>
  </si>
  <si>
    <t xml:space="preserve">Ottilie Larsson</t>
  </si>
  <si>
    <t xml:space="preserve">CANON-202603-001941</t>
  </si>
  <si>
    <t xml:space="preserve">CANON-202603-001942</t>
  </si>
  <si>
    <t xml:space="preserve">2026-03-13</t>
  </si>
  <si>
    <t xml:space="preserve">CANON-202603-001943</t>
  </si>
  <si>
    <t xml:space="preserve">CANON-202603-001944</t>
  </si>
  <si>
    <t xml:space="preserve">CANON-202603-001945</t>
  </si>
  <si>
    <t xml:space="preserve">CANON-202603-001946</t>
  </si>
  <si>
    <t xml:space="preserve">CANON-202603-001947</t>
  </si>
  <si>
    <t xml:space="preserve">CANON-202603-001948</t>
  </si>
  <si>
    <t xml:space="preserve">CANON-202603-001950</t>
  </si>
  <si>
    <t xml:space="preserve">CANON-202603-001951</t>
  </si>
  <si>
    <t xml:space="preserve">CANON-202603-001952</t>
  </si>
  <si>
    <t xml:space="preserve">CANON-202603-001953</t>
  </si>
  <si>
    <t xml:space="preserve">CANON-202603-001954</t>
  </si>
  <si>
    <t xml:space="preserve">CANON-202603-001955</t>
  </si>
  <si>
    <t xml:space="preserve">CANON-202603-001956</t>
  </si>
  <si>
    <t xml:space="preserve">Sunniva Vasquez</t>
  </si>
  <si>
    <t xml:space="preserve">CANON-202603-001957</t>
  </si>
  <si>
    <t xml:space="preserve">CANON-202603-001958</t>
  </si>
  <si>
    <t xml:space="preserve">CANON-202603-001959</t>
  </si>
  <si>
    <t xml:space="preserve">CANON-202603-001960</t>
  </si>
  <si>
    <t xml:space="preserve">CANON-202603-001961</t>
  </si>
  <si>
    <t xml:space="preserve">CANON-202603-001962</t>
  </si>
  <si>
    <t xml:space="preserve">CANON-202603-001964</t>
  </si>
  <si>
    <t xml:space="preserve">CANON-202603-001965</t>
  </si>
  <si>
    <t xml:space="preserve">CANON-202603-001967</t>
  </si>
  <si>
    <t xml:space="preserve">CANON-202603-001968</t>
  </si>
  <si>
    <t xml:space="preserve">CANON-202603-001970</t>
  </si>
  <si>
    <t xml:space="preserve">CANON-202603-001972</t>
  </si>
  <si>
    <t xml:space="preserve">Beatrix Underwood</t>
  </si>
  <si>
    <t xml:space="preserve">CANON-202603-001973</t>
  </si>
  <si>
    <t xml:space="preserve">CANON-202603-001974</t>
  </si>
  <si>
    <t xml:space="preserve">CANON-202603-001975</t>
  </si>
  <si>
    <t xml:space="preserve">CANON-202603-001976</t>
  </si>
  <si>
    <t xml:space="preserve">Ramona Underwood</t>
  </si>
  <si>
    <t xml:space="preserve">CANON-202603-001977</t>
  </si>
  <si>
    <t xml:space="preserve">CANON-202603-001980</t>
  </si>
  <si>
    <t xml:space="preserve">CANON-202603-001981</t>
  </si>
  <si>
    <t xml:space="preserve">CANON-202603-001982</t>
  </si>
  <si>
    <t xml:space="preserve">CANON-202603-001984</t>
  </si>
  <si>
    <t xml:space="preserve">CANON-202603-001985</t>
  </si>
  <si>
    <t xml:space="preserve">Leopold Delacroix</t>
  </si>
  <si>
    <t xml:space="preserve">CANON-202603-001986</t>
  </si>
  <si>
    <t xml:space="preserve">CANON-202603-001987</t>
  </si>
  <si>
    <t xml:space="preserve">CANON-202603-001989</t>
  </si>
  <si>
    <t xml:space="preserve">Everett Chattopadhyay</t>
  </si>
  <si>
    <t xml:space="preserve">CANON-202603-001990</t>
  </si>
  <si>
    <t xml:space="preserve">CANON-202603-001992</t>
  </si>
  <si>
    <t xml:space="preserve">CANON-202603-001993</t>
  </si>
  <si>
    <t xml:space="preserve">CANON-202603-001994</t>
  </si>
  <si>
    <t xml:space="preserve">Priya Whitlock</t>
  </si>
  <si>
    <t xml:space="preserve">CANON-202603-001996</t>
  </si>
  <si>
    <t xml:space="preserve">Fitzgerald Larsson</t>
  </si>
  <si>
    <t xml:space="preserve">CANON-202603-001997</t>
  </si>
  <si>
    <t xml:space="preserve">CANON-202603-001998</t>
  </si>
  <si>
    <t xml:space="preserve">CANON-202603-001999</t>
  </si>
  <si>
    <t xml:space="preserve">CANON-202603-002001</t>
  </si>
  <si>
    <t xml:space="preserve">CANON-202603-002002</t>
  </si>
  <si>
    <t xml:space="preserve">CANON-202603-002003</t>
  </si>
  <si>
    <t xml:space="preserve">CANON-202603-002004</t>
  </si>
  <si>
    <t xml:space="preserve">CANON-202603-002005</t>
  </si>
  <si>
    <t xml:space="preserve">CANON-202603-002006</t>
  </si>
  <si>
    <t xml:space="preserve">CANON-202603-002008</t>
  </si>
  <si>
    <t xml:space="preserve">CANON-202603-002009</t>
  </si>
  <si>
    <t xml:space="preserve">CANON-202603-002012</t>
  </si>
  <si>
    <t xml:space="preserve">CANON-202603-002013</t>
  </si>
  <si>
    <t xml:space="preserve">CANON-202603-002014</t>
  </si>
  <si>
    <t xml:space="preserve">CANON-202603-002015</t>
  </si>
  <si>
    <t xml:space="preserve">CANON-202603-002017</t>
  </si>
  <si>
    <t xml:space="preserve">CANON-202603-002018</t>
  </si>
  <si>
    <t xml:space="preserve">CANON-202603-002019</t>
  </si>
  <si>
    <t xml:space="preserve">CANON-202603-002020</t>
  </si>
  <si>
    <t xml:space="preserve">CANON-202603-002021</t>
  </si>
  <si>
    <t xml:space="preserve">CANON-202603-002022</t>
  </si>
  <si>
    <t xml:space="preserve">CANON-202603-002023</t>
  </si>
  <si>
    <t xml:space="preserve">CANON-202603-002024</t>
  </si>
  <si>
    <t xml:space="preserve">CANON-202603-002028</t>
  </si>
  <si>
    <t xml:space="preserve">CANON-202603-002029</t>
  </si>
  <si>
    <t xml:space="preserve">CANON-202603-002032</t>
  </si>
  <si>
    <t xml:space="preserve">Fenwick Ashcombe</t>
  </si>
  <si>
    <t xml:space="preserve">CANON-202603-002034</t>
  </si>
  <si>
    <t xml:space="preserve">CANON-202603-002035</t>
  </si>
  <si>
    <t xml:space="preserve">CANON-202603-002036</t>
  </si>
  <si>
    <t xml:space="preserve">CANON-202603-002037</t>
  </si>
  <si>
    <t xml:space="preserve">CANON-202603-002038</t>
  </si>
  <si>
    <t xml:space="preserve">CANON-202603-002039</t>
  </si>
  <si>
    <t xml:space="preserve">CANON-202603-002040</t>
  </si>
  <si>
    <t xml:space="preserve">CANON-202603-002041</t>
  </si>
  <si>
    <t xml:space="preserve">CANON-202603-002042</t>
  </si>
  <si>
    <t xml:space="preserve">CANON-202603-002043</t>
  </si>
  <si>
    <t xml:space="preserve">CANON-202603-002047</t>
  </si>
  <si>
    <t xml:space="preserve">CANON-202603-002048</t>
  </si>
  <si>
    <t xml:space="preserve">CANON-202603-002049</t>
  </si>
  <si>
    <t xml:space="preserve">CANON-202603-002050</t>
  </si>
  <si>
    <t xml:space="preserve">CANON-202603-002052</t>
  </si>
  <si>
    <t xml:space="preserve">CANON-202603-002053</t>
  </si>
  <si>
    <t xml:space="preserve">Marisol Vandermeer</t>
  </si>
  <si>
    <t xml:space="preserve">CANON-202603-002055</t>
  </si>
  <si>
    <t xml:space="preserve">CANON-202603-002056</t>
  </si>
  <si>
    <t xml:space="preserve">Fitzgerald Farkas</t>
  </si>
  <si>
    <t xml:space="preserve">CANON-202603-002058</t>
  </si>
  <si>
    <t xml:space="preserve">CANON-202603-002059</t>
  </si>
  <si>
    <t xml:space="preserve">Delphine Kingsford</t>
  </si>
  <si>
    <t xml:space="preserve">Underwriting BDX — 2026-04  (Bound book only)</t>
  </si>
  <si>
    <t xml:space="preserve">CANON-202604-002061</t>
  </si>
  <si>
    <t xml:space="preserve">2026-04-09</t>
  </si>
  <si>
    <t xml:space="preserve">CANON-202604-002062</t>
  </si>
  <si>
    <t xml:space="preserve">2026-04-12</t>
  </si>
  <si>
    <t xml:space="preserve">CANON-202604-002063</t>
  </si>
  <si>
    <t xml:space="preserve">2026-04-11</t>
  </si>
  <si>
    <t xml:space="preserve">CANON-202604-002064</t>
  </si>
  <si>
    <t xml:space="preserve">2026-04-23</t>
  </si>
  <si>
    <t xml:space="preserve">CANON-202604-002065</t>
  </si>
  <si>
    <t xml:space="preserve">2026-04-10</t>
  </si>
  <si>
    <t xml:space="preserve">CANON-202604-002066</t>
  </si>
  <si>
    <t xml:space="preserve">2026-04-30</t>
  </si>
  <si>
    <t xml:space="preserve">CANON-202604-002067</t>
  </si>
  <si>
    <t xml:space="preserve">2026-04-26</t>
  </si>
  <si>
    <t xml:space="preserve">CANON-202604-002069</t>
  </si>
  <si>
    <t xml:space="preserve">2026-04-04</t>
  </si>
  <si>
    <t xml:space="preserve">Sunniva Underwood</t>
  </si>
  <si>
    <t xml:space="preserve">CANON-202604-002070</t>
  </si>
  <si>
    <t xml:space="preserve">2026-04-22</t>
  </si>
  <si>
    <t xml:space="preserve">CANON-202604-002071</t>
  </si>
  <si>
    <t xml:space="preserve">2026-04-20</t>
  </si>
  <si>
    <t xml:space="preserve">CANON-202604-002072</t>
  </si>
  <si>
    <t xml:space="preserve">CANON-202604-002073</t>
  </si>
  <si>
    <t xml:space="preserve">CANON-202604-002075</t>
  </si>
  <si>
    <t xml:space="preserve">2026-04-03</t>
  </si>
  <si>
    <t xml:space="preserve">CANON-202604-002076</t>
  </si>
  <si>
    <t xml:space="preserve">2026-04-29</t>
  </si>
  <si>
    <t xml:space="preserve">CANON-202604-002079</t>
  </si>
  <si>
    <t xml:space="preserve">Horace Nakashima</t>
  </si>
  <si>
    <t xml:space="preserve">CANON-202604-002081</t>
  </si>
  <si>
    <t xml:space="preserve">2026-04-02</t>
  </si>
  <si>
    <t xml:space="preserve">CANON-202604-002082</t>
  </si>
  <si>
    <t xml:space="preserve">2026-04-18</t>
  </si>
  <si>
    <t xml:space="preserve">CANON-202604-002083</t>
  </si>
  <si>
    <t xml:space="preserve">2026-04-16</t>
  </si>
  <si>
    <t xml:space="preserve">CANON-202604-002084</t>
  </si>
  <si>
    <t xml:space="preserve">Aurelio Ashcombe</t>
  </si>
  <si>
    <t xml:space="preserve">CANON-202604-002085</t>
  </si>
  <si>
    <t xml:space="preserve">CANON-202604-002086</t>
  </si>
  <si>
    <t xml:space="preserve">CANON-202604-002088</t>
  </si>
  <si>
    <t xml:space="preserve">2026-04-19</t>
  </si>
  <si>
    <t xml:space="preserve">CANON-202604-002090</t>
  </si>
  <si>
    <t xml:space="preserve">2026-04-01</t>
  </si>
  <si>
    <t xml:space="preserve">CANON-202604-002091</t>
  </si>
  <si>
    <t xml:space="preserve">2026-04-27</t>
  </si>
  <si>
    <t xml:space="preserve">CANON-202604-002092</t>
  </si>
  <si>
    <t xml:space="preserve">2026-04-15</t>
  </si>
  <si>
    <t xml:space="preserve">CANON-202604-002093</t>
  </si>
  <si>
    <t xml:space="preserve">CANON-202604-002096</t>
  </si>
  <si>
    <t xml:space="preserve">CANON-202604-002102</t>
  </si>
  <si>
    <t xml:space="preserve">2026-04-28</t>
  </si>
  <si>
    <t xml:space="preserve">CANON-202604-002103</t>
  </si>
  <si>
    <t xml:space="preserve">CANON-202604-002104</t>
  </si>
  <si>
    <t xml:space="preserve">CANON-202604-002106</t>
  </si>
  <si>
    <t xml:space="preserve">CANON-202604-002108</t>
  </si>
  <si>
    <t xml:space="preserve">2026-04-05</t>
  </si>
  <si>
    <t xml:space="preserve">CANON-202604-002109</t>
  </si>
  <si>
    <t xml:space="preserve">CANON-202604-002112</t>
  </si>
  <si>
    <t xml:space="preserve">CANON-202604-002113</t>
  </si>
  <si>
    <t xml:space="preserve">CANON-202604-002114</t>
  </si>
  <si>
    <t xml:space="preserve">CANON-202604-002116</t>
  </si>
  <si>
    <t xml:space="preserve">CANON-202604-002117</t>
  </si>
  <si>
    <t xml:space="preserve">CANON-202604-002118</t>
  </si>
  <si>
    <t xml:space="preserve">2026-04-25</t>
  </si>
  <si>
    <t xml:space="preserve">CANON-202604-002119</t>
  </si>
  <si>
    <t xml:space="preserve">CANON-202604-002120</t>
  </si>
  <si>
    <t xml:space="preserve">2026-04-24</t>
  </si>
  <si>
    <t xml:space="preserve">CANON-202604-002121</t>
  </si>
  <si>
    <t xml:space="preserve">CANON-202604-002122</t>
  </si>
  <si>
    <t xml:space="preserve">Desmond Larsson</t>
  </si>
  <si>
    <t xml:space="preserve">CANON-202604-002123</t>
  </si>
  <si>
    <t xml:space="preserve">CANON-202604-002124</t>
  </si>
  <si>
    <t xml:space="preserve">2026-04-21</t>
  </si>
  <si>
    <t xml:space="preserve">CANON-202604-002125</t>
  </si>
  <si>
    <t xml:space="preserve">CANON-202604-002126</t>
  </si>
  <si>
    <t xml:space="preserve">CANON-202604-002127</t>
  </si>
  <si>
    <t xml:space="preserve">CANON-202604-002129</t>
  </si>
  <si>
    <t xml:space="preserve">CANON-202604-002131</t>
  </si>
  <si>
    <t xml:space="preserve">CANON-202604-002132</t>
  </si>
  <si>
    <t xml:space="preserve">CANON-202604-002133</t>
  </si>
  <si>
    <t xml:space="preserve">CANON-202604-002134</t>
  </si>
  <si>
    <t xml:space="preserve">CANON-202604-002135</t>
  </si>
  <si>
    <t xml:space="preserve">CANON-202604-002139</t>
  </si>
  <si>
    <t xml:space="preserve">CANON-202604-002140</t>
  </si>
  <si>
    <t xml:space="preserve">CANON-202604-002141</t>
  </si>
  <si>
    <t xml:space="preserve">2026-04-08</t>
  </si>
  <si>
    <t xml:space="preserve">CANON-202604-002142</t>
  </si>
  <si>
    <t xml:space="preserve">CANON-202604-002145</t>
  </si>
  <si>
    <t xml:space="preserve">Thaddeus Okonkwo</t>
  </si>
  <si>
    <t xml:space="preserve">CANON-202604-002146</t>
  </si>
  <si>
    <t xml:space="preserve">CANON-202604-002148</t>
  </si>
  <si>
    <t xml:space="preserve">CANON-202604-002149</t>
  </si>
  <si>
    <t xml:space="preserve">CANON-202604-002151</t>
  </si>
  <si>
    <t xml:space="preserve">CANON-202604-002152</t>
  </si>
  <si>
    <t xml:space="preserve">2026-04-14</t>
  </si>
  <si>
    <t xml:space="preserve">CANON-202604-002154</t>
  </si>
  <si>
    <t xml:space="preserve">CANON-202604-002155</t>
  </si>
  <si>
    <t xml:space="preserve">CANON-202604-002156</t>
  </si>
  <si>
    <t xml:space="preserve">CANON-202604-002157</t>
  </si>
  <si>
    <t xml:space="preserve">CANON-202604-002158</t>
  </si>
  <si>
    <t xml:space="preserve">CANON-202604-002159</t>
  </si>
  <si>
    <t xml:space="preserve">CANON-202604-002160</t>
  </si>
  <si>
    <t xml:space="preserve">CANON-202604-002161</t>
  </si>
  <si>
    <t xml:space="preserve">CANON-202604-002162</t>
  </si>
  <si>
    <t xml:space="preserve">CANON-202604-002163</t>
  </si>
  <si>
    <t xml:space="preserve">CANON-202604-002166</t>
  </si>
  <si>
    <t xml:space="preserve">CANON-202604-002168</t>
  </si>
  <si>
    <t xml:space="preserve">CANON-202604-002169</t>
  </si>
  <si>
    <t xml:space="preserve">CANON-202604-002171</t>
  </si>
  <si>
    <t xml:space="preserve">CANON-202604-002173</t>
  </si>
  <si>
    <t xml:space="preserve">2026-04-17</t>
  </si>
  <si>
    <t xml:space="preserve">CANON-202604-002176</t>
  </si>
  <si>
    <t xml:space="preserve">CANON-202604-002177</t>
  </si>
  <si>
    <t xml:space="preserve">CANON-202604-002178</t>
  </si>
  <si>
    <t xml:space="preserve">CANON-202604-002180</t>
  </si>
  <si>
    <t xml:space="preserve">CANON-202604-002182</t>
  </si>
  <si>
    <t xml:space="preserve">CANON-202604-002183</t>
  </si>
  <si>
    <t xml:space="preserve">CANON-202604-002184</t>
  </si>
  <si>
    <t xml:space="preserve">CANON-202604-002185</t>
  </si>
  <si>
    <t xml:space="preserve">CANON-202604-002187</t>
  </si>
  <si>
    <t xml:space="preserve">CANON-202604-002188</t>
  </si>
  <si>
    <t xml:space="preserve">CANON-202604-002189</t>
  </si>
  <si>
    <t xml:space="preserve">CANON-202604-002190</t>
  </si>
  <si>
    <t xml:space="preserve">CANON-202604-002191</t>
  </si>
  <si>
    <t xml:space="preserve">CANON-202604-002192</t>
  </si>
  <si>
    <t xml:space="preserve">CANON-202604-002193</t>
  </si>
  <si>
    <t xml:space="preserve">CANON-202604-002194</t>
  </si>
  <si>
    <t xml:space="preserve">CANON-202604-002195</t>
  </si>
  <si>
    <t xml:space="preserve">CANON-202604-002196</t>
  </si>
  <si>
    <t xml:space="preserve">2026-04-07</t>
  </si>
  <si>
    <t xml:space="preserve">CANON-202604-002197</t>
  </si>
  <si>
    <t xml:space="preserve">CANON-202604-002198</t>
  </si>
  <si>
    <t xml:space="preserve">CANON-202604-002199</t>
  </si>
  <si>
    <t xml:space="preserve">CANON-202604-002203</t>
  </si>
  <si>
    <t xml:space="preserve">CANON-202604-002204</t>
  </si>
  <si>
    <t xml:space="preserve">Marisol Underwood</t>
  </si>
  <si>
    <t xml:space="preserve">CANON-202604-002205</t>
  </si>
  <si>
    <t xml:space="preserve">CANON-202604-002206</t>
  </si>
  <si>
    <t xml:space="preserve">CANON-202604-002207</t>
  </si>
  <si>
    <t xml:space="preserve">CANON-202604-002208</t>
  </si>
  <si>
    <t xml:space="preserve">CANON-202604-002209</t>
  </si>
  <si>
    <t xml:space="preserve">CANON-202604-002210</t>
  </si>
  <si>
    <t xml:space="preserve">CANON-202604-002211</t>
  </si>
  <si>
    <t xml:space="preserve">CANON-202604-002213</t>
  </si>
  <si>
    <t xml:space="preserve">CANON-202604-002214</t>
  </si>
  <si>
    <t xml:space="preserve">CANON-202604-002215</t>
  </si>
  <si>
    <t xml:space="preserve">CANON-202604-002216</t>
  </si>
  <si>
    <t xml:space="preserve">2026-04-13</t>
  </si>
  <si>
    <t xml:space="preserve">CANON-202604-002217</t>
  </si>
  <si>
    <t xml:space="preserve">CANON-202604-002218</t>
  </si>
  <si>
    <t xml:space="preserve">CANON-202604-002219</t>
  </si>
  <si>
    <t xml:space="preserve">CANON-202604-002220</t>
  </si>
  <si>
    <t xml:space="preserve">CANON-202604-002221</t>
  </si>
  <si>
    <t xml:space="preserve">CANON-202604-002222</t>
  </si>
  <si>
    <t xml:space="preserve">CANON-202604-002223</t>
  </si>
  <si>
    <t xml:space="preserve">CANON-202604-002224</t>
  </si>
  <si>
    <t xml:space="preserve">CANON-202604-002225</t>
  </si>
  <si>
    <t xml:space="preserve">CANON-202604-002227</t>
  </si>
  <si>
    <t xml:space="preserve">CANON-202604-002229</t>
  </si>
  <si>
    <t xml:space="preserve">CANON-202604-002230</t>
  </si>
  <si>
    <t xml:space="preserve">CANON-202604-002231</t>
  </si>
  <si>
    <t xml:space="preserve">CANON-202604-002232</t>
  </si>
  <si>
    <t xml:space="preserve">CANON-202604-002234</t>
  </si>
  <si>
    <t xml:space="preserve">CANON-202604-002237</t>
  </si>
  <si>
    <t xml:space="preserve">CANON-202604-002238</t>
  </si>
  <si>
    <t xml:space="preserve">CANON-202604-002239</t>
  </si>
  <si>
    <t xml:space="preserve">CANON-202604-002240</t>
  </si>
  <si>
    <t xml:space="preserve">CANON-202604-002241</t>
  </si>
  <si>
    <t xml:space="preserve">CANON-202604-002244</t>
  </si>
  <si>
    <t xml:space="preserve">CANON-202604-002245</t>
  </si>
  <si>
    <t xml:space="preserve">CANON-202604-002246</t>
  </si>
  <si>
    <t xml:space="preserve">CANON-202604-002248</t>
  </si>
  <si>
    <t xml:space="preserve">2026-04-06</t>
  </si>
  <si>
    <t xml:space="preserve">CANON-202604-002249</t>
  </si>
  <si>
    <t xml:space="preserve">CANON-202604-002251</t>
  </si>
  <si>
    <t xml:space="preserve">CANON-202604-002252</t>
  </si>
  <si>
    <t xml:space="preserve">CANON-202604-002253</t>
  </si>
  <si>
    <t xml:space="preserve">CANON-202604-002254</t>
  </si>
  <si>
    <t xml:space="preserve">CANON-202604-002255</t>
  </si>
  <si>
    <t xml:space="preserve">CANON-202604-002258</t>
  </si>
  <si>
    <t xml:space="preserve">CANON-202604-002259</t>
  </si>
  <si>
    <t xml:space="preserve">CANON-202604-002262</t>
  </si>
  <si>
    <t xml:space="preserve">CANON-202604-002263</t>
  </si>
  <si>
    <t xml:space="preserve">CANON-202604-002264</t>
  </si>
  <si>
    <t xml:space="preserve">CANON-202604-002265</t>
  </si>
  <si>
    <t xml:space="preserve">CANON-202604-002266</t>
  </si>
  <si>
    <t xml:space="preserve">CANON-202604-002267</t>
  </si>
  <si>
    <t xml:space="preserve">CANON-202604-002268</t>
  </si>
  <si>
    <t xml:space="preserve">CANON-202604-002269</t>
  </si>
  <si>
    <t xml:space="preserve">CANON-202604-002270</t>
  </si>
  <si>
    <t xml:space="preserve">CANON-202604-002272</t>
  </si>
  <si>
    <t xml:space="preserve">CANON-202604-002273</t>
  </si>
  <si>
    <t xml:space="preserve">CANON-202604-002274</t>
  </si>
  <si>
    <t xml:space="preserve">CANON-202604-002276</t>
  </si>
  <si>
    <t xml:space="preserve">CANON-202604-002277</t>
  </si>
  <si>
    <t xml:space="preserve">CANON-202604-002279</t>
  </si>
  <si>
    <t xml:space="preserve">CANON-202604-002280</t>
  </si>
  <si>
    <t xml:space="preserve">CANON-202604-002281</t>
  </si>
  <si>
    <t xml:space="preserve">CANON-202604-002282</t>
  </si>
  <si>
    <t xml:space="preserve">CANON-202604-002283</t>
  </si>
  <si>
    <t xml:space="preserve">CANON-202604-002284</t>
  </si>
  <si>
    <t xml:space="preserve">CANON-202604-002285</t>
  </si>
  <si>
    <t xml:space="preserve">CANON-202604-002287</t>
  </si>
  <si>
    <t xml:space="preserve">Fitzgerald Harrington</t>
  </si>
  <si>
    <t xml:space="preserve">CANON-202604-002288</t>
  </si>
  <si>
    <t xml:space="preserve">CANON-202604-002289</t>
  </si>
  <si>
    <t xml:space="preserve">CANON-202604-002290</t>
  </si>
  <si>
    <t xml:space="preserve">CANON-202604-002291</t>
  </si>
  <si>
    <t xml:space="preserve">Beatrix Larsson</t>
  </si>
  <si>
    <t xml:space="preserve">CANON-202604-002292</t>
  </si>
  <si>
    <t xml:space="preserve">CANON-202604-002293</t>
  </si>
  <si>
    <t xml:space="preserve">CANON-202604-002294</t>
  </si>
  <si>
    <t xml:space="preserve">CANON-202604-002295</t>
  </si>
  <si>
    <t xml:space="preserve">CANON-202604-002299</t>
  </si>
  <si>
    <t xml:space="preserve">CANON-202604-002300</t>
  </si>
  <si>
    <t xml:space="preserve">CANON-202604-002302</t>
  </si>
  <si>
    <t xml:space="preserve">CANON-202604-002303</t>
  </si>
  <si>
    <t xml:space="preserve">CANON-202604-002305</t>
  </si>
  <si>
    <t xml:space="preserve">CANON-202604-002306</t>
  </si>
  <si>
    <t xml:space="preserve">CANON-202604-002307</t>
  </si>
  <si>
    <t xml:space="preserve">Aurelio Vandermeer</t>
  </si>
  <si>
    <t xml:space="preserve">CANON-202604-002308</t>
  </si>
  <si>
    <t xml:space="preserve">CANON-202604-002309</t>
  </si>
  <si>
    <t xml:space="preserve">CANON-202604-002310</t>
  </si>
  <si>
    <t xml:space="preserve">CANON-202604-002311</t>
  </si>
  <si>
    <t xml:space="preserve">CANON-202604-002313</t>
  </si>
  <si>
    <t xml:space="preserve">CANON-202604-002314</t>
  </si>
  <si>
    <t xml:space="preserve">CANON-202604-002315</t>
  </si>
  <si>
    <t xml:space="preserve">CANON-202604-002316</t>
  </si>
  <si>
    <t xml:space="preserve">CANON-202604-002318</t>
  </si>
  <si>
    <t xml:space="preserve">CANON-202604-002319</t>
  </si>
  <si>
    <t xml:space="preserve">CANON-202604-002320</t>
  </si>
  <si>
    <t xml:space="preserve">CANON-202604-002321</t>
  </si>
  <si>
    <t xml:space="preserve">CANON-202604-002322</t>
  </si>
  <si>
    <t xml:space="preserve">Aurelio Kingsford</t>
  </si>
  <si>
    <t xml:space="preserve">CANON-202604-002323</t>
  </si>
  <si>
    <t xml:space="preserve">CANON-202604-002325</t>
  </si>
  <si>
    <t xml:space="preserve">CANON-202604-002326</t>
  </si>
  <si>
    <t xml:space="preserve">Callum Castellanos</t>
  </si>
  <si>
    <t xml:space="preserve">CANON-202604-002327</t>
  </si>
  <si>
    <t xml:space="preserve">Fitzgerald Whitlock</t>
  </si>
  <si>
    <t xml:space="preserve">CANON-202604-002328</t>
  </si>
  <si>
    <t xml:space="preserve">CANON-202604-002330</t>
  </si>
  <si>
    <t xml:space="preserve">CANON-202604-002331</t>
  </si>
  <si>
    <t xml:space="preserve">CANON-202604-002335</t>
  </si>
  <si>
    <t xml:space="preserve">CANON-202604-002337</t>
  </si>
  <si>
    <t xml:space="preserve">CANON-202604-002338</t>
  </si>
  <si>
    <t xml:space="preserve">CANON-202604-002341</t>
  </si>
  <si>
    <t xml:space="preserve">CANON-202604-002342</t>
  </si>
  <si>
    <t xml:space="preserve">CANON-202604-002343</t>
  </si>
  <si>
    <t xml:space="preserve">CANON-202604-002344</t>
  </si>
  <si>
    <t xml:space="preserve">CANON-202604-002345</t>
  </si>
  <si>
    <t xml:space="preserve">Underwriting BDX — 2026-05  (Bound book only)</t>
  </si>
  <si>
    <t xml:space="preserve">CANON-202605-002346</t>
  </si>
  <si>
    <t xml:space="preserve">2026-05-04</t>
  </si>
  <si>
    <t xml:space="preserve">CANON-202605-002347</t>
  </si>
  <si>
    <t xml:space="preserve">2026-05-08</t>
  </si>
  <si>
    <t xml:space="preserve">CANON-202605-002348</t>
  </si>
  <si>
    <t xml:space="preserve">CANON-202605-002350</t>
  </si>
  <si>
    <t xml:space="preserve">2026-05-28</t>
  </si>
  <si>
    <t xml:space="preserve">CANON-202605-002351</t>
  </si>
  <si>
    <t xml:space="preserve">2026-05-24</t>
  </si>
  <si>
    <t xml:space="preserve">CANON-202605-002352</t>
  </si>
  <si>
    <t xml:space="preserve">2026-05-09</t>
  </si>
  <si>
    <t xml:space="preserve">CANON-202605-002355</t>
  </si>
  <si>
    <t xml:space="preserve">2026-05-03</t>
  </si>
  <si>
    <t xml:space="preserve">CANON-202605-002358</t>
  </si>
  <si>
    <t xml:space="preserve">2026-05-23</t>
  </si>
  <si>
    <t xml:space="preserve">CANON-202605-002359</t>
  </si>
  <si>
    <t xml:space="preserve">2026-05-26</t>
  </si>
  <si>
    <t xml:space="preserve">CANON-202605-002362</t>
  </si>
  <si>
    <t xml:space="preserve">CANON-202605-002363</t>
  </si>
  <si>
    <t xml:space="preserve">CANON-202605-002364</t>
  </si>
  <si>
    <t xml:space="preserve">2026-05-18</t>
  </si>
  <si>
    <t xml:space="preserve">CANON-202605-002365</t>
  </si>
  <si>
    <t xml:space="preserve">CANON-202605-002371</t>
  </si>
  <si>
    <t xml:space="preserve">2026-05-15</t>
  </si>
  <si>
    <t xml:space="preserve">CANON-202605-002372</t>
  </si>
  <si>
    <t xml:space="preserve">CANON-202605-002373</t>
  </si>
  <si>
    <t xml:space="preserve">2026-05-16</t>
  </si>
  <si>
    <t xml:space="preserve">CANON-202605-002374</t>
  </si>
  <si>
    <t xml:space="preserve">2026-05-14</t>
  </si>
  <si>
    <t xml:space="preserve">CANON-202605-002375</t>
  </si>
  <si>
    <t xml:space="preserve">CANON-202605-002376</t>
  </si>
  <si>
    <t xml:space="preserve">2026-05-27</t>
  </si>
  <si>
    <t xml:space="preserve">CANON-202605-002377</t>
  </si>
  <si>
    <t xml:space="preserve">CANON-202605-002378</t>
  </si>
  <si>
    <t xml:space="preserve">2026-05-07</t>
  </si>
  <si>
    <t xml:space="preserve">CANON-202605-002384</t>
  </si>
  <si>
    <t xml:space="preserve">2026-05-25</t>
  </si>
  <si>
    <t xml:space="preserve">CANON-202605-002385</t>
  </si>
  <si>
    <t xml:space="preserve">CANON-202605-002386</t>
  </si>
  <si>
    <t xml:space="preserve">CANON-202605-002387</t>
  </si>
  <si>
    <t xml:space="preserve">CANON-202605-002389</t>
  </si>
  <si>
    <t xml:space="preserve">2026-05-05</t>
  </si>
  <si>
    <t xml:space="preserve">CANON-202605-002391</t>
  </si>
  <si>
    <t xml:space="preserve">CANON-202605-002392</t>
  </si>
  <si>
    <t xml:space="preserve">2026-05-30</t>
  </si>
  <si>
    <t xml:space="preserve">CANON-202605-002393</t>
  </si>
  <si>
    <t xml:space="preserve">CANON-202605-002394</t>
  </si>
  <si>
    <t xml:space="preserve">CANON-202605-002395</t>
  </si>
  <si>
    <t xml:space="preserve">2026-05-21</t>
  </si>
  <si>
    <t xml:space="preserve">CANON-202605-002397</t>
  </si>
  <si>
    <t xml:space="preserve">2026-05-20</t>
  </si>
  <si>
    <t xml:space="preserve">CANON-202605-002398</t>
  </si>
  <si>
    <t xml:space="preserve">CANON-202605-002399</t>
  </si>
  <si>
    <t xml:space="preserve">CANON-202605-002401</t>
  </si>
  <si>
    <t xml:space="preserve">CANON-202605-002402</t>
  </si>
  <si>
    <t xml:space="preserve">CANON-202605-002403</t>
  </si>
  <si>
    <t xml:space="preserve">CANON-202605-002405</t>
  </si>
  <si>
    <t xml:space="preserve">CANON-202605-002407</t>
  </si>
  <si>
    <t xml:space="preserve">CANON-202605-002408</t>
  </si>
  <si>
    <t xml:space="preserve">2026-05-29</t>
  </si>
  <si>
    <t xml:space="preserve">CANON-202605-002409</t>
  </si>
  <si>
    <t xml:space="preserve">2026-05-22</t>
  </si>
  <si>
    <t xml:space="preserve">CANON-202605-002410</t>
  </si>
  <si>
    <t xml:space="preserve">CANON-202605-002411</t>
  </si>
  <si>
    <t xml:space="preserve">2026-05-13</t>
  </si>
  <si>
    <t xml:space="preserve">CANON-202605-002414</t>
  </si>
  <si>
    <t xml:space="preserve">CANON-202605-002415</t>
  </si>
  <si>
    <t xml:space="preserve">Wilhelmina Vandermeer</t>
  </si>
  <si>
    <t xml:space="preserve">CANON-202605-002418</t>
  </si>
  <si>
    <t xml:space="preserve">2026-05-31</t>
  </si>
  <si>
    <t xml:space="preserve">CANON-202605-002421</t>
  </si>
  <si>
    <t xml:space="preserve">CANON-202605-002422</t>
  </si>
  <si>
    <t xml:space="preserve">CANON-202605-002423</t>
  </si>
  <si>
    <t xml:space="preserve">CANON-202605-002424</t>
  </si>
  <si>
    <t xml:space="preserve">2026-05-10</t>
  </si>
  <si>
    <t xml:space="preserve">CANON-202605-002425</t>
  </si>
  <si>
    <t xml:space="preserve">CANON-202605-002426</t>
  </si>
  <si>
    <t xml:space="preserve">CANON-202605-002428</t>
  </si>
  <si>
    <t xml:space="preserve">CANON-202605-002429</t>
  </si>
  <si>
    <t xml:space="preserve">CANON-202605-002430</t>
  </si>
  <si>
    <t xml:space="preserve">CANON-202605-002432</t>
  </si>
  <si>
    <t xml:space="preserve">CANON-202605-002433</t>
  </si>
  <si>
    <t xml:space="preserve">CANON-202605-002435</t>
  </si>
  <si>
    <t xml:space="preserve">CANON-202605-002436</t>
  </si>
  <si>
    <t xml:space="preserve">CANON-202605-002437</t>
  </si>
  <si>
    <t xml:space="preserve">2026-05-17</t>
  </si>
  <si>
    <t xml:space="preserve">CANON-202605-002438</t>
  </si>
  <si>
    <t xml:space="preserve">CANON-202605-002439</t>
  </si>
  <si>
    <t xml:space="preserve">CANON-202605-002443</t>
  </si>
  <si>
    <t xml:space="preserve">CANON-202605-002445</t>
  </si>
  <si>
    <t xml:space="preserve">CANON-202605-002447</t>
  </si>
  <si>
    <t xml:space="preserve">CANON-202605-002448</t>
  </si>
  <si>
    <t xml:space="preserve">CANON-202605-002449</t>
  </si>
  <si>
    <t xml:space="preserve">CANON-202605-002450</t>
  </si>
  <si>
    <t xml:space="preserve">CANON-202605-002451</t>
  </si>
  <si>
    <t xml:space="preserve">2026-05-01</t>
  </si>
  <si>
    <t xml:space="preserve">Emiliano Thistlewood</t>
  </si>
  <si>
    <t xml:space="preserve">CANON-202605-002452</t>
  </si>
  <si>
    <t xml:space="preserve">CANON-202605-002454</t>
  </si>
  <si>
    <t xml:space="preserve">CANON-202605-002455</t>
  </si>
  <si>
    <t xml:space="preserve">CANON-202605-002457</t>
  </si>
  <si>
    <t xml:space="preserve">CANON-202605-002458</t>
  </si>
  <si>
    <t xml:space="preserve">CANON-202605-002459</t>
  </si>
  <si>
    <t xml:space="preserve">CANON-202605-002460</t>
  </si>
  <si>
    <t xml:space="preserve">CANON-202605-002461</t>
  </si>
  <si>
    <t xml:space="preserve">2026-05-02</t>
  </si>
  <si>
    <t xml:space="preserve">CANON-202605-002462</t>
  </si>
  <si>
    <t xml:space="preserve">2026-05-11</t>
  </si>
  <si>
    <t xml:space="preserve">CANON-202605-002463</t>
  </si>
  <si>
    <t xml:space="preserve">CANON-202605-002465</t>
  </si>
  <si>
    <t xml:space="preserve">CANON-202605-002468</t>
  </si>
  <si>
    <t xml:space="preserve">CANON-202605-002469</t>
  </si>
  <si>
    <t xml:space="preserve">CANON-202605-002470</t>
  </si>
  <si>
    <t xml:space="preserve">CANON-202605-002471</t>
  </si>
  <si>
    <t xml:space="preserve">CANON-202605-002473</t>
  </si>
  <si>
    <t xml:space="preserve">CANON-202605-002474</t>
  </si>
  <si>
    <t xml:space="preserve">CANON-202605-002475</t>
  </si>
  <si>
    <t xml:space="preserve">CANON-202605-002476</t>
  </si>
  <si>
    <t xml:space="preserve">CANON-202605-002477</t>
  </si>
  <si>
    <t xml:space="preserve">CANON-202605-002478</t>
  </si>
  <si>
    <t xml:space="preserve">CANON-202605-002479</t>
  </si>
  <si>
    <t xml:space="preserve">CANON-202605-002480</t>
  </si>
  <si>
    <t xml:space="preserve">CANON-202605-002481</t>
  </si>
  <si>
    <t xml:space="preserve">CANON-202605-002482</t>
  </si>
  <si>
    <t xml:space="preserve">CANON-202605-002483</t>
  </si>
  <si>
    <t xml:space="preserve">2026-05-12</t>
  </si>
  <si>
    <t xml:space="preserve">CANON-202605-002484</t>
  </si>
  <si>
    <t xml:space="preserve">CANON-202605-002486</t>
  </si>
  <si>
    <t xml:space="preserve">CANON-202605-002488</t>
  </si>
  <si>
    <t xml:space="preserve">CANON-202605-002489</t>
  </si>
  <si>
    <t xml:space="preserve">CANON-202605-002490</t>
  </si>
  <si>
    <t xml:space="preserve">2026-05-19</t>
  </si>
  <si>
    <t xml:space="preserve">CANON-202605-002491</t>
  </si>
  <si>
    <t xml:space="preserve">CANON-202605-002492</t>
  </si>
  <si>
    <t xml:space="preserve">CANON-202605-002493</t>
  </si>
  <si>
    <t xml:space="preserve">CANON-202605-002494</t>
  </si>
  <si>
    <t xml:space="preserve">CANON-202605-002495</t>
  </si>
  <si>
    <t xml:space="preserve">CANON-202605-002496</t>
  </si>
  <si>
    <t xml:space="preserve">CANON-202605-002497</t>
  </si>
  <si>
    <t xml:space="preserve">CANON-202605-002499</t>
  </si>
  <si>
    <t xml:space="preserve">CANON-202605-002500</t>
  </si>
  <si>
    <t xml:space="preserve">CANON-202605-002501</t>
  </si>
  <si>
    <t xml:space="preserve">CANON-202605-002502</t>
  </si>
  <si>
    <t xml:space="preserve">CANON-202605-002503</t>
  </si>
  <si>
    <t xml:space="preserve">CANON-202605-002506</t>
  </si>
  <si>
    <t xml:space="preserve">CANON-202605-002507</t>
  </si>
  <si>
    <t xml:space="preserve">CANON-202605-002509</t>
  </si>
  <si>
    <t xml:space="preserve">CANON-202605-002510</t>
  </si>
  <si>
    <t xml:space="preserve">CANON-202605-002511</t>
  </si>
  <si>
    <t xml:space="preserve">CANON-202605-002513</t>
  </si>
  <si>
    <t xml:space="preserve">CANON-202605-002514</t>
  </si>
  <si>
    <t xml:space="preserve">CANON-202605-002515</t>
  </si>
  <si>
    <t xml:space="preserve">CANON-202605-002516</t>
  </si>
  <si>
    <t xml:space="preserve">CANON-202605-002517</t>
  </si>
  <si>
    <t xml:space="preserve">CANON-202605-002521</t>
  </si>
  <si>
    <t xml:space="preserve">CANON-202605-002522</t>
  </si>
  <si>
    <t xml:space="preserve">CANON-202605-002523</t>
  </si>
  <si>
    <t xml:space="preserve">CANON-202605-002525</t>
  </si>
  <si>
    <t xml:space="preserve">CANON-202605-002526</t>
  </si>
  <si>
    <t xml:space="preserve">CANON-202605-002528</t>
  </si>
  <si>
    <t xml:space="preserve">CANON-202605-002529</t>
  </si>
  <si>
    <t xml:space="preserve">CANON-202605-002530</t>
  </si>
  <si>
    <t xml:space="preserve">CANON-202605-002531</t>
  </si>
  <si>
    <t xml:space="preserve">CANON-202605-002533</t>
  </si>
  <si>
    <t xml:space="preserve">CANON-202605-002534</t>
  </si>
  <si>
    <t xml:space="preserve">CANON-202605-002538</t>
  </si>
  <si>
    <t xml:space="preserve">CANON-202605-002539</t>
  </si>
  <si>
    <t xml:space="preserve">CANON-202605-002540</t>
  </si>
  <si>
    <t xml:space="preserve">CANON-202605-002541</t>
  </si>
  <si>
    <t xml:space="preserve">CANON-202605-002542</t>
  </si>
  <si>
    <t xml:space="preserve">CANON-202605-002546</t>
  </si>
  <si>
    <t xml:space="preserve">CANON-202605-002547</t>
  </si>
  <si>
    <t xml:space="preserve">CANON-202605-002549</t>
  </si>
  <si>
    <t xml:space="preserve">CANON-202605-002550</t>
  </si>
  <si>
    <t xml:space="preserve">CANON-202605-002553</t>
  </si>
  <si>
    <t xml:space="preserve">CANON-202605-002554</t>
  </si>
  <si>
    <t xml:space="preserve">CANON-202605-002556</t>
  </si>
  <si>
    <t xml:space="preserve">CANON-202605-002557</t>
  </si>
  <si>
    <t xml:space="preserve">CANON-202605-002559</t>
  </si>
  <si>
    <t xml:space="preserve">CANON-202605-002560</t>
  </si>
  <si>
    <t xml:space="preserve">CANON-202605-002562</t>
  </si>
  <si>
    <t xml:space="preserve">CANON-202605-002564</t>
  </si>
  <si>
    <t xml:space="preserve">CANON-202605-002565</t>
  </si>
  <si>
    <t xml:space="preserve">CANON-202605-002567</t>
  </si>
  <si>
    <t xml:space="preserve">CANON-202605-002568</t>
  </si>
  <si>
    <t xml:space="preserve">CANON-202605-002569</t>
  </si>
  <si>
    <t xml:space="preserve">CANON-202605-002570</t>
  </si>
  <si>
    <t xml:space="preserve">CANON-202605-002573</t>
  </si>
  <si>
    <t xml:space="preserve">CANON-202605-002574</t>
  </si>
  <si>
    <t xml:space="preserve">CANON-202605-002576</t>
  </si>
  <si>
    <t xml:space="preserve">CANON-202605-002577</t>
  </si>
  <si>
    <t xml:space="preserve">CANON-202605-002578</t>
  </si>
  <si>
    <t xml:space="preserve">CANON-202605-002580</t>
  </si>
  <si>
    <t xml:space="preserve">CANON-202605-002582</t>
  </si>
  <si>
    <t xml:space="preserve">CANON-202605-002583</t>
  </si>
  <si>
    <t xml:space="preserve">CANON-202605-002584</t>
  </si>
  <si>
    <t xml:space="preserve">CANON-202605-002586</t>
  </si>
  <si>
    <t xml:space="preserve">CANON-202605-002588</t>
  </si>
  <si>
    <t xml:space="preserve">CANON-202605-002591</t>
  </si>
  <si>
    <t xml:space="preserve">CANON-202605-002592</t>
  </si>
  <si>
    <t xml:space="preserve">CANON-202605-002593</t>
  </si>
  <si>
    <t xml:space="preserve">CANON-202605-002595</t>
  </si>
  <si>
    <t xml:space="preserve">CANON-202605-002596</t>
  </si>
  <si>
    <t xml:space="preserve">CANON-202605-002597</t>
  </si>
  <si>
    <t xml:space="preserve">CANON-202605-002598</t>
  </si>
  <si>
    <t xml:space="preserve">CANON-202605-002599</t>
  </si>
  <si>
    <t xml:space="preserve">CANON-202605-002601</t>
  </si>
  <si>
    <t xml:space="preserve">CANON-202605-002603</t>
  </si>
  <si>
    <t xml:space="preserve">CANON-202605-002604</t>
  </si>
  <si>
    <t xml:space="preserve">CANON-202605-002605</t>
  </si>
  <si>
    <t xml:space="preserve">2026-05-06</t>
  </si>
  <si>
    <t xml:space="preserve">CANON-202605-002606</t>
  </si>
  <si>
    <t xml:space="preserve">CANON-202605-002607</t>
  </si>
  <si>
    <t xml:space="preserve">CANON-202605-002609</t>
  </si>
  <si>
    <t xml:space="preserve">CANON-202605-002610</t>
  </si>
  <si>
    <t xml:space="preserve">CANON-202605-002611</t>
  </si>
  <si>
    <t xml:space="preserve">CANON-202605-002612</t>
  </si>
  <si>
    <t xml:space="preserve">CANON-202605-002613</t>
  </si>
  <si>
    <t xml:space="preserve">CANON-202605-002616</t>
  </si>
  <si>
    <t xml:space="preserve">CANON-202605-002618</t>
  </si>
  <si>
    <t xml:space="preserve">CANON-202605-002619</t>
  </si>
  <si>
    <t xml:space="preserve">CANON-202605-002620</t>
  </si>
  <si>
    <t xml:space="preserve">CANON-202605-002621</t>
  </si>
  <si>
    <t xml:space="preserve">CANON-202605-002622</t>
  </si>
  <si>
    <t xml:space="preserve">CANON-202605-002624</t>
  </si>
  <si>
    <t xml:space="preserve">CANON-202605-002626</t>
  </si>
  <si>
    <t xml:space="preserve">CANON-202605-002629</t>
  </si>
  <si>
    <t xml:space="preserve">CANON-202605-002630</t>
  </si>
  <si>
    <t xml:space="preserve">CANON-202605-002631</t>
  </si>
  <si>
    <t xml:space="preserve">CANON-202605-002632</t>
  </si>
  <si>
    <t xml:space="preserve">CANON-202605-002633</t>
  </si>
  <si>
    <t xml:space="preserve">CANON-202605-002634</t>
  </si>
  <si>
    <t xml:space="preserve">CANON-202605-002635</t>
  </si>
  <si>
    <t xml:space="preserve">CANON-202605-002636</t>
  </si>
  <si>
    <t xml:space="preserve">CANON-202605-002638</t>
  </si>
  <si>
    <t xml:space="preserve">CANON-202605-002639</t>
  </si>
  <si>
    <t xml:space="preserve">CANON-202605-002640</t>
  </si>
  <si>
    <t xml:space="preserve">Underwriting BDX — 2026-06  (Bound book only)</t>
  </si>
  <si>
    <t xml:space="preserve">CANON-202606-002642</t>
  </si>
  <si>
    <t xml:space="preserve">2026-06-01</t>
  </si>
  <si>
    <t xml:space="preserve">CANON-202606-002643</t>
  </si>
  <si>
    <t xml:space="preserve">2026-06-28</t>
  </si>
  <si>
    <t xml:space="preserve">CANON-202606-002644</t>
  </si>
  <si>
    <t xml:space="preserve">2026-06-03</t>
  </si>
  <si>
    <t xml:space="preserve">CANON-202606-002645</t>
  </si>
  <si>
    <t xml:space="preserve">2026-06-15</t>
  </si>
  <si>
    <t xml:space="preserve">CANON-202606-002646</t>
  </si>
  <si>
    <t xml:space="preserve">2026-06-04</t>
  </si>
  <si>
    <t xml:space="preserve">CANON-202606-002647</t>
  </si>
  <si>
    <t xml:space="preserve">CANON-202606-002649</t>
  </si>
  <si>
    <t xml:space="preserve">2026-06-02</t>
  </si>
  <si>
    <t xml:space="preserve">CANON-202606-002651</t>
  </si>
  <si>
    <t xml:space="preserve">2026-06-27</t>
  </si>
  <si>
    <t xml:space="preserve">CANON-202606-002652</t>
  </si>
  <si>
    <t xml:space="preserve">2026-06-29</t>
  </si>
  <si>
    <t xml:space="preserve">CANON-202606-002653</t>
  </si>
  <si>
    <t xml:space="preserve">CANON-202606-002654</t>
  </si>
  <si>
    <t xml:space="preserve">CANON-202606-002655</t>
  </si>
  <si>
    <t xml:space="preserve">2026-06-06</t>
  </si>
  <si>
    <t xml:space="preserve">CANON-202606-002656</t>
  </si>
  <si>
    <t xml:space="preserve">2026-06-25</t>
  </si>
  <si>
    <t xml:space="preserve">CANON-202606-002658</t>
  </si>
  <si>
    <t xml:space="preserve">2026-06-18</t>
  </si>
  <si>
    <t xml:space="preserve">CANON-202606-002659</t>
  </si>
  <si>
    <t xml:space="preserve">2026-06-23</t>
  </si>
  <si>
    <t xml:space="preserve">CANON-202606-002661</t>
  </si>
  <si>
    <t xml:space="preserve">2026-06-12</t>
  </si>
  <si>
    <t xml:space="preserve">CANON-202606-002662</t>
  </si>
  <si>
    <t xml:space="preserve">CANON-202606-002663</t>
  </si>
  <si>
    <t xml:space="preserve">2026-06-20</t>
  </si>
  <si>
    <t xml:space="preserve">CANON-202606-002665</t>
  </si>
  <si>
    <t xml:space="preserve">2026-06-09</t>
  </si>
  <si>
    <t xml:space="preserve">CANON-202606-002666</t>
  </si>
  <si>
    <t xml:space="preserve">CANON-202606-002667</t>
  </si>
  <si>
    <t xml:space="preserve">2026-06-16</t>
  </si>
  <si>
    <t xml:space="preserve">CANON-202606-002669</t>
  </si>
  <si>
    <t xml:space="preserve">2026-06-22</t>
  </si>
  <si>
    <t xml:space="preserve">CANON-202606-002670</t>
  </si>
  <si>
    <t xml:space="preserve">2026-06-10</t>
  </si>
  <si>
    <t xml:space="preserve">CANON-202606-002671</t>
  </si>
  <si>
    <t xml:space="preserve">2026-06-14</t>
  </si>
  <si>
    <t xml:space="preserve">CANON-202606-002672</t>
  </si>
  <si>
    <t xml:space="preserve">2026-06-17</t>
  </si>
  <si>
    <t xml:space="preserve">CANON-202606-002673</t>
  </si>
  <si>
    <t xml:space="preserve">2026-06-07</t>
  </si>
  <si>
    <t xml:space="preserve">CANON-202606-002674</t>
  </si>
  <si>
    <t xml:space="preserve">CANON-202606-002676</t>
  </si>
  <si>
    <t xml:space="preserve">CANON-202606-002677</t>
  </si>
  <si>
    <t xml:space="preserve">CANON-202606-002678</t>
  </si>
  <si>
    <t xml:space="preserve">2026-06-08</t>
  </si>
  <si>
    <t xml:space="preserve">CANON-202606-002679</t>
  </si>
  <si>
    <t xml:space="preserve">2026-06-19</t>
  </si>
  <si>
    <t xml:space="preserve">CANON-202606-002683</t>
  </si>
  <si>
    <t xml:space="preserve">Cassius Whitlock</t>
  </si>
  <si>
    <t xml:space="preserve">CANON-202606-002687</t>
  </si>
  <si>
    <t xml:space="preserve">2026-06-13</t>
  </si>
  <si>
    <t xml:space="preserve">CANON-202606-002688</t>
  </si>
  <si>
    <t xml:space="preserve">CANON-202606-002689</t>
  </si>
  <si>
    <t xml:space="preserve">CANON-202606-002691</t>
  </si>
  <si>
    <t xml:space="preserve">CANON-202606-002692</t>
  </si>
  <si>
    <t xml:space="preserve">CANON-202606-002693</t>
  </si>
  <si>
    <t xml:space="preserve">2026-06-26</t>
  </si>
  <si>
    <t xml:space="preserve">CANON-202606-002695</t>
  </si>
  <si>
    <t xml:space="preserve">CANON-202606-002696</t>
  </si>
  <si>
    <t xml:space="preserve">CANON-202606-002697</t>
  </si>
  <si>
    <t xml:space="preserve">CANON-202606-002700</t>
  </si>
  <si>
    <t xml:space="preserve">CANON-202606-002701</t>
  </si>
  <si>
    <t xml:space="preserve">CANON-202606-002702</t>
  </si>
  <si>
    <t xml:space="preserve">2026-06-24</t>
  </si>
  <si>
    <t xml:space="preserve">CANON-202606-002703</t>
  </si>
  <si>
    <t xml:space="preserve">CANON-202606-002704</t>
  </si>
  <si>
    <t xml:space="preserve">CANON-202606-002705</t>
  </si>
  <si>
    <t xml:space="preserve">2026-06-30</t>
  </si>
  <si>
    <t xml:space="preserve">CANON-202606-002706</t>
  </si>
  <si>
    <t xml:space="preserve">2026-06-21</t>
  </si>
  <si>
    <t xml:space="preserve">CANON-202606-002708</t>
  </si>
  <si>
    <t xml:space="preserve">CANON-202606-002709</t>
  </si>
  <si>
    <t xml:space="preserve">2026-06-11</t>
  </si>
  <si>
    <t xml:space="preserve">CANON-202606-002710</t>
  </si>
  <si>
    <t xml:space="preserve">CANON-202606-002713</t>
  </si>
  <si>
    <t xml:space="preserve">CANON-202606-002714</t>
  </si>
  <si>
    <t xml:space="preserve">CANON-202606-002715</t>
  </si>
  <si>
    <t xml:space="preserve">CANON-202606-002716</t>
  </si>
  <si>
    <t xml:space="preserve">CANON-202606-002717</t>
  </si>
  <si>
    <t xml:space="preserve">CANON-202606-002720</t>
  </si>
  <si>
    <t xml:space="preserve">CANON-202606-002722</t>
  </si>
  <si>
    <t xml:space="preserve">CANON-202606-002723</t>
  </si>
  <si>
    <t xml:space="preserve">2026-06-05</t>
  </si>
  <si>
    <t xml:space="preserve">CANON-202606-002724</t>
  </si>
  <si>
    <t xml:space="preserve">CANON-202606-002725</t>
  </si>
  <si>
    <t xml:space="preserve">CANON-202606-002726</t>
  </si>
  <si>
    <t xml:space="preserve">Everett Okonkwo</t>
  </si>
  <si>
    <t xml:space="preserve">CANON-202606-002728</t>
  </si>
  <si>
    <t xml:space="preserve">CANON-202606-002729</t>
  </si>
  <si>
    <t xml:space="preserve">CANON-202606-002730</t>
  </si>
  <si>
    <t xml:space="preserve">CANON-202606-002731</t>
  </si>
  <si>
    <t xml:space="preserve">CANON-202606-002732</t>
  </si>
  <si>
    <t xml:space="preserve">CANON-202606-002733</t>
  </si>
  <si>
    <t xml:space="preserve">CANON-202606-002734</t>
  </si>
  <si>
    <t xml:space="preserve">CANON-202606-002735</t>
  </si>
  <si>
    <t xml:space="preserve">CANON-202606-002736</t>
  </si>
  <si>
    <t xml:space="preserve">CANON-202606-002737</t>
  </si>
  <si>
    <t xml:space="preserve">CANON-202606-002738</t>
  </si>
  <si>
    <t xml:space="preserve">CANON-202606-002739</t>
  </si>
  <si>
    <t xml:space="preserve">CANON-202606-002740</t>
  </si>
  <si>
    <t xml:space="preserve">CANON-202606-002743</t>
  </si>
  <si>
    <t xml:space="preserve">CANON-202606-002744</t>
  </si>
  <si>
    <t xml:space="preserve">CANON-202606-002745</t>
  </si>
  <si>
    <t xml:space="preserve">CANON-202606-002746</t>
  </si>
  <si>
    <t xml:space="preserve">CANON-202606-002748</t>
  </si>
  <si>
    <t xml:space="preserve">CANON-202606-002749</t>
  </si>
  <si>
    <t xml:space="preserve">CANON-202606-002750</t>
  </si>
  <si>
    <t xml:space="preserve">CANON-202606-002751</t>
  </si>
  <si>
    <t xml:space="preserve">CANON-202606-002752</t>
  </si>
  <si>
    <t xml:space="preserve">CANON-202606-002755</t>
  </si>
  <si>
    <t xml:space="preserve">CANON-202606-002756</t>
  </si>
  <si>
    <t xml:space="preserve">CANON-202606-002758</t>
  </si>
  <si>
    <t xml:space="preserve">CANON-202606-002759</t>
  </si>
  <si>
    <t xml:space="preserve">CANON-202606-002760</t>
  </si>
  <si>
    <t xml:space="preserve">CANON-202606-002761</t>
  </si>
  <si>
    <t xml:space="preserve">CANON-202606-002763</t>
  </si>
  <si>
    <t xml:space="preserve">CANON-202606-002764</t>
  </si>
  <si>
    <t xml:space="preserve">CANON-202606-002765</t>
  </si>
  <si>
    <t xml:space="preserve">CANON-202606-002767</t>
  </si>
  <si>
    <t xml:space="preserve">CANON-202606-002768</t>
  </si>
  <si>
    <t xml:space="preserve">CANON-202606-002770</t>
  </si>
  <si>
    <t xml:space="preserve">CANON-202606-002771</t>
  </si>
  <si>
    <t xml:space="preserve">CANON-202606-002772</t>
  </si>
  <si>
    <t xml:space="preserve">CANON-202606-002773</t>
  </si>
  <si>
    <t xml:space="preserve">CANON-202606-002774</t>
  </si>
  <si>
    <t xml:space="preserve">CANON-202606-002775</t>
  </si>
  <si>
    <t xml:space="preserve">CANON-202606-002776</t>
  </si>
  <si>
    <t xml:space="preserve">CANON-202606-002778</t>
  </si>
  <si>
    <t xml:space="preserve">CANON-202606-002779</t>
  </si>
  <si>
    <t xml:space="preserve">CANON-202606-002780</t>
  </si>
  <si>
    <t xml:space="preserve">CANON-202606-002781</t>
  </si>
  <si>
    <t xml:space="preserve">CANON-202606-002782</t>
  </si>
  <si>
    <t xml:space="preserve">CANON-202606-002783</t>
  </si>
  <si>
    <t xml:space="preserve">CANON-202606-002784</t>
  </si>
  <si>
    <t xml:space="preserve">CANON-202606-002785</t>
  </si>
  <si>
    <t xml:space="preserve">CANON-202606-002786</t>
  </si>
  <si>
    <t xml:space="preserve">Mireille Pennington</t>
  </si>
  <si>
    <t xml:space="preserve">CANON-202606-002789</t>
  </si>
  <si>
    <t xml:space="preserve">CANON-202606-002790</t>
  </si>
  <si>
    <t xml:space="preserve">CANON-202606-002794</t>
  </si>
  <si>
    <t xml:space="preserve">CANON-202606-002795</t>
  </si>
  <si>
    <t xml:space="preserve">CANON-202606-002796</t>
  </si>
  <si>
    <t xml:space="preserve">CANON-202606-002798</t>
  </si>
  <si>
    <t xml:space="preserve">CANON-202606-002799</t>
  </si>
  <si>
    <t xml:space="preserve">CANON-202606-002800</t>
  </si>
  <si>
    <t xml:space="preserve">CANON-202606-002801</t>
  </si>
  <si>
    <t xml:space="preserve">CANON-202606-002802</t>
  </si>
  <si>
    <t xml:space="preserve">CANON-202606-002803</t>
  </si>
  <si>
    <t xml:space="preserve">CANON-202606-002806</t>
  </si>
  <si>
    <t xml:space="preserve">CANON-202606-002807</t>
  </si>
  <si>
    <t xml:space="preserve">CANON-202606-002810</t>
  </si>
  <si>
    <t xml:space="preserve">CANON-202606-002811</t>
  </si>
  <si>
    <t xml:space="preserve">CANON-202606-002812</t>
  </si>
  <si>
    <t xml:space="preserve">CANON-202606-002813</t>
  </si>
  <si>
    <t xml:space="preserve">CANON-202606-002814</t>
  </si>
  <si>
    <t xml:space="preserve">CANON-202606-002815</t>
  </si>
  <si>
    <t xml:space="preserve">CANON-202606-002817</t>
  </si>
  <si>
    <t xml:space="preserve">CANON-202606-002818</t>
  </si>
  <si>
    <t xml:space="preserve">CANON-202606-002821</t>
  </si>
  <si>
    <t xml:space="preserve">CANON-202606-002823</t>
  </si>
  <si>
    <t xml:space="preserve">CANON-202606-002824</t>
  </si>
  <si>
    <t xml:space="preserve">CANON-202606-002825</t>
  </si>
  <si>
    <t xml:space="preserve">CANON-202606-002827</t>
  </si>
  <si>
    <t xml:space="preserve">CANON-202606-002829</t>
  </si>
  <si>
    <t xml:space="preserve">CANON-202606-002830</t>
  </si>
  <si>
    <t xml:space="preserve">CANON-202606-002831</t>
  </si>
  <si>
    <t xml:space="preserve">CANON-202606-002832</t>
  </si>
  <si>
    <t xml:space="preserve">CANON-202606-002833</t>
  </si>
  <si>
    <t xml:space="preserve">CANON-202606-002834</t>
  </si>
  <si>
    <t xml:space="preserve">CANON-202606-002835</t>
  </si>
  <si>
    <t xml:space="preserve">CANON-202606-002836</t>
  </si>
  <si>
    <t xml:space="preserve">CANON-202606-002838</t>
  </si>
  <si>
    <t xml:space="preserve">CANON-202606-002839</t>
  </si>
  <si>
    <t xml:space="preserve">CANON-202606-002841</t>
  </si>
  <si>
    <t xml:space="preserve">CANON-202606-002842</t>
  </si>
  <si>
    <t xml:space="preserve">CANON-202606-002843</t>
  </si>
  <si>
    <t xml:space="preserve">CANON-202606-002844</t>
  </si>
  <si>
    <t xml:space="preserve">CANON-202606-002846</t>
  </si>
  <si>
    <t xml:space="preserve">CANON-202606-002847</t>
  </si>
  <si>
    <t xml:space="preserve">CANON-202606-002848</t>
  </si>
  <si>
    <t xml:space="preserve">CANON-202606-002849</t>
  </si>
  <si>
    <t xml:space="preserve">CANON-202606-002851</t>
  </si>
  <si>
    <t xml:space="preserve">CANON-202606-002852</t>
  </si>
  <si>
    <t xml:space="preserve">CANON-202606-002853</t>
  </si>
  <si>
    <t xml:space="preserve">CANON-202606-002855</t>
  </si>
  <si>
    <t xml:space="preserve">CANON-202606-002856</t>
  </si>
  <si>
    <t xml:space="preserve">CANON-202606-002860</t>
  </si>
  <si>
    <t xml:space="preserve">CANON-202606-002862</t>
  </si>
  <si>
    <t xml:space="preserve">CANON-202606-002864</t>
  </si>
  <si>
    <t xml:space="preserve">CANON-202606-002866</t>
  </si>
  <si>
    <t xml:space="preserve">CANON-202606-002867</t>
  </si>
  <si>
    <t xml:space="preserve">CANON-202606-002869</t>
  </si>
  <si>
    <t xml:space="preserve">CANON-202606-002870</t>
  </si>
  <si>
    <t xml:space="preserve">CANON-202606-002871</t>
  </si>
  <si>
    <t xml:space="preserve">CANON-202606-002872</t>
  </si>
  <si>
    <t xml:space="preserve">CANON-202606-002875</t>
  </si>
  <si>
    <t xml:space="preserve">CANON-202606-002876</t>
  </si>
  <si>
    <t xml:space="preserve">CANON-202606-002877</t>
  </si>
  <si>
    <t xml:space="preserve">CANON-202606-002881</t>
  </si>
  <si>
    <t xml:space="preserve">CANON-202606-002883</t>
  </si>
  <si>
    <t xml:space="preserve">CANON-202606-002884</t>
  </si>
  <si>
    <t xml:space="preserve">CANON-202606-002885</t>
  </si>
  <si>
    <t xml:space="preserve">CANON-202606-002886</t>
  </si>
  <si>
    <t xml:space="preserve">CANON-202606-002887</t>
  </si>
  <si>
    <t xml:space="preserve">CANON-202606-002888</t>
  </si>
  <si>
    <t xml:space="preserve">CANON-202606-002889</t>
  </si>
  <si>
    <t xml:space="preserve">CANON-202606-002890</t>
  </si>
  <si>
    <t xml:space="preserve">CANON-202606-002891</t>
  </si>
  <si>
    <t xml:space="preserve">CANON-202606-002893</t>
  </si>
  <si>
    <t xml:space="preserve">CANON-202606-002895</t>
  </si>
  <si>
    <t xml:space="preserve">CANON-202606-002896</t>
  </si>
  <si>
    <t xml:space="preserve">CANON-202606-002897</t>
  </si>
  <si>
    <t xml:space="preserve">CANON-202606-002898</t>
  </si>
  <si>
    <t xml:space="preserve">CANON-202606-002901</t>
  </si>
  <si>
    <t xml:space="preserve">CANON-202606-002902</t>
  </si>
  <si>
    <t xml:space="preserve">CANON-202606-002903</t>
  </si>
  <si>
    <t xml:space="preserve">CANON-202606-002904</t>
  </si>
  <si>
    <t xml:space="preserve">CANON-202606-002905</t>
  </si>
  <si>
    <t xml:space="preserve">CANON-202606-002908</t>
  </si>
  <si>
    <t xml:space="preserve">CANON-202606-002910</t>
  </si>
  <si>
    <t xml:space="preserve">CANON-202606-002911</t>
  </si>
  <si>
    <t xml:space="preserve">CANON-202606-002913</t>
  </si>
  <si>
    <t xml:space="preserve">CANON-202606-002915</t>
  </si>
  <si>
    <t xml:space="preserve">CANON-202606-002916</t>
  </si>
  <si>
    <t xml:space="preserve">CANON-202606-002917</t>
  </si>
  <si>
    <t xml:space="preserve">CANON-202606-002918</t>
  </si>
  <si>
    <t xml:space="preserve">CANON-202606-002919</t>
  </si>
  <si>
    <t xml:space="preserve">CANON-202606-002920</t>
  </si>
  <si>
    <t xml:space="preserve">CANON-202606-002921</t>
  </si>
  <si>
    <t xml:space="preserve">CANON-202606-002922</t>
  </si>
  <si>
    <t xml:space="preserve">CANON-202606-002924</t>
  </si>
  <si>
    <t xml:space="preserve">CANON-202606-002925</t>
  </si>
  <si>
    <t xml:space="preserve">CANON-202606-002926</t>
  </si>
  <si>
    <t xml:space="preserve">CANON-202606-002927</t>
  </si>
  <si>
    <t xml:space="preserve">CANON-202606-002928</t>
  </si>
  <si>
    <t xml:space="preserve">CANON-202606-002929</t>
  </si>
  <si>
    <t xml:space="preserve">CANON-202606-002930</t>
  </si>
  <si>
    <t xml:space="preserve">CANON-202606-002931</t>
  </si>
  <si>
    <t xml:space="preserve">CANON-202606-002932</t>
  </si>
  <si>
    <t xml:space="preserve">CANON-202606-002933</t>
  </si>
  <si>
    <t xml:space="preserve">CANON-202606-002934</t>
  </si>
  <si>
    <t xml:space="preserve">CANON-202606-002935</t>
  </si>
  <si>
    <t xml:space="preserve">CANON-202606-002936</t>
  </si>
  <si>
    <t xml:space="preserve">CANON-202606-002937</t>
  </si>
  <si>
    <t xml:space="preserve">CANON-202606-002938</t>
  </si>
  <si>
    <t xml:space="preserve">CANON-202606-002939</t>
  </si>
  <si>
    <t xml:space="preserve">CANON-202606-002940</t>
  </si>
  <si>
    <t xml:space="preserve">CANON-202606-002941</t>
  </si>
  <si>
    <t xml:space="preserve">CANON-202606-002942</t>
  </si>
  <si>
    <t xml:space="preserve">CANON-202606-002943</t>
  </si>
  <si>
    <t xml:space="preserve">CANON-202606-002944</t>
  </si>
  <si>
    <t xml:space="preserve">CANON-202606-002946</t>
  </si>
  <si>
    <t xml:space="preserve">CANON-202606-002948</t>
  </si>
  <si>
    <t xml:space="preserve">CANON-202606-002949</t>
  </si>
  <si>
    <t xml:space="preserve">CANON-202606-002950</t>
  </si>
  <si>
    <t xml:space="preserve">CANON-202606-002951</t>
  </si>
  <si>
    <t xml:space="preserve">CANON-202606-002952</t>
  </si>
  <si>
    <t xml:space="preserve">CANON-202606-002953</t>
  </si>
  <si>
    <t xml:space="preserve">CANON-202606-002956</t>
  </si>
  <si>
    <t xml:space="preserve">CANON-202606-002958</t>
  </si>
  <si>
    <t xml:space="preserve">CANON-202606-002959</t>
  </si>
  <si>
    <t xml:space="preserve">CANON-202606-002960</t>
  </si>
  <si>
    <t xml:space="preserve">CANON-202606-002961</t>
  </si>
  <si>
    <t xml:space="preserve">CANON-202606-002962</t>
  </si>
  <si>
    <t xml:space="preserve">CANON-202606-002963</t>
  </si>
  <si>
    <t xml:space="preserve">CANON-202606-002964</t>
  </si>
  <si>
    <t xml:space="preserve">CANON-202606-002965</t>
  </si>
  <si>
    <t xml:space="preserve">CANON-202606-002966</t>
  </si>
  <si>
    <t xml:space="preserve">CANON-202606-002967</t>
  </si>
  <si>
    <t xml:space="preserve">CANON-202606-002968</t>
  </si>
  <si>
    <t xml:space="preserve">CANON-202606-002969</t>
  </si>
  <si>
    <t xml:space="preserve">CANON-202606-002970</t>
  </si>
  <si>
    <t xml:space="preserve">CANON-202606-002971</t>
  </si>
  <si>
    <t xml:space="preserve">CANON-202606-002972</t>
  </si>
  <si>
    <t xml:space="preserve">CANON-202606-002974</t>
  </si>
  <si>
    <t xml:space="preserve">CANON-202606-002975</t>
  </si>
  <si>
    <t xml:space="preserve">CANON-202606-002976</t>
  </si>
  <si>
    <t xml:space="preserve">CANON-202606-002977</t>
  </si>
  <si>
    <t xml:space="preserve">CANON-202606-002979</t>
  </si>
  <si>
    <t xml:space="preserve">CANON-202606-002980</t>
  </si>
  <si>
    <t xml:space="preserve">CANON-202606-002981</t>
  </si>
  <si>
    <t xml:space="preserve">CANON-202606-002983</t>
  </si>
  <si>
    <t xml:space="preserve">CANON-202606-002985</t>
  </si>
  <si>
    <t xml:space="preserve">CANON-202606-002986</t>
  </si>
  <si>
    <t xml:space="preserve">CANON-202606-002987</t>
  </si>
  <si>
    <t xml:space="preserve">CANON-202606-002988</t>
  </si>
  <si>
    <t xml:space="preserve">CANON-202606-002990</t>
  </si>
  <si>
    <t xml:space="preserve">CANON-202606-002991</t>
  </si>
  <si>
    <t xml:space="preserve">CANON-202606-002992</t>
  </si>
  <si>
    <t xml:space="preserve">CANON-202606-002993</t>
  </si>
  <si>
    <t xml:space="preserve">CANON-202606-002994</t>
  </si>
  <si>
    <t xml:space="preserve">Horace Merriweather</t>
  </si>
  <si>
    <t xml:space="preserve">CANON-202606-002995</t>
  </si>
  <si>
    <t xml:space="preserve">CANON-202606-002996</t>
  </si>
  <si>
    <t xml:space="preserve">Underwriting BDX — 2026-07  (Bound book only)</t>
  </si>
  <si>
    <t xml:space="preserve">CANON-202607-002998</t>
  </si>
  <si>
    <t xml:space="preserve">2026-07-25</t>
  </si>
  <si>
    <t xml:space="preserve">CANON-202607-002999</t>
  </si>
  <si>
    <t xml:space="preserve">2026-07-22</t>
  </si>
  <si>
    <t xml:space="preserve">CANON-202607-003000</t>
  </si>
  <si>
    <t xml:space="preserve">2026-07-04</t>
  </si>
  <si>
    <t xml:space="preserve">CANON-202607-003003</t>
  </si>
  <si>
    <t xml:space="preserve">2026-07-21</t>
  </si>
  <si>
    <t xml:space="preserve">CANON-202607-003006</t>
  </si>
  <si>
    <t xml:space="preserve">2026-07-10</t>
  </si>
  <si>
    <t xml:space="preserve">CANON-202607-003007</t>
  </si>
  <si>
    <t xml:space="preserve">2026-07-15</t>
  </si>
  <si>
    <t xml:space="preserve">CANON-202607-003010</t>
  </si>
  <si>
    <t xml:space="preserve">CANON-202607-003011</t>
  </si>
  <si>
    <t xml:space="preserve">2026-07-18</t>
  </si>
  <si>
    <t xml:space="preserve">CANON-202607-003013</t>
  </si>
  <si>
    <t xml:space="preserve">CANON-202607-003014</t>
  </si>
  <si>
    <t xml:space="preserve">2026-07-02</t>
  </si>
  <si>
    <t xml:space="preserve">CANON-202607-003015</t>
  </si>
  <si>
    <t xml:space="preserve">2026-07-11</t>
  </si>
  <si>
    <t xml:space="preserve">CANON-202607-003016</t>
  </si>
  <si>
    <t xml:space="preserve">2026-07-28</t>
  </si>
  <si>
    <t xml:space="preserve">CANON-202607-003017</t>
  </si>
  <si>
    <t xml:space="preserve">CANON-202607-003018</t>
  </si>
  <si>
    <t xml:space="preserve">2026-07-08</t>
  </si>
  <si>
    <t xml:space="preserve">CANON-202607-003019</t>
  </si>
  <si>
    <t xml:space="preserve">CANON-202607-003020</t>
  </si>
  <si>
    <t xml:space="preserve">2026-07-12</t>
  </si>
  <si>
    <t xml:space="preserve">CANON-202607-003021</t>
  </si>
  <si>
    <t xml:space="preserve">2026-07-01</t>
  </si>
  <si>
    <t xml:space="preserve">CANON-202607-003022</t>
  </si>
  <si>
    <t xml:space="preserve">2026-07-26</t>
  </si>
  <si>
    <t xml:space="preserve">CANON-202607-003023</t>
  </si>
  <si>
    <t xml:space="preserve">2026-07-14</t>
  </si>
  <si>
    <t xml:space="preserve">CANON-202607-003024</t>
  </si>
  <si>
    <t xml:space="preserve">CANON-202607-003025</t>
  </si>
  <si>
    <t xml:space="preserve">Ingrid Thistlewood</t>
  </si>
  <si>
    <t xml:space="preserve">CANON-202607-003027</t>
  </si>
  <si>
    <t xml:space="preserve">CANON-202607-003028</t>
  </si>
  <si>
    <t xml:space="preserve">CANON-202607-003029</t>
  </si>
  <si>
    <t xml:space="preserve">CANON-202607-003030</t>
  </si>
  <si>
    <t xml:space="preserve">2026-07-05</t>
  </si>
  <si>
    <t xml:space="preserve">CANON-202607-003031</t>
  </si>
  <si>
    <t xml:space="preserve">2026-07-27</t>
  </si>
  <si>
    <t xml:space="preserve">CANON-202607-003032</t>
  </si>
  <si>
    <t xml:space="preserve">2026-07-31</t>
  </si>
  <si>
    <t xml:space="preserve">CANON-202607-003033</t>
  </si>
  <si>
    <t xml:space="preserve">2026-07-09</t>
  </si>
  <si>
    <t xml:space="preserve">CANON-202607-003035</t>
  </si>
  <si>
    <t xml:space="preserve">CANON-202607-003036</t>
  </si>
  <si>
    <t xml:space="preserve">CANON-202607-003037</t>
  </si>
  <si>
    <t xml:space="preserve">2026-07-29</t>
  </si>
  <si>
    <t xml:space="preserve">CANON-202607-003038</t>
  </si>
  <si>
    <t xml:space="preserve">CANON-202607-003039</t>
  </si>
  <si>
    <t xml:space="preserve">2026-07-19</t>
  </si>
  <si>
    <t xml:space="preserve">CANON-202607-003040</t>
  </si>
  <si>
    <t xml:space="preserve">CANON-202607-003041</t>
  </si>
  <si>
    <t xml:space="preserve">CANON-202607-003042</t>
  </si>
  <si>
    <t xml:space="preserve">2026-07-03</t>
  </si>
  <si>
    <t xml:space="preserve">CANON-202607-003043</t>
  </si>
  <si>
    <t xml:space="preserve">CANON-202607-003044</t>
  </si>
  <si>
    <t xml:space="preserve">CANON-202607-003045</t>
  </si>
  <si>
    <t xml:space="preserve">CANON-202607-003046</t>
  </si>
  <si>
    <t xml:space="preserve">CANON-202607-003047</t>
  </si>
  <si>
    <t xml:space="preserve">CANON-202607-003049</t>
  </si>
  <si>
    <t xml:space="preserve">CANON-202607-003052</t>
  </si>
  <si>
    <t xml:space="preserve">CANON-202607-003055</t>
  </si>
  <si>
    <t xml:space="preserve">CANON-202607-003057</t>
  </si>
  <si>
    <t xml:space="preserve">CANON-202607-003058</t>
  </si>
  <si>
    <t xml:space="preserve">CANON-202607-003059</t>
  </si>
  <si>
    <t xml:space="preserve">2026-07-13</t>
  </si>
  <si>
    <t xml:space="preserve">CANON-202607-003060</t>
  </si>
  <si>
    <t xml:space="preserve">2026-07-23</t>
  </si>
  <si>
    <t xml:space="preserve">Priya Rourke</t>
  </si>
  <si>
    <t xml:space="preserve">CANON-202607-003061</t>
  </si>
  <si>
    <t xml:space="preserve">2026-07-16</t>
  </si>
  <si>
    <t xml:space="preserve">CANON-202607-003062</t>
  </si>
  <si>
    <t xml:space="preserve">CANON-202607-003065</t>
  </si>
  <si>
    <t xml:space="preserve">CANON-202607-003066</t>
  </si>
  <si>
    <t xml:space="preserve">CANON-202607-003067</t>
  </si>
  <si>
    <t xml:space="preserve">CANON-202607-003068</t>
  </si>
  <si>
    <t xml:space="preserve">CANON-202607-003069</t>
  </si>
  <si>
    <t xml:space="preserve">CANON-202607-003070</t>
  </si>
  <si>
    <t xml:space="preserve">CANON-202607-003071</t>
  </si>
  <si>
    <t xml:space="preserve">CANON-202607-003072</t>
  </si>
  <si>
    <t xml:space="preserve">CANON-202607-003074</t>
  </si>
  <si>
    <t xml:space="preserve">2026-07-30</t>
  </si>
  <si>
    <t xml:space="preserve">CANON-202607-003075</t>
  </si>
  <si>
    <t xml:space="preserve">CANON-202607-003078</t>
  </si>
  <si>
    <t xml:space="preserve">CANON-202607-003079</t>
  </si>
  <si>
    <t xml:space="preserve">CANON-202607-003080</t>
  </si>
  <si>
    <t xml:space="preserve">CANON-202607-003081</t>
  </si>
  <si>
    <t xml:space="preserve">CANON-202607-003082</t>
  </si>
  <si>
    <t xml:space="preserve">CANON-202607-003083</t>
  </si>
  <si>
    <t xml:space="preserve">CANON-202607-003084</t>
  </si>
  <si>
    <t xml:space="preserve">2026-07-24</t>
  </si>
  <si>
    <t xml:space="preserve">CANON-202607-003085</t>
  </si>
  <si>
    <t xml:space="preserve">CANON-202607-003086</t>
  </si>
  <si>
    <t xml:space="preserve">CANON-202607-003090</t>
  </si>
  <si>
    <t xml:space="preserve">CANON-202607-003091</t>
  </si>
  <si>
    <t xml:space="preserve">CANON-202607-003092</t>
  </si>
  <si>
    <t xml:space="preserve">CANON-202607-003094</t>
  </si>
  <si>
    <t xml:space="preserve">CANON-202607-003095</t>
  </si>
  <si>
    <t xml:space="preserve">CANON-202607-003096</t>
  </si>
  <si>
    <t xml:space="preserve">CANON-202607-003097</t>
  </si>
  <si>
    <t xml:space="preserve">2026-07-06</t>
  </si>
  <si>
    <t xml:space="preserve">CANON-202607-003099</t>
  </si>
  <si>
    <t xml:space="preserve">CANON-202607-003100</t>
  </si>
  <si>
    <t xml:space="preserve">CANON-202607-003101</t>
  </si>
  <si>
    <t xml:space="preserve">CANON-202607-003103</t>
  </si>
  <si>
    <t xml:space="preserve">CANON-202607-003104</t>
  </si>
  <si>
    <t xml:space="preserve">CANON-202607-003105</t>
  </si>
  <si>
    <t xml:space="preserve">CANON-202607-003106</t>
  </si>
  <si>
    <t xml:space="preserve">CANON-202607-003107</t>
  </si>
  <si>
    <t xml:space="preserve">CANON-202607-003108</t>
  </si>
  <si>
    <t xml:space="preserve">CANON-202607-003109</t>
  </si>
  <si>
    <t xml:space="preserve">CANON-202607-003110</t>
  </si>
  <si>
    <t xml:space="preserve">CANON-202607-003112</t>
  </si>
  <si>
    <t xml:space="preserve">2026-07-20</t>
  </si>
  <si>
    <t xml:space="preserve">CANON-202607-003113</t>
  </si>
  <si>
    <t xml:space="preserve">CANON-202607-003114</t>
  </si>
  <si>
    <t xml:space="preserve">CANON-202607-003115</t>
  </si>
  <si>
    <t xml:space="preserve">CANON-202607-003117</t>
  </si>
  <si>
    <t xml:space="preserve">CANON-202607-003118</t>
  </si>
  <si>
    <t xml:space="preserve">CANON-202607-003119</t>
  </si>
  <si>
    <t xml:space="preserve">CANON-202607-003120</t>
  </si>
  <si>
    <t xml:space="preserve">CANON-202607-003121</t>
  </si>
  <si>
    <t xml:space="preserve">CANON-202607-003124</t>
  </si>
  <si>
    <t xml:space="preserve">CANON-202607-003125</t>
  </si>
  <si>
    <t xml:space="preserve">CANON-202607-003126</t>
  </si>
  <si>
    <t xml:space="preserve">CANON-202607-003129</t>
  </si>
  <si>
    <t xml:space="preserve">2026-07-07</t>
  </si>
  <si>
    <t xml:space="preserve">CANON-202607-003130</t>
  </si>
  <si>
    <t xml:space="preserve">CANON-202607-003131</t>
  </si>
  <si>
    <t xml:space="preserve">CANON-202607-003132</t>
  </si>
  <si>
    <t xml:space="preserve">CANON-202607-003133</t>
  </si>
  <si>
    <t xml:space="preserve">CANON-202607-003134</t>
  </si>
  <si>
    <t xml:space="preserve">CANON-202607-003135</t>
  </si>
  <si>
    <t xml:space="preserve">CANON-202607-003136</t>
  </si>
  <si>
    <t xml:space="preserve">CANON-202607-003137</t>
  </si>
  <si>
    <t xml:space="preserve">CANON-202607-003138</t>
  </si>
  <si>
    <t xml:space="preserve">CANON-202607-003139</t>
  </si>
  <si>
    <t xml:space="preserve">CANON-202607-003141</t>
  </si>
  <si>
    <t xml:space="preserve">CANON-202607-003142</t>
  </si>
  <si>
    <t xml:space="preserve">CANON-202607-003143</t>
  </si>
  <si>
    <t xml:space="preserve">CANON-202607-003144</t>
  </si>
  <si>
    <t xml:space="preserve">CANON-202607-003146</t>
  </si>
  <si>
    <t xml:space="preserve">CANON-202607-003148</t>
  </si>
  <si>
    <t xml:space="preserve">CANON-202607-003149</t>
  </si>
  <si>
    <t xml:space="preserve">CANON-202607-003151</t>
  </si>
  <si>
    <t xml:space="preserve">CANON-202607-003153</t>
  </si>
  <si>
    <t xml:space="preserve">CANON-202607-003155</t>
  </si>
  <si>
    <t xml:space="preserve">CANON-202607-003157</t>
  </si>
  <si>
    <t xml:space="preserve">CANON-202607-003158</t>
  </si>
  <si>
    <t xml:space="preserve">CANON-202607-003160</t>
  </si>
  <si>
    <t xml:space="preserve">CANON-202607-003161</t>
  </si>
  <si>
    <t xml:space="preserve">CANON-202607-003162</t>
  </si>
  <si>
    <t xml:space="preserve">CANON-202607-003163</t>
  </si>
  <si>
    <t xml:space="preserve">2026-07-17</t>
  </si>
  <si>
    <t xml:space="preserve">CANON-202607-003166</t>
  </si>
  <si>
    <t xml:space="preserve">CANON-202607-003167</t>
  </si>
  <si>
    <t xml:space="preserve">CANON-202607-003168</t>
  </si>
  <si>
    <t xml:space="preserve">CANON-202607-003169</t>
  </si>
  <si>
    <t xml:space="preserve">CANON-202607-003170</t>
  </si>
  <si>
    <t xml:space="preserve">CANON-202607-003171</t>
  </si>
  <si>
    <t xml:space="preserve">CANON-202607-003172</t>
  </si>
  <si>
    <t xml:space="preserve">CANON-202607-003173</t>
  </si>
  <si>
    <t xml:space="preserve">CANON-202607-003174</t>
  </si>
  <si>
    <t xml:space="preserve">CANON-202607-003175</t>
  </si>
  <si>
    <t xml:space="preserve">CANON-202607-003176</t>
  </si>
  <si>
    <t xml:space="preserve">CANON-202607-003177</t>
  </si>
  <si>
    <t xml:space="preserve">CANON-202607-003179</t>
  </si>
  <si>
    <t xml:space="preserve">CANON-202607-003181</t>
  </si>
  <si>
    <t xml:space="preserve">CANON-202607-003184</t>
  </si>
  <si>
    <t xml:space="preserve">CANON-202607-003186</t>
  </si>
  <si>
    <t xml:space="preserve">CANON-202607-003192</t>
  </si>
  <si>
    <t xml:space="preserve">CANON-202607-003193</t>
  </si>
  <si>
    <t xml:space="preserve">CANON-202607-003196</t>
  </si>
  <si>
    <t xml:space="preserve">CANON-202607-003197</t>
  </si>
  <si>
    <t xml:space="preserve">CANON-202607-003198</t>
  </si>
  <si>
    <t xml:space="preserve">CANON-202607-003199</t>
  </si>
  <si>
    <t xml:space="preserve">CANON-202607-003203</t>
  </si>
  <si>
    <t xml:space="preserve">CANON-202607-003204</t>
  </si>
  <si>
    <t xml:space="preserve">CANON-202607-003205</t>
  </si>
  <si>
    <t xml:space="preserve">CANON-202607-003208</t>
  </si>
  <si>
    <t xml:space="preserve">CANON-202607-003209</t>
  </si>
  <si>
    <t xml:space="preserve">CANON-202607-003210</t>
  </si>
  <si>
    <t xml:space="preserve">CANON-202607-003211</t>
  </si>
  <si>
    <t xml:space="preserve">CANON-202607-003212</t>
  </si>
  <si>
    <t xml:space="preserve">Ottilie Underwood</t>
  </si>
  <si>
    <t xml:space="preserve">CANON-202607-003213</t>
  </si>
  <si>
    <t xml:space="preserve">CANON-202607-003214</t>
  </si>
  <si>
    <t xml:space="preserve">CANON-202607-003216</t>
  </si>
  <si>
    <t xml:space="preserve">CANON-202607-003217</t>
  </si>
  <si>
    <t xml:space="preserve">CANON-202607-003218</t>
  </si>
  <si>
    <t xml:space="preserve">CANON-202607-003219</t>
  </si>
  <si>
    <t xml:space="preserve">CANON-202607-003221</t>
  </si>
  <si>
    <t xml:space="preserve">CANON-202607-003223</t>
  </si>
  <si>
    <t xml:space="preserve">CANON-202607-003224</t>
  </si>
  <si>
    <t xml:space="preserve">CANON-202607-003227</t>
  </si>
  <si>
    <t xml:space="preserve">CANON-202607-003229</t>
  </si>
  <si>
    <t xml:space="preserve">CANON-202607-003230</t>
  </si>
  <si>
    <t xml:space="preserve">CANON-202607-003233</t>
  </si>
  <si>
    <t xml:space="preserve">CANON-202607-003234</t>
  </si>
  <si>
    <t xml:space="preserve">CANON-202607-003235</t>
  </si>
  <si>
    <t xml:space="preserve">CANON-202607-003236</t>
  </si>
  <si>
    <t xml:space="preserve">CANON-202607-003237</t>
  </si>
  <si>
    <t xml:space="preserve">CANON-202607-003238</t>
  </si>
  <si>
    <t xml:space="preserve">CANON-202607-003240</t>
  </si>
  <si>
    <t xml:space="preserve">CANON-202607-003241</t>
  </si>
  <si>
    <t xml:space="preserve">CANON-202607-003242</t>
  </si>
  <si>
    <t xml:space="preserve">CANON-202607-003243</t>
  </si>
  <si>
    <t xml:space="preserve">CANON-202607-003245</t>
  </si>
  <si>
    <t xml:space="preserve">CANON-202607-003246</t>
  </si>
  <si>
    <t xml:space="preserve">CANON-202607-003251</t>
  </si>
  <si>
    <t xml:space="preserve">CANON-202607-003252</t>
  </si>
  <si>
    <t xml:space="preserve">CANON-202607-003253</t>
  </si>
  <si>
    <t xml:space="preserve">CANON-202607-003254</t>
  </si>
  <si>
    <t xml:space="preserve">CANON-202607-003256</t>
  </si>
  <si>
    <t xml:space="preserve">CANON-202607-003259</t>
  </si>
  <si>
    <t xml:space="preserve">CANON-202607-003261</t>
  </si>
  <si>
    <t xml:space="preserve">CANON-202607-003262</t>
  </si>
  <si>
    <t xml:space="preserve">CANON-202607-003263</t>
  </si>
  <si>
    <t xml:space="preserve">CANON-202607-003264</t>
  </si>
  <si>
    <t xml:space="preserve">CANON-202607-003265</t>
  </si>
  <si>
    <t xml:space="preserve">CANON-202607-003266</t>
  </si>
  <si>
    <t xml:space="preserve">CANON-202607-003267</t>
  </si>
  <si>
    <t xml:space="preserve">CANON-202607-003268</t>
  </si>
  <si>
    <t xml:space="preserve">CANON-202607-003269</t>
  </si>
  <si>
    <t xml:space="preserve">CANON-202607-003270</t>
  </si>
  <si>
    <t xml:space="preserve">CANON-202607-003271</t>
  </si>
  <si>
    <t xml:space="preserve">CANON-202607-003272</t>
  </si>
  <si>
    <t xml:space="preserve">Saoirse Pennington</t>
  </si>
  <si>
    <t xml:space="preserve">CANON-202607-003273</t>
  </si>
  <si>
    <t xml:space="preserve">CANON-202607-003274</t>
  </si>
  <si>
    <t xml:space="preserve">CANON-202607-003275</t>
  </si>
  <si>
    <t xml:space="preserve">CANON-202607-003276</t>
  </si>
  <si>
    <t xml:space="preserve">CANON-202607-003277</t>
  </si>
  <si>
    <t xml:space="preserve">CANON-202607-003278</t>
  </si>
  <si>
    <t xml:space="preserve">CANON-202607-003279</t>
  </si>
  <si>
    <t xml:space="preserve">CANON-202607-003280</t>
  </si>
  <si>
    <t xml:space="preserve">CANON-202607-003282</t>
  </si>
  <si>
    <t xml:space="preserve">CANON-202607-003283</t>
  </si>
  <si>
    <t xml:space="preserve">CANON-202607-003284</t>
  </si>
  <si>
    <t xml:space="preserve">CANON-202607-003285</t>
  </si>
  <si>
    <t xml:space="preserve">CANON-202607-003286</t>
  </si>
  <si>
    <t xml:space="preserve">CANON-202607-003287</t>
  </si>
  <si>
    <t xml:space="preserve">CANON-202607-003288</t>
  </si>
  <si>
    <t xml:space="preserve">CANON-202607-003289</t>
  </si>
  <si>
    <t xml:space="preserve">CANON-202607-003290</t>
  </si>
  <si>
    <t xml:space="preserve">CANON-202607-003292</t>
  </si>
  <si>
    <t xml:space="preserve">CANON-202607-003295</t>
  </si>
  <si>
    <t xml:space="preserve">CANON-202607-003296</t>
  </si>
  <si>
    <t xml:space="preserve">CANON-202607-003297</t>
  </si>
  <si>
    <t xml:space="preserve">CANON-202607-003298</t>
  </si>
  <si>
    <t xml:space="preserve">CANON-202607-003299</t>
  </si>
  <si>
    <t xml:space="preserve">CANON-202607-003300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</si>
</sst>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E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0</v>
      </c>
    </row>
    <row r="2" customFormat="false" ht="69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8" customFormat="false" ht="15" hidden="false" customHeight="false" outlineLevel="0" collapsed="false">
      <c r="A8" s="3" t="s">
        <v>2</v>
      </c>
      <c r="C8" s="3" t="s">
        <v>3</v>
      </c>
    </row>
    <row r="9" customFormat="false" ht="15" hidden="false" customHeight="false" outlineLevel="0" collapsed="false">
      <c r="A9" s="3" t="s">
        <v>4</v>
      </c>
      <c r="C9" s="3" t="s">
        <v>5</v>
      </c>
    </row>
    <row r="10" customFormat="false" ht="15" hidden="false" customHeight="false" outlineLevel="0" collapsed="false">
      <c r="A10" s="3" t="s">
        <v>6</v>
      </c>
      <c r="C10" s="3" t="s">
        <v>7</v>
      </c>
    </row>
    <row r="11" customFormat="false" ht="15" hidden="false" customHeight="false" outlineLevel="0" collapsed="false">
      <c r="A11" s="3" t="s">
        <v>8</v>
      </c>
      <c r="C11" s="3" t="s">
        <v>9</v>
      </c>
    </row>
    <row r="12" customFormat="false" ht="15" hidden="false" customHeight="false" outlineLevel="0" collapsed="false">
      <c r="A12" s="3" t="s">
        <v>10</v>
      </c>
      <c r="C12" s="3" t="s">
        <v>11</v>
      </c>
    </row>
  </sheetData>
  <mergeCells count="1">
    <mergeCell ref="A2:H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5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5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4" t="s">
        <v>13</v>
      </c>
    </row>
    <row r="4" customFormat="false" ht="15" hidden="false" customHeight="false" outlineLevel="0" collapsed="false">
      <c r="A4" s="5" t="s">
        <v>14</v>
      </c>
      <c r="B4" s="5" t="s">
        <v>15</v>
      </c>
      <c r="C4" s="5" t="s">
        <v>16</v>
      </c>
      <c r="D4" s="5" t="s">
        <v>17</v>
      </c>
      <c r="E4" s="5" t="s">
        <v>18</v>
      </c>
      <c r="F4" s="5" t="s">
        <v>19</v>
      </c>
      <c r="G4" s="5" t="s">
        <v>20</v>
      </c>
      <c r="H4" s="5" t="s">
        <v>21</v>
      </c>
      <c r="I4" s="5" t="s">
        <v>22</v>
      </c>
      <c r="J4" s="5" t="s">
        <v>23</v>
      </c>
      <c r="K4" s="5" t="s">
        <v>24</v>
      </c>
      <c r="L4" s="5" t="s">
        <v>25</v>
      </c>
      <c r="M4" s="5" t="s">
        <v>26</v>
      </c>
      <c r="N4" s="5" t="s">
        <v>27</v>
      </c>
      <c r="O4" s="5" t="s">
        <v>28</v>
      </c>
      <c r="P4" s="5" t="s">
        <v>29</v>
      </c>
      <c r="Q4" s="5" t="s">
        <v>30</v>
      </c>
      <c r="R4" s="5" t="s">
        <v>31</v>
      </c>
      <c r="S4" s="5" t="s">
        <v>32</v>
      </c>
    </row>
    <row r="5" customFormat="false" ht="15" hidden="false" customHeight="false" outlineLevel="0" collapsed="false">
      <c r="A5" s="6" t="s">
        <v>33</v>
      </c>
      <c r="B5" s="7" t="n">
        <f aca="false">'2025-08'!F173</f>
        <v>1872239.19</v>
      </c>
      <c r="C5" s="7" t="n">
        <f aca="false">'2025-08'!G173</f>
        <v>234029.87</v>
      </c>
      <c r="D5" s="7" t="n">
        <f aca="false">'2025-08'!H173</f>
        <v>234029.87</v>
      </c>
      <c r="E5" s="7" t="n">
        <f aca="false">'2025-08'!I173</f>
        <v>1404179.6</v>
      </c>
      <c r="F5" s="7" t="n">
        <f aca="false">'2025-08'!J173</f>
        <v>-0.149999999988268</v>
      </c>
      <c r="G5" s="7" t="n">
        <f aca="false">'2025-08'!K173</f>
        <v>140417.96</v>
      </c>
      <c r="H5" s="7" t="n">
        <f aca="false">'2025-08'!L173</f>
        <v>140417.96</v>
      </c>
      <c r="I5" s="7" t="n">
        <f aca="false">'2025-08'!M173</f>
        <v>140417.96</v>
      </c>
      <c r="J5" s="7" t="n">
        <f aca="false">'2025-08'!N173</f>
        <v>140417.96</v>
      </c>
      <c r="K5" s="7" t="n">
        <f aca="false">'2025-08'!O173</f>
        <v>140417.96</v>
      </c>
      <c r="L5" s="7" t="n">
        <f aca="false">'2025-08'!P173</f>
        <v>140417.96</v>
      </c>
      <c r="M5" s="7" t="n">
        <f aca="false">'2025-08'!Q173</f>
        <v>140417.96</v>
      </c>
      <c r="N5" s="7" t="n">
        <f aca="false">'2025-08'!R173</f>
        <v>140417.96</v>
      </c>
      <c r="O5" s="7" t="n">
        <f aca="false">'2025-08'!S173</f>
        <v>140417.96</v>
      </c>
      <c r="P5" s="7" t="n">
        <f aca="false">'2025-08'!T173</f>
        <v>140417.96</v>
      </c>
      <c r="Q5" s="7" t="n">
        <f aca="false">'2025-08'!U173</f>
        <v>58800</v>
      </c>
      <c r="R5" s="7" t="n">
        <f aca="false">'2025-08'!V173</f>
        <v>10750</v>
      </c>
      <c r="S5" s="7" t="n">
        <f aca="false">'2025-08'!W173</f>
        <v>69550</v>
      </c>
    </row>
    <row r="6" customFormat="false" ht="15" hidden="false" customHeight="false" outlineLevel="0" collapsed="false">
      <c r="A6" s="6" t="s">
        <v>34</v>
      </c>
      <c r="B6" s="7" t="n">
        <f aca="false">'2025-09'!F149</f>
        <v>1503226.64</v>
      </c>
      <c r="C6" s="7" t="n">
        <f aca="false">'2025-09'!G149</f>
        <v>187903.29</v>
      </c>
      <c r="D6" s="7" t="n">
        <f aca="false">'2025-09'!H149</f>
        <v>187903.29</v>
      </c>
      <c r="E6" s="7" t="n">
        <f aca="false">'2025-09'!I149</f>
        <v>1127420.1</v>
      </c>
      <c r="F6" s="7" t="n">
        <f aca="false">'2025-09'!J149</f>
        <v>-0.0400000000063301</v>
      </c>
      <c r="G6" s="7" t="n">
        <f aca="false">'2025-09'!K149</f>
        <v>112742.01</v>
      </c>
      <c r="H6" s="7" t="n">
        <f aca="false">'2025-09'!L149</f>
        <v>112742.01</v>
      </c>
      <c r="I6" s="7" t="n">
        <f aca="false">'2025-09'!M149</f>
        <v>112742.01</v>
      </c>
      <c r="J6" s="7" t="n">
        <f aca="false">'2025-09'!N149</f>
        <v>112742.01</v>
      </c>
      <c r="K6" s="7" t="n">
        <f aca="false">'2025-09'!O149</f>
        <v>112742.01</v>
      </c>
      <c r="L6" s="7" t="n">
        <f aca="false">'2025-09'!P149</f>
        <v>112742.01</v>
      </c>
      <c r="M6" s="7" t="n">
        <f aca="false">'2025-09'!Q149</f>
        <v>112742.01</v>
      </c>
      <c r="N6" s="7" t="n">
        <f aca="false">'2025-09'!R149</f>
        <v>112742.01</v>
      </c>
      <c r="O6" s="7" t="n">
        <f aca="false">'2025-09'!S149</f>
        <v>112742.01</v>
      </c>
      <c r="P6" s="7" t="n">
        <f aca="false">'2025-09'!T149</f>
        <v>112742.01</v>
      </c>
      <c r="Q6" s="7" t="n">
        <f aca="false">'2025-09'!U149</f>
        <v>50400</v>
      </c>
      <c r="R6" s="7" t="n">
        <f aca="false">'2025-09'!V149</f>
        <v>6500</v>
      </c>
      <c r="S6" s="7" t="n">
        <f aca="false">'2025-09'!W149</f>
        <v>56900</v>
      </c>
    </row>
    <row r="7" customFormat="false" ht="15" hidden="false" customHeight="false" outlineLevel="0" collapsed="false">
      <c r="A7" s="6" t="s">
        <v>35</v>
      </c>
      <c r="B7" s="7" t="n">
        <f aca="false">'2025-10'!F179</f>
        <v>1980619.67</v>
      </c>
      <c r="C7" s="7" t="n">
        <f aca="false">'2025-10'!G179</f>
        <v>247577.48</v>
      </c>
      <c r="D7" s="7" t="n">
        <f aca="false">'2025-10'!H179</f>
        <v>247577.48</v>
      </c>
      <c r="E7" s="7" t="n">
        <f aca="false">'2025-10'!I179</f>
        <v>1485464.6</v>
      </c>
      <c r="F7" s="7" t="n">
        <f aca="false">'2025-10'!J179</f>
        <v>0.110000000025138</v>
      </c>
      <c r="G7" s="7" t="n">
        <f aca="false">'2025-10'!K179</f>
        <v>148546.46</v>
      </c>
      <c r="H7" s="7" t="n">
        <f aca="false">'2025-10'!L179</f>
        <v>148546.46</v>
      </c>
      <c r="I7" s="7" t="n">
        <f aca="false">'2025-10'!M179</f>
        <v>148546.46</v>
      </c>
      <c r="J7" s="7" t="n">
        <f aca="false">'2025-10'!N179</f>
        <v>148546.46</v>
      </c>
      <c r="K7" s="7" t="n">
        <f aca="false">'2025-10'!O179</f>
        <v>148546.46</v>
      </c>
      <c r="L7" s="7" t="n">
        <f aca="false">'2025-10'!P179</f>
        <v>148546.46</v>
      </c>
      <c r="M7" s="7" t="n">
        <f aca="false">'2025-10'!Q179</f>
        <v>148546.46</v>
      </c>
      <c r="N7" s="7" t="n">
        <f aca="false">'2025-10'!R179</f>
        <v>148546.46</v>
      </c>
      <c r="O7" s="7" t="n">
        <f aca="false">'2025-10'!S179</f>
        <v>148546.46</v>
      </c>
      <c r="P7" s="7" t="n">
        <f aca="false">'2025-10'!T179</f>
        <v>148546.46</v>
      </c>
      <c r="Q7" s="7" t="n">
        <f aca="false">'2025-10'!U179</f>
        <v>60900</v>
      </c>
      <c r="R7" s="7" t="n">
        <f aca="false">'2025-10'!V179</f>
        <v>9750</v>
      </c>
      <c r="S7" s="7" t="n">
        <f aca="false">'2025-10'!W179</f>
        <v>70650</v>
      </c>
    </row>
    <row r="8" customFormat="false" ht="15" hidden="false" customHeight="false" outlineLevel="0" collapsed="false">
      <c r="A8" s="6" t="s">
        <v>36</v>
      </c>
      <c r="B8" s="7" t="n">
        <f aca="false">'2025-11'!F188</f>
        <v>1830245.47</v>
      </c>
      <c r="C8" s="7" t="n">
        <f aca="false">'2025-11'!G188</f>
        <v>228780.67</v>
      </c>
      <c r="D8" s="7" t="n">
        <f aca="false">'2025-11'!H188</f>
        <v>228780.67</v>
      </c>
      <c r="E8" s="7" t="n">
        <f aca="false">'2025-11'!I188</f>
        <v>1372684</v>
      </c>
      <c r="F8" s="7" t="n">
        <f aca="false">'2025-11'!J188</f>
        <v>0.129999999996016</v>
      </c>
      <c r="G8" s="7" t="n">
        <f aca="false">'2025-11'!K188</f>
        <v>137268.4</v>
      </c>
      <c r="H8" s="7" t="n">
        <f aca="false">'2025-11'!L188</f>
        <v>137268.4</v>
      </c>
      <c r="I8" s="7" t="n">
        <f aca="false">'2025-11'!M188</f>
        <v>137268.4</v>
      </c>
      <c r="J8" s="7" t="n">
        <f aca="false">'2025-11'!N188</f>
        <v>137268.4</v>
      </c>
      <c r="K8" s="7" t="n">
        <f aca="false">'2025-11'!O188</f>
        <v>137268.4</v>
      </c>
      <c r="L8" s="7" t="n">
        <f aca="false">'2025-11'!P188</f>
        <v>137268.4</v>
      </c>
      <c r="M8" s="7" t="n">
        <f aca="false">'2025-11'!Q188</f>
        <v>137268.4</v>
      </c>
      <c r="N8" s="7" t="n">
        <f aca="false">'2025-11'!R188</f>
        <v>137268.4</v>
      </c>
      <c r="O8" s="7" t="n">
        <f aca="false">'2025-11'!S188</f>
        <v>137268.4</v>
      </c>
      <c r="P8" s="7" t="n">
        <f aca="false">'2025-11'!T188</f>
        <v>137268.4</v>
      </c>
      <c r="Q8" s="7" t="n">
        <f aca="false">'2025-11'!U188</f>
        <v>64050</v>
      </c>
      <c r="R8" s="7" t="n">
        <f aca="false">'2025-11'!V188</f>
        <v>9250</v>
      </c>
      <c r="S8" s="7" t="n">
        <f aca="false">'2025-11'!W188</f>
        <v>73300</v>
      </c>
    </row>
    <row r="9" customFormat="false" ht="15" hidden="false" customHeight="false" outlineLevel="0" collapsed="false">
      <c r="A9" s="6" t="s">
        <v>37</v>
      </c>
      <c r="B9" s="7" t="n">
        <f aca="false">'2025-12'!F200</f>
        <v>1795032.26</v>
      </c>
      <c r="C9" s="7" t="n">
        <f aca="false">'2025-12'!G200</f>
        <v>224379.05</v>
      </c>
      <c r="D9" s="7" t="n">
        <f aca="false">'2025-12'!H200</f>
        <v>224379.05</v>
      </c>
      <c r="E9" s="7" t="n">
        <f aca="false">'2025-12'!I200</f>
        <v>1346275</v>
      </c>
      <c r="F9" s="7" t="n">
        <f aca="false">'2025-12'!J200</f>
        <v>-0.840000000027885</v>
      </c>
      <c r="G9" s="7" t="n">
        <f aca="false">'2025-12'!K200</f>
        <v>134627.5</v>
      </c>
      <c r="H9" s="7" t="n">
        <f aca="false">'2025-12'!L200</f>
        <v>134627.5</v>
      </c>
      <c r="I9" s="7" t="n">
        <f aca="false">'2025-12'!M200</f>
        <v>134627.5</v>
      </c>
      <c r="J9" s="7" t="n">
        <f aca="false">'2025-12'!N200</f>
        <v>134627.5</v>
      </c>
      <c r="K9" s="7" t="n">
        <f aca="false">'2025-12'!O200</f>
        <v>134627.5</v>
      </c>
      <c r="L9" s="7" t="n">
        <f aca="false">'2025-12'!P200</f>
        <v>134627.5</v>
      </c>
      <c r="M9" s="7" t="n">
        <f aca="false">'2025-12'!Q200</f>
        <v>134627.5</v>
      </c>
      <c r="N9" s="7" t="n">
        <f aca="false">'2025-12'!R200</f>
        <v>134627.5</v>
      </c>
      <c r="O9" s="7" t="n">
        <f aca="false">'2025-12'!S200</f>
        <v>134627.5</v>
      </c>
      <c r="P9" s="7" t="n">
        <f aca="false">'2025-12'!T200</f>
        <v>134627.5</v>
      </c>
      <c r="Q9" s="7" t="n">
        <f aca="false">'2025-12'!U200</f>
        <v>68250</v>
      </c>
      <c r="R9" s="7" t="n">
        <f aca="false">'2025-12'!V200</f>
        <v>7250</v>
      </c>
      <c r="S9" s="7" t="n">
        <f aca="false">'2025-12'!W200</f>
        <v>75500</v>
      </c>
    </row>
    <row r="10" customFormat="false" ht="15" hidden="false" customHeight="false" outlineLevel="0" collapsed="false">
      <c r="A10" s="6" t="s">
        <v>38</v>
      </c>
      <c r="B10" s="7" t="n">
        <f aca="false">'2026-01'!F194</f>
        <v>1814547.58</v>
      </c>
      <c r="C10" s="7" t="n">
        <f aca="false">'2026-01'!G194</f>
        <v>226818.43</v>
      </c>
      <c r="D10" s="7" t="n">
        <f aca="false">'2026-01'!H194</f>
        <v>226818.43</v>
      </c>
      <c r="E10" s="7" t="n">
        <f aca="false">'2026-01'!I194</f>
        <v>1360910.6</v>
      </c>
      <c r="F10" s="7" t="n">
        <f aca="false">'2026-01'!J194</f>
        <v>0.120000000014898</v>
      </c>
      <c r="G10" s="7" t="n">
        <f aca="false">'2026-01'!K194</f>
        <v>136091.06</v>
      </c>
      <c r="H10" s="7" t="n">
        <f aca="false">'2026-01'!L194</f>
        <v>136091.06</v>
      </c>
      <c r="I10" s="7" t="n">
        <f aca="false">'2026-01'!M194</f>
        <v>136091.06</v>
      </c>
      <c r="J10" s="7" t="n">
        <f aca="false">'2026-01'!N194</f>
        <v>136091.06</v>
      </c>
      <c r="K10" s="7" t="n">
        <f aca="false">'2026-01'!O194</f>
        <v>136091.06</v>
      </c>
      <c r="L10" s="7" t="n">
        <f aca="false">'2026-01'!P194</f>
        <v>136091.06</v>
      </c>
      <c r="M10" s="7" t="n">
        <f aca="false">'2026-01'!Q194</f>
        <v>136091.06</v>
      </c>
      <c r="N10" s="7" t="n">
        <f aca="false">'2026-01'!R194</f>
        <v>136091.06</v>
      </c>
      <c r="O10" s="7" t="n">
        <f aca="false">'2026-01'!S194</f>
        <v>136091.06</v>
      </c>
      <c r="P10" s="7" t="n">
        <f aca="false">'2026-01'!T194</f>
        <v>136091.06</v>
      </c>
      <c r="Q10" s="7" t="n">
        <f aca="false">'2026-01'!U194</f>
        <v>66150</v>
      </c>
      <c r="R10" s="7" t="n">
        <f aca="false">'2026-01'!V194</f>
        <v>10000</v>
      </c>
      <c r="S10" s="7" t="n">
        <f aca="false">'2026-01'!W194</f>
        <v>76150</v>
      </c>
    </row>
    <row r="11" customFormat="false" ht="15" hidden="false" customHeight="false" outlineLevel="0" collapsed="false">
      <c r="A11" s="6" t="s">
        <v>39</v>
      </c>
      <c r="B11" s="7" t="n">
        <f aca="false">'2026-02'!F222</f>
        <v>2151958.87</v>
      </c>
      <c r="C11" s="7" t="n">
        <f aca="false">'2026-02'!G222</f>
        <v>268994.88</v>
      </c>
      <c r="D11" s="7" t="n">
        <f aca="false">'2026-02'!H222</f>
        <v>268994.88</v>
      </c>
      <c r="E11" s="7" t="n">
        <f aca="false">'2026-02'!I222</f>
        <v>1613969.5</v>
      </c>
      <c r="F11" s="7" t="n">
        <f aca="false">'2026-02'!J222</f>
        <v>-0.389999999992824</v>
      </c>
      <c r="G11" s="7" t="n">
        <f aca="false">'2026-02'!K222</f>
        <v>161396.95</v>
      </c>
      <c r="H11" s="7" t="n">
        <f aca="false">'2026-02'!L222</f>
        <v>161396.95</v>
      </c>
      <c r="I11" s="7" t="n">
        <f aca="false">'2026-02'!M222</f>
        <v>161396.95</v>
      </c>
      <c r="J11" s="7" t="n">
        <f aca="false">'2026-02'!N222</f>
        <v>161396.95</v>
      </c>
      <c r="K11" s="7" t="n">
        <f aca="false">'2026-02'!O222</f>
        <v>161396.95</v>
      </c>
      <c r="L11" s="7" t="n">
        <f aca="false">'2026-02'!P222</f>
        <v>161396.95</v>
      </c>
      <c r="M11" s="7" t="n">
        <f aca="false">'2026-02'!Q222</f>
        <v>161396.95</v>
      </c>
      <c r="N11" s="7" t="n">
        <f aca="false">'2026-02'!R222</f>
        <v>161396.95</v>
      </c>
      <c r="O11" s="7" t="n">
        <f aca="false">'2026-02'!S222</f>
        <v>161396.95</v>
      </c>
      <c r="P11" s="7" t="n">
        <f aca="false">'2026-02'!T222</f>
        <v>161396.95</v>
      </c>
      <c r="Q11" s="7" t="n">
        <f aca="false">'2026-02'!U222</f>
        <v>75950</v>
      </c>
      <c r="R11" s="7" t="n">
        <f aca="false">'2026-02'!V222</f>
        <v>11500</v>
      </c>
      <c r="S11" s="7" t="n">
        <f aca="false">'2026-02'!W222</f>
        <v>87450</v>
      </c>
    </row>
    <row r="12" customFormat="false" ht="15" hidden="false" customHeight="false" outlineLevel="0" collapsed="false">
      <c r="A12" s="6" t="s">
        <v>40</v>
      </c>
      <c r="B12" s="7" t="n">
        <f aca="false">'2026-03'!F246</f>
        <v>2340474.51</v>
      </c>
      <c r="C12" s="7" t="n">
        <f aca="false">'2026-03'!G246</f>
        <v>292559.3</v>
      </c>
      <c r="D12" s="7" t="n">
        <f aca="false">'2026-03'!H246</f>
        <v>292559.3</v>
      </c>
      <c r="E12" s="7" t="n">
        <f aca="false">'2026-03'!I246</f>
        <v>1755356.1</v>
      </c>
      <c r="F12" s="7" t="n">
        <f aca="false">'2026-03'!J246</f>
        <v>-0.190000000010741</v>
      </c>
      <c r="G12" s="7" t="n">
        <f aca="false">'2026-03'!K246</f>
        <v>175535.61</v>
      </c>
      <c r="H12" s="7" t="n">
        <f aca="false">'2026-03'!L246</f>
        <v>175535.61</v>
      </c>
      <c r="I12" s="7" t="n">
        <f aca="false">'2026-03'!M246</f>
        <v>175535.61</v>
      </c>
      <c r="J12" s="7" t="n">
        <f aca="false">'2026-03'!N246</f>
        <v>175535.61</v>
      </c>
      <c r="K12" s="7" t="n">
        <f aca="false">'2026-03'!O246</f>
        <v>175535.61</v>
      </c>
      <c r="L12" s="7" t="n">
        <f aca="false">'2026-03'!P246</f>
        <v>175535.61</v>
      </c>
      <c r="M12" s="7" t="n">
        <f aca="false">'2026-03'!Q246</f>
        <v>175535.61</v>
      </c>
      <c r="N12" s="7" t="n">
        <f aca="false">'2026-03'!R246</f>
        <v>175535.61</v>
      </c>
      <c r="O12" s="7" t="n">
        <f aca="false">'2026-03'!S246</f>
        <v>175535.61</v>
      </c>
      <c r="P12" s="7" t="n">
        <f aca="false">'2026-03'!T246</f>
        <v>175535.61</v>
      </c>
      <c r="Q12" s="7" t="n">
        <f aca="false">'2026-03'!U246</f>
        <v>84350</v>
      </c>
      <c r="R12" s="7" t="n">
        <f aca="false">'2026-03'!V246</f>
        <v>11000</v>
      </c>
      <c r="S12" s="7" t="n">
        <f aca="false">'2026-03'!W246</f>
        <v>95350</v>
      </c>
    </row>
    <row r="13" customFormat="false" ht="15" hidden="false" customHeight="false" outlineLevel="0" collapsed="false">
      <c r="A13" s="6" t="s">
        <v>41</v>
      </c>
      <c r="B13" s="7" t="n">
        <f aca="false">'2026-04'!F215</f>
        <v>1896673.89</v>
      </c>
      <c r="C13" s="7" t="n">
        <f aca="false">'2026-04'!G215</f>
        <v>237084.24</v>
      </c>
      <c r="D13" s="7" t="n">
        <f aca="false">'2026-04'!H215</f>
        <v>237084.24</v>
      </c>
      <c r="E13" s="7" t="n">
        <f aca="false">'2026-04'!I215</f>
        <v>1422505.5</v>
      </c>
      <c r="F13" s="7" t="n">
        <f aca="false">'2026-04'!J215</f>
        <v>-0.0900000000124237</v>
      </c>
      <c r="G13" s="7" t="n">
        <f aca="false">'2026-04'!K215</f>
        <v>142250.55</v>
      </c>
      <c r="H13" s="7" t="n">
        <f aca="false">'2026-04'!L215</f>
        <v>142250.55</v>
      </c>
      <c r="I13" s="7" t="n">
        <f aca="false">'2026-04'!M215</f>
        <v>142250.55</v>
      </c>
      <c r="J13" s="7" t="n">
        <f aca="false">'2026-04'!N215</f>
        <v>142250.55</v>
      </c>
      <c r="K13" s="7" t="n">
        <f aca="false">'2026-04'!O215</f>
        <v>142250.55</v>
      </c>
      <c r="L13" s="7" t="n">
        <f aca="false">'2026-04'!P215</f>
        <v>142250.55</v>
      </c>
      <c r="M13" s="7" t="n">
        <f aca="false">'2026-04'!Q215</f>
        <v>142250.55</v>
      </c>
      <c r="N13" s="7" t="n">
        <f aca="false">'2026-04'!R215</f>
        <v>142250.55</v>
      </c>
      <c r="O13" s="7" t="n">
        <f aca="false">'2026-04'!S215</f>
        <v>142250.55</v>
      </c>
      <c r="P13" s="7" t="n">
        <f aca="false">'2026-04'!T215</f>
        <v>142250.55</v>
      </c>
      <c r="Q13" s="7" t="n">
        <f aca="false">'2026-04'!U215</f>
        <v>73500</v>
      </c>
      <c r="R13" s="7" t="n">
        <f aca="false">'2026-04'!V215</f>
        <v>12750</v>
      </c>
      <c r="S13" s="7" t="n">
        <f aca="false">'2026-04'!W215</f>
        <v>86250</v>
      </c>
    </row>
    <row r="14" customFormat="false" ht="15" hidden="false" customHeight="false" outlineLevel="0" collapsed="false">
      <c r="A14" s="6" t="s">
        <v>42</v>
      </c>
      <c r="B14" s="7" t="n">
        <f aca="false">'2026-05'!F209</f>
        <v>1622960.73</v>
      </c>
      <c r="C14" s="7" t="n">
        <f aca="false">'2026-05'!G209</f>
        <v>202870.06</v>
      </c>
      <c r="D14" s="7" t="n">
        <f aca="false">'2026-05'!H209</f>
        <v>202870.06</v>
      </c>
      <c r="E14" s="7" t="n">
        <f aca="false">'2026-05'!I209</f>
        <v>1217220.8</v>
      </c>
      <c r="F14" s="7" t="n">
        <f aca="false">'2026-05'!J209</f>
        <v>-0.190000000003238</v>
      </c>
      <c r="G14" s="7" t="n">
        <f aca="false">'2026-05'!K209</f>
        <v>121722.08</v>
      </c>
      <c r="H14" s="7" t="n">
        <f aca="false">'2026-05'!L209</f>
        <v>121722.08</v>
      </c>
      <c r="I14" s="7" t="n">
        <f aca="false">'2026-05'!M209</f>
        <v>121722.08</v>
      </c>
      <c r="J14" s="7" t="n">
        <f aca="false">'2026-05'!N209</f>
        <v>121722.08</v>
      </c>
      <c r="K14" s="7" t="n">
        <f aca="false">'2026-05'!O209</f>
        <v>121722.08</v>
      </c>
      <c r="L14" s="7" t="n">
        <f aca="false">'2026-05'!P209</f>
        <v>121722.08</v>
      </c>
      <c r="M14" s="7" t="n">
        <f aca="false">'2026-05'!Q209</f>
        <v>121722.08</v>
      </c>
      <c r="N14" s="7" t="n">
        <f aca="false">'2026-05'!R209</f>
        <v>121722.08</v>
      </c>
      <c r="O14" s="7" t="n">
        <f aca="false">'2026-05'!S209</f>
        <v>121722.08</v>
      </c>
      <c r="P14" s="7" t="n">
        <f aca="false">'2026-05'!T209</f>
        <v>121722.08</v>
      </c>
      <c r="Q14" s="7" t="n">
        <f aca="false">'2026-05'!U209</f>
        <v>71400</v>
      </c>
      <c r="R14" s="7" t="n">
        <f aca="false">'2026-05'!V209</f>
        <v>10250</v>
      </c>
      <c r="S14" s="7" t="n">
        <f aca="false">'2026-05'!W209</f>
        <v>81650</v>
      </c>
    </row>
    <row r="15" customFormat="false" ht="15" hidden="false" customHeight="false" outlineLevel="0" collapsed="false">
      <c r="A15" s="6" t="s">
        <v>43</v>
      </c>
      <c r="B15" s="7" t="n">
        <f aca="false">'2026-06'!F272</f>
        <v>2318315.9</v>
      </c>
      <c r="C15" s="7" t="n">
        <f aca="false">'2026-06'!G272</f>
        <v>289789.45</v>
      </c>
      <c r="D15" s="7" t="n">
        <f aca="false">'2026-06'!H272</f>
        <v>289789.45</v>
      </c>
      <c r="E15" s="7" t="n">
        <f aca="false">'2026-06'!I272</f>
        <v>1738736.2</v>
      </c>
      <c r="F15" s="7" t="n">
        <f aca="false">'2026-06'!J272</f>
        <v>0.799999999986312</v>
      </c>
      <c r="G15" s="7" t="n">
        <f aca="false">'2026-06'!K272</f>
        <v>173873.62</v>
      </c>
      <c r="H15" s="7" t="n">
        <f aca="false">'2026-06'!L272</f>
        <v>173873.62</v>
      </c>
      <c r="I15" s="7" t="n">
        <f aca="false">'2026-06'!M272</f>
        <v>173873.62</v>
      </c>
      <c r="J15" s="7" t="n">
        <f aca="false">'2026-06'!N272</f>
        <v>173873.62</v>
      </c>
      <c r="K15" s="7" t="n">
        <f aca="false">'2026-06'!O272</f>
        <v>173873.62</v>
      </c>
      <c r="L15" s="7" t="n">
        <f aca="false">'2026-06'!P272</f>
        <v>173873.62</v>
      </c>
      <c r="M15" s="7" t="n">
        <f aca="false">'2026-06'!Q272</f>
        <v>173873.62</v>
      </c>
      <c r="N15" s="7" t="n">
        <f aca="false">'2026-06'!R272</f>
        <v>173873.62</v>
      </c>
      <c r="O15" s="7" t="n">
        <f aca="false">'2026-06'!S272</f>
        <v>173873.62</v>
      </c>
      <c r="P15" s="7" t="n">
        <f aca="false">'2026-06'!T272</f>
        <v>173873.62</v>
      </c>
      <c r="Q15" s="7" t="n">
        <f aca="false">'2026-06'!U272</f>
        <v>93450</v>
      </c>
      <c r="R15" s="7" t="n">
        <f aca="false">'2026-06'!V272</f>
        <v>16750</v>
      </c>
      <c r="S15" s="7" t="n">
        <f aca="false">'2026-06'!W272</f>
        <v>110200</v>
      </c>
    </row>
    <row r="16" customFormat="false" ht="15" hidden="false" customHeight="false" outlineLevel="0" collapsed="false">
      <c r="A16" s="6" t="s">
        <v>44</v>
      </c>
      <c r="B16" s="7" t="n">
        <f aca="false">'2026-07'!F227</f>
        <v>1893819.46</v>
      </c>
      <c r="C16" s="7" t="n">
        <f aca="false">'2026-07'!G227</f>
        <v>236727.49</v>
      </c>
      <c r="D16" s="7" t="n">
        <f aca="false">'2026-07'!H227</f>
        <v>236727.49</v>
      </c>
      <c r="E16" s="7" t="n">
        <f aca="false">'2026-07'!I227</f>
        <v>1420364.8</v>
      </c>
      <c r="F16" s="7" t="n">
        <f aca="false">'2026-07'!J227</f>
        <v>-0.319999999997663</v>
      </c>
      <c r="G16" s="7" t="n">
        <f aca="false">'2026-07'!K227</f>
        <v>142036.48</v>
      </c>
      <c r="H16" s="7" t="n">
        <f aca="false">'2026-07'!L227</f>
        <v>142036.48</v>
      </c>
      <c r="I16" s="7" t="n">
        <f aca="false">'2026-07'!M227</f>
        <v>142036.48</v>
      </c>
      <c r="J16" s="7" t="n">
        <f aca="false">'2026-07'!N227</f>
        <v>142036.48</v>
      </c>
      <c r="K16" s="7" t="n">
        <f aca="false">'2026-07'!O227</f>
        <v>142036.48</v>
      </c>
      <c r="L16" s="7" t="n">
        <f aca="false">'2026-07'!P227</f>
        <v>142036.48</v>
      </c>
      <c r="M16" s="7" t="n">
        <f aca="false">'2026-07'!Q227</f>
        <v>142036.48</v>
      </c>
      <c r="N16" s="7" t="n">
        <f aca="false">'2026-07'!R227</f>
        <v>142036.48</v>
      </c>
      <c r="O16" s="7" t="n">
        <f aca="false">'2026-07'!S227</f>
        <v>142036.48</v>
      </c>
      <c r="P16" s="7" t="n">
        <f aca="false">'2026-07'!T227</f>
        <v>142036.48</v>
      </c>
      <c r="Q16" s="7" t="n">
        <f aca="false">'2026-07'!U227</f>
        <v>77700</v>
      </c>
      <c r="R16" s="7" t="n">
        <f aca="false">'2026-07'!V227</f>
        <v>13750</v>
      </c>
      <c r="S16" s="7" t="n">
        <f aca="false">'2026-07'!W227</f>
        <v>91450</v>
      </c>
    </row>
    <row r="17" customFormat="false" ht="15" hidden="false" customHeight="false" outlineLevel="0" collapsed="false">
      <c r="A17" s="8" t="s">
        <v>45</v>
      </c>
      <c r="B17" s="9" t="n">
        <f aca="false">SUM(B5:B16)</f>
        <v>23020114.17</v>
      </c>
      <c r="C17" s="9" t="n">
        <f aca="false">SUM(C5:C16)</f>
        <v>2877514.21</v>
      </c>
      <c r="D17" s="9" t="n">
        <f aca="false">SUM(D5:D16)</f>
        <v>2877514.21</v>
      </c>
      <c r="E17" s="9" t="n">
        <f aca="false">SUM(E5:E16)</f>
        <v>17265086.8</v>
      </c>
      <c r="F17" s="9" t="n">
        <f aca="false">SUM(F5:F16)</f>
        <v>-1.05000000001701</v>
      </c>
      <c r="G17" s="9" t="n">
        <f aca="false">SUM(G5:G16)</f>
        <v>1726508.68</v>
      </c>
      <c r="H17" s="9" t="n">
        <f aca="false">SUM(H5:H16)</f>
        <v>1726508.68</v>
      </c>
      <c r="I17" s="9" t="n">
        <f aca="false">SUM(I5:I16)</f>
        <v>1726508.68</v>
      </c>
      <c r="J17" s="9" t="n">
        <f aca="false">SUM(J5:J16)</f>
        <v>1726508.68</v>
      </c>
      <c r="K17" s="9" t="n">
        <f aca="false">SUM(K5:K16)</f>
        <v>1726508.68</v>
      </c>
      <c r="L17" s="9" t="n">
        <f aca="false">SUM(L5:L16)</f>
        <v>1726508.68</v>
      </c>
      <c r="M17" s="9" t="n">
        <f aca="false">SUM(M5:M16)</f>
        <v>1726508.68</v>
      </c>
      <c r="N17" s="9" t="n">
        <f aca="false">SUM(N5:N16)</f>
        <v>1726508.68</v>
      </c>
      <c r="O17" s="9" t="n">
        <f aca="false">SUM(O5:O16)</f>
        <v>1726508.68</v>
      </c>
      <c r="P17" s="9" t="n">
        <f aca="false">SUM(P5:P16)</f>
        <v>1726508.68</v>
      </c>
      <c r="Q17" s="9" t="n">
        <f aca="false">SUM(Q5:Q16)</f>
        <v>844900</v>
      </c>
      <c r="R17" s="9" t="n">
        <f aca="false">SUM(R5:R16)</f>
        <v>129500</v>
      </c>
      <c r="S17" s="9" t="n">
        <f aca="false">SUM(S5:S16)</f>
        <v>974400</v>
      </c>
    </row>
    <row r="19" customFormat="false" ht="15" hidden="false" customHeight="false" outlineLevel="0" collapsed="false">
      <c r="A19" s="8" t="s">
        <v>46</v>
      </c>
      <c r="C19" s="10"/>
      <c r="D19" s="11"/>
    </row>
    <row r="20" customFormat="false" ht="15" hidden="false" customHeight="false" outlineLevel="0" collapsed="false">
      <c r="A20" s="3" t="s">
        <v>47</v>
      </c>
      <c r="C20" s="10" t="n">
        <f aca="false">B17</f>
        <v>23020114.17</v>
      </c>
    </row>
    <row r="21" customFormat="false" ht="15" hidden="false" customHeight="false" outlineLevel="0" collapsed="false">
      <c r="A21" s="3" t="s">
        <v>48</v>
      </c>
      <c r="D21" s="11" t="n">
        <v>23020114.17</v>
      </c>
    </row>
    <row r="22" customFormat="false" ht="15" hidden="false" customHeight="false" outlineLevel="0" collapsed="false">
      <c r="A22" s="8" t="s">
        <v>49</v>
      </c>
      <c r="C22" s="12" t="n">
        <f aca="false">B17-23020114.17</f>
        <v>0</v>
      </c>
    </row>
    <row r="23" customFormat="false" ht="15" hidden="false" customHeight="false" outlineLevel="0" collapsed="false">
      <c r="A23" s="3" t="s">
        <v>50</v>
      </c>
      <c r="C23" s="10" t="n">
        <f aca="false">C17+D17+E17+F17</f>
        <v>23020114.17</v>
      </c>
    </row>
    <row r="24" customFormat="false" ht="15" hidden="false" customHeight="false" outlineLevel="0" collapsed="false">
      <c r="A24" s="8" t="s">
        <v>51</v>
      </c>
      <c r="C24" s="12" t="n">
        <f aca="false">(C17+D17+E17+F17)-B17</f>
        <v>0</v>
      </c>
    </row>
    <row r="25" customFormat="false" ht="15" hidden="false" customHeight="false" outlineLevel="0" collapsed="false">
      <c r="A25" s="3" t="s">
        <v>52</v>
      </c>
      <c r="C25" s="10" t="n">
        <f aca="false">SUM(G17:P17)</f>
        <v>17265086.8</v>
      </c>
    </row>
    <row r="26" customFormat="false" ht="15" hidden="false" customHeight="false" outlineLevel="0" collapsed="false">
      <c r="A26" s="3" t="s">
        <v>53</v>
      </c>
      <c r="C26" s="10" t="n">
        <f aca="false">E17</f>
        <v>17265086.8</v>
      </c>
    </row>
    <row r="27" customFormat="false" ht="15" hidden="false" customHeight="false" outlineLevel="0" collapsed="false">
      <c r="A27" s="8" t="s">
        <v>54</v>
      </c>
      <c r="C27" s="12" t="n">
        <f aca="false">SUM(G17:P17)-E17</f>
        <v>0</v>
      </c>
    </row>
    <row r="28" customFormat="false" ht="15" hidden="false" customHeight="false" outlineLevel="0" collapsed="false">
      <c r="A28" s="3" t="s">
        <v>55</v>
      </c>
      <c r="C28" s="10" t="n">
        <f aca="false">G17</f>
        <v>1726508.68</v>
      </c>
    </row>
    <row r="29" customFormat="false" ht="15" hidden="false" customHeight="false" outlineLevel="0" collapsed="false">
      <c r="A29" s="3" t="s">
        <v>56</v>
      </c>
      <c r="D29" s="11" t="n">
        <v>1726508.56</v>
      </c>
    </row>
    <row r="30" customFormat="false" ht="15" hidden="false" customHeight="false" outlineLevel="0" collapsed="false">
      <c r="A30" s="3" t="s">
        <v>57</v>
      </c>
      <c r="C30" s="10" t="n">
        <f aca="false">S17</f>
        <v>974400</v>
      </c>
    </row>
    <row r="31" customFormat="false" ht="15" hidden="false" customHeight="false" outlineLevel="0" collapsed="false">
      <c r="A31" s="3" t="s">
        <v>58</v>
      </c>
      <c r="D31" s="11" t="n">
        <v>974400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21" min="11" style="0" width="11"/>
    <col collapsed="false" customWidth="true" hidden="false" outlineLevel="0" max="22" min="22" style="0" width="13"/>
    <col collapsed="false" customWidth="true" hidden="false" outlineLevel="0" max="23" min="23" style="0" width="11"/>
  </cols>
  <sheetData>
    <row r="1" customFormat="false" ht="17.35" hidden="false" customHeight="false" outlineLevel="0" collapsed="false">
      <c r="A1" s="1" t="s">
        <v>59</v>
      </c>
    </row>
    <row r="2" customFormat="false" ht="15" hidden="false" customHeight="false" outlineLevel="0" collapsed="false">
      <c r="A2" s="4" t="s">
        <v>60</v>
      </c>
    </row>
    <row r="4" customFormat="false" ht="15" hidden="false" customHeight="false" outlineLevel="0" collapsed="false">
      <c r="A4" s="5" t="s">
        <v>61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15</v>
      </c>
      <c r="G4" s="5" t="s">
        <v>16</v>
      </c>
      <c r="H4" s="5" t="s">
        <v>17</v>
      </c>
      <c r="I4" s="5" t="s">
        <v>18</v>
      </c>
      <c r="J4" s="5" t="s">
        <v>19</v>
      </c>
      <c r="K4" s="5" t="s">
        <v>20</v>
      </c>
      <c r="L4" s="5" t="s">
        <v>21</v>
      </c>
      <c r="M4" s="5" t="s">
        <v>22</v>
      </c>
      <c r="N4" s="5" t="s">
        <v>23</v>
      </c>
      <c r="O4" s="5" t="s">
        <v>24</v>
      </c>
      <c r="P4" s="5" t="s">
        <v>25</v>
      </c>
      <c r="Q4" s="5" t="s">
        <v>26</v>
      </c>
      <c r="R4" s="5" t="s">
        <v>27</v>
      </c>
      <c r="S4" s="5" t="s">
        <v>28</v>
      </c>
      <c r="T4" s="5" t="s">
        <v>29</v>
      </c>
      <c r="U4" s="5" t="s">
        <v>30</v>
      </c>
      <c r="V4" s="5" t="s">
        <v>31</v>
      </c>
      <c r="W4" s="5" t="s">
        <v>32</v>
      </c>
    </row>
    <row r="5" customFormat="false" ht="15" hidden="false" customHeight="false" outlineLevel="0" collapsed="false">
      <c r="A5" s="3" t="s">
        <v>66</v>
      </c>
      <c r="B5" s="3" t="s">
        <v>67</v>
      </c>
      <c r="C5" s="3" t="s">
        <v>68</v>
      </c>
      <c r="D5" s="3" t="s">
        <v>69</v>
      </c>
      <c r="E5" s="13" t="n">
        <v>190000</v>
      </c>
      <c r="F5" s="13" t="n">
        <v>3199.17</v>
      </c>
      <c r="G5" s="13" t="n">
        <v>399.9</v>
      </c>
      <c r="H5" s="13" t="n">
        <v>399.9</v>
      </c>
      <c r="I5" s="13" t="n">
        <f aca="false">SUM(K5:T5)</f>
        <v>2399.4</v>
      </c>
      <c r="J5" s="13" t="n">
        <f aca="false">F5-(G5+H5+I5)</f>
        <v>-0.0299999999997453</v>
      </c>
      <c r="K5" s="13" t="n">
        <v>239.94</v>
      </c>
      <c r="L5" s="13" t="n">
        <v>239.94</v>
      </c>
      <c r="M5" s="13" t="n">
        <v>239.94</v>
      </c>
      <c r="N5" s="13" t="n">
        <v>239.94</v>
      </c>
      <c r="O5" s="13" t="n">
        <v>239.94</v>
      </c>
      <c r="P5" s="13" t="n">
        <v>239.94</v>
      </c>
      <c r="Q5" s="13" t="n">
        <v>239.94</v>
      </c>
      <c r="R5" s="13" t="n">
        <v>239.94</v>
      </c>
      <c r="S5" s="13" t="n">
        <v>239.94</v>
      </c>
      <c r="T5" s="13" t="n">
        <v>239.94</v>
      </c>
      <c r="U5" s="13" t="n">
        <v>350</v>
      </c>
      <c r="V5" s="13" t="n">
        <v>0</v>
      </c>
      <c r="W5" s="13" t="n">
        <f aca="false">U5+V5</f>
        <v>350</v>
      </c>
    </row>
    <row r="6" customFormat="false" ht="15" hidden="false" customHeight="false" outlineLevel="0" collapsed="false">
      <c r="A6" s="14" t="s">
        <v>70</v>
      </c>
      <c r="B6" s="14" t="s">
        <v>71</v>
      </c>
      <c r="C6" s="14" t="s">
        <v>72</v>
      </c>
      <c r="D6" s="14" t="s">
        <v>73</v>
      </c>
      <c r="E6" s="15" t="n">
        <v>570000</v>
      </c>
      <c r="F6" s="15" t="n">
        <v>11953.87</v>
      </c>
      <c r="G6" s="15" t="n">
        <v>1494.23</v>
      </c>
      <c r="H6" s="15" t="n">
        <v>1494.23</v>
      </c>
      <c r="I6" s="15" t="n">
        <f aca="false">SUM(K6:T6)</f>
        <v>8965.4</v>
      </c>
      <c r="J6" s="15" t="n">
        <f aca="false">F6-(G6+H6+I6)</f>
        <v>0.0100000000002183</v>
      </c>
      <c r="K6" s="15" t="n">
        <v>896.54</v>
      </c>
      <c r="L6" s="15" t="n">
        <v>896.54</v>
      </c>
      <c r="M6" s="15" t="n">
        <v>896.54</v>
      </c>
      <c r="N6" s="15" t="n">
        <v>896.54</v>
      </c>
      <c r="O6" s="15" t="n">
        <v>896.54</v>
      </c>
      <c r="P6" s="15" t="n">
        <v>896.54</v>
      </c>
      <c r="Q6" s="15" t="n">
        <v>896.54</v>
      </c>
      <c r="R6" s="15" t="n">
        <v>896.54</v>
      </c>
      <c r="S6" s="15" t="n">
        <v>896.54</v>
      </c>
      <c r="T6" s="15" t="n">
        <v>896.54</v>
      </c>
      <c r="U6" s="15" t="n">
        <v>350</v>
      </c>
      <c r="V6" s="15" t="n">
        <v>0</v>
      </c>
      <c r="W6" s="15" t="n">
        <f aca="false">U6+V6</f>
        <v>350</v>
      </c>
    </row>
    <row r="7" customFormat="false" ht="15" hidden="false" customHeight="false" outlineLevel="0" collapsed="false">
      <c r="A7" s="3" t="s">
        <v>74</v>
      </c>
      <c r="B7" s="3" t="s">
        <v>75</v>
      </c>
      <c r="C7" s="3" t="s">
        <v>76</v>
      </c>
      <c r="D7" s="3" t="s">
        <v>77</v>
      </c>
      <c r="E7" s="13" t="n">
        <v>750000</v>
      </c>
      <c r="F7" s="13" t="n">
        <v>17073.11</v>
      </c>
      <c r="G7" s="13" t="n">
        <v>2134.14</v>
      </c>
      <c r="H7" s="13" t="n">
        <v>2134.14</v>
      </c>
      <c r="I7" s="13" t="n">
        <f aca="false">SUM(K7:T7)</f>
        <v>12804.8</v>
      </c>
      <c r="J7" s="13" t="n">
        <f aca="false">F7-(G7+H7+I7)</f>
        <v>0.0300000000024738</v>
      </c>
      <c r="K7" s="13" t="n">
        <v>1280.48</v>
      </c>
      <c r="L7" s="13" t="n">
        <v>1280.48</v>
      </c>
      <c r="M7" s="13" t="n">
        <v>1280.48</v>
      </c>
      <c r="N7" s="13" t="n">
        <v>1280.48</v>
      </c>
      <c r="O7" s="13" t="n">
        <v>1280.48</v>
      </c>
      <c r="P7" s="13" t="n">
        <v>1280.48</v>
      </c>
      <c r="Q7" s="13" t="n">
        <v>1280.48</v>
      </c>
      <c r="R7" s="13" t="n">
        <v>1280.48</v>
      </c>
      <c r="S7" s="13" t="n">
        <v>1280.48</v>
      </c>
      <c r="T7" s="13" t="n">
        <v>1280.48</v>
      </c>
      <c r="U7" s="13" t="n">
        <v>350</v>
      </c>
      <c r="V7" s="13" t="n">
        <v>0</v>
      </c>
      <c r="W7" s="13" t="n">
        <f aca="false">U7+V7</f>
        <v>350</v>
      </c>
    </row>
    <row r="8" customFormat="false" ht="15" hidden="false" customHeight="false" outlineLevel="0" collapsed="false">
      <c r="A8" s="14" t="s">
        <v>78</v>
      </c>
      <c r="B8" s="14" t="s">
        <v>79</v>
      </c>
      <c r="C8" s="14" t="s">
        <v>80</v>
      </c>
      <c r="D8" s="14" t="s">
        <v>81</v>
      </c>
      <c r="E8" s="15" t="n">
        <v>605000</v>
      </c>
      <c r="F8" s="15" t="n">
        <v>13880.75</v>
      </c>
      <c r="G8" s="15" t="n">
        <v>1735.09</v>
      </c>
      <c r="H8" s="15" t="n">
        <v>1735.09</v>
      </c>
      <c r="I8" s="15" t="n">
        <f aca="false">SUM(K8:T8)</f>
        <v>10410.6</v>
      </c>
      <c r="J8" s="15" t="n">
        <f aca="false">F8-(G8+H8+I8)</f>
        <v>-0.0299999999988358</v>
      </c>
      <c r="K8" s="15" t="n">
        <v>1041.06</v>
      </c>
      <c r="L8" s="15" t="n">
        <v>1041.06</v>
      </c>
      <c r="M8" s="15" t="n">
        <v>1041.06</v>
      </c>
      <c r="N8" s="15" t="n">
        <v>1041.06</v>
      </c>
      <c r="O8" s="15" t="n">
        <v>1041.06</v>
      </c>
      <c r="P8" s="15" t="n">
        <v>1041.06</v>
      </c>
      <c r="Q8" s="15" t="n">
        <v>1041.06</v>
      </c>
      <c r="R8" s="15" t="n">
        <v>1041.06</v>
      </c>
      <c r="S8" s="15" t="n">
        <v>1041.06</v>
      </c>
      <c r="T8" s="15" t="n">
        <v>1041.06</v>
      </c>
      <c r="U8" s="15" t="n">
        <v>350</v>
      </c>
      <c r="V8" s="15" t="n">
        <v>0</v>
      </c>
      <c r="W8" s="15" t="n">
        <f aca="false">U8+V8</f>
        <v>350</v>
      </c>
    </row>
    <row r="9" customFormat="false" ht="15" hidden="false" customHeight="false" outlineLevel="0" collapsed="false">
      <c r="A9" s="3" t="s">
        <v>82</v>
      </c>
      <c r="B9" s="3" t="s">
        <v>83</v>
      </c>
      <c r="C9" s="3" t="s">
        <v>84</v>
      </c>
      <c r="D9" s="3" t="s">
        <v>85</v>
      </c>
      <c r="E9" s="13" t="n">
        <v>1950000</v>
      </c>
      <c r="F9" s="13" t="n">
        <v>40913.21</v>
      </c>
      <c r="G9" s="13" t="n">
        <v>5114.15</v>
      </c>
      <c r="H9" s="13" t="n">
        <v>5114.15</v>
      </c>
      <c r="I9" s="13" t="n">
        <f aca="false">SUM(K9:T9)</f>
        <v>30684.9</v>
      </c>
      <c r="J9" s="13" t="n">
        <f aca="false">F9-(G9+H9+I9)</f>
        <v>0.0100000000020373</v>
      </c>
      <c r="K9" s="13" t="n">
        <v>3068.49</v>
      </c>
      <c r="L9" s="13" t="n">
        <v>3068.49</v>
      </c>
      <c r="M9" s="13" t="n">
        <v>3068.49</v>
      </c>
      <c r="N9" s="13" t="n">
        <v>3068.49</v>
      </c>
      <c r="O9" s="13" t="n">
        <v>3068.49</v>
      </c>
      <c r="P9" s="13" t="n">
        <v>3068.49</v>
      </c>
      <c r="Q9" s="13" t="n">
        <v>3068.49</v>
      </c>
      <c r="R9" s="13" t="n">
        <v>3068.49</v>
      </c>
      <c r="S9" s="13" t="n">
        <v>3068.49</v>
      </c>
      <c r="T9" s="13" t="n">
        <v>3068.49</v>
      </c>
      <c r="U9" s="13" t="n">
        <v>350</v>
      </c>
      <c r="V9" s="13" t="n">
        <v>250</v>
      </c>
      <c r="W9" s="13" t="n">
        <f aca="false">U9+V9</f>
        <v>600</v>
      </c>
    </row>
    <row r="10" customFormat="false" ht="15" hidden="false" customHeight="false" outlineLevel="0" collapsed="false">
      <c r="A10" s="14" t="s">
        <v>86</v>
      </c>
      <c r="B10" s="14" t="s">
        <v>87</v>
      </c>
      <c r="C10" s="14" t="s">
        <v>88</v>
      </c>
      <c r="D10" s="14" t="s">
        <v>89</v>
      </c>
      <c r="E10" s="15" t="n">
        <v>1415000</v>
      </c>
      <c r="F10" s="15" t="n">
        <v>19823.35</v>
      </c>
      <c r="G10" s="15" t="n">
        <v>2477.92</v>
      </c>
      <c r="H10" s="15" t="n">
        <v>2477.92</v>
      </c>
      <c r="I10" s="15" t="n">
        <f aca="false">SUM(K10:T10)</f>
        <v>14867.5</v>
      </c>
      <c r="J10" s="15" t="n">
        <f aca="false">F10-(G10+H10+I10)</f>
        <v>0.00999999999839929</v>
      </c>
      <c r="K10" s="15" t="n">
        <v>1486.75</v>
      </c>
      <c r="L10" s="15" t="n">
        <v>1486.75</v>
      </c>
      <c r="M10" s="15" t="n">
        <v>1486.75</v>
      </c>
      <c r="N10" s="15" t="n">
        <v>1486.75</v>
      </c>
      <c r="O10" s="15" t="n">
        <v>1486.75</v>
      </c>
      <c r="P10" s="15" t="n">
        <v>1486.75</v>
      </c>
      <c r="Q10" s="15" t="n">
        <v>1486.75</v>
      </c>
      <c r="R10" s="15" t="n">
        <v>1486.75</v>
      </c>
      <c r="S10" s="15" t="n">
        <v>1486.75</v>
      </c>
      <c r="T10" s="15" t="n">
        <v>1486.75</v>
      </c>
      <c r="U10" s="15" t="n">
        <v>350</v>
      </c>
      <c r="V10" s="15" t="n">
        <v>250</v>
      </c>
      <c r="W10" s="15" t="n">
        <f aca="false">U10+V10</f>
        <v>600</v>
      </c>
    </row>
    <row r="11" customFormat="false" ht="15" hidden="false" customHeight="false" outlineLevel="0" collapsed="false">
      <c r="A11" s="3" t="s">
        <v>90</v>
      </c>
      <c r="B11" s="3" t="s">
        <v>91</v>
      </c>
      <c r="C11" s="3" t="s">
        <v>92</v>
      </c>
      <c r="D11" s="3" t="s">
        <v>93</v>
      </c>
      <c r="E11" s="13" t="n">
        <v>380000</v>
      </c>
      <c r="F11" s="13" t="n">
        <v>6883.02</v>
      </c>
      <c r="G11" s="13" t="n">
        <v>860.38</v>
      </c>
      <c r="H11" s="13" t="n">
        <v>860.38</v>
      </c>
      <c r="I11" s="13" t="n">
        <f aca="false">SUM(K11:T11)</f>
        <v>5162.3</v>
      </c>
      <c r="J11" s="13" t="n">
        <f aca="false">F11-(G11+H11+I11)</f>
        <v>-0.0399999999990541</v>
      </c>
      <c r="K11" s="13" t="n">
        <v>516.23</v>
      </c>
      <c r="L11" s="13" t="n">
        <v>516.23</v>
      </c>
      <c r="M11" s="13" t="n">
        <v>516.23</v>
      </c>
      <c r="N11" s="13" t="n">
        <v>516.23</v>
      </c>
      <c r="O11" s="13" t="n">
        <v>516.23</v>
      </c>
      <c r="P11" s="13" t="n">
        <v>516.23</v>
      </c>
      <c r="Q11" s="13" t="n">
        <v>516.23</v>
      </c>
      <c r="R11" s="13" t="n">
        <v>516.23</v>
      </c>
      <c r="S11" s="13" t="n">
        <v>516.23</v>
      </c>
      <c r="T11" s="13" t="n">
        <v>516.23</v>
      </c>
      <c r="U11" s="13" t="n">
        <v>350</v>
      </c>
      <c r="V11" s="13" t="n">
        <v>0</v>
      </c>
      <c r="W11" s="13" t="n">
        <f aca="false">U11+V11</f>
        <v>350</v>
      </c>
    </row>
    <row r="12" customFormat="false" ht="15" hidden="false" customHeight="false" outlineLevel="0" collapsed="false">
      <c r="A12" s="14" t="s">
        <v>94</v>
      </c>
      <c r="B12" s="14" t="s">
        <v>95</v>
      </c>
      <c r="C12" s="14" t="s">
        <v>96</v>
      </c>
      <c r="D12" s="14" t="s">
        <v>73</v>
      </c>
      <c r="E12" s="15" t="n">
        <v>1565000</v>
      </c>
      <c r="F12" s="15" t="n">
        <v>27638.49</v>
      </c>
      <c r="G12" s="15" t="n">
        <v>3454.81</v>
      </c>
      <c r="H12" s="15" t="n">
        <v>3454.81</v>
      </c>
      <c r="I12" s="15" t="n">
        <f aca="false">SUM(K12:T12)</f>
        <v>20728.9</v>
      </c>
      <c r="J12" s="15" t="n">
        <f aca="false">F12-(G12+H12+I12)</f>
        <v>-0.0299999999951979</v>
      </c>
      <c r="K12" s="15" t="n">
        <v>2072.89</v>
      </c>
      <c r="L12" s="15" t="n">
        <v>2072.89</v>
      </c>
      <c r="M12" s="15" t="n">
        <v>2072.89</v>
      </c>
      <c r="N12" s="15" t="n">
        <v>2072.89</v>
      </c>
      <c r="O12" s="15" t="n">
        <v>2072.89</v>
      </c>
      <c r="P12" s="15" t="n">
        <v>2072.89</v>
      </c>
      <c r="Q12" s="15" t="n">
        <v>2072.89</v>
      </c>
      <c r="R12" s="15" t="n">
        <v>2072.89</v>
      </c>
      <c r="S12" s="15" t="n">
        <v>2072.89</v>
      </c>
      <c r="T12" s="15" t="n">
        <v>2072.89</v>
      </c>
      <c r="U12" s="15" t="n">
        <v>350</v>
      </c>
      <c r="V12" s="15" t="n">
        <v>250</v>
      </c>
      <c r="W12" s="15" t="n">
        <f aca="false">U12+V12</f>
        <v>600</v>
      </c>
    </row>
    <row r="13" customFormat="false" ht="15" hidden="false" customHeight="false" outlineLevel="0" collapsed="false">
      <c r="A13" s="3" t="s">
        <v>97</v>
      </c>
      <c r="B13" s="3" t="s">
        <v>91</v>
      </c>
      <c r="C13" s="3" t="s">
        <v>98</v>
      </c>
      <c r="D13" s="3" t="s">
        <v>99</v>
      </c>
      <c r="E13" s="13" t="n">
        <v>520000</v>
      </c>
      <c r="F13" s="13" t="n">
        <v>8673.21</v>
      </c>
      <c r="G13" s="13" t="n">
        <v>1084.15</v>
      </c>
      <c r="H13" s="13" t="n">
        <v>1084.15</v>
      </c>
      <c r="I13" s="13" t="n">
        <f aca="false">SUM(K13:T13)</f>
        <v>6504.9</v>
      </c>
      <c r="J13" s="13" t="n">
        <f aca="false">F13-(G13+H13+I13)</f>
        <v>0.00999999999839929</v>
      </c>
      <c r="K13" s="13" t="n">
        <v>650.49</v>
      </c>
      <c r="L13" s="13" t="n">
        <v>650.49</v>
      </c>
      <c r="M13" s="13" t="n">
        <v>650.49</v>
      </c>
      <c r="N13" s="13" t="n">
        <v>650.49</v>
      </c>
      <c r="O13" s="13" t="n">
        <v>650.49</v>
      </c>
      <c r="P13" s="13" t="n">
        <v>650.49</v>
      </c>
      <c r="Q13" s="13" t="n">
        <v>650.49</v>
      </c>
      <c r="R13" s="13" t="n">
        <v>650.49</v>
      </c>
      <c r="S13" s="13" t="n">
        <v>650.49</v>
      </c>
      <c r="T13" s="13" t="n">
        <v>650.49</v>
      </c>
      <c r="U13" s="13" t="n">
        <v>350</v>
      </c>
      <c r="V13" s="13" t="n">
        <v>0</v>
      </c>
      <c r="W13" s="13" t="n">
        <f aca="false">U13+V13</f>
        <v>350</v>
      </c>
    </row>
    <row r="14" customFormat="false" ht="15" hidden="false" customHeight="false" outlineLevel="0" collapsed="false">
      <c r="A14" s="14" t="s">
        <v>100</v>
      </c>
      <c r="B14" s="14" t="s">
        <v>91</v>
      </c>
      <c r="C14" s="14" t="s">
        <v>101</v>
      </c>
      <c r="D14" s="14" t="s">
        <v>102</v>
      </c>
      <c r="E14" s="15" t="n">
        <v>1085000</v>
      </c>
      <c r="F14" s="15" t="n">
        <v>18833.96</v>
      </c>
      <c r="G14" s="15" t="n">
        <v>2354.24</v>
      </c>
      <c r="H14" s="15" t="n">
        <v>2354.24</v>
      </c>
      <c r="I14" s="15" t="n">
        <f aca="false">SUM(K14:T14)</f>
        <v>14125.5</v>
      </c>
      <c r="J14" s="15" t="n">
        <f aca="false">F14-(G14+H14+I14)</f>
        <v>-0.0199999999967986</v>
      </c>
      <c r="K14" s="15" t="n">
        <v>1412.55</v>
      </c>
      <c r="L14" s="15" t="n">
        <v>1412.55</v>
      </c>
      <c r="M14" s="15" t="n">
        <v>1412.55</v>
      </c>
      <c r="N14" s="15" t="n">
        <v>1412.55</v>
      </c>
      <c r="O14" s="15" t="n">
        <v>1412.55</v>
      </c>
      <c r="P14" s="15" t="n">
        <v>1412.55</v>
      </c>
      <c r="Q14" s="15" t="n">
        <v>1412.55</v>
      </c>
      <c r="R14" s="15" t="n">
        <v>1412.55</v>
      </c>
      <c r="S14" s="15" t="n">
        <v>1412.55</v>
      </c>
      <c r="T14" s="15" t="n">
        <v>1412.55</v>
      </c>
      <c r="U14" s="15" t="n">
        <v>350</v>
      </c>
      <c r="V14" s="15" t="n">
        <v>250</v>
      </c>
      <c r="W14" s="15" t="n">
        <f aca="false">U14+V14</f>
        <v>600</v>
      </c>
    </row>
    <row r="15" customFormat="false" ht="15" hidden="false" customHeight="false" outlineLevel="0" collapsed="false">
      <c r="A15" s="3" t="s">
        <v>103</v>
      </c>
      <c r="B15" s="3" t="s">
        <v>104</v>
      </c>
      <c r="C15" s="3" t="s">
        <v>105</v>
      </c>
      <c r="D15" s="3" t="s">
        <v>77</v>
      </c>
      <c r="E15" s="13" t="n">
        <v>360000</v>
      </c>
      <c r="F15" s="13" t="n">
        <v>9920.38</v>
      </c>
      <c r="G15" s="13" t="n">
        <v>1240.05</v>
      </c>
      <c r="H15" s="13" t="n">
        <v>1240.05</v>
      </c>
      <c r="I15" s="13" t="n">
        <f aca="false">SUM(K15:T15)</f>
        <v>7440.3</v>
      </c>
      <c r="J15" s="13" t="n">
        <f aca="false">F15-(G15+H15+I15)</f>
        <v>-0.0200000000004366</v>
      </c>
      <c r="K15" s="13" t="n">
        <v>744.03</v>
      </c>
      <c r="L15" s="13" t="n">
        <v>744.03</v>
      </c>
      <c r="M15" s="13" t="n">
        <v>744.03</v>
      </c>
      <c r="N15" s="13" t="n">
        <v>744.03</v>
      </c>
      <c r="O15" s="13" t="n">
        <v>744.03</v>
      </c>
      <c r="P15" s="13" t="n">
        <v>744.03</v>
      </c>
      <c r="Q15" s="13" t="n">
        <v>744.03</v>
      </c>
      <c r="R15" s="13" t="n">
        <v>744.03</v>
      </c>
      <c r="S15" s="13" t="n">
        <v>744.03</v>
      </c>
      <c r="T15" s="13" t="n">
        <v>744.03</v>
      </c>
      <c r="U15" s="13" t="n">
        <v>350</v>
      </c>
      <c r="V15" s="13" t="n">
        <v>0</v>
      </c>
      <c r="W15" s="13" t="n">
        <f aca="false">U15+V15</f>
        <v>350</v>
      </c>
    </row>
    <row r="16" customFormat="false" ht="15" hidden="false" customHeight="false" outlineLevel="0" collapsed="false">
      <c r="A16" s="14" t="s">
        <v>106</v>
      </c>
      <c r="B16" s="14" t="s">
        <v>107</v>
      </c>
      <c r="C16" s="14" t="s">
        <v>108</v>
      </c>
      <c r="D16" s="14" t="s">
        <v>109</v>
      </c>
      <c r="E16" s="15" t="n">
        <v>495000</v>
      </c>
      <c r="F16" s="15" t="n">
        <v>8755.9</v>
      </c>
      <c r="G16" s="15" t="n">
        <v>1094.49</v>
      </c>
      <c r="H16" s="15" t="n">
        <v>1094.49</v>
      </c>
      <c r="I16" s="15" t="n">
        <f aca="false">SUM(K16:T16)</f>
        <v>6566.9</v>
      </c>
      <c r="J16" s="15" t="n">
        <f aca="false">F16-(G16+H16+I16)</f>
        <v>0.0199999999986176</v>
      </c>
      <c r="K16" s="15" t="n">
        <v>656.69</v>
      </c>
      <c r="L16" s="15" t="n">
        <v>656.69</v>
      </c>
      <c r="M16" s="15" t="n">
        <v>656.69</v>
      </c>
      <c r="N16" s="15" t="n">
        <v>656.69</v>
      </c>
      <c r="O16" s="15" t="n">
        <v>656.69</v>
      </c>
      <c r="P16" s="15" t="n">
        <v>656.69</v>
      </c>
      <c r="Q16" s="15" t="n">
        <v>656.69</v>
      </c>
      <c r="R16" s="15" t="n">
        <v>656.69</v>
      </c>
      <c r="S16" s="15" t="n">
        <v>656.69</v>
      </c>
      <c r="T16" s="15" t="n">
        <v>656.69</v>
      </c>
      <c r="U16" s="15" t="n">
        <v>350</v>
      </c>
      <c r="V16" s="15" t="n">
        <v>0</v>
      </c>
      <c r="W16" s="15" t="n">
        <f aca="false">U16+V16</f>
        <v>350</v>
      </c>
    </row>
    <row r="17" customFormat="false" ht="15" hidden="false" customHeight="false" outlineLevel="0" collapsed="false">
      <c r="A17" s="3" t="s">
        <v>110</v>
      </c>
      <c r="B17" s="3" t="s">
        <v>67</v>
      </c>
      <c r="C17" s="3" t="s">
        <v>111</v>
      </c>
      <c r="D17" s="3" t="s">
        <v>112</v>
      </c>
      <c r="E17" s="13" t="n">
        <v>520000</v>
      </c>
      <c r="F17" s="13" t="n">
        <v>3541.89</v>
      </c>
      <c r="G17" s="13" t="n">
        <v>442.74</v>
      </c>
      <c r="H17" s="13" t="n">
        <v>442.74</v>
      </c>
      <c r="I17" s="13" t="n">
        <f aca="false">SUM(K17:T17)</f>
        <v>2656.4</v>
      </c>
      <c r="J17" s="13" t="n">
        <f aca="false">F17-(G17+H17+I17)</f>
        <v>0.0100000000002183</v>
      </c>
      <c r="K17" s="13" t="n">
        <v>265.64</v>
      </c>
      <c r="L17" s="13" t="n">
        <v>265.64</v>
      </c>
      <c r="M17" s="13" t="n">
        <v>265.64</v>
      </c>
      <c r="N17" s="13" t="n">
        <v>265.64</v>
      </c>
      <c r="O17" s="13" t="n">
        <v>265.64</v>
      </c>
      <c r="P17" s="13" t="n">
        <v>265.64</v>
      </c>
      <c r="Q17" s="13" t="n">
        <v>265.64</v>
      </c>
      <c r="R17" s="13" t="n">
        <v>265.64</v>
      </c>
      <c r="S17" s="13" t="n">
        <v>265.64</v>
      </c>
      <c r="T17" s="13" t="n">
        <v>265.64</v>
      </c>
      <c r="U17" s="13" t="n">
        <v>350</v>
      </c>
      <c r="V17" s="13" t="n">
        <v>0</v>
      </c>
      <c r="W17" s="13" t="n">
        <f aca="false">U17+V17</f>
        <v>350</v>
      </c>
    </row>
    <row r="18" customFormat="false" ht="15" hidden="false" customHeight="false" outlineLevel="0" collapsed="false">
      <c r="A18" s="14" t="s">
        <v>113</v>
      </c>
      <c r="B18" s="14" t="s">
        <v>114</v>
      </c>
      <c r="C18" s="14" t="s">
        <v>88</v>
      </c>
      <c r="D18" s="14" t="s">
        <v>115</v>
      </c>
      <c r="E18" s="15" t="n">
        <v>520000</v>
      </c>
      <c r="F18" s="15" t="n">
        <v>8418.11</v>
      </c>
      <c r="G18" s="15" t="n">
        <v>1052.26</v>
      </c>
      <c r="H18" s="15" t="n">
        <v>1052.26</v>
      </c>
      <c r="I18" s="15" t="n">
        <f aca="false">SUM(K18:T18)</f>
        <v>6313.6</v>
      </c>
      <c r="J18" s="15" t="n">
        <f aca="false">F18-(G18+H18+I18)</f>
        <v>-0.00999999999839929</v>
      </c>
      <c r="K18" s="15" t="n">
        <v>631.36</v>
      </c>
      <c r="L18" s="15" t="n">
        <v>631.36</v>
      </c>
      <c r="M18" s="15" t="n">
        <v>631.36</v>
      </c>
      <c r="N18" s="15" t="n">
        <v>631.36</v>
      </c>
      <c r="O18" s="15" t="n">
        <v>631.36</v>
      </c>
      <c r="P18" s="15" t="n">
        <v>631.36</v>
      </c>
      <c r="Q18" s="15" t="n">
        <v>631.36</v>
      </c>
      <c r="R18" s="15" t="n">
        <v>631.36</v>
      </c>
      <c r="S18" s="15" t="n">
        <v>631.36</v>
      </c>
      <c r="T18" s="15" t="n">
        <v>631.36</v>
      </c>
      <c r="U18" s="15" t="n">
        <v>350</v>
      </c>
      <c r="V18" s="15" t="n">
        <v>0</v>
      </c>
      <c r="W18" s="15" t="n">
        <f aca="false">U18+V18</f>
        <v>350</v>
      </c>
    </row>
    <row r="19" customFormat="false" ht="15" hidden="false" customHeight="false" outlineLevel="0" collapsed="false">
      <c r="A19" s="3" t="s">
        <v>116</v>
      </c>
      <c r="B19" s="3" t="s">
        <v>67</v>
      </c>
      <c r="C19" s="3" t="s">
        <v>117</v>
      </c>
      <c r="D19" s="3" t="s">
        <v>118</v>
      </c>
      <c r="E19" s="13" t="n">
        <v>180000</v>
      </c>
      <c r="F19" s="13" t="n">
        <v>2381.09</v>
      </c>
      <c r="G19" s="13" t="n">
        <v>297.64</v>
      </c>
      <c r="H19" s="13" t="n">
        <v>297.64</v>
      </c>
      <c r="I19" s="13" t="n">
        <f aca="false">SUM(K19:T19)</f>
        <v>1785.8</v>
      </c>
      <c r="J19" s="13" t="n">
        <f aca="false">F19-(G19+H19+I19)</f>
        <v>0.0100000000002183</v>
      </c>
      <c r="K19" s="13" t="n">
        <v>178.58</v>
      </c>
      <c r="L19" s="13" t="n">
        <v>178.58</v>
      </c>
      <c r="M19" s="13" t="n">
        <v>178.58</v>
      </c>
      <c r="N19" s="13" t="n">
        <v>178.58</v>
      </c>
      <c r="O19" s="13" t="n">
        <v>178.58</v>
      </c>
      <c r="P19" s="13" t="n">
        <v>178.58</v>
      </c>
      <c r="Q19" s="13" t="n">
        <v>178.58</v>
      </c>
      <c r="R19" s="13" t="n">
        <v>178.58</v>
      </c>
      <c r="S19" s="13" t="n">
        <v>178.58</v>
      </c>
      <c r="T19" s="13" t="n">
        <v>178.58</v>
      </c>
      <c r="U19" s="13" t="n">
        <v>350</v>
      </c>
      <c r="V19" s="13" t="n">
        <v>0</v>
      </c>
      <c r="W19" s="13" t="n">
        <f aca="false">U19+V19</f>
        <v>350</v>
      </c>
    </row>
    <row r="20" customFormat="false" ht="15" hidden="false" customHeight="false" outlineLevel="0" collapsed="false">
      <c r="A20" s="14" t="s">
        <v>119</v>
      </c>
      <c r="B20" s="14" t="s">
        <v>83</v>
      </c>
      <c r="C20" s="14" t="s">
        <v>120</v>
      </c>
      <c r="D20" s="14" t="s">
        <v>121</v>
      </c>
      <c r="E20" s="15" t="n">
        <v>225000</v>
      </c>
      <c r="F20" s="15" t="n">
        <v>4764.91</v>
      </c>
      <c r="G20" s="15" t="n">
        <v>595.61</v>
      </c>
      <c r="H20" s="15" t="n">
        <v>595.61</v>
      </c>
      <c r="I20" s="15" t="n">
        <f aca="false">SUM(K20:T20)</f>
        <v>3573.7</v>
      </c>
      <c r="J20" s="15" t="n">
        <f aca="false">F20-(G20+H20+I20)</f>
        <v>-0.0100000000002183</v>
      </c>
      <c r="K20" s="15" t="n">
        <v>357.37</v>
      </c>
      <c r="L20" s="15" t="n">
        <v>357.37</v>
      </c>
      <c r="M20" s="15" t="n">
        <v>357.37</v>
      </c>
      <c r="N20" s="15" t="n">
        <v>357.37</v>
      </c>
      <c r="O20" s="15" t="n">
        <v>357.37</v>
      </c>
      <c r="P20" s="15" t="n">
        <v>357.37</v>
      </c>
      <c r="Q20" s="15" t="n">
        <v>357.37</v>
      </c>
      <c r="R20" s="15" t="n">
        <v>357.37</v>
      </c>
      <c r="S20" s="15" t="n">
        <v>357.37</v>
      </c>
      <c r="T20" s="15" t="n">
        <v>357.37</v>
      </c>
      <c r="U20" s="15" t="n">
        <v>350</v>
      </c>
      <c r="V20" s="15" t="n">
        <v>0</v>
      </c>
      <c r="W20" s="15" t="n">
        <f aca="false">U20+V20</f>
        <v>350</v>
      </c>
    </row>
    <row r="21" customFormat="false" ht="15" hidden="false" customHeight="false" outlineLevel="0" collapsed="false">
      <c r="A21" s="3" t="s">
        <v>122</v>
      </c>
      <c r="B21" s="3" t="s">
        <v>123</v>
      </c>
      <c r="C21" s="3" t="s">
        <v>124</v>
      </c>
      <c r="D21" s="3" t="s">
        <v>125</v>
      </c>
      <c r="E21" s="13" t="n">
        <v>215000</v>
      </c>
      <c r="F21" s="13" t="n">
        <v>3582.79</v>
      </c>
      <c r="G21" s="13" t="n">
        <v>447.85</v>
      </c>
      <c r="H21" s="13" t="n">
        <v>447.85</v>
      </c>
      <c r="I21" s="13" t="n">
        <f aca="false">SUM(K21:T21)</f>
        <v>2687.1</v>
      </c>
      <c r="J21" s="13" t="n">
        <f aca="false">F21-(G21+H21+I21)</f>
        <v>-0.0100000000002183</v>
      </c>
      <c r="K21" s="13" t="n">
        <v>268.71</v>
      </c>
      <c r="L21" s="13" t="n">
        <v>268.71</v>
      </c>
      <c r="M21" s="13" t="n">
        <v>268.71</v>
      </c>
      <c r="N21" s="13" t="n">
        <v>268.71</v>
      </c>
      <c r="O21" s="13" t="n">
        <v>268.71</v>
      </c>
      <c r="P21" s="13" t="n">
        <v>268.71</v>
      </c>
      <c r="Q21" s="13" t="n">
        <v>268.71</v>
      </c>
      <c r="R21" s="13" t="n">
        <v>268.71</v>
      </c>
      <c r="S21" s="13" t="n">
        <v>268.71</v>
      </c>
      <c r="T21" s="13" t="n">
        <v>268.71</v>
      </c>
      <c r="U21" s="13" t="n">
        <v>350</v>
      </c>
      <c r="V21" s="13" t="n">
        <v>0</v>
      </c>
      <c r="W21" s="13" t="n">
        <f aca="false">U21+V21</f>
        <v>350</v>
      </c>
    </row>
    <row r="22" customFormat="false" ht="15" hidden="false" customHeight="false" outlineLevel="0" collapsed="false">
      <c r="A22" s="14" t="s">
        <v>126</v>
      </c>
      <c r="B22" s="14" t="s">
        <v>127</v>
      </c>
      <c r="C22" s="14" t="s">
        <v>128</v>
      </c>
      <c r="D22" s="14" t="s">
        <v>93</v>
      </c>
      <c r="E22" s="15" t="n">
        <v>355000</v>
      </c>
      <c r="F22" s="15" t="n">
        <v>4115.32</v>
      </c>
      <c r="G22" s="15" t="n">
        <v>514.41</v>
      </c>
      <c r="H22" s="15" t="n">
        <v>514.41</v>
      </c>
      <c r="I22" s="15" t="n">
        <f aca="false">SUM(K22:T22)</f>
        <v>3086.5</v>
      </c>
      <c r="J22" s="15" t="n">
        <f aca="false">F22-(G22+H22+I22)</f>
        <v>0</v>
      </c>
      <c r="K22" s="15" t="n">
        <v>308.65</v>
      </c>
      <c r="L22" s="15" t="n">
        <v>308.65</v>
      </c>
      <c r="M22" s="15" t="n">
        <v>308.65</v>
      </c>
      <c r="N22" s="15" t="n">
        <v>308.65</v>
      </c>
      <c r="O22" s="15" t="n">
        <v>308.65</v>
      </c>
      <c r="P22" s="15" t="n">
        <v>308.65</v>
      </c>
      <c r="Q22" s="15" t="n">
        <v>308.65</v>
      </c>
      <c r="R22" s="15" t="n">
        <v>308.65</v>
      </c>
      <c r="S22" s="15" t="n">
        <v>308.65</v>
      </c>
      <c r="T22" s="15" t="n">
        <v>308.65</v>
      </c>
      <c r="U22" s="15" t="n">
        <v>350</v>
      </c>
      <c r="V22" s="15" t="n">
        <v>0</v>
      </c>
      <c r="W22" s="15" t="n">
        <f aca="false">U22+V22</f>
        <v>350</v>
      </c>
    </row>
    <row r="23" customFormat="false" ht="15" hidden="false" customHeight="false" outlineLevel="0" collapsed="false">
      <c r="A23" s="3" t="s">
        <v>129</v>
      </c>
      <c r="B23" s="3" t="s">
        <v>130</v>
      </c>
      <c r="C23" s="3" t="s">
        <v>131</v>
      </c>
      <c r="D23" s="3" t="s">
        <v>132</v>
      </c>
      <c r="E23" s="13" t="n">
        <v>1045000</v>
      </c>
      <c r="F23" s="13" t="n">
        <v>10844.34</v>
      </c>
      <c r="G23" s="13" t="n">
        <v>1355.54</v>
      </c>
      <c r="H23" s="13" t="n">
        <v>1355.54</v>
      </c>
      <c r="I23" s="13" t="n">
        <f aca="false">SUM(K23:T23)</f>
        <v>8133.3</v>
      </c>
      <c r="J23" s="13" t="n">
        <f aca="false">F23-(G23+H23+I23)</f>
        <v>-0.0400000000008731</v>
      </c>
      <c r="K23" s="13" t="n">
        <v>813.33</v>
      </c>
      <c r="L23" s="13" t="n">
        <v>813.33</v>
      </c>
      <c r="M23" s="13" t="n">
        <v>813.33</v>
      </c>
      <c r="N23" s="13" t="n">
        <v>813.33</v>
      </c>
      <c r="O23" s="13" t="n">
        <v>813.33</v>
      </c>
      <c r="P23" s="13" t="n">
        <v>813.33</v>
      </c>
      <c r="Q23" s="13" t="n">
        <v>813.33</v>
      </c>
      <c r="R23" s="13" t="n">
        <v>813.33</v>
      </c>
      <c r="S23" s="13" t="n">
        <v>813.33</v>
      </c>
      <c r="T23" s="13" t="n">
        <v>813.33</v>
      </c>
      <c r="U23" s="13" t="n">
        <v>350</v>
      </c>
      <c r="V23" s="13" t="n">
        <v>250</v>
      </c>
      <c r="W23" s="13" t="n">
        <f aca="false">U23+V23</f>
        <v>600</v>
      </c>
    </row>
    <row r="24" customFormat="false" ht="15" hidden="false" customHeight="false" outlineLevel="0" collapsed="false">
      <c r="A24" s="14" t="s">
        <v>133</v>
      </c>
      <c r="B24" s="14" t="s">
        <v>134</v>
      </c>
      <c r="C24" s="14" t="s">
        <v>135</v>
      </c>
      <c r="D24" s="14" t="s">
        <v>125</v>
      </c>
      <c r="E24" s="15" t="n">
        <v>520000</v>
      </c>
      <c r="F24" s="15" t="n">
        <v>7346.72</v>
      </c>
      <c r="G24" s="15" t="n">
        <v>918.34</v>
      </c>
      <c r="H24" s="15" t="n">
        <v>918.34</v>
      </c>
      <c r="I24" s="15" t="n">
        <f aca="false">SUM(K24:T24)</f>
        <v>5510</v>
      </c>
      <c r="J24" s="15" t="n">
        <f aca="false">F24-(G24+H24+I24)</f>
        <v>0.0399999999999636</v>
      </c>
      <c r="K24" s="15" t="n">
        <v>551</v>
      </c>
      <c r="L24" s="15" t="n">
        <v>551</v>
      </c>
      <c r="M24" s="15" t="n">
        <v>551</v>
      </c>
      <c r="N24" s="15" t="n">
        <v>551</v>
      </c>
      <c r="O24" s="15" t="n">
        <v>551</v>
      </c>
      <c r="P24" s="15" t="n">
        <v>551</v>
      </c>
      <c r="Q24" s="15" t="n">
        <v>551</v>
      </c>
      <c r="R24" s="15" t="n">
        <v>551</v>
      </c>
      <c r="S24" s="15" t="n">
        <v>551</v>
      </c>
      <c r="T24" s="15" t="n">
        <v>551</v>
      </c>
      <c r="U24" s="15" t="n">
        <v>350</v>
      </c>
      <c r="V24" s="15" t="n">
        <v>0</v>
      </c>
      <c r="W24" s="15" t="n">
        <f aca="false">U24+V24</f>
        <v>350</v>
      </c>
    </row>
    <row r="25" customFormat="false" ht="15" hidden="false" customHeight="false" outlineLevel="0" collapsed="false">
      <c r="A25" s="3" t="s">
        <v>136</v>
      </c>
      <c r="B25" s="3" t="s">
        <v>95</v>
      </c>
      <c r="C25" s="3" t="s">
        <v>137</v>
      </c>
      <c r="D25" s="3" t="s">
        <v>138</v>
      </c>
      <c r="E25" s="13" t="n">
        <v>465000</v>
      </c>
      <c r="F25" s="13" t="n">
        <v>11603.07</v>
      </c>
      <c r="G25" s="13" t="n">
        <v>1450.38</v>
      </c>
      <c r="H25" s="13" t="n">
        <v>1450.38</v>
      </c>
      <c r="I25" s="13" t="n">
        <f aca="false">SUM(K25:T25)</f>
        <v>8702.3</v>
      </c>
      <c r="J25" s="13" t="n">
        <f aca="false">F25-(G25+H25+I25)</f>
        <v>0.0100000000002183</v>
      </c>
      <c r="K25" s="13" t="n">
        <v>870.23</v>
      </c>
      <c r="L25" s="13" t="n">
        <v>870.23</v>
      </c>
      <c r="M25" s="13" t="n">
        <v>870.23</v>
      </c>
      <c r="N25" s="13" t="n">
        <v>870.23</v>
      </c>
      <c r="O25" s="13" t="n">
        <v>870.23</v>
      </c>
      <c r="P25" s="13" t="n">
        <v>870.23</v>
      </c>
      <c r="Q25" s="13" t="n">
        <v>870.23</v>
      </c>
      <c r="R25" s="13" t="n">
        <v>870.23</v>
      </c>
      <c r="S25" s="13" t="n">
        <v>870.23</v>
      </c>
      <c r="T25" s="13" t="n">
        <v>870.23</v>
      </c>
      <c r="U25" s="13" t="n">
        <v>350</v>
      </c>
      <c r="V25" s="13" t="n">
        <v>0</v>
      </c>
      <c r="W25" s="13" t="n">
        <f aca="false">U25+V25</f>
        <v>350</v>
      </c>
    </row>
    <row r="26" customFormat="false" ht="15" hidden="false" customHeight="false" outlineLevel="0" collapsed="false">
      <c r="A26" s="14" t="s">
        <v>139</v>
      </c>
      <c r="B26" s="14" t="s">
        <v>83</v>
      </c>
      <c r="C26" s="14" t="s">
        <v>140</v>
      </c>
      <c r="D26" s="14" t="s">
        <v>109</v>
      </c>
      <c r="E26" s="15" t="n">
        <v>710000</v>
      </c>
      <c r="F26" s="15" t="n">
        <v>7200.47</v>
      </c>
      <c r="G26" s="15" t="n">
        <v>900.06</v>
      </c>
      <c r="H26" s="15" t="n">
        <v>900.06</v>
      </c>
      <c r="I26" s="15" t="n">
        <f aca="false">SUM(K26:T26)</f>
        <v>5400.4</v>
      </c>
      <c r="J26" s="15" t="n">
        <f aca="false">F26-(G26+H26+I26)</f>
        <v>-0.0499999999992724</v>
      </c>
      <c r="K26" s="15" t="n">
        <v>540.04</v>
      </c>
      <c r="L26" s="15" t="n">
        <v>540.04</v>
      </c>
      <c r="M26" s="15" t="n">
        <v>540.04</v>
      </c>
      <c r="N26" s="15" t="n">
        <v>540.04</v>
      </c>
      <c r="O26" s="15" t="n">
        <v>540.04</v>
      </c>
      <c r="P26" s="15" t="n">
        <v>540.04</v>
      </c>
      <c r="Q26" s="15" t="n">
        <v>540.04</v>
      </c>
      <c r="R26" s="15" t="n">
        <v>540.04</v>
      </c>
      <c r="S26" s="15" t="n">
        <v>540.04</v>
      </c>
      <c r="T26" s="15" t="n">
        <v>540.04</v>
      </c>
      <c r="U26" s="15" t="n">
        <v>350</v>
      </c>
      <c r="V26" s="15" t="n">
        <v>0</v>
      </c>
      <c r="W26" s="15" t="n">
        <f aca="false">U26+V26</f>
        <v>350</v>
      </c>
    </row>
    <row r="27" customFormat="false" ht="15" hidden="false" customHeight="false" outlineLevel="0" collapsed="false">
      <c r="A27" s="3" t="s">
        <v>141</v>
      </c>
      <c r="B27" s="3" t="s">
        <v>142</v>
      </c>
      <c r="C27" s="3" t="s">
        <v>143</v>
      </c>
      <c r="D27" s="3" t="s">
        <v>81</v>
      </c>
      <c r="E27" s="13" t="n">
        <v>630000</v>
      </c>
      <c r="F27" s="13" t="n">
        <v>9889.81</v>
      </c>
      <c r="G27" s="13" t="n">
        <v>1236.23</v>
      </c>
      <c r="H27" s="13" t="n">
        <v>1236.23</v>
      </c>
      <c r="I27" s="13" t="n">
        <f aca="false">SUM(K27:T27)</f>
        <v>7417.4</v>
      </c>
      <c r="J27" s="13" t="n">
        <f aca="false">F27-(G27+H27+I27)</f>
        <v>-0.0500000000010914</v>
      </c>
      <c r="K27" s="13" t="n">
        <v>741.74</v>
      </c>
      <c r="L27" s="13" t="n">
        <v>741.74</v>
      </c>
      <c r="M27" s="13" t="n">
        <v>741.74</v>
      </c>
      <c r="N27" s="13" t="n">
        <v>741.74</v>
      </c>
      <c r="O27" s="13" t="n">
        <v>741.74</v>
      </c>
      <c r="P27" s="13" t="n">
        <v>741.74</v>
      </c>
      <c r="Q27" s="13" t="n">
        <v>741.74</v>
      </c>
      <c r="R27" s="13" t="n">
        <v>741.74</v>
      </c>
      <c r="S27" s="13" t="n">
        <v>741.74</v>
      </c>
      <c r="T27" s="13" t="n">
        <v>741.74</v>
      </c>
      <c r="U27" s="13" t="n">
        <v>350</v>
      </c>
      <c r="V27" s="13" t="n">
        <v>0</v>
      </c>
      <c r="W27" s="13" t="n">
        <f aca="false">U27+V27</f>
        <v>350</v>
      </c>
    </row>
    <row r="28" customFormat="false" ht="15" hidden="false" customHeight="false" outlineLevel="0" collapsed="false">
      <c r="A28" s="14" t="s">
        <v>144</v>
      </c>
      <c r="B28" s="14" t="s">
        <v>75</v>
      </c>
      <c r="C28" s="14" t="s">
        <v>145</v>
      </c>
      <c r="D28" s="14" t="s">
        <v>109</v>
      </c>
      <c r="E28" s="15" t="n">
        <v>1950000</v>
      </c>
      <c r="F28" s="15" t="n">
        <v>17476.42</v>
      </c>
      <c r="G28" s="15" t="n">
        <v>2184.55</v>
      </c>
      <c r="H28" s="15" t="n">
        <v>2184.55</v>
      </c>
      <c r="I28" s="15" t="n">
        <f aca="false">SUM(K28:T28)</f>
        <v>13107.3</v>
      </c>
      <c r="J28" s="15" t="n">
        <f aca="false">F28-(G28+H28+I28)</f>
        <v>0.0199999999967986</v>
      </c>
      <c r="K28" s="15" t="n">
        <v>1310.73</v>
      </c>
      <c r="L28" s="15" t="n">
        <v>1310.73</v>
      </c>
      <c r="M28" s="15" t="n">
        <v>1310.73</v>
      </c>
      <c r="N28" s="15" t="n">
        <v>1310.73</v>
      </c>
      <c r="O28" s="15" t="n">
        <v>1310.73</v>
      </c>
      <c r="P28" s="15" t="n">
        <v>1310.73</v>
      </c>
      <c r="Q28" s="15" t="n">
        <v>1310.73</v>
      </c>
      <c r="R28" s="15" t="n">
        <v>1310.73</v>
      </c>
      <c r="S28" s="15" t="n">
        <v>1310.73</v>
      </c>
      <c r="T28" s="15" t="n">
        <v>1310.73</v>
      </c>
      <c r="U28" s="15" t="n">
        <v>350</v>
      </c>
      <c r="V28" s="15" t="n">
        <v>250</v>
      </c>
      <c r="W28" s="15" t="n">
        <f aca="false">U28+V28</f>
        <v>600</v>
      </c>
    </row>
    <row r="29" customFormat="false" ht="15" hidden="false" customHeight="false" outlineLevel="0" collapsed="false">
      <c r="A29" s="3" t="s">
        <v>146</v>
      </c>
      <c r="B29" s="3" t="s">
        <v>67</v>
      </c>
      <c r="C29" s="3" t="s">
        <v>105</v>
      </c>
      <c r="D29" s="3" t="s">
        <v>147</v>
      </c>
      <c r="E29" s="13" t="n">
        <v>545000</v>
      </c>
      <c r="F29" s="13" t="n">
        <v>7151.84</v>
      </c>
      <c r="G29" s="13" t="n">
        <v>893.98</v>
      </c>
      <c r="H29" s="13" t="n">
        <v>893.98</v>
      </c>
      <c r="I29" s="13" t="n">
        <f aca="false">SUM(K29:T29)</f>
        <v>5363.9</v>
      </c>
      <c r="J29" s="13" t="n">
        <f aca="false">F29-(G29+H29+I29)</f>
        <v>-0.0200000000004366</v>
      </c>
      <c r="K29" s="13" t="n">
        <v>536.39</v>
      </c>
      <c r="L29" s="13" t="n">
        <v>536.39</v>
      </c>
      <c r="M29" s="13" t="n">
        <v>536.39</v>
      </c>
      <c r="N29" s="13" t="n">
        <v>536.39</v>
      </c>
      <c r="O29" s="13" t="n">
        <v>536.39</v>
      </c>
      <c r="P29" s="13" t="n">
        <v>536.39</v>
      </c>
      <c r="Q29" s="13" t="n">
        <v>536.39</v>
      </c>
      <c r="R29" s="13" t="n">
        <v>536.39</v>
      </c>
      <c r="S29" s="13" t="n">
        <v>536.39</v>
      </c>
      <c r="T29" s="13" t="n">
        <v>536.39</v>
      </c>
      <c r="U29" s="13" t="n">
        <v>350</v>
      </c>
      <c r="V29" s="13" t="n">
        <v>0</v>
      </c>
      <c r="W29" s="13" t="n">
        <f aca="false">U29+V29</f>
        <v>350</v>
      </c>
    </row>
    <row r="30" customFormat="false" ht="15" hidden="false" customHeight="false" outlineLevel="0" collapsed="false">
      <c r="A30" s="14" t="s">
        <v>148</v>
      </c>
      <c r="B30" s="14" t="s">
        <v>149</v>
      </c>
      <c r="C30" s="14" t="s">
        <v>150</v>
      </c>
      <c r="D30" s="14" t="s">
        <v>125</v>
      </c>
      <c r="E30" s="15" t="n">
        <v>380000</v>
      </c>
      <c r="F30" s="15" t="n">
        <v>6057.06</v>
      </c>
      <c r="G30" s="15" t="n">
        <v>757.13</v>
      </c>
      <c r="H30" s="15" t="n">
        <v>757.13</v>
      </c>
      <c r="I30" s="15" t="n">
        <f aca="false">SUM(K30:T30)</f>
        <v>4542.8</v>
      </c>
      <c r="J30" s="15" t="n">
        <f aca="false">F30-(G30+H30+I30)</f>
        <v>0</v>
      </c>
      <c r="K30" s="15" t="n">
        <v>454.28</v>
      </c>
      <c r="L30" s="15" t="n">
        <v>454.28</v>
      </c>
      <c r="M30" s="15" t="n">
        <v>454.28</v>
      </c>
      <c r="N30" s="15" t="n">
        <v>454.28</v>
      </c>
      <c r="O30" s="15" t="n">
        <v>454.28</v>
      </c>
      <c r="P30" s="15" t="n">
        <v>454.28</v>
      </c>
      <c r="Q30" s="15" t="n">
        <v>454.28</v>
      </c>
      <c r="R30" s="15" t="n">
        <v>454.28</v>
      </c>
      <c r="S30" s="15" t="n">
        <v>454.28</v>
      </c>
      <c r="T30" s="15" t="n">
        <v>454.28</v>
      </c>
      <c r="U30" s="15" t="n">
        <v>350</v>
      </c>
      <c r="V30" s="15" t="n">
        <v>0</v>
      </c>
      <c r="W30" s="15" t="n">
        <f aca="false">U30+V30</f>
        <v>350</v>
      </c>
    </row>
    <row r="31" customFormat="false" ht="15" hidden="false" customHeight="false" outlineLevel="0" collapsed="false">
      <c r="A31" s="3" t="s">
        <v>151</v>
      </c>
      <c r="B31" s="3" t="s">
        <v>95</v>
      </c>
      <c r="C31" s="3" t="s">
        <v>152</v>
      </c>
      <c r="D31" s="3" t="s">
        <v>153</v>
      </c>
      <c r="E31" s="13" t="n">
        <v>1950000</v>
      </c>
      <c r="F31" s="13" t="n">
        <v>19389.62</v>
      </c>
      <c r="G31" s="13" t="n">
        <v>2423.7</v>
      </c>
      <c r="H31" s="13" t="n">
        <v>2423.7</v>
      </c>
      <c r="I31" s="13" t="n">
        <f aca="false">SUM(K31:T31)</f>
        <v>14542.2</v>
      </c>
      <c r="J31" s="13" t="n">
        <f aca="false">F31-(G31+H31+I31)</f>
        <v>0.0200000000004366</v>
      </c>
      <c r="K31" s="13" t="n">
        <v>1454.22</v>
      </c>
      <c r="L31" s="13" t="n">
        <v>1454.22</v>
      </c>
      <c r="M31" s="13" t="n">
        <v>1454.22</v>
      </c>
      <c r="N31" s="13" t="n">
        <v>1454.22</v>
      </c>
      <c r="O31" s="13" t="n">
        <v>1454.22</v>
      </c>
      <c r="P31" s="13" t="n">
        <v>1454.22</v>
      </c>
      <c r="Q31" s="13" t="n">
        <v>1454.22</v>
      </c>
      <c r="R31" s="13" t="n">
        <v>1454.22</v>
      </c>
      <c r="S31" s="13" t="n">
        <v>1454.22</v>
      </c>
      <c r="T31" s="13" t="n">
        <v>1454.22</v>
      </c>
      <c r="U31" s="13" t="n">
        <v>350</v>
      </c>
      <c r="V31" s="13" t="n">
        <v>250</v>
      </c>
      <c r="W31" s="13" t="n">
        <f aca="false">U31+V31</f>
        <v>600</v>
      </c>
    </row>
    <row r="32" customFormat="false" ht="15" hidden="false" customHeight="false" outlineLevel="0" collapsed="false">
      <c r="A32" s="14" t="s">
        <v>154</v>
      </c>
      <c r="B32" s="14" t="s">
        <v>155</v>
      </c>
      <c r="C32" s="14" t="s">
        <v>156</v>
      </c>
      <c r="D32" s="14" t="s">
        <v>157</v>
      </c>
      <c r="E32" s="15" t="n">
        <v>495000</v>
      </c>
      <c r="F32" s="15" t="n">
        <v>9946.7</v>
      </c>
      <c r="G32" s="15" t="n">
        <v>1243.34</v>
      </c>
      <c r="H32" s="15" t="n">
        <v>1243.34</v>
      </c>
      <c r="I32" s="15" t="n">
        <f aca="false">SUM(K32:T32)</f>
        <v>7460</v>
      </c>
      <c r="J32" s="15" t="n">
        <f aca="false">F32-(G32+H32+I32)</f>
        <v>0.0200000000004366</v>
      </c>
      <c r="K32" s="15" t="n">
        <v>746</v>
      </c>
      <c r="L32" s="15" t="n">
        <v>746</v>
      </c>
      <c r="M32" s="15" t="n">
        <v>746</v>
      </c>
      <c r="N32" s="15" t="n">
        <v>746</v>
      </c>
      <c r="O32" s="15" t="n">
        <v>746</v>
      </c>
      <c r="P32" s="15" t="n">
        <v>746</v>
      </c>
      <c r="Q32" s="15" t="n">
        <v>746</v>
      </c>
      <c r="R32" s="15" t="n">
        <v>746</v>
      </c>
      <c r="S32" s="15" t="n">
        <v>746</v>
      </c>
      <c r="T32" s="15" t="n">
        <v>746</v>
      </c>
      <c r="U32" s="15" t="n">
        <v>350</v>
      </c>
      <c r="V32" s="15" t="n">
        <v>0</v>
      </c>
      <c r="W32" s="15" t="n">
        <f aca="false">U32+V32</f>
        <v>350</v>
      </c>
    </row>
    <row r="33" customFormat="false" ht="15" hidden="false" customHeight="false" outlineLevel="0" collapsed="false">
      <c r="A33" s="3" t="s">
        <v>158</v>
      </c>
      <c r="B33" s="3" t="s">
        <v>159</v>
      </c>
      <c r="C33" s="3" t="s">
        <v>160</v>
      </c>
      <c r="D33" s="3" t="s">
        <v>147</v>
      </c>
      <c r="E33" s="13" t="n">
        <v>435000</v>
      </c>
      <c r="F33" s="13" t="n">
        <v>6586.56</v>
      </c>
      <c r="G33" s="13" t="n">
        <v>823.32</v>
      </c>
      <c r="H33" s="13" t="n">
        <v>823.32</v>
      </c>
      <c r="I33" s="13" t="n">
        <f aca="false">SUM(K33:T33)</f>
        <v>4939.9</v>
      </c>
      <c r="J33" s="13" t="n">
        <f aca="false">F33-(G33+H33+I33)</f>
        <v>0.0200000000004366</v>
      </c>
      <c r="K33" s="13" t="n">
        <v>493.99</v>
      </c>
      <c r="L33" s="13" t="n">
        <v>493.99</v>
      </c>
      <c r="M33" s="13" t="n">
        <v>493.99</v>
      </c>
      <c r="N33" s="13" t="n">
        <v>493.99</v>
      </c>
      <c r="O33" s="13" t="n">
        <v>493.99</v>
      </c>
      <c r="P33" s="13" t="n">
        <v>493.99</v>
      </c>
      <c r="Q33" s="13" t="n">
        <v>493.99</v>
      </c>
      <c r="R33" s="13" t="n">
        <v>493.99</v>
      </c>
      <c r="S33" s="13" t="n">
        <v>493.99</v>
      </c>
      <c r="T33" s="13" t="n">
        <v>493.99</v>
      </c>
      <c r="U33" s="13" t="n">
        <v>350</v>
      </c>
      <c r="V33" s="13" t="n">
        <v>0</v>
      </c>
      <c r="W33" s="13" t="n">
        <f aca="false">U33+V33</f>
        <v>350</v>
      </c>
    </row>
    <row r="34" customFormat="false" ht="15" hidden="false" customHeight="false" outlineLevel="0" collapsed="false">
      <c r="A34" s="14" t="s">
        <v>161</v>
      </c>
      <c r="B34" s="14" t="s">
        <v>134</v>
      </c>
      <c r="C34" s="14" t="s">
        <v>162</v>
      </c>
      <c r="D34" s="14" t="s">
        <v>163</v>
      </c>
      <c r="E34" s="15" t="n">
        <v>490000</v>
      </c>
      <c r="F34" s="15" t="n">
        <v>7072.64</v>
      </c>
      <c r="G34" s="15" t="n">
        <v>884.08</v>
      </c>
      <c r="H34" s="15" t="n">
        <v>884.08</v>
      </c>
      <c r="I34" s="15" t="n">
        <f aca="false">SUM(K34:T34)</f>
        <v>5304.5</v>
      </c>
      <c r="J34" s="15" t="n">
        <f aca="false">F34-(G34+H34+I34)</f>
        <v>-0.0199999999995271</v>
      </c>
      <c r="K34" s="15" t="n">
        <v>530.45</v>
      </c>
      <c r="L34" s="15" t="n">
        <v>530.45</v>
      </c>
      <c r="M34" s="15" t="n">
        <v>530.45</v>
      </c>
      <c r="N34" s="15" t="n">
        <v>530.45</v>
      </c>
      <c r="O34" s="15" t="n">
        <v>530.45</v>
      </c>
      <c r="P34" s="15" t="n">
        <v>530.45</v>
      </c>
      <c r="Q34" s="15" t="n">
        <v>530.45</v>
      </c>
      <c r="R34" s="15" t="n">
        <v>530.45</v>
      </c>
      <c r="S34" s="15" t="n">
        <v>530.45</v>
      </c>
      <c r="T34" s="15" t="n">
        <v>530.45</v>
      </c>
      <c r="U34" s="15" t="n">
        <v>350</v>
      </c>
      <c r="V34" s="15" t="n">
        <v>0</v>
      </c>
      <c r="W34" s="15" t="n">
        <f aca="false">U34+V34</f>
        <v>350</v>
      </c>
    </row>
    <row r="35" customFormat="false" ht="15" hidden="false" customHeight="false" outlineLevel="0" collapsed="false">
      <c r="A35" s="3" t="s">
        <v>164</v>
      </c>
      <c r="B35" s="3" t="s">
        <v>79</v>
      </c>
      <c r="C35" s="3" t="s">
        <v>165</v>
      </c>
      <c r="D35" s="3" t="s">
        <v>166</v>
      </c>
      <c r="E35" s="13" t="n">
        <v>760000</v>
      </c>
      <c r="F35" s="13" t="n">
        <v>18390.57</v>
      </c>
      <c r="G35" s="13" t="n">
        <v>2298.82</v>
      </c>
      <c r="H35" s="13" t="n">
        <v>2298.82</v>
      </c>
      <c r="I35" s="13" t="n">
        <f aca="false">SUM(K35:T35)</f>
        <v>13792.9</v>
      </c>
      <c r="J35" s="13" t="n">
        <f aca="false">F35-(G35+H35+I35)</f>
        <v>0.0299999999988358</v>
      </c>
      <c r="K35" s="13" t="n">
        <v>1379.29</v>
      </c>
      <c r="L35" s="13" t="n">
        <v>1379.29</v>
      </c>
      <c r="M35" s="13" t="n">
        <v>1379.29</v>
      </c>
      <c r="N35" s="13" t="n">
        <v>1379.29</v>
      </c>
      <c r="O35" s="13" t="n">
        <v>1379.29</v>
      </c>
      <c r="P35" s="13" t="n">
        <v>1379.29</v>
      </c>
      <c r="Q35" s="13" t="n">
        <v>1379.29</v>
      </c>
      <c r="R35" s="13" t="n">
        <v>1379.29</v>
      </c>
      <c r="S35" s="13" t="n">
        <v>1379.29</v>
      </c>
      <c r="T35" s="13" t="n">
        <v>1379.29</v>
      </c>
      <c r="U35" s="13" t="n">
        <v>350</v>
      </c>
      <c r="V35" s="13" t="n">
        <v>0</v>
      </c>
      <c r="W35" s="13" t="n">
        <f aca="false">U35+V35</f>
        <v>350</v>
      </c>
    </row>
    <row r="36" customFormat="false" ht="15" hidden="false" customHeight="false" outlineLevel="0" collapsed="false">
      <c r="A36" s="14" t="s">
        <v>167</v>
      </c>
      <c r="B36" s="14" t="s">
        <v>168</v>
      </c>
      <c r="C36" s="14" t="s">
        <v>169</v>
      </c>
      <c r="D36" s="14" t="s">
        <v>157</v>
      </c>
      <c r="E36" s="15" t="n">
        <v>610000</v>
      </c>
      <c r="F36" s="15" t="n">
        <v>10623.21</v>
      </c>
      <c r="G36" s="15" t="n">
        <v>1327.9</v>
      </c>
      <c r="H36" s="15" t="n">
        <v>1327.9</v>
      </c>
      <c r="I36" s="15" t="n">
        <f aca="false">SUM(K36:T36)</f>
        <v>7967.4</v>
      </c>
      <c r="J36" s="15" t="n">
        <f aca="false">F36-(G36+H36+I36)</f>
        <v>0.00999999999839929</v>
      </c>
      <c r="K36" s="15" t="n">
        <v>796.74</v>
      </c>
      <c r="L36" s="15" t="n">
        <v>796.74</v>
      </c>
      <c r="M36" s="15" t="n">
        <v>796.74</v>
      </c>
      <c r="N36" s="15" t="n">
        <v>796.74</v>
      </c>
      <c r="O36" s="15" t="n">
        <v>796.74</v>
      </c>
      <c r="P36" s="15" t="n">
        <v>796.74</v>
      </c>
      <c r="Q36" s="15" t="n">
        <v>796.74</v>
      </c>
      <c r="R36" s="15" t="n">
        <v>796.74</v>
      </c>
      <c r="S36" s="15" t="n">
        <v>796.74</v>
      </c>
      <c r="T36" s="15" t="n">
        <v>796.74</v>
      </c>
      <c r="U36" s="15" t="n">
        <v>350</v>
      </c>
      <c r="V36" s="15" t="n">
        <v>0</v>
      </c>
      <c r="W36" s="15" t="n">
        <f aca="false">U36+V36</f>
        <v>350</v>
      </c>
    </row>
    <row r="37" customFormat="false" ht="15" hidden="false" customHeight="false" outlineLevel="0" collapsed="false">
      <c r="A37" s="3" t="s">
        <v>170</v>
      </c>
      <c r="B37" s="3" t="s">
        <v>155</v>
      </c>
      <c r="C37" s="3" t="s">
        <v>171</v>
      </c>
      <c r="D37" s="3" t="s">
        <v>172</v>
      </c>
      <c r="E37" s="13" t="n">
        <v>555000</v>
      </c>
      <c r="F37" s="13" t="n">
        <v>4682.94</v>
      </c>
      <c r="G37" s="13" t="n">
        <v>585.37</v>
      </c>
      <c r="H37" s="13" t="n">
        <v>585.37</v>
      </c>
      <c r="I37" s="13" t="n">
        <f aca="false">SUM(K37:T37)</f>
        <v>3512.2</v>
      </c>
      <c r="J37" s="13" t="n">
        <f aca="false">F37-(G37+H37+I37)</f>
        <v>0</v>
      </c>
      <c r="K37" s="13" t="n">
        <v>351.22</v>
      </c>
      <c r="L37" s="13" t="n">
        <v>351.22</v>
      </c>
      <c r="M37" s="13" t="n">
        <v>351.22</v>
      </c>
      <c r="N37" s="13" t="n">
        <v>351.22</v>
      </c>
      <c r="O37" s="13" t="n">
        <v>351.22</v>
      </c>
      <c r="P37" s="13" t="n">
        <v>351.22</v>
      </c>
      <c r="Q37" s="13" t="n">
        <v>351.22</v>
      </c>
      <c r="R37" s="13" t="n">
        <v>351.22</v>
      </c>
      <c r="S37" s="13" t="n">
        <v>351.22</v>
      </c>
      <c r="T37" s="13" t="n">
        <v>351.22</v>
      </c>
      <c r="U37" s="13" t="n">
        <v>350</v>
      </c>
      <c r="V37" s="13" t="n">
        <v>0</v>
      </c>
      <c r="W37" s="13" t="n">
        <f aca="false">U37+V37</f>
        <v>350</v>
      </c>
    </row>
    <row r="38" customFormat="false" ht="15" hidden="false" customHeight="false" outlineLevel="0" collapsed="false">
      <c r="A38" s="14" t="s">
        <v>173</v>
      </c>
      <c r="B38" s="14" t="s">
        <v>95</v>
      </c>
      <c r="C38" s="14" t="s">
        <v>174</v>
      </c>
      <c r="D38" s="14" t="s">
        <v>93</v>
      </c>
      <c r="E38" s="15" t="n">
        <v>745000</v>
      </c>
      <c r="F38" s="15" t="n">
        <v>11695.09</v>
      </c>
      <c r="G38" s="15" t="n">
        <v>1461.89</v>
      </c>
      <c r="H38" s="15" t="n">
        <v>1461.89</v>
      </c>
      <c r="I38" s="15" t="n">
        <f aca="false">SUM(K38:T38)</f>
        <v>8771.3</v>
      </c>
      <c r="J38" s="15" t="n">
        <f aca="false">F38-(G38+H38+I38)</f>
        <v>0.0100000000002183</v>
      </c>
      <c r="K38" s="15" t="n">
        <v>877.13</v>
      </c>
      <c r="L38" s="15" t="n">
        <v>877.13</v>
      </c>
      <c r="M38" s="15" t="n">
        <v>877.13</v>
      </c>
      <c r="N38" s="15" t="n">
        <v>877.13</v>
      </c>
      <c r="O38" s="15" t="n">
        <v>877.13</v>
      </c>
      <c r="P38" s="15" t="n">
        <v>877.13</v>
      </c>
      <c r="Q38" s="15" t="n">
        <v>877.13</v>
      </c>
      <c r="R38" s="15" t="n">
        <v>877.13</v>
      </c>
      <c r="S38" s="15" t="n">
        <v>877.13</v>
      </c>
      <c r="T38" s="15" t="n">
        <v>877.13</v>
      </c>
      <c r="U38" s="15" t="n">
        <v>350</v>
      </c>
      <c r="V38" s="15" t="n">
        <v>0</v>
      </c>
      <c r="W38" s="15" t="n">
        <f aca="false">U38+V38</f>
        <v>350</v>
      </c>
    </row>
    <row r="39" customFormat="false" ht="15" hidden="false" customHeight="false" outlineLevel="0" collapsed="false">
      <c r="A39" s="3" t="s">
        <v>175</v>
      </c>
      <c r="B39" s="3" t="s">
        <v>104</v>
      </c>
      <c r="C39" s="3" t="s">
        <v>176</v>
      </c>
      <c r="D39" s="3" t="s">
        <v>89</v>
      </c>
      <c r="E39" s="13" t="n">
        <v>810000</v>
      </c>
      <c r="F39" s="13" t="n">
        <v>8871.79</v>
      </c>
      <c r="G39" s="13" t="n">
        <v>1108.97</v>
      </c>
      <c r="H39" s="13" t="n">
        <v>1108.97</v>
      </c>
      <c r="I39" s="13" t="n">
        <f aca="false">SUM(K39:T39)</f>
        <v>6653.8</v>
      </c>
      <c r="J39" s="13" t="n">
        <f aca="false">F39-(G39+H39+I39)</f>
        <v>0.0500000000010914</v>
      </c>
      <c r="K39" s="13" t="n">
        <v>665.38</v>
      </c>
      <c r="L39" s="13" t="n">
        <v>665.38</v>
      </c>
      <c r="M39" s="13" t="n">
        <v>665.38</v>
      </c>
      <c r="N39" s="13" t="n">
        <v>665.38</v>
      </c>
      <c r="O39" s="13" t="n">
        <v>665.38</v>
      </c>
      <c r="P39" s="13" t="n">
        <v>665.38</v>
      </c>
      <c r="Q39" s="13" t="n">
        <v>665.38</v>
      </c>
      <c r="R39" s="13" t="n">
        <v>665.38</v>
      </c>
      <c r="S39" s="13" t="n">
        <v>665.38</v>
      </c>
      <c r="T39" s="13" t="n">
        <v>665.38</v>
      </c>
      <c r="U39" s="13" t="n">
        <v>350</v>
      </c>
      <c r="V39" s="13" t="n">
        <v>0</v>
      </c>
      <c r="W39" s="13" t="n">
        <f aca="false">U39+V39</f>
        <v>350</v>
      </c>
    </row>
    <row r="40" customFormat="false" ht="15" hidden="false" customHeight="false" outlineLevel="0" collapsed="false">
      <c r="A40" s="14" t="s">
        <v>177</v>
      </c>
      <c r="B40" s="14" t="s">
        <v>83</v>
      </c>
      <c r="C40" s="14" t="s">
        <v>171</v>
      </c>
      <c r="D40" s="14" t="s">
        <v>89</v>
      </c>
      <c r="E40" s="15" t="n">
        <v>385000</v>
      </c>
      <c r="F40" s="15" t="n">
        <v>7354.95</v>
      </c>
      <c r="G40" s="15" t="n">
        <v>919.37</v>
      </c>
      <c r="H40" s="15" t="n">
        <v>919.37</v>
      </c>
      <c r="I40" s="15" t="n">
        <f aca="false">SUM(K40:T40)</f>
        <v>5516.2</v>
      </c>
      <c r="J40" s="15" t="n">
        <f aca="false">F40-(G40+H40+I40)</f>
        <v>0.0100000000002183</v>
      </c>
      <c r="K40" s="15" t="n">
        <v>551.62</v>
      </c>
      <c r="L40" s="15" t="n">
        <v>551.62</v>
      </c>
      <c r="M40" s="15" t="n">
        <v>551.62</v>
      </c>
      <c r="N40" s="15" t="n">
        <v>551.62</v>
      </c>
      <c r="O40" s="15" t="n">
        <v>551.62</v>
      </c>
      <c r="P40" s="15" t="n">
        <v>551.62</v>
      </c>
      <c r="Q40" s="15" t="n">
        <v>551.62</v>
      </c>
      <c r="R40" s="15" t="n">
        <v>551.62</v>
      </c>
      <c r="S40" s="15" t="n">
        <v>551.62</v>
      </c>
      <c r="T40" s="15" t="n">
        <v>551.62</v>
      </c>
      <c r="U40" s="15" t="n">
        <v>350</v>
      </c>
      <c r="V40" s="15" t="n">
        <v>0</v>
      </c>
      <c r="W40" s="15" t="n">
        <f aca="false">U40+V40</f>
        <v>350</v>
      </c>
    </row>
    <row r="41" customFormat="false" ht="15" hidden="false" customHeight="false" outlineLevel="0" collapsed="false">
      <c r="A41" s="3" t="s">
        <v>178</v>
      </c>
      <c r="B41" s="3" t="s">
        <v>123</v>
      </c>
      <c r="C41" s="3" t="s">
        <v>179</v>
      </c>
      <c r="D41" s="3" t="s">
        <v>180</v>
      </c>
      <c r="E41" s="13" t="n">
        <v>525000</v>
      </c>
      <c r="F41" s="13" t="n">
        <v>11386.56</v>
      </c>
      <c r="G41" s="13" t="n">
        <v>1423.32</v>
      </c>
      <c r="H41" s="13" t="n">
        <v>1423.32</v>
      </c>
      <c r="I41" s="13" t="n">
        <f aca="false">SUM(K41:T41)</f>
        <v>8539.9</v>
      </c>
      <c r="J41" s="13" t="n">
        <f aca="false">F41-(G41+H41+I41)</f>
        <v>0.0200000000004366</v>
      </c>
      <c r="K41" s="13" t="n">
        <v>853.99</v>
      </c>
      <c r="L41" s="13" t="n">
        <v>853.99</v>
      </c>
      <c r="M41" s="13" t="n">
        <v>853.99</v>
      </c>
      <c r="N41" s="13" t="n">
        <v>853.99</v>
      </c>
      <c r="O41" s="13" t="n">
        <v>853.99</v>
      </c>
      <c r="P41" s="13" t="n">
        <v>853.99</v>
      </c>
      <c r="Q41" s="13" t="n">
        <v>853.99</v>
      </c>
      <c r="R41" s="13" t="n">
        <v>853.99</v>
      </c>
      <c r="S41" s="13" t="n">
        <v>853.99</v>
      </c>
      <c r="T41" s="13" t="n">
        <v>853.99</v>
      </c>
      <c r="U41" s="13" t="n">
        <v>350</v>
      </c>
      <c r="V41" s="13" t="n">
        <v>0</v>
      </c>
      <c r="W41" s="13" t="n">
        <f aca="false">U41+V41</f>
        <v>350</v>
      </c>
    </row>
    <row r="42" customFormat="false" ht="15" hidden="false" customHeight="false" outlineLevel="0" collapsed="false">
      <c r="A42" s="14" t="s">
        <v>181</v>
      </c>
      <c r="B42" s="14" t="s">
        <v>107</v>
      </c>
      <c r="C42" s="14" t="s">
        <v>182</v>
      </c>
      <c r="D42" s="14" t="s">
        <v>69</v>
      </c>
      <c r="E42" s="15" t="n">
        <v>945000</v>
      </c>
      <c r="F42" s="15" t="n">
        <v>13490.32</v>
      </c>
      <c r="G42" s="15" t="n">
        <v>1686.29</v>
      </c>
      <c r="H42" s="15" t="n">
        <v>1686.29</v>
      </c>
      <c r="I42" s="15" t="n">
        <f aca="false">SUM(K42:T42)</f>
        <v>10117.7</v>
      </c>
      <c r="J42" s="15" t="n">
        <f aca="false">F42-(G42+H42+I42)</f>
        <v>0.0399999999990541</v>
      </c>
      <c r="K42" s="15" t="n">
        <v>1011.77</v>
      </c>
      <c r="L42" s="15" t="n">
        <v>1011.77</v>
      </c>
      <c r="M42" s="15" t="n">
        <v>1011.77</v>
      </c>
      <c r="N42" s="15" t="n">
        <v>1011.77</v>
      </c>
      <c r="O42" s="15" t="n">
        <v>1011.77</v>
      </c>
      <c r="P42" s="15" t="n">
        <v>1011.77</v>
      </c>
      <c r="Q42" s="15" t="n">
        <v>1011.77</v>
      </c>
      <c r="R42" s="15" t="n">
        <v>1011.77</v>
      </c>
      <c r="S42" s="15" t="n">
        <v>1011.77</v>
      </c>
      <c r="T42" s="15" t="n">
        <v>1011.77</v>
      </c>
      <c r="U42" s="15" t="n">
        <v>350</v>
      </c>
      <c r="V42" s="15" t="n">
        <v>0</v>
      </c>
      <c r="W42" s="15" t="n">
        <f aca="false">U42+V42</f>
        <v>350</v>
      </c>
    </row>
    <row r="43" customFormat="false" ht="15" hidden="false" customHeight="false" outlineLevel="0" collapsed="false">
      <c r="A43" s="3" t="s">
        <v>183</v>
      </c>
      <c r="B43" s="3" t="s">
        <v>159</v>
      </c>
      <c r="C43" s="3" t="s">
        <v>184</v>
      </c>
      <c r="D43" s="3" t="s">
        <v>185</v>
      </c>
      <c r="E43" s="13" t="n">
        <v>1245000</v>
      </c>
      <c r="F43" s="13" t="n">
        <v>18980.38</v>
      </c>
      <c r="G43" s="13" t="n">
        <v>2372.55</v>
      </c>
      <c r="H43" s="13" t="n">
        <v>2372.55</v>
      </c>
      <c r="I43" s="13" t="n">
        <f aca="false">SUM(K43:T43)</f>
        <v>14235.3</v>
      </c>
      <c r="J43" s="13" t="n">
        <f aca="false">F43-(G43+H43+I43)</f>
        <v>-0.0200000000004366</v>
      </c>
      <c r="K43" s="13" t="n">
        <v>1423.53</v>
      </c>
      <c r="L43" s="13" t="n">
        <v>1423.53</v>
      </c>
      <c r="M43" s="13" t="n">
        <v>1423.53</v>
      </c>
      <c r="N43" s="13" t="n">
        <v>1423.53</v>
      </c>
      <c r="O43" s="13" t="n">
        <v>1423.53</v>
      </c>
      <c r="P43" s="13" t="n">
        <v>1423.53</v>
      </c>
      <c r="Q43" s="13" t="n">
        <v>1423.53</v>
      </c>
      <c r="R43" s="13" t="n">
        <v>1423.53</v>
      </c>
      <c r="S43" s="13" t="n">
        <v>1423.53</v>
      </c>
      <c r="T43" s="13" t="n">
        <v>1423.53</v>
      </c>
      <c r="U43" s="13" t="n">
        <v>350</v>
      </c>
      <c r="V43" s="13" t="n">
        <v>250</v>
      </c>
      <c r="W43" s="13" t="n">
        <f aca="false">U43+V43</f>
        <v>600</v>
      </c>
    </row>
    <row r="44" customFormat="false" ht="15" hidden="false" customHeight="false" outlineLevel="0" collapsed="false">
      <c r="A44" s="14" t="s">
        <v>186</v>
      </c>
      <c r="B44" s="14" t="s">
        <v>187</v>
      </c>
      <c r="C44" s="14" t="s">
        <v>188</v>
      </c>
      <c r="D44" s="14" t="s">
        <v>189</v>
      </c>
      <c r="E44" s="15" t="n">
        <v>240000</v>
      </c>
      <c r="F44" s="15" t="n">
        <v>4582.64</v>
      </c>
      <c r="G44" s="15" t="n">
        <v>572.83</v>
      </c>
      <c r="H44" s="15" t="n">
        <v>572.83</v>
      </c>
      <c r="I44" s="15" t="n">
        <f aca="false">SUM(K44:T44)</f>
        <v>3437</v>
      </c>
      <c r="J44" s="15" t="n">
        <f aca="false">F44-(G44+H44+I44)</f>
        <v>-0.0199999999995271</v>
      </c>
      <c r="K44" s="15" t="n">
        <v>343.7</v>
      </c>
      <c r="L44" s="15" t="n">
        <v>343.7</v>
      </c>
      <c r="M44" s="15" t="n">
        <v>343.7</v>
      </c>
      <c r="N44" s="15" t="n">
        <v>343.7</v>
      </c>
      <c r="O44" s="15" t="n">
        <v>343.7</v>
      </c>
      <c r="P44" s="15" t="n">
        <v>343.7</v>
      </c>
      <c r="Q44" s="15" t="n">
        <v>343.7</v>
      </c>
      <c r="R44" s="15" t="n">
        <v>343.7</v>
      </c>
      <c r="S44" s="15" t="n">
        <v>343.7</v>
      </c>
      <c r="T44" s="15" t="n">
        <v>343.7</v>
      </c>
      <c r="U44" s="15" t="n">
        <v>350</v>
      </c>
      <c r="V44" s="15" t="n">
        <v>0</v>
      </c>
      <c r="W44" s="15" t="n">
        <f aca="false">U44+V44</f>
        <v>350</v>
      </c>
    </row>
    <row r="45" customFormat="false" ht="15" hidden="false" customHeight="false" outlineLevel="0" collapsed="false">
      <c r="A45" s="3" t="s">
        <v>190</v>
      </c>
      <c r="B45" s="3" t="s">
        <v>191</v>
      </c>
      <c r="C45" s="3" t="s">
        <v>192</v>
      </c>
      <c r="D45" s="3" t="s">
        <v>193</v>
      </c>
      <c r="E45" s="13" t="n">
        <v>445000</v>
      </c>
      <c r="F45" s="13" t="n">
        <v>5037.74</v>
      </c>
      <c r="G45" s="13" t="n">
        <v>629.72</v>
      </c>
      <c r="H45" s="13" t="n">
        <v>629.72</v>
      </c>
      <c r="I45" s="13" t="n">
        <f aca="false">SUM(K45:T45)</f>
        <v>3778.3</v>
      </c>
      <c r="J45" s="13" t="n">
        <f aca="false">F45-(G45+H45+I45)</f>
        <v>0</v>
      </c>
      <c r="K45" s="13" t="n">
        <v>377.83</v>
      </c>
      <c r="L45" s="13" t="n">
        <v>377.83</v>
      </c>
      <c r="M45" s="13" t="n">
        <v>377.83</v>
      </c>
      <c r="N45" s="13" t="n">
        <v>377.83</v>
      </c>
      <c r="O45" s="13" t="n">
        <v>377.83</v>
      </c>
      <c r="P45" s="13" t="n">
        <v>377.83</v>
      </c>
      <c r="Q45" s="13" t="n">
        <v>377.83</v>
      </c>
      <c r="R45" s="13" t="n">
        <v>377.83</v>
      </c>
      <c r="S45" s="13" t="n">
        <v>377.83</v>
      </c>
      <c r="T45" s="13" t="n">
        <v>377.83</v>
      </c>
      <c r="U45" s="13" t="n">
        <v>350</v>
      </c>
      <c r="V45" s="13" t="n">
        <v>0</v>
      </c>
      <c r="W45" s="13" t="n">
        <f aca="false">U45+V45</f>
        <v>350</v>
      </c>
    </row>
    <row r="46" customFormat="false" ht="15" hidden="false" customHeight="false" outlineLevel="0" collapsed="false">
      <c r="A46" s="14" t="s">
        <v>194</v>
      </c>
      <c r="B46" s="14" t="s">
        <v>195</v>
      </c>
      <c r="C46" s="14" t="s">
        <v>196</v>
      </c>
      <c r="D46" s="14" t="s">
        <v>197</v>
      </c>
      <c r="E46" s="15" t="n">
        <v>685000</v>
      </c>
      <c r="F46" s="15" t="n">
        <v>9157.03</v>
      </c>
      <c r="G46" s="15" t="n">
        <v>1144.63</v>
      </c>
      <c r="H46" s="15" t="n">
        <v>1144.63</v>
      </c>
      <c r="I46" s="15" t="n">
        <f aca="false">SUM(K46:T46)</f>
        <v>6867.8</v>
      </c>
      <c r="J46" s="15" t="n">
        <f aca="false">F46-(G46+H46+I46)</f>
        <v>-0.0299999999988358</v>
      </c>
      <c r="K46" s="15" t="n">
        <v>686.78</v>
      </c>
      <c r="L46" s="15" t="n">
        <v>686.78</v>
      </c>
      <c r="M46" s="15" t="n">
        <v>686.78</v>
      </c>
      <c r="N46" s="15" t="n">
        <v>686.78</v>
      </c>
      <c r="O46" s="15" t="n">
        <v>686.78</v>
      </c>
      <c r="P46" s="15" t="n">
        <v>686.78</v>
      </c>
      <c r="Q46" s="15" t="n">
        <v>686.78</v>
      </c>
      <c r="R46" s="15" t="n">
        <v>686.78</v>
      </c>
      <c r="S46" s="15" t="n">
        <v>686.78</v>
      </c>
      <c r="T46" s="15" t="n">
        <v>686.78</v>
      </c>
      <c r="U46" s="15" t="n">
        <v>350</v>
      </c>
      <c r="V46" s="15" t="n">
        <v>0</v>
      </c>
      <c r="W46" s="15" t="n">
        <f aca="false">U46+V46</f>
        <v>350</v>
      </c>
    </row>
    <row r="47" customFormat="false" ht="15" hidden="false" customHeight="false" outlineLevel="0" collapsed="false">
      <c r="A47" s="3" t="s">
        <v>198</v>
      </c>
      <c r="B47" s="3" t="s">
        <v>159</v>
      </c>
      <c r="C47" s="3" t="s">
        <v>199</v>
      </c>
      <c r="D47" s="3" t="s">
        <v>132</v>
      </c>
      <c r="E47" s="13" t="n">
        <v>1850000</v>
      </c>
      <c r="F47" s="13" t="n">
        <v>19198.11</v>
      </c>
      <c r="G47" s="13" t="n">
        <v>2399.76</v>
      </c>
      <c r="H47" s="13" t="n">
        <v>2399.76</v>
      </c>
      <c r="I47" s="13" t="n">
        <f aca="false">SUM(K47:T47)</f>
        <v>14398.6</v>
      </c>
      <c r="J47" s="13" t="n">
        <f aca="false">F47-(G47+H47+I47)</f>
        <v>-0.0100000000020373</v>
      </c>
      <c r="K47" s="13" t="n">
        <v>1439.86</v>
      </c>
      <c r="L47" s="13" t="n">
        <v>1439.86</v>
      </c>
      <c r="M47" s="13" t="n">
        <v>1439.86</v>
      </c>
      <c r="N47" s="13" t="n">
        <v>1439.86</v>
      </c>
      <c r="O47" s="13" t="n">
        <v>1439.86</v>
      </c>
      <c r="P47" s="13" t="n">
        <v>1439.86</v>
      </c>
      <c r="Q47" s="13" t="n">
        <v>1439.86</v>
      </c>
      <c r="R47" s="13" t="n">
        <v>1439.86</v>
      </c>
      <c r="S47" s="13" t="n">
        <v>1439.86</v>
      </c>
      <c r="T47" s="13" t="n">
        <v>1439.86</v>
      </c>
      <c r="U47" s="13" t="n">
        <v>350</v>
      </c>
      <c r="V47" s="13" t="n">
        <v>250</v>
      </c>
      <c r="W47" s="13" t="n">
        <f aca="false">U47+V47</f>
        <v>600</v>
      </c>
    </row>
    <row r="48" customFormat="false" ht="15" hidden="false" customHeight="false" outlineLevel="0" collapsed="false">
      <c r="A48" s="14" t="s">
        <v>200</v>
      </c>
      <c r="B48" s="14" t="s">
        <v>201</v>
      </c>
      <c r="C48" s="14" t="s">
        <v>202</v>
      </c>
      <c r="D48" s="14" t="s">
        <v>203</v>
      </c>
      <c r="E48" s="15" t="n">
        <v>280000</v>
      </c>
      <c r="F48" s="15" t="n">
        <v>2890.87</v>
      </c>
      <c r="G48" s="15" t="n">
        <v>361.36</v>
      </c>
      <c r="H48" s="15" t="n">
        <v>361.36</v>
      </c>
      <c r="I48" s="15" t="n">
        <f aca="false">SUM(K48:T48)</f>
        <v>2168.2</v>
      </c>
      <c r="J48" s="15" t="n">
        <f aca="false">F48-(G48+H48+I48)</f>
        <v>-0.0500000000001819</v>
      </c>
      <c r="K48" s="15" t="n">
        <v>216.82</v>
      </c>
      <c r="L48" s="15" t="n">
        <v>216.82</v>
      </c>
      <c r="M48" s="15" t="n">
        <v>216.82</v>
      </c>
      <c r="N48" s="15" t="n">
        <v>216.82</v>
      </c>
      <c r="O48" s="15" t="n">
        <v>216.82</v>
      </c>
      <c r="P48" s="15" t="n">
        <v>216.82</v>
      </c>
      <c r="Q48" s="15" t="n">
        <v>216.82</v>
      </c>
      <c r="R48" s="15" t="n">
        <v>216.82</v>
      </c>
      <c r="S48" s="15" t="n">
        <v>216.82</v>
      </c>
      <c r="T48" s="15" t="n">
        <v>216.82</v>
      </c>
      <c r="U48" s="15" t="n">
        <v>350</v>
      </c>
      <c r="V48" s="15" t="n">
        <v>0</v>
      </c>
      <c r="W48" s="15" t="n">
        <f aca="false">U48+V48</f>
        <v>350</v>
      </c>
    </row>
    <row r="49" customFormat="false" ht="15" hidden="false" customHeight="false" outlineLevel="0" collapsed="false">
      <c r="A49" s="3" t="s">
        <v>204</v>
      </c>
      <c r="B49" s="3" t="s">
        <v>205</v>
      </c>
      <c r="C49" s="3" t="s">
        <v>206</v>
      </c>
      <c r="D49" s="3" t="s">
        <v>89</v>
      </c>
      <c r="E49" s="13" t="n">
        <v>430000</v>
      </c>
      <c r="F49" s="13" t="n">
        <v>8214.62</v>
      </c>
      <c r="G49" s="13" t="n">
        <v>1026.83</v>
      </c>
      <c r="H49" s="13" t="n">
        <v>1026.83</v>
      </c>
      <c r="I49" s="13" t="n">
        <f aca="false">SUM(K49:T49)</f>
        <v>6161</v>
      </c>
      <c r="J49" s="13" t="n">
        <f aca="false">F49-(G49+H49+I49)</f>
        <v>-0.0399999999990541</v>
      </c>
      <c r="K49" s="13" t="n">
        <v>616.1</v>
      </c>
      <c r="L49" s="13" t="n">
        <v>616.1</v>
      </c>
      <c r="M49" s="13" t="n">
        <v>616.1</v>
      </c>
      <c r="N49" s="13" t="n">
        <v>616.1</v>
      </c>
      <c r="O49" s="13" t="n">
        <v>616.1</v>
      </c>
      <c r="P49" s="13" t="n">
        <v>616.1</v>
      </c>
      <c r="Q49" s="13" t="n">
        <v>616.1</v>
      </c>
      <c r="R49" s="13" t="n">
        <v>616.1</v>
      </c>
      <c r="S49" s="13" t="n">
        <v>616.1</v>
      </c>
      <c r="T49" s="13" t="n">
        <v>616.1</v>
      </c>
      <c r="U49" s="13" t="n">
        <v>350</v>
      </c>
      <c r="V49" s="13" t="n">
        <v>0</v>
      </c>
      <c r="W49" s="13" t="n">
        <f aca="false">U49+V49</f>
        <v>350</v>
      </c>
    </row>
    <row r="50" customFormat="false" ht="15" hidden="false" customHeight="false" outlineLevel="0" collapsed="false">
      <c r="A50" s="14" t="s">
        <v>207</v>
      </c>
      <c r="B50" s="14" t="s">
        <v>67</v>
      </c>
      <c r="C50" s="14" t="s">
        <v>162</v>
      </c>
      <c r="D50" s="14" t="s">
        <v>208</v>
      </c>
      <c r="E50" s="15" t="n">
        <v>795000</v>
      </c>
      <c r="F50" s="15" t="n">
        <v>12675</v>
      </c>
      <c r="G50" s="15" t="n">
        <v>1584.38</v>
      </c>
      <c r="H50" s="15" t="n">
        <v>1584.38</v>
      </c>
      <c r="I50" s="15" t="n">
        <f aca="false">SUM(K50:T50)</f>
        <v>9506.2</v>
      </c>
      <c r="J50" s="15" t="n">
        <f aca="false">F50-(G50+H50+I50)</f>
        <v>0.0399999999990541</v>
      </c>
      <c r="K50" s="15" t="n">
        <v>950.62</v>
      </c>
      <c r="L50" s="15" t="n">
        <v>950.62</v>
      </c>
      <c r="M50" s="15" t="n">
        <v>950.62</v>
      </c>
      <c r="N50" s="15" t="n">
        <v>950.62</v>
      </c>
      <c r="O50" s="15" t="n">
        <v>950.62</v>
      </c>
      <c r="P50" s="15" t="n">
        <v>950.62</v>
      </c>
      <c r="Q50" s="15" t="n">
        <v>950.62</v>
      </c>
      <c r="R50" s="15" t="n">
        <v>950.62</v>
      </c>
      <c r="S50" s="15" t="n">
        <v>950.62</v>
      </c>
      <c r="T50" s="15" t="n">
        <v>950.62</v>
      </c>
      <c r="U50" s="15" t="n">
        <v>350</v>
      </c>
      <c r="V50" s="15" t="n">
        <v>0</v>
      </c>
      <c r="W50" s="15" t="n">
        <f aca="false">U50+V50</f>
        <v>350</v>
      </c>
    </row>
    <row r="51" customFormat="false" ht="15" hidden="false" customHeight="false" outlineLevel="0" collapsed="false">
      <c r="A51" s="3" t="s">
        <v>209</v>
      </c>
      <c r="B51" s="3" t="s">
        <v>187</v>
      </c>
      <c r="C51" s="3" t="s">
        <v>199</v>
      </c>
      <c r="D51" s="3" t="s">
        <v>109</v>
      </c>
      <c r="E51" s="13" t="n">
        <v>1075000</v>
      </c>
      <c r="F51" s="13" t="n">
        <v>9634.43</v>
      </c>
      <c r="G51" s="13" t="n">
        <v>1204.3</v>
      </c>
      <c r="H51" s="13" t="n">
        <v>1204.3</v>
      </c>
      <c r="I51" s="13" t="n">
        <f aca="false">SUM(K51:T51)</f>
        <v>7225.8</v>
      </c>
      <c r="J51" s="13" t="n">
        <f aca="false">F51-(G51+H51+I51)</f>
        <v>0.0300000000006548</v>
      </c>
      <c r="K51" s="13" t="n">
        <v>722.58</v>
      </c>
      <c r="L51" s="13" t="n">
        <v>722.58</v>
      </c>
      <c r="M51" s="13" t="n">
        <v>722.58</v>
      </c>
      <c r="N51" s="13" t="n">
        <v>722.58</v>
      </c>
      <c r="O51" s="13" t="n">
        <v>722.58</v>
      </c>
      <c r="P51" s="13" t="n">
        <v>722.58</v>
      </c>
      <c r="Q51" s="13" t="n">
        <v>722.58</v>
      </c>
      <c r="R51" s="13" t="n">
        <v>722.58</v>
      </c>
      <c r="S51" s="13" t="n">
        <v>722.58</v>
      </c>
      <c r="T51" s="13" t="n">
        <v>722.58</v>
      </c>
      <c r="U51" s="13" t="n">
        <v>350</v>
      </c>
      <c r="V51" s="13" t="n">
        <v>250</v>
      </c>
      <c r="W51" s="13" t="n">
        <f aca="false">U51+V51</f>
        <v>600</v>
      </c>
    </row>
    <row r="52" customFormat="false" ht="15" hidden="false" customHeight="false" outlineLevel="0" collapsed="false">
      <c r="A52" s="14" t="s">
        <v>210</v>
      </c>
      <c r="B52" s="14" t="s">
        <v>195</v>
      </c>
      <c r="C52" s="14" t="s">
        <v>211</v>
      </c>
      <c r="D52" s="14" t="s">
        <v>147</v>
      </c>
      <c r="E52" s="15" t="n">
        <v>1950000</v>
      </c>
      <c r="F52" s="15" t="n">
        <v>13385.09</v>
      </c>
      <c r="G52" s="15" t="n">
        <v>1673.14</v>
      </c>
      <c r="H52" s="15" t="n">
        <v>1673.14</v>
      </c>
      <c r="I52" s="15" t="n">
        <f aca="false">SUM(K52:T52)</f>
        <v>10038.8</v>
      </c>
      <c r="J52" s="15" t="n">
        <f aca="false">F52-(G52+H52+I52)</f>
        <v>0.0100000000002183</v>
      </c>
      <c r="K52" s="15" t="n">
        <v>1003.88</v>
      </c>
      <c r="L52" s="15" t="n">
        <v>1003.88</v>
      </c>
      <c r="M52" s="15" t="n">
        <v>1003.88</v>
      </c>
      <c r="N52" s="15" t="n">
        <v>1003.88</v>
      </c>
      <c r="O52" s="15" t="n">
        <v>1003.88</v>
      </c>
      <c r="P52" s="15" t="n">
        <v>1003.88</v>
      </c>
      <c r="Q52" s="15" t="n">
        <v>1003.88</v>
      </c>
      <c r="R52" s="15" t="n">
        <v>1003.88</v>
      </c>
      <c r="S52" s="15" t="n">
        <v>1003.88</v>
      </c>
      <c r="T52" s="15" t="n">
        <v>1003.88</v>
      </c>
      <c r="U52" s="15" t="n">
        <v>350</v>
      </c>
      <c r="V52" s="15" t="n">
        <v>250</v>
      </c>
      <c r="W52" s="15" t="n">
        <f aca="false">U52+V52</f>
        <v>600</v>
      </c>
    </row>
    <row r="53" customFormat="false" ht="15" hidden="false" customHeight="false" outlineLevel="0" collapsed="false">
      <c r="A53" s="3" t="s">
        <v>212</v>
      </c>
      <c r="B53" s="3" t="s">
        <v>123</v>
      </c>
      <c r="C53" s="3" t="s">
        <v>213</v>
      </c>
      <c r="D53" s="3" t="s">
        <v>132</v>
      </c>
      <c r="E53" s="13" t="n">
        <v>1945000</v>
      </c>
      <c r="F53" s="13" t="n">
        <v>20183.96</v>
      </c>
      <c r="G53" s="13" t="n">
        <v>2522.99</v>
      </c>
      <c r="H53" s="13" t="n">
        <v>2522.99</v>
      </c>
      <c r="I53" s="13" t="n">
        <f aca="false">SUM(K53:T53)</f>
        <v>15138</v>
      </c>
      <c r="J53" s="13" t="n">
        <f aca="false">F53-(G53+H53+I53)</f>
        <v>-0.0199999999967986</v>
      </c>
      <c r="K53" s="13" t="n">
        <v>1513.8</v>
      </c>
      <c r="L53" s="13" t="n">
        <v>1513.8</v>
      </c>
      <c r="M53" s="13" t="n">
        <v>1513.8</v>
      </c>
      <c r="N53" s="13" t="n">
        <v>1513.8</v>
      </c>
      <c r="O53" s="13" t="n">
        <v>1513.8</v>
      </c>
      <c r="P53" s="13" t="n">
        <v>1513.8</v>
      </c>
      <c r="Q53" s="13" t="n">
        <v>1513.8</v>
      </c>
      <c r="R53" s="13" t="n">
        <v>1513.8</v>
      </c>
      <c r="S53" s="13" t="n">
        <v>1513.8</v>
      </c>
      <c r="T53" s="13" t="n">
        <v>1513.8</v>
      </c>
      <c r="U53" s="13" t="n">
        <v>350</v>
      </c>
      <c r="V53" s="13" t="n">
        <v>250</v>
      </c>
      <c r="W53" s="13" t="n">
        <f aca="false">U53+V53</f>
        <v>600</v>
      </c>
    </row>
    <row r="54" customFormat="false" ht="15" hidden="false" customHeight="false" outlineLevel="0" collapsed="false">
      <c r="A54" s="14" t="s">
        <v>214</v>
      </c>
      <c r="B54" s="14" t="s">
        <v>79</v>
      </c>
      <c r="C54" s="14" t="s">
        <v>215</v>
      </c>
      <c r="D54" s="14" t="s">
        <v>157</v>
      </c>
      <c r="E54" s="15" t="n">
        <v>735000</v>
      </c>
      <c r="F54" s="15" t="n">
        <v>12800.09</v>
      </c>
      <c r="G54" s="15" t="n">
        <v>1600.01</v>
      </c>
      <c r="H54" s="15" t="n">
        <v>1600.01</v>
      </c>
      <c r="I54" s="15" t="n">
        <f aca="false">SUM(K54:T54)</f>
        <v>9600.1</v>
      </c>
      <c r="J54" s="15" t="n">
        <f aca="false">F54-(G54+H54+I54)</f>
        <v>-0.0300000000006548</v>
      </c>
      <c r="K54" s="15" t="n">
        <v>960.01</v>
      </c>
      <c r="L54" s="15" t="n">
        <v>960.01</v>
      </c>
      <c r="M54" s="15" t="n">
        <v>960.01</v>
      </c>
      <c r="N54" s="15" t="n">
        <v>960.01</v>
      </c>
      <c r="O54" s="15" t="n">
        <v>960.01</v>
      </c>
      <c r="P54" s="15" t="n">
        <v>960.01</v>
      </c>
      <c r="Q54" s="15" t="n">
        <v>960.01</v>
      </c>
      <c r="R54" s="15" t="n">
        <v>960.01</v>
      </c>
      <c r="S54" s="15" t="n">
        <v>960.01</v>
      </c>
      <c r="T54" s="15" t="n">
        <v>960.01</v>
      </c>
      <c r="U54" s="15" t="n">
        <v>350</v>
      </c>
      <c r="V54" s="15" t="n">
        <v>0</v>
      </c>
      <c r="W54" s="15" t="n">
        <f aca="false">U54+V54</f>
        <v>350</v>
      </c>
    </row>
    <row r="55" customFormat="false" ht="15" hidden="false" customHeight="false" outlineLevel="0" collapsed="false">
      <c r="A55" s="3" t="s">
        <v>216</v>
      </c>
      <c r="B55" s="3" t="s">
        <v>168</v>
      </c>
      <c r="C55" s="3" t="s">
        <v>217</v>
      </c>
      <c r="D55" s="3" t="s">
        <v>157</v>
      </c>
      <c r="E55" s="13" t="n">
        <v>595000</v>
      </c>
      <c r="F55" s="13" t="n">
        <v>12434.38</v>
      </c>
      <c r="G55" s="13" t="n">
        <v>1554.3</v>
      </c>
      <c r="H55" s="13" t="n">
        <v>1554.3</v>
      </c>
      <c r="I55" s="13" t="n">
        <f aca="false">SUM(K55:T55)</f>
        <v>9325.8</v>
      </c>
      <c r="J55" s="13" t="n">
        <f aca="false">F55-(G55+H55+I55)</f>
        <v>-0.0200000000022555</v>
      </c>
      <c r="K55" s="13" t="n">
        <v>932.58</v>
      </c>
      <c r="L55" s="13" t="n">
        <v>932.58</v>
      </c>
      <c r="M55" s="13" t="n">
        <v>932.58</v>
      </c>
      <c r="N55" s="13" t="n">
        <v>932.58</v>
      </c>
      <c r="O55" s="13" t="n">
        <v>932.58</v>
      </c>
      <c r="P55" s="13" t="n">
        <v>932.58</v>
      </c>
      <c r="Q55" s="13" t="n">
        <v>932.58</v>
      </c>
      <c r="R55" s="13" t="n">
        <v>932.58</v>
      </c>
      <c r="S55" s="13" t="n">
        <v>932.58</v>
      </c>
      <c r="T55" s="13" t="n">
        <v>932.58</v>
      </c>
      <c r="U55" s="13" t="n">
        <v>350</v>
      </c>
      <c r="V55" s="13" t="n">
        <v>0</v>
      </c>
      <c r="W55" s="13" t="n">
        <f aca="false">U55+V55</f>
        <v>350</v>
      </c>
    </row>
    <row r="56" customFormat="false" ht="15" hidden="false" customHeight="false" outlineLevel="0" collapsed="false">
      <c r="A56" s="14" t="s">
        <v>218</v>
      </c>
      <c r="B56" s="14" t="s">
        <v>67</v>
      </c>
      <c r="C56" s="14" t="s">
        <v>219</v>
      </c>
      <c r="D56" s="14" t="s">
        <v>93</v>
      </c>
      <c r="E56" s="15" t="n">
        <v>725000</v>
      </c>
      <c r="F56" s="15" t="n">
        <v>7529.06</v>
      </c>
      <c r="G56" s="15" t="n">
        <v>941.13</v>
      </c>
      <c r="H56" s="15" t="n">
        <v>941.13</v>
      </c>
      <c r="I56" s="15" t="n">
        <f aca="false">SUM(K56:T56)</f>
        <v>5646.8</v>
      </c>
      <c r="J56" s="15" t="n">
        <f aca="false">F56-(G56+H56+I56)</f>
        <v>0</v>
      </c>
      <c r="K56" s="15" t="n">
        <v>564.68</v>
      </c>
      <c r="L56" s="15" t="n">
        <v>564.68</v>
      </c>
      <c r="M56" s="15" t="n">
        <v>564.68</v>
      </c>
      <c r="N56" s="15" t="n">
        <v>564.68</v>
      </c>
      <c r="O56" s="15" t="n">
        <v>564.68</v>
      </c>
      <c r="P56" s="15" t="n">
        <v>564.68</v>
      </c>
      <c r="Q56" s="15" t="n">
        <v>564.68</v>
      </c>
      <c r="R56" s="15" t="n">
        <v>564.68</v>
      </c>
      <c r="S56" s="15" t="n">
        <v>564.68</v>
      </c>
      <c r="T56" s="15" t="n">
        <v>564.68</v>
      </c>
      <c r="U56" s="15" t="n">
        <v>350</v>
      </c>
      <c r="V56" s="15" t="n">
        <v>0</v>
      </c>
      <c r="W56" s="15" t="n">
        <f aca="false">U56+V56</f>
        <v>350</v>
      </c>
    </row>
    <row r="57" customFormat="false" ht="15" hidden="false" customHeight="false" outlineLevel="0" collapsed="false">
      <c r="A57" s="3" t="s">
        <v>220</v>
      </c>
      <c r="B57" s="3" t="s">
        <v>104</v>
      </c>
      <c r="C57" s="3" t="s">
        <v>221</v>
      </c>
      <c r="D57" s="3" t="s">
        <v>222</v>
      </c>
      <c r="E57" s="13" t="n">
        <v>190000</v>
      </c>
      <c r="F57" s="13" t="n">
        <v>3627.92</v>
      </c>
      <c r="G57" s="13" t="n">
        <v>453.49</v>
      </c>
      <c r="H57" s="13" t="n">
        <v>453.49</v>
      </c>
      <c r="I57" s="13" t="n">
        <f aca="false">SUM(K57:T57)</f>
        <v>2720.9</v>
      </c>
      <c r="J57" s="13" t="n">
        <f aca="false">F57-(G57+H57+I57)</f>
        <v>0.0399999999999636</v>
      </c>
      <c r="K57" s="13" t="n">
        <v>272.09</v>
      </c>
      <c r="L57" s="13" t="n">
        <v>272.09</v>
      </c>
      <c r="M57" s="13" t="n">
        <v>272.09</v>
      </c>
      <c r="N57" s="13" t="n">
        <v>272.09</v>
      </c>
      <c r="O57" s="13" t="n">
        <v>272.09</v>
      </c>
      <c r="P57" s="13" t="n">
        <v>272.09</v>
      </c>
      <c r="Q57" s="13" t="n">
        <v>272.09</v>
      </c>
      <c r="R57" s="13" t="n">
        <v>272.09</v>
      </c>
      <c r="S57" s="13" t="n">
        <v>272.09</v>
      </c>
      <c r="T57" s="13" t="n">
        <v>272.09</v>
      </c>
      <c r="U57" s="13" t="n">
        <v>350</v>
      </c>
      <c r="V57" s="13" t="n">
        <v>0</v>
      </c>
      <c r="W57" s="13" t="n">
        <f aca="false">U57+V57</f>
        <v>350</v>
      </c>
    </row>
    <row r="58" customFormat="false" ht="15" hidden="false" customHeight="false" outlineLevel="0" collapsed="false">
      <c r="A58" s="14" t="s">
        <v>223</v>
      </c>
      <c r="B58" s="14" t="s">
        <v>224</v>
      </c>
      <c r="C58" s="14" t="s">
        <v>225</v>
      </c>
      <c r="D58" s="14" t="s">
        <v>118</v>
      </c>
      <c r="E58" s="15" t="n">
        <v>970000</v>
      </c>
      <c r="F58" s="15" t="n">
        <v>14632.36</v>
      </c>
      <c r="G58" s="15" t="n">
        <v>1829.05</v>
      </c>
      <c r="H58" s="15" t="n">
        <v>1829.05</v>
      </c>
      <c r="I58" s="15" t="n">
        <f aca="false">SUM(K58:T58)</f>
        <v>10974.3</v>
      </c>
      <c r="J58" s="15" t="n">
        <f aca="false">F58-(G58+H58+I58)</f>
        <v>-0.0400000000008731</v>
      </c>
      <c r="K58" s="15" t="n">
        <v>1097.43</v>
      </c>
      <c r="L58" s="15" t="n">
        <v>1097.43</v>
      </c>
      <c r="M58" s="15" t="n">
        <v>1097.43</v>
      </c>
      <c r="N58" s="15" t="n">
        <v>1097.43</v>
      </c>
      <c r="O58" s="15" t="n">
        <v>1097.43</v>
      </c>
      <c r="P58" s="15" t="n">
        <v>1097.43</v>
      </c>
      <c r="Q58" s="15" t="n">
        <v>1097.43</v>
      </c>
      <c r="R58" s="15" t="n">
        <v>1097.43</v>
      </c>
      <c r="S58" s="15" t="n">
        <v>1097.43</v>
      </c>
      <c r="T58" s="15" t="n">
        <v>1097.43</v>
      </c>
      <c r="U58" s="15" t="n">
        <v>350</v>
      </c>
      <c r="V58" s="15" t="n">
        <v>0</v>
      </c>
      <c r="W58" s="15" t="n">
        <f aca="false">U58+V58</f>
        <v>350</v>
      </c>
    </row>
    <row r="59" customFormat="false" ht="15" hidden="false" customHeight="false" outlineLevel="0" collapsed="false">
      <c r="A59" s="3" t="s">
        <v>226</v>
      </c>
      <c r="B59" s="3" t="s">
        <v>114</v>
      </c>
      <c r="C59" s="3" t="s">
        <v>227</v>
      </c>
      <c r="D59" s="3" t="s">
        <v>85</v>
      </c>
      <c r="E59" s="13" t="n">
        <v>780000</v>
      </c>
      <c r="F59" s="13" t="n">
        <v>19433.77</v>
      </c>
      <c r="G59" s="13" t="n">
        <v>2429.22</v>
      </c>
      <c r="H59" s="13" t="n">
        <v>2429.22</v>
      </c>
      <c r="I59" s="13" t="n">
        <f aca="false">SUM(K59:T59)</f>
        <v>14575.3</v>
      </c>
      <c r="J59" s="13" t="n">
        <f aca="false">F59-(G59+H59+I59)</f>
        <v>0.0299999999988358</v>
      </c>
      <c r="K59" s="13" t="n">
        <v>1457.53</v>
      </c>
      <c r="L59" s="13" t="n">
        <v>1457.53</v>
      </c>
      <c r="M59" s="13" t="n">
        <v>1457.53</v>
      </c>
      <c r="N59" s="13" t="n">
        <v>1457.53</v>
      </c>
      <c r="O59" s="13" t="n">
        <v>1457.53</v>
      </c>
      <c r="P59" s="13" t="n">
        <v>1457.53</v>
      </c>
      <c r="Q59" s="13" t="n">
        <v>1457.53</v>
      </c>
      <c r="R59" s="13" t="n">
        <v>1457.53</v>
      </c>
      <c r="S59" s="13" t="n">
        <v>1457.53</v>
      </c>
      <c r="T59" s="13" t="n">
        <v>1457.53</v>
      </c>
      <c r="U59" s="13" t="n">
        <v>350</v>
      </c>
      <c r="V59" s="13" t="n">
        <v>0</v>
      </c>
      <c r="W59" s="13" t="n">
        <f aca="false">U59+V59</f>
        <v>350</v>
      </c>
    </row>
    <row r="60" customFormat="false" ht="15" hidden="false" customHeight="false" outlineLevel="0" collapsed="false">
      <c r="A60" s="14" t="s">
        <v>228</v>
      </c>
      <c r="B60" s="14" t="s">
        <v>224</v>
      </c>
      <c r="C60" s="14" t="s">
        <v>229</v>
      </c>
      <c r="D60" s="14" t="s">
        <v>230</v>
      </c>
      <c r="E60" s="15" t="n">
        <v>1030000</v>
      </c>
      <c r="F60" s="15" t="n">
        <v>12719.53</v>
      </c>
      <c r="G60" s="15" t="n">
        <v>1589.94</v>
      </c>
      <c r="H60" s="15" t="n">
        <v>1589.94</v>
      </c>
      <c r="I60" s="15" t="n">
        <f aca="false">SUM(K60:T60)</f>
        <v>9539.6</v>
      </c>
      <c r="J60" s="15" t="n">
        <f aca="false">F60-(G60+H60+I60)</f>
        <v>0.0500000000010914</v>
      </c>
      <c r="K60" s="15" t="n">
        <v>953.96</v>
      </c>
      <c r="L60" s="15" t="n">
        <v>953.96</v>
      </c>
      <c r="M60" s="15" t="n">
        <v>953.96</v>
      </c>
      <c r="N60" s="15" t="n">
        <v>953.96</v>
      </c>
      <c r="O60" s="15" t="n">
        <v>953.96</v>
      </c>
      <c r="P60" s="15" t="n">
        <v>953.96</v>
      </c>
      <c r="Q60" s="15" t="n">
        <v>953.96</v>
      </c>
      <c r="R60" s="15" t="n">
        <v>953.96</v>
      </c>
      <c r="S60" s="15" t="n">
        <v>953.96</v>
      </c>
      <c r="T60" s="15" t="n">
        <v>953.96</v>
      </c>
      <c r="U60" s="15" t="n">
        <v>350</v>
      </c>
      <c r="V60" s="15" t="n">
        <v>250</v>
      </c>
      <c r="W60" s="15" t="n">
        <f aca="false">U60+V60</f>
        <v>600</v>
      </c>
    </row>
    <row r="61" customFormat="false" ht="15" hidden="false" customHeight="false" outlineLevel="0" collapsed="false">
      <c r="A61" s="3" t="s">
        <v>231</v>
      </c>
      <c r="B61" s="3" t="s">
        <v>79</v>
      </c>
      <c r="C61" s="3" t="s">
        <v>232</v>
      </c>
      <c r="D61" s="3" t="s">
        <v>233</v>
      </c>
      <c r="E61" s="13" t="n">
        <v>1950000</v>
      </c>
      <c r="F61" s="13" t="n">
        <v>28845.28</v>
      </c>
      <c r="G61" s="13" t="n">
        <v>3605.66</v>
      </c>
      <c r="H61" s="13" t="n">
        <v>3605.66</v>
      </c>
      <c r="I61" s="13" t="n">
        <f aca="false">SUM(K61:T61)</f>
        <v>21634</v>
      </c>
      <c r="J61" s="13" t="n">
        <f aca="false">F61-(G61+H61+I61)</f>
        <v>-0.0400000000045111</v>
      </c>
      <c r="K61" s="13" t="n">
        <v>2163.4</v>
      </c>
      <c r="L61" s="13" t="n">
        <v>2163.4</v>
      </c>
      <c r="M61" s="13" t="n">
        <v>2163.4</v>
      </c>
      <c r="N61" s="13" t="n">
        <v>2163.4</v>
      </c>
      <c r="O61" s="13" t="n">
        <v>2163.4</v>
      </c>
      <c r="P61" s="13" t="n">
        <v>2163.4</v>
      </c>
      <c r="Q61" s="13" t="n">
        <v>2163.4</v>
      </c>
      <c r="R61" s="13" t="n">
        <v>2163.4</v>
      </c>
      <c r="S61" s="13" t="n">
        <v>2163.4</v>
      </c>
      <c r="T61" s="13" t="n">
        <v>2163.4</v>
      </c>
      <c r="U61" s="13" t="n">
        <v>350</v>
      </c>
      <c r="V61" s="13" t="n">
        <v>250</v>
      </c>
      <c r="W61" s="13" t="n">
        <f aca="false">U61+V61</f>
        <v>600</v>
      </c>
    </row>
    <row r="62" customFormat="false" ht="15" hidden="false" customHeight="false" outlineLevel="0" collapsed="false">
      <c r="A62" s="14" t="s">
        <v>234</v>
      </c>
      <c r="B62" s="14" t="s">
        <v>224</v>
      </c>
      <c r="C62" s="14" t="s">
        <v>235</v>
      </c>
      <c r="D62" s="14" t="s">
        <v>138</v>
      </c>
      <c r="E62" s="15" t="n">
        <v>965000</v>
      </c>
      <c r="F62" s="15" t="n">
        <v>13610.14</v>
      </c>
      <c r="G62" s="15" t="n">
        <v>1701.27</v>
      </c>
      <c r="H62" s="15" t="n">
        <v>1701.27</v>
      </c>
      <c r="I62" s="15" t="n">
        <f aca="false">SUM(K62:T62)</f>
        <v>10207.6</v>
      </c>
      <c r="J62" s="15" t="n">
        <f aca="false">F62-(G62+H62+I62)</f>
        <v>0</v>
      </c>
      <c r="K62" s="15" t="n">
        <v>1020.76</v>
      </c>
      <c r="L62" s="15" t="n">
        <v>1020.76</v>
      </c>
      <c r="M62" s="15" t="n">
        <v>1020.76</v>
      </c>
      <c r="N62" s="15" t="n">
        <v>1020.76</v>
      </c>
      <c r="O62" s="15" t="n">
        <v>1020.76</v>
      </c>
      <c r="P62" s="15" t="n">
        <v>1020.76</v>
      </c>
      <c r="Q62" s="15" t="n">
        <v>1020.76</v>
      </c>
      <c r="R62" s="15" t="n">
        <v>1020.76</v>
      </c>
      <c r="S62" s="15" t="n">
        <v>1020.76</v>
      </c>
      <c r="T62" s="15" t="n">
        <v>1020.76</v>
      </c>
      <c r="U62" s="15" t="n">
        <v>350</v>
      </c>
      <c r="V62" s="15" t="n">
        <v>0</v>
      </c>
      <c r="W62" s="15" t="n">
        <f aca="false">U62+V62</f>
        <v>350</v>
      </c>
    </row>
    <row r="63" customFormat="false" ht="15" hidden="false" customHeight="false" outlineLevel="0" collapsed="false">
      <c r="A63" s="3" t="s">
        <v>236</v>
      </c>
      <c r="B63" s="3" t="s">
        <v>142</v>
      </c>
      <c r="C63" s="3" t="s">
        <v>237</v>
      </c>
      <c r="D63" s="3" t="s">
        <v>115</v>
      </c>
      <c r="E63" s="13" t="n">
        <v>870000</v>
      </c>
      <c r="F63" s="13" t="n">
        <v>14084.15</v>
      </c>
      <c r="G63" s="13" t="n">
        <v>1760.52</v>
      </c>
      <c r="H63" s="13" t="n">
        <v>1760.52</v>
      </c>
      <c r="I63" s="13" t="n">
        <f aca="false">SUM(K63:T63)</f>
        <v>10563.1</v>
      </c>
      <c r="J63" s="13" t="n">
        <f aca="false">F63-(G63+H63+I63)</f>
        <v>0.0100000000002183</v>
      </c>
      <c r="K63" s="13" t="n">
        <v>1056.31</v>
      </c>
      <c r="L63" s="13" t="n">
        <v>1056.31</v>
      </c>
      <c r="M63" s="13" t="n">
        <v>1056.31</v>
      </c>
      <c r="N63" s="13" t="n">
        <v>1056.31</v>
      </c>
      <c r="O63" s="13" t="n">
        <v>1056.31</v>
      </c>
      <c r="P63" s="13" t="n">
        <v>1056.31</v>
      </c>
      <c r="Q63" s="13" t="n">
        <v>1056.31</v>
      </c>
      <c r="R63" s="13" t="n">
        <v>1056.31</v>
      </c>
      <c r="S63" s="13" t="n">
        <v>1056.31</v>
      </c>
      <c r="T63" s="13" t="n">
        <v>1056.31</v>
      </c>
      <c r="U63" s="13" t="n">
        <v>350</v>
      </c>
      <c r="V63" s="13" t="n">
        <v>0</v>
      </c>
      <c r="W63" s="13" t="n">
        <f aca="false">U63+V63</f>
        <v>350</v>
      </c>
    </row>
    <row r="64" customFormat="false" ht="15" hidden="false" customHeight="false" outlineLevel="0" collapsed="false">
      <c r="A64" s="14" t="s">
        <v>238</v>
      </c>
      <c r="B64" s="14" t="s">
        <v>205</v>
      </c>
      <c r="C64" s="14" t="s">
        <v>239</v>
      </c>
      <c r="D64" s="14" t="s">
        <v>77</v>
      </c>
      <c r="E64" s="15" t="n">
        <v>1045000</v>
      </c>
      <c r="F64" s="15" t="n">
        <v>13772.31</v>
      </c>
      <c r="G64" s="15" t="n">
        <v>1721.54</v>
      </c>
      <c r="H64" s="15" t="n">
        <v>1721.54</v>
      </c>
      <c r="I64" s="15" t="n">
        <f aca="false">SUM(K64:T64)</f>
        <v>10329.2</v>
      </c>
      <c r="J64" s="15" t="n">
        <f aca="false">F64-(G64+H64+I64)</f>
        <v>0.0299999999988358</v>
      </c>
      <c r="K64" s="15" t="n">
        <v>1032.92</v>
      </c>
      <c r="L64" s="15" t="n">
        <v>1032.92</v>
      </c>
      <c r="M64" s="15" t="n">
        <v>1032.92</v>
      </c>
      <c r="N64" s="15" t="n">
        <v>1032.92</v>
      </c>
      <c r="O64" s="15" t="n">
        <v>1032.92</v>
      </c>
      <c r="P64" s="15" t="n">
        <v>1032.92</v>
      </c>
      <c r="Q64" s="15" t="n">
        <v>1032.92</v>
      </c>
      <c r="R64" s="15" t="n">
        <v>1032.92</v>
      </c>
      <c r="S64" s="15" t="n">
        <v>1032.92</v>
      </c>
      <c r="T64" s="15" t="n">
        <v>1032.92</v>
      </c>
      <c r="U64" s="15" t="n">
        <v>350</v>
      </c>
      <c r="V64" s="15" t="n">
        <v>250</v>
      </c>
      <c r="W64" s="15" t="n">
        <f aca="false">U64+V64</f>
        <v>600</v>
      </c>
    </row>
    <row r="65" customFormat="false" ht="15" hidden="false" customHeight="false" outlineLevel="0" collapsed="false">
      <c r="A65" s="3" t="s">
        <v>240</v>
      </c>
      <c r="B65" s="3" t="s">
        <v>107</v>
      </c>
      <c r="C65" s="3" t="s">
        <v>215</v>
      </c>
      <c r="D65" s="3" t="s">
        <v>157</v>
      </c>
      <c r="E65" s="13" t="n">
        <v>800000</v>
      </c>
      <c r="F65" s="13" t="n">
        <v>20362.26</v>
      </c>
      <c r="G65" s="13" t="n">
        <v>2545.28</v>
      </c>
      <c r="H65" s="13" t="n">
        <v>2545.28</v>
      </c>
      <c r="I65" s="13" t="n">
        <f aca="false">SUM(K65:T65)</f>
        <v>15271.7</v>
      </c>
      <c r="J65" s="13" t="n">
        <f aca="false">F65-(G65+H65+I65)</f>
        <v>0</v>
      </c>
      <c r="K65" s="13" t="n">
        <v>1527.17</v>
      </c>
      <c r="L65" s="13" t="n">
        <v>1527.17</v>
      </c>
      <c r="M65" s="13" t="n">
        <v>1527.17</v>
      </c>
      <c r="N65" s="13" t="n">
        <v>1527.17</v>
      </c>
      <c r="O65" s="13" t="n">
        <v>1527.17</v>
      </c>
      <c r="P65" s="13" t="n">
        <v>1527.17</v>
      </c>
      <c r="Q65" s="13" t="n">
        <v>1527.17</v>
      </c>
      <c r="R65" s="13" t="n">
        <v>1527.17</v>
      </c>
      <c r="S65" s="13" t="n">
        <v>1527.17</v>
      </c>
      <c r="T65" s="13" t="n">
        <v>1527.17</v>
      </c>
      <c r="U65" s="13" t="n">
        <v>350</v>
      </c>
      <c r="V65" s="13" t="n">
        <v>0</v>
      </c>
      <c r="W65" s="13" t="n">
        <f aca="false">U65+V65</f>
        <v>350</v>
      </c>
    </row>
    <row r="66" customFormat="false" ht="15" hidden="false" customHeight="false" outlineLevel="0" collapsed="false">
      <c r="A66" s="14" t="s">
        <v>241</v>
      </c>
      <c r="B66" s="14" t="s">
        <v>242</v>
      </c>
      <c r="C66" s="14" t="s">
        <v>243</v>
      </c>
      <c r="D66" s="14" t="s">
        <v>138</v>
      </c>
      <c r="E66" s="15" t="n">
        <v>1400000</v>
      </c>
      <c r="F66" s="15" t="n">
        <v>16707.55</v>
      </c>
      <c r="G66" s="15" t="n">
        <v>2088.44</v>
      </c>
      <c r="H66" s="15" t="n">
        <v>2088.44</v>
      </c>
      <c r="I66" s="15" t="n">
        <f aca="false">SUM(K66:T66)</f>
        <v>12530.7</v>
      </c>
      <c r="J66" s="15" t="n">
        <f aca="false">F66-(G66+H66+I66)</f>
        <v>-0.0299999999988358</v>
      </c>
      <c r="K66" s="15" t="n">
        <v>1253.07</v>
      </c>
      <c r="L66" s="15" t="n">
        <v>1253.07</v>
      </c>
      <c r="M66" s="15" t="n">
        <v>1253.07</v>
      </c>
      <c r="N66" s="15" t="n">
        <v>1253.07</v>
      </c>
      <c r="O66" s="15" t="n">
        <v>1253.07</v>
      </c>
      <c r="P66" s="15" t="n">
        <v>1253.07</v>
      </c>
      <c r="Q66" s="15" t="n">
        <v>1253.07</v>
      </c>
      <c r="R66" s="15" t="n">
        <v>1253.07</v>
      </c>
      <c r="S66" s="15" t="n">
        <v>1253.07</v>
      </c>
      <c r="T66" s="15" t="n">
        <v>1253.07</v>
      </c>
      <c r="U66" s="15" t="n">
        <v>350</v>
      </c>
      <c r="V66" s="15" t="n">
        <v>250</v>
      </c>
      <c r="W66" s="15" t="n">
        <f aca="false">U66+V66</f>
        <v>600</v>
      </c>
    </row>
    <row r="67" customFormat="false" ht="15" hidden="false" customHeight="false" outlineLevel="0" collapsed="false">
      <c r="A67" s="3" t="s">
        <v>244</v>
      </c>
      <c r="B67" s="3" t="s">
        <v>224</v>
      </c>
      <c r="C67" s="3" t="s">
        <v>245</v>
      </c>
      <c r="D67" s="3" t="s">
        <v>246</v>
      </c>
      <c r="E67" s="13" t="n">
        <v>830000</v>
      </c>
      <c r="F67" s="13" t="n">
        <v>8080.75</v>
      </c>
      <c r="G67" s="13" t="n">
        <v>1010.09</v>
      </c>
      <c r="H67" s="13" t="n">
        <v>1010.09</v>
      </c>
      <c r="I67" s="13" t="n">
        <f aca="false">SUM(K67:T67)</f>
        <v>6060.6</v>
      </c>
      <c r="J67" s="13" t="n">
        <f aca="false">F67-(G67+H67+I67)</f>
        <v>-0.0299999999988358</v>
      </c>
      <c r="K67" s="13" t="n">
        <v>606.06</v>
      </c>
      <c r="L67" s="13" t="n">
        <v>606.06</v>
      </c>
      <c r="M67" s="13" t="n">
        <v>606.06</v>
      </c>
      <c r="N67" s="13" t="n">
        <v>606.06</v>
      </c>
      <c r="O67" s="13" t="n">
        <v>606.06</v>
      </c>
      <c r="P67" s="13" t="n">
        <v>606.06</v>
      </c>
      <c r="Q67" s="13" t="n">
        <v>606.06</v>
      </c>
      <c r="R67" s="13" t="n">
        <v>606.06</v>
      </c>
      <c r="S67" s="13" t="n">
        <v>606.06</v>
      </c>
      <c r="T67" s="13" t="n">
        <v>606.06</v>
      </c>
      <c r="U67" s="13" t="n">
        <v>350</v>
      </c>
      <c r="V67" s="13" t="n">
        <v>0</v>
      </c>
      <c r="W67" s="13" t="n">
        <f aca="false">U67+V67</f>
        <v>350</v>
      </c>
    </row>
    <row r="68" customFormat="false" ht="15" hidden="false" customHeight="false" outlineLevel="0" collapsed="false">
      <c r="A68" s="14" t="s">
        <v>247</v>
      </c>
      <c r="B68" s="14" t="s">
        <v>195</v>
      </c>
      <c r="C68" s="14" t="s">
        <v>248</v>
      </c>
      <c r="D68" s="14" t="s">
        <v>157</v>
      </c>
      <c r="E68" s="15" t="n">
        <v>705000</v>
      </c>
      <c r="F68" s="15" t="n">
        <v>12277.64</v>
      </c>
      <c r="G68" s="15" t="n">
        <v>1534.7</v>
      </c>
      <c r="H68" s="15" t="n">
        <v>1534.7</v>
      </c>
      <c r="I68" s="15" t="n">
        <f aca="false">SUM(K68:T68)</f>
        <v>9208.2</v>
      </c>
      <c r="J68" s="15" t="n">
        <f aca="false">F68-(G68+H68+I68)</f>
        <v>0.0399999999990541</v>
      </c>
      <c r="K68" s="15" t="n">
        <v>920.82</v>
      </c>
      <c r="L68" s="15" t="n">
        <v>920.82</v>
      </c>
      <c r="M68" s="15" t="n">
        <v>920.82</v>
      </c>
      <c r="N68" s="15" t="n">
        <v>920.82</v>
      </c>
      <c r="O68" s="15" t="n">
        <v>920.82</v>
      </c>
      <c r="P68" s="15" t="n">
        <v>920.82</v>
      </c>
      <c r="Q68" s="15" t="n">
        <v>920.82</v>
      </c>
      <c r="R68" s="15" t="n">
        <v>920.82</v>
      </c>
      <c r="S68" s="15" t="n">
        <v>920.82</v>
      </c>
      <c r="T68" s="15" t="n">
        <v>920.82</v>
      </c>
      <c r="U68" s="15" t="n">
        <v>350</v>
      </c>
      <c r="V68" s="15" t="n">
        <v>0</v>
      </c>
      <c r="W68" s="15" t="n">
        <f aca="false">U68+V68</f>
        <v>350</v>
      </c>
    </row>
    <row r="69" customFormat="false" ht="15" hidden="false" customHeight="false" outlineLevel="0" collapsed="false">
      <c r="A69" s="3" t="s">
        <v>249</v>
      </c>
      <c r="B69" s="3" t="s">
        <v>107</v>
      </c>
      <c r="C69" s="3" t="s">
        <v>250</v>
      </c>
      <c r="D69" s="3" t="s">
        <v>251</v>
      </c>
      <c r="E69" s="13" t="n">
        <v>190000</v>
      </c>
      <c r="F69" s="13" t="n">
        <v>3693.89</v>
      </c>
      <c r="G69" s="13" t="n">
        <v>461.74</v>
      </c>
      <c r="H69" s="13" t="n">
        <v>461.74</v>
      </c>
      <c r="I69" s="13" t="n">
        <f aca="false">SUM(K69:T69)</f>
        <v>2770.4</v>
      </c>
      <c r="J69" s="13" t="n">
        <f aca="false">F69-(G69+H69+I69)</f>
        <v>0.00999999999976353</v>
      </c>
      <c r="K69" s="13" t="n">
        <v>277.04</v>
      </c>
      <c r="L69" s="13" t="n">
        <v>277.04</v>
      </c>
      <c r="M69" s="13" t="n">
        <v>277.04</v>
      </c>
      <c r="N69" s="13" t="n">
        <v>277.04</v>
      </c>
      <c r="O69" s="13" t="n">
        <v>277.04</v>
      </c>
      <c r="P69" s="13" t="n">
        <v>277.04</v>
      </c>
      <c r="Q69" s="13" t="n">
        <v>277.04</v>
      </c>
      <c r="R69" s="13" t="n">
        <v>277.04</v>
      </c>
      <c r="S69" s="13" t="n">
        <v>277.04</v>
      </c>
      <c r="T69" s="13" t="n">
        <v>277.04</v>
      </c>
      <c r="U69" s="13" t="n">
        <v>350</v>
      </c>
      <c r="V69" s="13" t="n">
        <v>0</v>
      </c>
      <c r="W69" s="13" t="n">
        <f aca="false">U69+V69</f>
        <v>350</v>
      </c>
    </row>
    <row r="70" customFormat="false" ht="15" hidden="false" customHeight="false" outlineLevel="0" collapsed="false">
      <c r="A70" s="14" t="s">
        <v>252</v>
      </c>
      <c r="B70" s="14" t="s">
        <v>201</v>
      </c>
      <c r="C70" s="14" t="s">
        <v>253</v>
      </c>
      <c r="D70" s="14" t="s">
        <v>125</v>
      </c>
      <c r="E70" s="15" t="n">
        <v>695000</v>
      </c>
      <c r="F70" s="15" t="n">
        <v>8182.64</v>
      </c>
      <c r="G70" s="15" t="n">
        <v>1022.83</v>
      </c>
      <c r="H70" s="15" t="n">
        <v>1022.83</v>
      </c>
      <c r="I70" s="15" t="n">
        <f aca="false">SUM(K70:T70)</f>
        <v>6137</v>
      </c>
      <c r="J70" s="15" t="n">
        <f aca="false">F70-(G70+H70+I70)</f>
        <v>-0.0199999999995271</v>
      </c>
      <c r="K70" s="15" t="n">
        <v>613.7</v>
      </c>
      <c r="L70" s="15" t="n">
        <v>613.7</v>
      </c>
      <c r="M70" s="15" t="n">
        <v>613.7</v>
      </c>
      <c r="N70" s="15" t="n">
        <v>613.7</v>
      </c>
      <c r="O70" s="15" t="n">
        <v>613.7</v>
      </c>
      <c r="P70" s="15" t="n">
        <v>613.7</v>
      </c>
      <c r="Q70" s="15" t="n">
        <v>613.7</v>
      </c>
      <c r="R70" s="15" t="n">
        <v>613.7</v>
      </c>
      <c r="S70" s="15" t="n">
        <v>613.7</v>
      </c>
      <c r="T70" s="15" t="n">
        <v>613.7</v>
      </c>
      <c r="U70" s="15" t="n">
        <v>350</v>
      </c>
      <c r="V70" s="15" t="n">
        <v>0</v>
      </c>
      <c r="W70" s="15" t="n">
        <f aca="false">U70+V70</f>
        <v>350</v>
      </c>
    </row>
    <row r="71" customFormat="false" ht="15" hidden="false" customHeight="false" outlineLevel="0" collapsed="false">
      <c r="A71" s="3" t="s">
        <v>254</v>
      </c>
      <c r="B71" s="3" t="s">
        <v>87</v>
      </c>
      <c r="C71" s="3" t="s">
        <v>255</v>
      </c>
      <c r="D71" s="3" t="s">
        <v>256</v>
      </c>
      <c r="E71" s="13" t="n">
        <v>980000</v>
      </c>
      <c r="F71" s="13" t="n">
        <v>23362.83</v>
      </c>
      <c r="G71" s="13" t="n">
        <v>2920.35</v>
      </c>
      <c r="H71" s="13" t="n">
        <v>2920.35</v>
      </c>
      <c r="I71" s="13" t="n">
        <f aca="false">SUM(K71:T71)</f>
        <v>17522.1</v>
      </c>
      <c r="J71" s="13" t="n">
        <f aca="false">F71-(G71+H71+I71)</f>
        <v>0.0300000000024738</v>
      </c>
      <c r="K71" s="13" t="n">
        <v>1752.21</v>
      </c>
      <c r="L71" s="13" t="n">
        <v>1752.21</v>
      </c>
      <c r="M71" s="13" t="n">
        <v>1752.21</v>
      </c>
      <c r="N71" s="13" t="n">
        <v>1752.21</v>
      </c>
      <c r="O71" s="13" t="n">
        <v>1752.21</v>
      </c>
      <c r="P71" s="13" t="n">
        <v>1752.21</v>
      </c>
      <c r="Q71" s="13" t="n">
        <v>1752.21</v>
      </c>
      <c r="R71" s="13" t="n">
        <v>1752.21</v>
      </c>
      <c r="S71" s="13" t="n">
        <v>1752.21</v>
      </c>
      <c r="T71" s="13" t="n">
        <v>1752.21</v>
      </c>
      <c r="U71" s="13" t="n">
        <v>350</v>
      </c>
      <c r="V71" s="13" t="n">
        <v>0</v>
      </c>
      <c r="W71" s="13" t="n">
        <f aca="false">U71+V71</f>
        <v>350</v>
      </c>
    </row>
    <row r="72" customFormat="false" ht="15" hidden="false" customHeight="false" outlineLevel="0" collapsed="false">
      <c r="A72" s="14" t="s">
        <v>257</v>
      </c>
      <c r="B72" s="14" t="s">
        <v>95</v>
      </c>
      <c r="C72" s="14" t="s">
        <v>258</v>
      </c>
      <c r="D72" s="14" t="s">
        <v>157</v>
      </c>
      <c r="E72" s="15" t="n">
        <v>875000</v>
      </c>
      <c r="F72" s="15" t="n">
        <v>15238.21</v>
      </c>
      <c r="G72" s="15" t="n">
        <v>1904.78</v>
      </c>
      <c r="H72" s="15" t="n">
        <v>1904.78</v>
      </c>
      <c r="I72" s="15" t="n">
        <f aca="false">SUM(K72:T72)</f>
        <v>11428.7</v>
      </c>
      <c r="J72" s="15" t="n">
        <f aca="false">F72-(G72+H72+I72)</f>
        <v>-0.0499999999974534</v>
      </c>
      <c r="K72" s="15" t="n">
        <v>1142.87</v>
      </c>
      <c r="L72" s="15" t="n">
        <v>1142.87</v>
      </c>
      <c r="M72" s="15" t="n">
        <v>1142.87</v>
      </c>
      <c r="N72" s="15" t="n">
        <v>1142.87</v>
      </c>
      <c r="O72" s="15" t="n">
        <v>1142.87</v>
      </c>
      <c r="P72" s="15" t="n">
        <v>1142.87</v>
      </c>
      <c r="Q72" s="15" t="n">
        <v>1142.87</v>
      </c>
      <c r="R72" s="15" t="n">
        <v>1142.87</v>
      </c>
      <c r="S72" s="15" t="n">
        <v>1142.87</v>
      </c>
      <c r="T72" s="15" t="n">
        <v>1142.87</v>
      </c>
      <c r="U72" s="15" t="n">
        <v>350</v>
      </c>
      <c r="V72" s="15" t="n">
        <v>0</v>
      </c>
      <c r="W72" s="15" t="n">
        <f aca="false">U72+V72</f>
        <v>350</v>
      </c>
    </row>
    <row r="73" customFormat="false" ht="15" hidden="false" customHeight="false" outlineLevel="0" collapsed="false">
      <c r="A73" s="3" t="s">
        <v>259</v>
      </c>
      <c r="B73" s="3" t="s">
        <v>260</v>
      </c>
      <c r="C73" s="3" t="s">
        <v>261</v>
      </c>
      <c r="D73" s="3" t="s">
        <v>77</v>
      </c>
      <c r="E73" s="13" t="n">
        <v>550000</v>
      </c>
      <c r="F73" s="13" t="n">
        <v>10279.81</v>
      </c>
      <c r="G73" s="13" t="n">
        <v>1284.98</v>
      </c>
      <c r="H73" s="13" t="n">
        <v>1284.98</v>
      </c>
      <c r="I73" s="13" t="n">
        <f aca="false">SUM(K73:T73)</f>
        <v>7709.9</v>
      </c>
      <c r="J73" s="13" t="n">
        <f aca="false">F73-(G73+H73+I73)</f>
        <v>-0.0500000000010914</v>
      </c>
      <c r="K73" s="13" t="n">
        <v>770.99</v>
      </c>
      <c r="L73" s="13" t="n">
        <v>770.99</v>
      </c>
      <c r="M73" s="13" t="n">
        <v>770.99</v>
      </c>
      <c r="N73" s="13" t="n">
        <v>770.99</v>
      </c>
      <c r="O73" s="13" t="n">
        <v>770.99</v>
      </c>
      <c r="P73" s="13" t="n">
        <v>770.99</v>
      </c>
      <c r="Q73" s="13" t="n">
        <v>770.99</v>
      </c>
      <c r="R73" s="13" t="n">
        <v>770.99</v>
      </c>
      <c r="S73" s="13" t="n">
        <v>770.99</v>
      </c>
      <c r="T73" s="13" t="n">
        <v>770.99</v>
      </c>
      <c r="U73" s="13" t="n">
        <v>350</v>
      </c>
      <c r="V73" s="13" t="n">
        <v>0</v>
      </c>
      <c r="W73" s="13" t="n">
        <f aca="false">U73+V73</f>
        <v>350</v>
      </c>
    </row>
    <row r="74" customFormat="false" ht="15" hidden="false" customHeight="false" outlineLevel="0" collapsed="false">
      <c r="A74" s="14" t="s">
        <v>262</v>
      </c>
      <c r="B74" s="14" t="s">
        <v>104</v>
      </c>
      <c r="C74" s="14" t="s">
        <v>263</v>
      </c>
      <c r="D74" s="14" t="s">
        <v>180</v>
      </c>
      <c r="E74" s="15" t="n">
        <v>385000</v>
      </c>
      <c r="F74" s="15" t="n">
        <v>6592.22</v>
      </c>
      <c r="G74" s="15" t="n">
        <v>824.03</v>
      </c>
      <c r="H74" s="15" t="n">
        <v>824.03</v>
      </c>
      <c r="I74" s="15" t="n">
        <f aca="false">SUM(K74:T74)</f>
        <v>4944.2</v>
      </c>
      <c r="J74" s="15" t="n">
        <f aca="false">F74-(G74+H74+I74)</f>
        <v>-0.0399999999999636</v>
      </c>
      <c r="K74" s="15" t="n">
        <v>494.42</v>
      </c>
      <c r="L74" s="15" t="n">
        <v>494.42</v>
      </c>
      <c r="M74" s="15" t="n">
        <v>494.42</v>
      </c>
      <c r="N74" s="15" t="n">
        <v>494.42</v>
      </c>
      <c r="O74" s="15" t="n">
        <v>494.42</v>
      </c>
      <c r="P74" s="15" t="n">
        <v>494.42</v>
      </c>
      <c r="Q74" s="15" t="n">
        <v>494.42</v>
      </c>
      <c r="R74" s="15" t="n">
        <v>494.42</v>
      </c>
      <c r="S74" s="15" t="n">
        <v>494.42</v>
      </c>
      <c r="T74" s="15" t="n">
        <v>494.42</v>
      </c>
      <c r="U74" s="15" t="n">
        <v>350</v>
      </c>
      <c r="V74" s="15" t="n">
        <v>0</v>
      </c>
      <c r="W74" s="15" t="n">
        <f aca="false">U74+V74</f>
        <v>350</v>
      </c>
    </row>
    <row r="75" customFormat="false" ht="15" hidden="false" customHeight="false" outlineLevel="0" collapsed="false">
      <c r="A75" s="3" t="s">
        <v>264</v>
      </c>
      <c r="B75" s="3" t="s">
        <v>107</v>
      </c>
      <c r="C75" s="3" t="s">
        <v>265</v>
      </c>
      <c r="D75" s="3" t="s">
        <v>138</v>
      </c>
      <c r="E75" s="13" t="n">
        <v>530000</v>
      </c>
      <c r="F75" s="13" t="n">
        <v>7475</v>
      </c>
      <c r="G75" s="13" t="n">
        <v>934.38</v>
      </c>
      <c r="H75" s="13" t="n">
        <v>934.38</v>
      </c>
      <c r="I75" s="13" t="n">
        <f aca="false">SUM(K75:T75)</f>
        <v>5606.2</v>
      </c>
      <c r="J75" s="13" t="n">
        <f aca="false">F75-(G75+H75+I75)</f>
        <v>0.0399999999999636</v>
      </c>
      <c r="K75" s="13" t="n">
        <v>560.62</v>
      </c>
      <c r="L75" s="13" t="n">
        <v>560.62</v>
      </c>
      <c r="M75" s="13" t="n">
        <v>560.62</v>
      </c>
      <c r="N75" s="13" t="n">
        <v>560.62</v>
      </c>
      <c r="O75" s="13" t="n">
        <v>560.62</v>
      </c>
      <c r="P75" s="13" t="n">
        <v>560.62</v>
      </c>
      <c r="Q75" s="13" t="n">
        <v>560.62</v>
      </c>
      <c r="R75" s="13" t="n">
        <v>560.62</v>
      </c>
      <c r="S75" s="13" t="n">
        <v>560.62</v>
      </c>
      <c r="T75" s="13" t="n">
        <v>560.62</v>
      </c>
      <c r="U75" s="13" t="n">
        <v>350</v>
      </c>
      <c r="V75" s="13" t="n">
        <v>0</v>
      </c>
      <c r="W75" s="13" t="n">
        <f aca="false">U75+V75</f>
        <v>350</v>
      </c>
    </row>
    <row r="76" customFormat="false" ht="15" hidden="false" customHeight="false" outlineLevel="0" collapsed="false">
      <c r="A76" s="14" t="s">
        <v>266</v>
      </c>
      <c r="B76" s="14" t="s">
        <v>149</v>
      </c>
      <c r="C76" s="14" t="s">
        <v>267</v>
      </c>
      <c r="D76" s="14" t="s">
        <v>197</v>
      </c>
      <c r="E76" s="15" t="n">
        <v>1950000</v>
      </c>
      <c r="F76" s="15" t="n">
        <v>13635.28</v>
      </c>
      <c r="G76" s="15" t="n">
        <v>1704.41</v>
      </c>
      <c r="H76" s="15" t="n">
        <v>1704.41</v>
      </c>
      <c r="I76" s="15" t="n">
        <f aca="false">SUM(K76:T76)</f>
        <v>10226.5</v>
      </c>
      <c r="J76" s="15" t="n">
        <f aca="false">F76-(G76+H76+I76)</f>
        <v>-0.0399999999990541</v>
      </c>
      <c r="K76" s="15" t="n">
        <v>1022.65</v>
      </c>
      <c r="L76" s="15" t="n">
        <v>1022.65</v>
      </c>
      <c r="M76" s="15" t="n">
        <v>1022.65</v>
      </c>
      <c r="N76" s="15" t="n">
        <v>1022.65</v>
      </c>
      <c r="O76" s="15" t="n">
        <v>1022.65</v>
      </c>
      <c r="P76" s="15" t="n">
        <v>1022.65</v>
      </c>
      <c r="Q76" s="15" t="n">
        <v>1022.65</v>
      </c>
      <c r="R76" s="15" t="n">
        <v>1022.65</v>
      </c>
      <c r="S76" s="15" t="n">
        <v>1022.65</v>
      </c>
      <c r="T76" s="15" t="n">
        <v>1022.65</v>
      </c>
      <c r="U76" s="15" t="n">
        <v>350</v>
      </c>
      <c r="V76" s="15" t="n">
        <v>250</v>
      </c>
      <c r="W76" s="15" t="n">
        <f aca="false">U76+V76</f>
        <v>600</v>
      </c>
    </row>
    <row r="77" customFormat="false" ht="15" hidden="false" customHeight="false" outlineLevel="0" collapsed="false">
      <c r="A77" s="3" t="s">
        <v>268</v>
      </c>
      <c r="B77" s="3" t="s">
        <v>127</v>
      </c>
      <c r="C77" s="3" t="s">
        <v>269</v>
      </c>
      <c r="D77" s="3" t="s">
        <v>189</v>
      </c>
      <c r="E77" s="13" t="n">
        <v>595000</v>
      </c>
      <c r="F77" s="13" t="n">
        <v>8026.89</v>
      </c>
      <c r="G77" s="13" t="n">
        <v>1003.36</v>
      </c>
      <c r="H77" s="13" t="n">
        <v>1003.36</v>
      </c>
      <c r="I77" s="13" t="n">
        <f aca="false">SUM(K77:T77)</f>
        <v>6020.2</v>
      </c>
      <c r="J77" s="13" t="n">
        <f aca="false">F77-(G77+H77+I77)</f>
        <v>-0.0300000000006548</v>
      </c>
      <c r="K77" s="13" t="n">
        <v>602.02</v>
      </c>
      <c r="L77" s="13" t="n">
        <v>602.02</v>
      </c>
      <c r="M77" s="13" t="n">
        <v>602.02</v>
      </c>
      <c r="N77" s="13" t="n">
        <v>602.02</v>
      </c>
      <c r="O77" s="13" t="n">
        <v>602.02</v>
      </c>
      <c r="P77" s="13" t="n">
        <v>602.02</v>
      </c>
      <c r="Q77" s="13" t="n">
        <v>602.02</v>
      </c>
      <c r="R77" s="13" t="n">
        <v>602.02</v>
      </c>
      <c r="S77" s="13" t="n">
        <v>602.02</v>
      </c>
      <c r="T77" s="13" t="n">
        <v>602.02</v>
      </c>
      <c r="U77" s="13" t="n">
        <v>350</v>
      </c>
      <c r="V77" s="13" t="n">
        <v>0</v>
      </c>
      <c r="W77" s="13" t="n">
        <f aca="false">U77+V77</f>
        <v>350</v>
      </c>
    </row>
    <row r="78" customFormat="false" ht="15" hidden="false" customHeight="false" outlineLevel="0" collapsed="false">
      <c r="A78" s="14" t="s">
        <v>270</v>
      </c>
      <c r="B78" s="14" t="s">
        <v>271</v>
      </c>
      <c r="C78" s="14" t="s">
        <v>272</v>
      </c>
      <c r="D78" s="14" t="s">
        <v>89</v>
      </c>
      <c r="E78" s="15" t="n">
        <v>595000</v>
      </c>
      <c r="F78" s="15" t="n">
        <v>14397.88</v>
      </c>
      <c r="G78" s="15" t="n">
        <v>1799.73</v>
      </c>
      <c r="H78" s="15" t="n">
        <v>1799.73</v>
      </c>
      <c r="I78" s="15" t="n">
        <f aca="false">SUM(K78:T78)</f>
        <v>10798.4</v>
      </c>
      <c r="J78" s="15" t="n">
        <f aca="false">F78-(G78+H78+I78)</f>
        <v>0.0199999999986176</v>
      </c>
      <c r="K78" s="15" t="n">
        <v>1079.84</v>
      </c>
      <c r="L78" s="15" t="n">
        <v>1079.84</v>
      </c>
      <c r="M78" s="15" t="n">
        <v>1079.84</v>
      </c>
      <c r="N78" s="15" t="n">
        <v>1079.84</v>
      </c>
      <c r="O78" s="15" t="n">
        <v>1079.84</v>
      </c>
      <c r="P78" s="15" t="n">
        <v>1079.84</v>
      </c>
      <c r="Q78" s="15" t="n">
        <v>1079.84</v>
      </c>
      <c r="R78" s="15" t="n">
        <v>1079.84</v>
      </c>
      <c r="S78" s="15" t="n">
        <v>1079.84</v>
      </c>
      <c r="T78" s="15" t="n">
        <v>1079.84</v>
      </c>
      <c r="U78" s="15" t="n">
        <v>350</v>
      </c>
      <c r="V78" s="15" t="n">
        <v>0</v>
      </c>
      <c r="W78" s="15" t="n">
        <f aca="false">U78+V78</f>
        <v>350</v>
      </c>
    </row>
    <row r="79" customFormat="false" ht="15" hidden="false" customHeight="false" outlineLevel="0" collapsed="false">
      <c r="A79" s="3" t="s">
        <v>273</v>
      </c>
      <c r="B79" s="3" t="s">
        <v>159</v>
      </c>
      <c r="C79" s="3" t="s">
        <v>274</v>
      </c>
      <c r="D79" s="3" t="s">
        <v>157</v>
      </c>
      <c r="E79" s="13" t="n">
        <v>335000</v>
      </c>
      <c r="F79" s="13" t="n">
        <v>10321.79</v>
      </c>
      <c r="G79" s="13" t="n">
        <v>1290.22</v>
      </c>
      <c r="H79" s="13" t="n">
        <v>1290.22</v>
      </c>
      <c r="I79" s="13" t="n">
        <f aca="false">SUM(K79:T79)</f>
        <v>7741.3</v>
      </c>
      <c r="J79" s="13" t="n">
        <f aca="false">F79-(G79+H79+I79)</f>
        <v>0.0500000000010914</v>
      </c>
      <c r="K79" s="13" t="n">
        <v>774.13</v>
      </c>
      <c r="L79" s="13" t="n">
        <v>774.13</v>
      </c>
      <c r="M79" s="13" t="n">
        <v>774.13</v>
      </c>
      <c r="N79" s="13" t="n">
        <v>774.13</v>
      </c>
      <c r="O79" s="13" t="n">
        <v>774.13</v>
      </c>
      <c r="P79" s="13" t="n">
        <v>774.13</v>
      </c>
      <c r="Q79" s="13" t="n">
        <v>774.13</v>
      </c>
      <c r="R79" s="13" t="n">
        <v>774.13</v>
      </c>
      <c r="S79" s="13" t="n">
        <v>774.13</v>
      </c>
      <c r="T79" s="13" t="n">
        <v>774.13</v>
      </c>
      <c r="U79" s="13" t="n">
        <v>350</v>
      </c>
      <c r="V79" s="13" t="n">
        <v>0</v>
      </c>
      <c r="W79" s="13" t="n">
        <f aca="false">U79+V79</f>
        <v>350</v>
      </c>
    </row>
    <row r="80" customFormat="false" ht="15" hidden="false" customHeight="false" outlineLevel="0" collapsed="false">
      <c r="A80" s="14" t="s">
        <v>275</v>
      </c>
      <c r="B80" s="14" t="s">
        <v>71</v>
      </c>
      <c r="C80" s="14" t="s">
        <v>276</v>
      </c>
      <c r="D80" s="14" t="s">
        <v>189</v>
      </c>
      <c r="E80" s="15" t="n">
        <v>760000</v>
      </c>
      <c r="F80" s="15" t="n">
        <v>10252.83</v>
      </c>
      <c r="G80" s="15" t="n">
        <v>1281.6</v>
      </c>
      <c r="H80" s="15" t="n">
        <v>1281.6</v>
      </c>
      <c r="I80" s="15" t="n">
        <f aca="false">SUM(K80:T80)</f>
        <v>7689.6</v>
      </c>
      <c r="J80" s="15" t="n">
        <f aca="false">F80-(G80+H80+I80)</f>
        <v>0.0300000000006548</v>
      </c>
      <c r="K80" s="15" t="n">
        <v>768.96</v>
      </c>
      <c r="L80" s="15" t="n">
        <v>768.96</v>
      </c>
      <c r="M80" s="15" t="n">
        <v>768.96</v>
      </c>
      <c r="N80" s="15" t="n">
        <v>768.96</v>
      </c>
      <c r="O80" s="15" t="n">
        <v>768.96</v>
      </c>
      <c r="P80" s="15" t="n">
        <v>768.96</v>
      </c>
      <c r="Q80" s="15" t="n">
        <v>768.96</v>
      </c>
      <c r="R80" s="15" t="n">
        <v>768.96</v>
      </c>
      <c r="S80" s="15" t="n">
        <v>768.96</v>
      </c>
      <c r="T80" s="15" t="n">
        <v>768.96</v>
      </c>
      <c r="U80" s="15" t="n">
        <v>350</v>
      </c>
      <c r="V80" s="15" t="n">
        <v>0</v>
      </c>
      <c r="W80" s="15" t="n">
        <f aca="false">U80+V80</f>
        <v>350</v>
      </c>
    </row>
    <row r="81" customFormat="false" ht="15" hidden="false" customHeight="false" outlineLevel="0" collapsed="false">
      <c r="A81" s="3" t="s">
        <v>277</v>
      </c>
      <c r="B81" s="3" t="s">
        <v>168</v>
      </c>
      <c r="C81" s="3" t="s">
        <v>278</v>
      </c>
      <c r="D81" s="3" t="s">
        <v>279</v>
      </c>
      <c r="E81" s="13" t="n">
        <v>610000</v>
      </c>
      <c r="F81" s="13" t="n">
        <v>9949.91</v>
      </c>
      <c r="G81" s="13" t="n">
        <v>1243.74</v>
      </c>
      <c r="H81" s="13" t="n">
        <v>1243.74</v>
      </c>
      <c r="I81" s="13" t="n">
        <f aca="false">SUM(K81:T81)</f>
        <v>7462.4</v>
      </c>
      <c r="J81" s="13" t="n">
        <f aca="false">F81-(G81+H81+I81)</f>
        <v>0.0300000000006548</v>
      </c>
      <c r="K81" s="13" t="n">
        <v>746.24</v>
      </c>
      <c r="L81" s="13" t="n">
        <v>746.24</v>
      </c>
      <c r="M81" s="13" t="n">
        <v>746.24</v>
      </c>
      <c r="N81" s="13" t="n">
        <v>746.24</v>
      </c>
      <c r="O81" s="13" t="n">
        <v>746.24</v>
      </c>
      <c r="P81" s="13" t="n">
        <v>746.24</v>
      </c>
      <c r="Q81" s="13" t="n">
        <v>746.24</v>
      </c>
      <c r="R81" s="13" t="n">
        <v>746.24</v>
      </c>
      <c r="S81" s="13" t="n">
        <v>746.24</v>
      </c>
      <c r="T81" s="13" t="n">
        <v>746.24</v>
      </c>
      <c r="U81" s="13" t="n">
        <v>350</v>
      </c>
      <c r="V81" s="13" t="n">
        <v>0</v>
      </c>
      <c r="W81" s="13" t="n">
        <f aca="false">U81+V81</f>
        <v>350</v>
      </c>
    </row>
    <row r="82" customFormat="false" ht="15" hidden="false" customHeight="false" outlineLevel="0" collapsed="false">
      <c r="A82" s="14" t="s">
        <v>280</v>
      </c>
      <c r="B82" s="14" t="s">
        <v>142</v>
      </c>
      <c r="C82" s="14" t="s">
        <v>281</v>
      </c>
      <c r="D82" s="14" t="s">
        <v>89</v>
      </c>
      <c r="E82" s="15" t="n">
        <v>410000</v>
      </c>
      <c r="F82" s="15" t="n">
        <v>7832.55</v>
      </c>
      <c r="G82" s="15" t="n">
        <v>979.07</v>
      </c>
      <c r="H82" s="15" t="n">
        <v>979.07</v>
      </c>
      <c r="I82" s="15" t="n">
        <f aca="false">SUM(K82:T82)</f>
        <v>5874.4</v>
      </c>
      <c r="J82" s="15" t="n">
        <f aca="false">F82-(G82+H82+I82)</f>
        <v>0.00999999999839929</v>
      </c>
      <c r="K82" s="15" t="n">
        <v>587.44</v>
      </c>
      <c r="L82" s="15" t="n">
        <v>587.44</v>
      </c>
      <c r="M82" s="15" t="n">
        <v>587.44</v>
      </c>
      <c r="N82" s="15" t="n">
        <v>587.44</v>
      </c>
      <c r="O82" s="15" t="n">
        <v>587.44</v>
      </c>
      <c r="P82" s="15" t="n">
        <v>587.44</v>
      </c>
      <c r="Q82" s="15" t="n">
        <v>587.44</v>
      </c>
      <c r="R82" s="15" t="n">
        <v>587.44</v>
      </c>
      <c r="S82" s="15" t="n">
        <v>587.44</v>
      </c>
      <c r="T82" s="15" t="n">
        <v>587.44</v>
      </c>
      <c r="U82" s="15" t="n">
        <v>350</v>
      </c>
      <c r="V82" s="15" t="n">
        <v>0</v>
      </c>
      <c r="W82" s="15" t="n">
        <f aca="false">U82+V82</f>
        <v>350</v>
      </c>
    </row>
    <row r="83" customFormat="false" ht="15" hidden="false" customHeight="false" outlineLevel="0" collapsed="false">
      <c r="A83" s="3" t="s">
        <v>282</v>
      </c>
      <c r="B83" s="3" t="s">
        <v>142</v>
      </c>
      <c r="C83" s="3" t="s">
        <v>283</v>
      </c>
      <c r="D83" s="3" t="s">
        <v>89</v>
      </c>
      <c r="E83" s="13" t="n">
        <v>1045000</v>
      </c>
      <c r="F83" s="13" t="n">
        <v>21294.34</v>
      </c>
      <c r="G83" s="13" t="n">
        <v>2661.79</v>
      </c>
      <c r="H83" s="13" t="n">
        <v>2661.79</v>
      </c>
      <c r="I83" s="13" t="n">
        <f aca="false">SUM(K83:T83)</f>
        <v>15970.8</v>
      </c>
      <c r="J83" s="13" t="n">
        <f aca="false">F83-(G83+H83+I83)</f>
        <v>-0.0399999999972351</v>
      </c>
      <c r="K83" s="13" t="n">
        <v>1597.08</v>
      </c>
      <c r="L83" s="13" t="n">
        <v>1597.08</v>
      </c>
      <c r="M83" s="13" t="n">
        <v>1597.08</v>
      </c>
      <c r="N83" s="13" t="n">
        <v>1597.08</v>
      </c>
      <c r="O83" s="13" t="n">
        <v>1597.08</v>
      </c>
      <c r="P83" s="13" t="n">
        <v>1597.08</v>
      </c>
      <c r="Q83" s="13" t="n">
        <v>1597.08</v>
      </c>
      <c r="R83" s="13" t="n">
        <v>1597.08</v>
      </c>
      <c r="S83" s="13" t="n">
        <v>1597.08</v>
      </c>
      <c r="T83" s="13" t="n">
        <v>1597.08</v>
      </c>
      <c r="U83" s="13" t="n">
        <v>350</v>
      </c>
      <c r="V83" s="13" t="n">
        <v>250</v>
      </c>
      <c r="W83" s="13" t="n">
        <f aca="false">U83+V83</f>
        <v>600</v>
      </c>
    </row>
    <row r="84" customFormat="false" ht="15" hidden="false" customHeight="false" outlineLevel="0" collapsed="false">
      <c r="A84" s="14" t="s">
        <v>284</v>
      </c>
      <c r="B84" s="14" t="s">
        <v>149</v>
      </c>
      <c r="C84" s="14" t="s">
        <v>285</v>
      </c>
      <c r="D84" s="14" t="s">
        <v>138</v>
      </c>
      <c r="E84" s="15" t="n">
        <v>365000</v>
      </c>
      <c r="F84" s="15" t="n">
        <v>3326.32</v>
      </c>
      <c r="G84" s="15" t="n">
        <v>415.79</v>
      </c>
      <c r="H84" s="15" t="n">
        <v>415.79</v>
      </c>
      <c r="I84" s="15" t="n">
        <f aca="false">SUM(K84:T84)</f>
        <v>2494.7</v>
      </c>
      <c r="J84" s="15" t="n">
        <f aca="false">F84-(G84+H84+I84)</f>
        <v>0.0400000000004184</v>
      </c>
      <c r="K84" s="15" t="n">
        <v>249.47</v>
      </c>
      <c r="L84" s="15" t="n">
        <v>249.47</v>
      </c>
      <c r="M84" s="15" t="n">
        <v>249.47</v>
      </c>
      <c r="N84" s="15" t="n">
        <v>249.47</v>
      </c>
      <c r="O84" s="15" t="n">
        <v>249.47</v>
      </c>
      <c r="P84" s="15" t="n">
        <v>249.47</v>
      </c>
      <c r="Q84" s="15" t="n">
        <v>249.47</v>
      </c>
      <c r="R84" s="15" t="n">
        <v>249.47</v>
      </c>
      <c r="S84" s="15" t="n">
        <v>249.47</v>
      </c>
      <c r="T84" s="15" t="n">
        <v>249.47</v>
      </c>
      <c r="U84" s="15" t="n">
        <v>350</v>
      </c>
      <c r="V84" s="15" t="n">
        <v>0</v>
      </c>
      <c r="W84" s="15" t="n">
        <f aca="false">U84+V84</f>
        <v>350</v>
      </c>
    </row>
    <row r="85" customFormat="false" ht="15" hidden="false" customHeight="false" outlineLevel="0" collapsed="false">
      <c r="A85" s="3" t="s">
        <v>286</v>
      </c>
      <c r="B85" s="3" t="s">
        <v>191</v>
      </c>
      <c r="C85" s="3" t="s">
        <v>287</v>
      </c>
      <c r="D85" s="3" t="s">
        <v>85</v>
      </c>
      <c r="E85" s="13" t="n">
        <v>1665000</v>
      </c>
      <c r="F85" s="13" t="n">
        <v>34933.58</v>
      </c>
      <c r="G85" s="13" t="n">
        <v>4366.7</v>
      </c>
      <c r="H85" s="13" t="n">
        <v>4366.7</v>
      </c>
      <c r="I85" s="13" t="n">
        <f aca="false">SUM(K85:T85)</f>
        <v>26200.2</v>
      </c>
      <c r="J85" s="13" t="n">
        <f aca="false">F85-(G85+H85+I85)</f>
        <v>-0.0199999999967986</v>
      </c>
      <c r="K85" s="13" t="n">
        <v>2620.02</v>
      </c>
      <c r="L85" s="13" t="n">
        <v>2620.02</v>
      </c>
      <c r="M85" s="13" t="n">
        <v>2620.02</v>
      </c>
      <c r="N85" s="13" t="n">
        <v>2620.02</v>
      </c>
      <c r="O85" s="13" t="n">
        <v>2620.02</v>
      </c>
      <c r="P85" s="13" t="n">
        <v>2620.02</v>
      </c>
      <c r="Q85" s="13" t="n">
        <v>2620.02</v>
      </c>
      <c r="R85" s="13" t="n">
        <v>2620.02</v>
      </c>
      <c r="S85" s="13" t="n">
        <v>2620.02</v>
      </c>
      <c r="T85" s="13" t="n">
        <v>2620.02</v>
      </c>
      <c r="U85" s="13" t="n">
        <v>350</v>
      </c>
      <c r="V85" s="13" t="n">
        <v>250</v>
      </c>
      <c r="W85" s="13" t="n">
        <f aca="false">U85+V85</f>
        <v>600</v>
      </c>
    </row>
    <row r="86" customFormat="false" ht="15" hidden="false" customHeight="false" outlineLevel="0" collapsed="false">
      <c r="A86" s="14" t="s">
        <v>288</v>
      </c>
      <c r="B86" s="14" t="s">
        <v>187</v>
      </c>
      <c r="C86" s="14" t="s">
        <v>289</v>
      </c>
      <c r="D86" s="14" t="s">
        <v>115</v>
      </c>
      <c r="E86" s="15" t="n">
        <v>1025000</v>
      </c>
      <c r="F86" s="15" t="n">
        <v>9700.75</v>
      </c>
      <c r="G86" s="15" t="n">
        <v>1212.59</v>
      </c>
      <c r="H86" s="15" t="n">
        <v>1212.59</v>
      </c>
      <c r="I86" s="15" t="n">
        <f aca="false">SUM(K86:T86)</f>
        <v>7275.6</v>
      </c>
      <c r="J86" s="15" t="n">
        <f aca="false">F86-(G86+H86+I86)</f>
        <v>-0.0299999999988358</v>
      </c>
      <c r="K86" s="15" t="n">
        <v>727.56</v>
      </c>
      <c r="L86" s="15" t="n">
        <v>727.56</v>
      </c>
      <c r="M86" s="15" t="n">
        <v>727.56</v>
      </c>
      <c r="N86" s="15" t="n">
        <v>727.56</v>
      </c>
      <c r="O86" s="15" t="n">
        <v>727.56</v>
      </c>
      <c r="P86" s="15" t="n">
        <v>727.56</v>
      </c>
      <c r="Q86" s="15" t="n">
        <v>727.56</v>
      </c>
      <c r="R86" s="15" t="n">
        <v>727.56</v>
      </c>
      <c r="S86" s="15" t="n">
        <v>727.56</v>
      </c>
      <c r="T86" s="15" t="n">
        <v>727.56</v>
      </c>
      <c r="U86" s="15" t="n">
        <v>350</v>
      </c>
      <c r="V86" s="15" t="n">
        <v>250</v>
      </c>
      <c r="W86" s="15" t="n">
        <f aca="false">U86+V86</f>
        <v>600</v>
      </c>
    </row>
    <row r="87" customFormat="false" ht="15" hidden="false" customHeight="false" outlineLevel="0" collapsed="false">
      <c r="A87" s="3" t="s">
        <v>290</v>
      </c>
      <c r="B87" s="3" t="s">
        <v>224</v>
      </c>
      <c r="C87" s="3" t="s">
        <v>160</v>
      </c>
      <c r="D87" s="3" t="s">
        <v>99</v>
      </c>
      <c r="E87" s="13" t="n">
        <v>635000</v>
      </c>
      <c r="F87" s="13" t="n">
        <v>10591.32</v>
      </c>
      <c r="G87" s="13" t="n">
        <v>1323.91</v>
      </c>
      <c r="H87" s="13" t="n">
        <v>1323.91</v>
      </c>
      <c r="I87" s="13" t="n">
        <f aca="false">SUM(K87:T87)</f>
        <v>7943.5</v>
      </c>
      <c r="J87" s="13" t="n">
        <f aca="false">F87-(G87+H87+I87)</f>
        <v>0</v>
      </c>
      <c r="K87" s="13" t="n">
        <v>794.35</v>
      </c>
      <c r="L87" s="13" t="n">
        <v>794.35</v>
      </c>
      <c r="M87" s="13" t="n">
        <v>794.35</v>
      </c>
      <c r="N87" s="13" t="n">
        <v>794.35</v>
      </c>
      <c r="O87" s="13" t="n">
        <v>794.35</v>
      </c>
      <c r="P87" s="13" t="n">
        <v>794.35</v>
      </c>
      <c r="Q87" s="13" t="n">
        <v>794.35</v>
      </c>
      <c r="R87" s="13" t="n">
        <v>794.35</v>
      </c>
      <c r="S87" s="13" t="n">
        <v>794.35</v>
      </c>
      <c r="T87" s="13" t="n">
        <v>794.35</v>
      </c>
      <c r="U87" s="13" t="n">
        <v>350</v>
      </c>
      <c r="V87" s="13" t="n">
        <v>0</v>
      </c>
      <c r="W87" s="13" t="n">
        <f aca="false">U87+V87</f>
        <v>350</v>
      </c>
    </row>
    <row r="88" customFormat="false" ht="15" hidden="false" customHeight="false" outlineLevel="0" collapsed="false">
      <c r="A88" s="14" t="s">
        <v>291</v>
      </c>
      <c r="B88" s="14" t="s">
        <v>155</v>
      </c>
      <c r="C88" s="14" t="s">
        <v>292</v>
      </c>
      <c r="D88" s="14" t="s">
        <v>77</v>
      </c>
      <c r="E88" s="15" t="n">
        <v>215000</v>
      </c>
      <c r="F88" s="15" t="n">
        <v>2936.58</v>
      </c>
      <c r="G88" s="15" t="n">
        <v>367.07</v>
      </c>
      <c r="H88" s="15" t="n">
        <v>367.07</v>
      </c>
      <c r="I88" s="15" t="n">
        <f aca="false">SUM(K88:T88)</f>
        <v>2202.4</v>
      </c>
      <c r="J88" s="15" t="n">
        <f aca="false">F88-(G88+H88+I88)</f>
        <v>0.0399999999999636</v>
      </c>
      <c r="K88" s="15" t="n">
        <v>220.24</v>
      </c>
      <c r="L88" s="15" t="n">
        <v>220.24</v>
      </c>
      <c r="M88" s="15" t="n">
        <v>220.24</v>
      </c>
      <c r="N88" s="15" t="n">
        <v>220.24</v>
      </c>
      <c r="O88" s="15" t="n">
        <v>220.24</v>
      </c>
      <c r="P88" s="15" t="n">
        <v>220.24</v>
      </c>
      <c r="Q88" s="15" t="n">
        <v>220.24</v>
      </c>
      <c r="R88" s="15" t="n">
        <v>220.24</v>
      </c>
      <c r="S88" s="15" t="n">
        <v>220.24</v>
      </c>
      <c r="T88" s="15" t="n">
        <v>220.24</v>
      </c>
      <c r="U88" s="15" t="n">
        <v>350</v>
      </c>
      <c r="V88" s="15" t="n">
        <v>0</v>
      </c>
      <c r="W88" s="15" t="n">
        <f aca="false">U88+V88</f>
        <v>350</v>
      </c>
    </row>
    <row r="89" customFormat="false" ht="15" hidden="false" customHeight="false" outlineLevel="0" collapsed="false">
      <c r="A89" s="3" t="s">
        <v>293</v>
      </c>
      <c r="B89" s="3" t="s">
        <v>75</v>
      </c>
      <c r="C89" s="3" t="s">
        <v>294</v>
      </c>
      <c r="D89" s="3" t="s">
        <v>279</v>
      </c>
      <c r="E89" s="13" t="n">
        <v>205000</v>
      </c>
      <c r="F89" s="13" t="n">
        <v>3238.23</v>
      </c>
      <c r="G89" s="13" t="n">
        <v>404.78</v>
      </c>
      <c r="H89" s="13" t="n">
        <v>404.78</v>
      </c>
      <c r="I89" s="13" t="n">
        <f aca="false">SUM(K89:T89)</f>
        <v>2428.7</v>
      </c>
      <c r="J89" s="13" t="n">
        <f aca="false">F89-(G89+H89+I89)</f>
        <v>-0.0299999999997453</v>
      </c>
      <c r="K89" s="13" t="n">
        <v>242.87</v>
      </c>
      <c r="L89" s="13" t="n">
        <v>242.87</v>
      </c>
      <c r="M89" s="13" t="n">
        <v>242.87</v>
      </c>
      <c r="N89" s="13" t="n">
        <v>242.87</v>
      </c>
      <c r="O89" s="13" t="n">
        <v>242.87</v>
      </c>
      <c r="P89" s="13" t="n">
        <v>242.87</v>
      </c>
      <c r="Q89" s="13" t="n">
        <v>242.87</v>
      </c>
      <c r="R89" s="13" t="n">
        <v>242.87</v>
      </c>
      <c r="S89" s="13" t="n">
        <v>242.87</v>
      </c>
      <c r="T89" s="13" t="n">
        <v>242.87</v>
      </c>
      <c r="U89" s="13" t="n">
        <v>350</v>
      </c>
      <c r="V89" s="13" t="n">
        <v>0</v>
      </c>
      <c r="W89" s="13" t="n">
        <f aca="false">U89+V89</f>
        <v>350</v>
      </c>
    </row>
    <row r="90" customFormat="false" ht="15" hidden="false" customHeight="false" outlineLevel="0" collapsed="false">
      <c r="A90" s="14" t="s">
        <v>295</v>
      </c>
      <c r="B90" s="14" t="s">
        <v>260</v>
      </c>
      <c r="C90" s="14" t="s">
        <v>296</v>
      </c>
      <c r="D90" s="14" t="s">
        <v>203</v>
      </c>
      <c r="E90" s="15" t="n">
        <v>220000</v>
      </c>
      <c r="F90" s="15" t="n">
        <v>4353.51</v>
      </c>
      <c r="G90" s="15" t="n">
        <v>544.19</v>
      </c>
      <c r="H90" s="15" t="n">
        <v>544.19</v>
      </c>
      <c r="I90" s="15" t="n">
        <f aca="false">SUM(K90:T90)</f>
        <v>3265.1</v>
      </c>
      <c r="J90" s="15" t="n">
        <f aca="false">F90-(G90+H90+I90)</f>
        <v>0.0299999999997453</v>
      </c>
      <c r="K90" s="15" t="n">
        <v>326.51</v>
      </c>
      <c r="L90" s="15" t="n">
        <v>326.51</v>
      </c>
      <c r="M90" s="15" t="n">
        <v>326.51</v>
      </c>
      <c r="N90" s="15" t="n">
        <v>326.51</v>
      </c>
      <c r="O90" s="15" t="n">
        <v>326.51</v>
      </c>
      <c r="P90" s="15" t="n">
        <v>326.51</v>
      </c>
      <c r="Q90" s="15" t="n">
        <v>326.51</v>
      </c>
      <c r="R90" s="15" t="n">
        <v>326.51</v>
      </c>
      <c r="S90" s="15" t="n">
        <v>326.51</v>
      </c>
      <c r="T90" s="15" t="n">
        <v>326.51</v>
      </c>
      <c r="U90" s="15" t="n">
        <v>350</v>
      </c>
      <c r="V90" s="15" t="n">
        <v>0</v>
      </c>
      <c r="W90" s="15" t="n">
        <f aca="false">U90+V90</f>
        <v>350</v>
      </c>
    </row>
    <row r="91" customFormat="false" ht="15" hidden="false" customHeight="false" outlineLevel="0" collapsed="false">
      <c r="A91" s="3" t="s">
        <v>297</v>
      </c>
      <c r="B91" s="3" t="s">
        <v>71</v>
      </c>
      <c r="C91" s="3" t="s">
        <v>101</v>
      </c>
      <c r="D91" s="3" t="s">
        <v>298</v>
      </c>
      <c r="E91" s="13" t="n">
        <v>495000</v>
      </c>
      <c r="F91" s="13" t="n">
        <v>8825.94</v>
      </c>
      <c r="G91" s="13" t="n">
        <v>1103.24</v>
      </c>
      <c r="H91" s="13" t="n">
        <v>1103.24</v>
      </c>
      <c r="I91" s="13" t="n">
        <f aca="false">SUM(K91:T91)</f>
        <v>6619.5</v>
      </c>
      <c r="J91" s="13" t="n">
        <f aca="false">F91-(G91+H91+I91)</f>
        <v>-0.0399999999990541</v>
      </c>
      <c r="K91" s="13" t="n">
        <v>661.95</v>
      </c>
      <c r="L91" s="13" t="n">
        <v>661.95</v>
      </c>
      <c r="M91" s="13" t="n">
        <v>661.95</v>
      </c>
      <c r="N91" s="13" t="n">
        <v>661.95</v>
      </c>
      <c r="O91" s="13" t="n">
        <v>661.95</v>
      </c>
      <c r="P91" s="13" t="n">
        <v>661.95</v>
      </c>
      <c r="Q91" s="13" t="n">
        <v>661.95</v>
      </c>
      <c r="R91" s="13" t="n">
        <v>661.95</v>
      </c>
      <c r="S91" s="13" t="n">
        <v>661.95</v>
      </c>
      <c r="T91" s="13" t="n">
        <v>661.95</v>
      </c>
      <c r="U91" s="13" t="n">
        <v>350</v>
      </c>
      <c r="V91" s="13" t="n">
        <v>0</v>
      </c>
      <c r="W91" s="13" t="n">
        <f aca="false">U91+V91</f>
        <v>350</v>
      </c>
    </row>
    <row r="92" customFormat="false" ht="15" hidden="false" customHeight="false" outlineLevel="0" collapsed="false">
      <c r="A92" s="14" t="s">
        <v>299</v>
      </c>
      <c r="B92" s="14" t="s">
        <v>191</v>
      </c>
      <c r="C92" s="14" t="s">
        <v>300</v>
      </c>
      <c r="D92" s="14" t="s">
        <v>125</v>
      </c>
      <c r="E92" s="15" t="n">
        <v>1145000</v>
      </c>
      <c r="F92" s="15" t="n">
        <v>7881.06</v>
      </c>
      <c r="G92" s="15" t="n">
        <v>985.13</v>
      </c>
      <c r="H92" s="15" t="n">
        <v>985.13</v>
      </c>
      <c r="I92" s="15" t="n">
        <f aca="false">SUM(K92:T92)</f>
        <v>5910.8</v>
      </c>
      <c r="J92" s="15" t="n">
        <f aca="false">F92-(G92+H92+I92)</f>
        <v>0</v>
      </c>
      <c r="K92" s="15" t="n">
        <v>591.08</v>
      </c>
      <c r="L92" s="15" t="n">
        <v>591.08</v>
      </c>
      <c r="M92" s="15" t="n">
        <v>591.08</v>
      </c>
      <c r="N92" s="15" t="n">
        <v>591.08</v>
      </c>
      <c r="O92" s="15" t="n">
        <v>591.08</v>
      </c>
      <c r="P92" s="15" t="n">
        <v>591.08</v>
      </c>
      <c r="Q92" s="15" t="n">
        <v>591.08</v>
      </c>
      <c r="R92" s="15" t="n">
        <v>591.08</v>
      </c>
      <c r="S92" s="15" t="n">
        <v>591.08</v>
      </c>
      <c r="T92" s="15" t="n">
        <v>591.08</v>
      </c>
      <c r="U92" s="15" t="n">
        <v>350</v>
      </c>
      <c r="V92" s="15" t="n">
        <v>250</v>
      </c>
      <c r="W92" s="15" t="n">
        <f aca="false">U92+V92</f>
        <v>600</v>
      </c>
    </row>
    <row r="93" customFormat="false" ht="15" hidden="false" customHeight="false" outlineLevel="0" collapsed="false">
      <c r="A93" s="3" t="s">
        <v>301</v>
      </c>
      <c r="B93" s="3" t="s">
        <v>224</v>
      </c>
      <c r="C93" s="3" t="s">
        <v>171</v>
      </c>
      <c r="D93" s="3" t="s">
        <v>89</v>
      </c>
      <c r="E93" s="13" t="n">
        <v>1195000</v>
      </c>
      <c r="F93" s="13" t="n">
        <v>24350.94</v>
      </c>
      <c r="G93" s="13" t="n">
        <v>3043.87</v>
      </c>
      <c r="H93" s="13" t="n">
        <v>3043.87</v>
      </c>
      <c r="I93" s="13" t="n">
        <f aca="false">SUM(K93:T93)</f>
        <v>18263.2</v>
      </c>
      <c r="J93" s="13" t="n">
        <f aca="false">F93-(G93+H93+I93)</f>
        <v>0</v>
      </c>
      <c r="K93" s="13" t="n">
        <v>1826.32</v>
      </c>
      <c r="L93" s="13" t="n">
        <v>1826.32</v>
      </c>
      <c r="M93" s="13" t="n">
        <v>1826.32</v>
      </c>
      <c r="N93" s="13" t="n">
        <v>1826.32</v>
      </c>
      <c r="O93" s="13" t="n">
        <v>1826.32</v>
      </c>
      <c r="P93" s="13" t="n">
        <v>1826.32</v>
      </c>
      <c r="Q93" s="13" t="n">
        <v>1826.32</v>
      </c>
      <c r="R93" s="13" t="n">
        <v>1826.32</v>
      </c>
      <c r="S93" s="13" t="n">
        <v>1826.32</v>
      </c>
      <c r="T93" s="13" t="n">
        <v>1826.32</v>
      </c>
      <c r="U93" s="13" t="n">
        <v>350</v>
      </c>
      <c r="V93" s="13" t="n">
        <v>250</v>
      </c>
      <c r="W93" s="13" t="n">
        <f aca="false">U93+V93</f>
        <v>600</v>
      </c>
    </row>
    <row r="94" customFormat="false" ht="15" hidden="false" customHeight="false" outlineLevel="0" collapsed="false">
      <c r="A94" s="14" t="s">
        <v>302</v>
      </c>
      <c r="B94" s="14" t="s">
        <v>130</v>
      </c>
      <c r="C94" s="14" t="s">
        <v>303</v>
      </c>
      <c r="D94" s="14" t="s">
        <v>102</v>
      </c>
      <c r="E94" s="15" t="n">
        <v>685000</v>
      </c>
      <c r="F94" s="15" t="n">
        <v>6391.18</v>
      </c>
      <c r="G94" s="15" t="n">
        <v>798.9</v>
      </c>
      <c r="H94" s="15" t="n">
        <v>798.9</v>
      </c>
      <c r="I94" s="15" t="n">
        <f aca="false">SUM(K94:T94)</f>
        <v>4793.4</v>
      </c>
      <c r="J94" s="15" t="n">
        <f aca="false">F94-(G94+H94+I94)</f>
        <v>-0.0199999999995271</v>
      </c>
      <c r="K94" s="15" t="n">
        <v>479.34</v>
      </c>
      <c r="L94" s="15" t="n">
        <v>479.34</v>
      </c>
      <c r="M94" s="15" t="n">
        <v>479.34</v>
      </c>
      <c r="N94" s="15" t="n">
        <v>479.34</v>
      </c>
      <c r="O94" s="15" t="n">
        <v>479.34</v>
      </c>
      <c r="P94" s="15" t="n">
        <v>479.34</v>
      </c>
      <c r="Q94" s="15" t="n">
        <v>479.34</v>
      </c>
      <c r="R94" s="15" t="n">
        <v>479.34</v>
      </c>
      <c r="S94" s="15" t="n">
        <v>479.34</v>
      </c>
      <c r="T94" s="15" t="n">
        <v>479.34</v>
      </c>
      <c r="U94" s="15" t="n">
        <v>350</v>
      </c>
      <c r="V94" s="15" t="n">
        <v>0</v>
      </c>
      <c r="W94" s="15" t="n">
        <f aca="false">U94+V94</f>
        <v>350</v>
      </c>
    </row>
    <row r="95" customFormat="false" ht="15" hidden="false" customHeight="false" outlineLevel="0" collapsed="false">
      <c r="A95" s="3" t="s">
        <v>304</v>
      </c>
      <c r="B95" s="3" t="s">
        <v>123</v>
      </c>
      <c r="C95" s="3" t="s">
        <v>305</v>
      </c>
      <c r="D95" s="3" t="s">
        <v>125</v>
      </c>
      <c r="E95" s="13" t="n">
        <v>325000</v>
      </c>
      <c r="F95" s="13" t="n">
        <v>4415.09</v>
      </c>
      <c r="G95" s="13" t="n">
        <v>551.89</v>
      </c>
      <c r="H95" s="13" t="n">
        <v>551.89</v>
      </c>
      <c r="I95" s="13" t="n">
        <f aca="false">SUM(K95:T95)</f>
        <v>3311.3</v>
      </c>
      <c r="J95" s="13" t="n">
        <f aca="false">F95-(G95+H95+I95)</f>
        <v>0.0100000000002183</v>
      </c>
      <c r="K95" s="13" t="n">
        <v>331.13</v>
      </c>
      <c r="L95" s="13" t="n">
        <v>331.13</v>
      </c>
      <c r="M95" s="13" t="n">
        <v>331.13</v>
      </c>
      <c r="N95" s="13" t="n">
        <v>331.13</v>
      </c>
      <c r="O95" s="13" t="n">
        <v>331.13</v>
      </c>
      <c r="P95" s="13" t="n">
        <v>331.13</v>
      </c>
      <c r="Q95" s="13" t="n">
        <v>331.13</v>
      </c>
      <c r="R95" s="13" t="n">
        <v>331.13</v>
      </c>
      <c r="S95" s="13" t="n">
        <v>331.13</v>
      </c>
      <c r="T95" s="13" t="n">
        <v>331.13</v>
      </c>
      <c r="U95" s="13" t="n">
        <v>350</v>
      </c>
      <c r="V95" s="13" t="n">
        <v>0</v>
      </c>
      <c r="W95" s="13" t="n">
        <f aca="false">U95+V95</f>
        <v>350</v>
      </c>
    </row>
    <row r="96" customFormat="false" ht="15" hidden="false" customHeight="false" outlineLevel="0" collapsed="false">
      <c r="A96" s="14" t="s">
        <v>306</v>
      </c>
      <c r="B96" s="14" t="s">
        <v>134</v>
      </c>
      <c r="C96" s="14" t="s">
        <v>143</v>
      </c>
      <c r="D96" s="14" t="s">
        <v>109</v>
      </c>
      <c r="E96" s="15" t="n">
        <v>410000</v>
      </c>
      <c r="F96" s="15" t="n">
        <v>7252.36</v>
      </c>
      <c r="G96" s="15" t="n">
        <v>906.54</v>
      </c>
      <c r="H96" s="15" t="n">
        <v>906.54</v>
      </c>
      <c r="I96" s="15" t="n">
        <f aca="false">SUM(K96:T96)</f>
        <v>5439.3</v>
      </c>
      <c r="J96" s="15" t="n">
        <f aca="false">F96-(G96+H96+I96)</f>
        <v>-0.0200000000004366</v>
      </c>
      <c r="K96" s="15" t="n">
        <v>543.93</v>
      </c>
      <c r="L96" s="15" t="n">
        <v>543.93</v>
      </c>
      <c r="M96" s="15" t="n">
        <v>543.93</v>
      </c>
      <c r="N96" s="15" t="n">
        <v>543.93</v>
      </c>
      <c r="O96" s="15" t="n">
        <v>543.93</v>
      </c>
      <c r="P96" s="15" t="n">
        <v>543.93</v>
      </c>
      <c r="Q96" s="15" t="n">
        <v>543.93</v>
      </c>
      <c r="R96" s="15" t="n">
        <v>543.93</v>
      </c>
      <c r="S96" s="15" t="n">
        <v>543.93</v>
      </c>
      <c r="T96" s="15" t="n">
        <v>543.93</v>
      </c>
      <c r="U96" s="15" t="n">
        <v>350</v>
      </c>
      <c r="V96" s="15" t="n">
        <v>0</v>
      </c>
      <c r="W96" s="15" t="n">
        <f aca="false">U96+V96</f>
        <v>350</v>
      </c>
    </row>
    <row r="97" customFormat="false" ht="15" hidden="false" customHeight="false" outlineLevel="0" collapsed="false">
      <c r="A97" s="3" t="s">
        <v>307</v>
      </c>
      <c r="B97" s="3" t="s">
        <v>308</v>
      </c>
      <c r="C97" s="3" t="s">
        <v>160</v>
      </c>
      <c r="D97" s="3" t="s">
        <v>203</v>
      </c>
      <c r="E97" s="13" t="n">
        <v>530000</v>
      </c>
      <c r="F97" s="13" t="n">
        <v>4902</v>
      </c>
      <c r="G97" s="13" t="n">
        <v>612.75</v>
      </c>
      <c r="H97" s="13" t="n">
        <v>612.75</v>
      </c>
      <c r="I97" s="13" t="n">
        <f aca="false">SUM(K97:T97)</f>
        <v>3676.5</v>
      </c>
      <c r="J97" s="13" t="n">
        <f aca="false">F97-(G97+H97+I97)</f>
        <v>0</v>
      </c>
      <c r="K97" s="13" t="n">
        <v>367.65</v>
      </c>
      <c r="L97" s="13" t="n">
        <v>367.65</v>
      </c>
      <c r="M97" s="13" t="n">
        <v>367.65</v>
      </c>
      <c r="N97" s="13" t="n">
        <v>367.65</v>
      </c>
      <c r="O97" s="13" t="n">
        <v>367.65</v>
      </c>
      <c r="P97" s="13" t="n">
        <v>367.65</v>
      </c>
      <c r="Q97" s="13" t="n">
        <v>367.65</v>
      </c>
      <c r="R97" s="13" t="n">
        <v>367.65</v>
      </c>
      <c r="S97" s="13" t="n">
        <v>367.65</v>
      </c>
      <c r="T97" s="13" t="n">
        <v>367.65</v>
      </c>
      <c r="U97" s="13" t="n">
        <v>350</v>
      </c>
      <c r="V97" s="13" t="n">
        <v>0</v>
      </c>
      <c r="W97" s="13" t="n">
        <f aca="false">U97+V97</f>
        <v>350</v>
      </c>
    </row>
    <row r="98" customFormat="false" ht="15" hidden="false" customHeight="false" outlineLevel="0" collapsed="false">
      <c r="A98" s="14" t="s">
        <v>309</v>
      </c>
      <c r="B98" s="14" t="s">
        <v>187</v>
      </c>
      <c r="C98" s="14" t="s">
        <v>310</v>
      </c>
      <c r="D98" s="14" t="s">
        <v>73</v>
      </c>
      <c r="E98" s="15" t="n">
        <v>1495000</v>
      </c>
      <c r="F98" s="15" t="n">
        <v>26402.26</v>
      </c>
      <c r="G98" s="15" t="n">
        <v>3300.28</v>
      </c>
      <c r="H98" s="15" t="n">
        <v>3300.28</v>
      </c>
      <c r="I98" s="15" t="n">
        <f aca="false">SUM(K98:T98)</f>
        <v>19801.7</v>
      </c>
      <c r="J98" s="15" t="n">
        <f aca="false">F98-(G98+H98+I98)</f>
        <v>0</v>
      </c>
      <c r="K98" s="15" t="n">
        <v>1980.17</v>
      </c>
      <c r="L98" s="15" t="n">
        <v>1980.17</v>
      </c>
      <c r="M98" s="15" t="n">
        <v>1980.17</v>
      </c>
      <c r="N98" s="15" t="n">
        <v>1980.17</v>
      </c>
      <c r="O98" s="15" t="n">
        <v>1980.17</v>
      </c>
      <c r="P98" s="15" t="n">
        <v>1980.17</v>
      </c>
      <c r="Q98" s="15" t="n">
        <v>1980.17</v>
      </c>
      <c r="R98" s="15" t="n">
        <v>1980.17</v>
      </c>
      <c r="S98" s="15" t="n">
        <v>1980.17</v>
      </c>
      <c r="T98" s="15" t="n">
        <v>1980.17</v>
      </c>
      <c r="U98" s="15" t="n">
        <v>350</v>
      </c>
      <c r="V98" s="15" t="n">
        <v>250</v>
      </c>
      <c r="W98" s="15" t="n">
        <f aca="false">U98+V98</f>
        <v>600</v>
      </c>
    </row>
    <row r="99" customFormat="false" ht="15" hidden="false" customHeight="false" outlineLevel="0" collapsed="false">
      <c r="A99" s="3" t="s">
        <v>311</v>
      </c>
      <c r="B99" s="3" t="s">
        <v>87</v>
      </c>
      <c r="C99" s="3" t="s">
        <v>269</v>
      </c>
      <c r="D99" s="3" t="s">
        <v>312</v>
      </c>
      <c r="E99" s="13" t="n">
        <v>335000</v>
      </c>
      <c r="F99" s="13" t="n">
        <v>5262.03</v>
      </c>
      <c r="G99" s="13" t="n">
        <v>657.75</v>
      </c>
      <c r="H99" s="13" t="n">
        <v>657.75</v>
      </c>
      <c r="I99" s="13" t="n">
        <f aca="false">SUM(K99:T99)</f>
        <v>3946.5</v>
      </c>
      <c r="J99" s="13" t="n">
        <f aca="false">F99-(G99+H99+I99)</f>
        <v>0.0299999999997453</v>
      </c>
      <c r="K99" s="13" t="n">
        <v>394.65</v>
      </c>
      <c r="L99" s="13" t="n">
        <v>394.65</v>
      </c>
      <c r="M99" s="13" t="n">
        <v>394.65</v>
      </c>
      <c r="N99" s="13" t="n">
        <v>394.65</v>
      </c>
      <c r="O99" s="13" t="n">
        <v>394.65</v>
      </c>
      <c r="P99" s="13" t="n">
        <v>394.65</v>
      </c>
      <c r="Q99" s="13" t="n">
        <v>394.65</v>
      </c>
      <c r="R99" s="13" t="n">
        <v>394.65</v>
      </c>
      <c r="S99" s="13" t="n">
        <v>394.65</v>
      </c>
      <c r="T99" s="13" t="n">
        <v>394.65</v>
      </c>
      <c r="U99" s="13" t="n">
        <v>350</v>
      </c>
      <c r="V99" s="13" t="n">
        <v>0</v>
      </c>
      <c r="W99" s="13" t="n">
        <f aca="false">U99+V99</f>
        <v>350</v>
      </c>
    </row>
    <row r="100" customFormat="false" ht="15" hidden="false" customHeight="false" outlineLevel="0" collapsed="false">
      <c r="A100" s="14" t="s">
        <v>313</v>
      </c>
      <c r="B100" s="14" t="s">
        <v>104</v>
      </c>
      <c r="C100" s="14" t="s">
        <v>314</v>
      </c>
      <c r="D100" s="14" t="s">
        <v>312</v>
      </c>
      <c r="E100" s="15" t="n">
        <v>1950000</v>
      </c>
      <c r="F100" s="15" t="n">
        <v>32671.7</v>
      </c>
      <c r="G100" s="15" t="n">
        <v>4083.96</v>
      </c>
      <c r="H100" s="15" t="n">
        <v>4083.96</v>
      </c>
      <c r="I100" s="15" t="n">
        <f aca="false">SUM(K100:T100)</f>
        <v>24503.8</v>
      </c>
      <c r="J100" s="15" t="n">
        <f aca="false">F100-(G100+H100+I100)</f>
        <v>-0.0200000000004366</v>
      </c>
      <c r="K100" s="15" t="n">
        <v>2450.38</v>
      </c>
      <c r="L100" s="15" t="n">
        <v>2450.38</v>
      </c>
      <c r="M100" s="15" t="n">
        <v>2450.38</v>
      </c>
      <c r="N100" s="15" t="n">
        <v>2450.38</v>
      </c>
      <c r="O100" s="15" t="n">
        <v>2450.38</v>
      </c>
      <c r="P100" s="15" t="n">
        <v>2450.38</v>
      </c>
      <c r="Q100" s="15" t="n">
        <v>2450.38</v>
      </c>
      <c r="R100" s="15" t="n">
        <v>2450.38</v>
      </c>
      <c r="S100" s="15" t="n">
        <v>2450.38</v>
      </c>
      <c r="T100" s="15" t="n">
        <v>2450.38</v>
      </c>
      <c r="U100" s="15" t="n">
        <v>350</v>
      </c>
      <c r="V100" s="15" t="n">
        <v>250</v>
      </c>
      <c r="W100" s="15" t="n">
        <f aca="false">U100+V100</f>
        <v>600</v>
      </c>
    </row>
    <row r="101" customFormat="false" ht="15" hidden="false" customHeight="false" outlineLevel="0" collapsed="false">
      <c r="A101" s="3" t="s">
        <v>315</v>
      </c>
      <c r="B101" s="3" t="s">
        <v>83</v>
      </c>
      <c r="C101" s="3" t="s">
        <v>316</v>
      </c>
      <c r="D101" s="3" t="s">
        <v>147</v>
      </c>
      <c r="E101" s="13" t="n">
        <v>1950000</v>
      </c>
      <c r="F101" s="13" t="n">
        <v>31494.34</v>
      </c>
      <c r="G101" s="13" t="n">
        <v>3936.79</v>
      </c>
      <c r="H101" s="13" t="n">
        <v>3936.79</v>
      </c>
      <c r="I101" s="13" t="n">
        <f aca="false">SUM(K101:T101)</f>
        <v>23620.8</v>
      </c>
      <c r="J101" s="13" t="n">
        <f aca="false">F101-(G101+H101+I101)</f>
        <v>-0.0400000000045111</v>
      </c>
      <c r="K101" s="13" t="n">
        <v>2362.08</v>
      </c>
      <c r="L101" s="13" t="n">
        <v>2362.08</v>
      </c>
      <c r="M101" s="13" t="n">
        <v>2362.08</v>
      </c>
      <c r="N101" s="13" t="n">
        <v>2362.08</v>
      </c>
      <c r="O101" s="13" t="n">
        <v>2362.08</v>
      </c>
      <c r="P101" s="13" t="n">
        <v>2362.08</v>
      </c>
      <c r="Q101" s="13" t="n">
        <v>2362.08</v>
      </c>
      <c r="R101" s="13" t="n">
        <v>2362.08</v>
      </c>
      <c r="S101" s="13" t="n">
        <v>2362.08</v>
      </c>
      <c r="T101" s="13" t="n">
        <v>2362.08</v>
      </c>
      <c r="U101" s="13" t="n">
        <v>350</v>
      </c>
      <c r="V101" s="13" t="n">
        <v>250</v>
      </c>
      <c r="W101" s="13" t="n">
        <f aca="false">U101+V101</f>
        <v>600</v>
      </c>
    </row>
    <row r="102" customFormat="false" ht="15" hidden="false" customHeight="false" outlineLevel="0" collapsed="false">
      <c r="A102" s="14" t="s">
        <v>317</v>
      </c>
      <c r="B102" s="14" t="s">
        <v>83</v>
      </c>
      <c r="C102" s="14" t="s">
        <v>318</v>
      </c>
      <c r="D102" s="14" t="s">
        <v>279</v>
      </c>
      <c r="E102" s="15" t="n">
        <v>525000</v>
      </c>
      <c r="F102" s="15" t="n">
        <v>3876.08</v>
      </c>
      <c r="G102" s="15" t="n">
        <v>484.51</v>
      </c>
      <c r="H102" s="15" t="n">
        <v>484.51</v>
      </c>
      <c r="I102" s="15" t="n">
        <f aca="false">SUM(K102:T102)</f>
        <v>2907.1</v>
      </c>
      <c r="J102" s="15" t="n">
        <f aca="false">F102-(G102+H102+I102)</f>
        <v>-0.0399999999999636</v>
      </c>
      <c r="K102" s="15" t="n">
        <v>290.71</v>
      </c>
      <c r="L102" s="15" t="n">
        <v>290.71</v>
      </c>
      <c r="M102" s="15" t="n">
        <v>290.71</v>
      </c>
      <c r="N102" s="15" t="n">
        <v>290.71</v>
      </c>
      <c r="O102" s="15" t="n">
        <v>290.71</v>
      </c>
      <c r="P102" s="15" t="n">
        <v>290.71</v>
      </c>
      <c r="Q102" s="15" t="n">
        <v>290.71</v>
      </c>
      <c r="R102" s="15" t="n">
        <v>290.71</v>
      </c>
      <c r="S102" s="15" t="n">
        <v>290.71</v>
      </c>
      <c r="T102" s="15" t="n">
        <v>290.71</v>
      </c>
      <c r="U102" s="15" t="n">
        <v>350</v>
      </c>
      <c r="V102" s="15" t="n">
        <v>0</v>
      </c>
      <c r="W102" s="15" t="n">
        <f aca="false">U102+V102</f>
        <v>350</v>
      </c>
    </row>
    <row r="103" customFormat="false" ht="15" hidden="false" customHeight="false" outlineLevel="0" collapsed="false">
      <c r="A103" s="3" t="s">
        <v>319</v>
      </c>
      <c r="B103" s="3" t="s">
        <v>104</v>
      </c>
      <c r="C103" s="3" t="s">
        <v>171</v>
      </c>
      <c r="D103" s="3" t="s">
        <v>77</v>
      </c>
      <c r="E103" s="13" t="n">
        <v>540000</v>
      </c>
      <c r="F103" s="13" t="n">
        <v>8410.75</v>
      </c>
      <c r="G103" s="13" t="n">
        <v>1051.34</v>
      </c>
      <c r="H103" s="13" t="n">
        <v>1051.34</v>
      </c>
      <c r="I103" s="13" t="n">
        <f aca="false">SUM(K103:T103)</f>
        <v>6308.1</v>
      </c>
      <c r="J103" s="13" t="n">
        <f aca="false">F103-(G103+H103+I103)</f>
        <v>-0.0299999999988358</v>
      </c>
      <c r="K103" s="13" t="n">
        <v>630.81</v>
      </c>
      <c r="L103" s="13" t="n">
        <v>630.81</v>
      </c>
      <c r="M103" s="13" t="n">
        <v>630.81</v>
      </c>
      <c r="N103" s="13" t="n">
        <v>630.81</v>
      </c>
      <c r="O103" s="13" t="n">
        <v>630.81</v>
      </c>
      <c r="P103" s="13" t="n">
        <v>630.81</v>
      </c>
      <c r="Q103" s="13" t="n">
        <v>630.81</v>
      </c>
      <c r="R103" s="13" t="n">
        <v>630.81</v>
      </c>
      <c r="S103" s="13" t="n">
        <v>630.81</v>
      </c>
      <c r="T103" s="13" t="n">
        <v>630.81</v>
      </c>
      <c r="U103" s="13" t="n">
        <v>350</v>
      </c>
      <c r="V103" s="13" t="n">
        <v>0</v>
      </c>
      <c r="W103" s="13" t="n">
        <f aca="false">U103+V103</f>
        <v>350</v>
      </c>
    </row>
    <row r="104" customFormat="false" ht="15" hidden="false" customHeight="false" outlineLevel="0" collapsed="false">
      <c r="A104" s="14" t="s">
        <v>320</v>
      </c>
      <c r="B104" s="14" t="s">
        <v>67</v>
      </c>
      <c r="C104" s="14" t="s">
        <v>321</v>
      </c>
      <c r="D104" s="14" t="s">
        <v>251</v>
      </c>
      <c r="E104" s="15" t="n">
        <v>590000</v>
      </c>
      <c r="F104" s="15" t="n">
        <v>8104.15</v>
      </c>
      <c r="G104" s="15" t="n">
        <v>1013.02</v>
      </c>
      <c r="H104" s="15" t="n">
        <v>1013.02</v>
      </c>
      <c r="I104" s="15" t="n">
        <f aca="false">SUM(K104:T104)</f>
        <v>6078.1</v>
      </c>
      <c r="J104" s="15" t="n">
        <f aca="false">F104-(G104+H104+I104)</f>
        <v>0.0100000000011278</v>
      </c>
      <c r="K104" s="15" t="n">
        <v>607.81</v>
      </c>
      <c r="L104" s="15" t="n">
        <v>607.81</v>
      </c>
      <c r="M104" s="15" t="n">
        <v>607.81</v>
      </c>
      <c r="N104" s="15" t="n">
        <v>607.81</v>
      </c>
      <c r="O104" s="15" t="n">
        <v>607.81</v>
      </c>
      <c r="P104" s="15" t="n">
        <v>607.81</v>
      </c>
      <c r="Q104" s="15" t="n">
        <v>607.81</v>
      </c>
      <c r="R104" s="15" t="n">
        <v>607.81</v>
      </c>
      <c r="S104" s="15" t="n">
        <v>607.81</v>
      </c>
      <c r="T104" s="15" t="n">
        <v>607.81</v>
      </c>
      <c r="U104" s="15" t="n">
        <v>350</v>
      </c>
      <c r="V104" s="15" t="n">
        <v>0</v>
      </c>
      <c r="W104" s="15" t="n">
        <f aca="false">U104+V104</f>
        <v>350</v>
      </c>
    </row>
    <row r="105" customFormat="false" ht="15" hidden="false" customHeight="false" outlineLevel="0" collapsed="false">
      <c r="A105" s="3" t="s">
        <v>322</v>
      </c>
      <c r="B105" s="3" t="s">
        <v>87</v>
      </c>
      <c r="C105" s="3" t="s">
        <v>323</v>
      </c>
      <c r="D105" s="3" t="s">
        <v>138</v>
      </c>
      <c r="E105" s="13" t="n">
        <v>400000</v>
      </c>
      <c r="F105" s="13" t="n">
        <v>9981.13</v>
      </c>
      <c r="G105" s="13" t="n">
        <v>1247.64</v>
      </c>
      <c r="H105" s="13" t="n">
        <v>1247.64</v>
      </c>
      <c r="I105" s="13" t="n">
        <f aca="false">SUM(K105:T105)</f>
        <v>7485.8</v>
      </c>
      <c r="J105" s="13" t="n">
        <f aca="false">F105-(G105+H105+I105)</f>
        <v>0.0499999999992724</v>
      </c>
      <c r="K105" s="13" t="n">
        <v>748.58</v>
      </c>
      <c r="L105" s="13" t="n">
        <v>748.58</v>
      </c>
      <c r="M105" s="13" t="n">
        <v>748.58</v>
      </c>
      <c r="N105" s="13" t="n">
        <v>748.58</v>
      </c>
      <c r="O105" s="13" t="n">
        <v>748.58</v>
      </c>
      <c r="P105" s="13" t="n">
        <v>748.58</v>
      </c>
      <c r="Q105" s="13" t="n">
        <v>748.58</v>
      </c>
      <c r="R105" s="13" t="n">
        <v>748.58</v>
      </c>
      <c r="S105" s="13" t="n">
        <v>748.58</v>
      </c>
      <c r="T105" s="13" t="n">
        <v>748.58</v>
      </c>
      <c r="U105" s="13" t="n">
        <v>350</v>
      </c>
      <c r="V105" s="13" t="n">
        <v>0</v>
      </c>
      <c r="W105" s="13" t="n">
        <f aca="false">U105+V105</f>
        <v>350</v>
      </c>
    </row>
    <row r="106" customFormat="false" ht="15" hidden="false" customHeight="false" outlineLevel="0" collapsed="false">
      <c r="A106" s="14" t="s">
        <v>324</v>
      </c>
      <c r="B106" s="14" t="s">
        <v>242</v>
      </c>
      <c r="C106" s="14" t="s">
        <v>283</v>
      </c>
      <c r="D106" s="14" t="s">
        <v>325</v>
      </c>
      <c r="E106" s="15" t="n">
        <v>380000</v>
      </c>
      <c r="F106" s="15" t="n">
        <v>7420.75</v>
      </c>
      <c r="G106" s="15" t="n">
        <v>927.59</v>
      </c>
      <c r="H106" s="15" t="n">
        <v>927.59</v>
      </c>
      <c r="I106" s="15" t="n">
        <f aca="false">SUM(K106:T106)</f>
        <v>5565.6</v>
      </c>
      <c r="J106" s="15" t="n">
        <f aca="false">F106-(G106+H106+I106)</f>
        <v>-0.0299999999988358</v>
      </c>
      <c r="K106" s="15" t="n">
        <v>556.56</v>
      </c>
      <c r="L106" s="15" t="n">
        <v>556.56</v>
      </c>
      <c r="M106" s="15" t="n">
        <v>556.56</v>
      </c>
      <c r="N106" s="15" t="n">
        <v>556.56</v>
      </c>
      <c r="O106" s="15" t="n">
        <v>556.56</v>
      </c>
      <c r="P106" s="15" t="n">
        <v>556.56</v>
      </c>
      <c r="Q106" s="15" t="n">
        <v>556.56</v>
      </c>
      <c r="R106" s="15" t="n">
        <v>556.56</v>
      </c>
      <c r="S106" s="15" t="n">
        <v>556.56</v>
      </c>
      <c r="T106" s="15" t="n">
        <v>556.56</v>
      </c>
      <c r="U106" s="15" t="n">
        <v>350</v>
      </c>
      <c r="V106" s="15" t="n">
        <v>0</v>
      </c>
      <c r="W106" s="15" t="n">
        <f aca="false">U106+V106</f>
        <v>350</v>
      </c>
    </row>
    <row r="107" customFormat="false" ht="15" hidden="false" customHeight="false" outlineLevel="0" collapsed="false">
      <c r="A107" s="3" t="s">
        <v>326</v>
      </c>
      <c r="B107" s="3" t="s">
        <v>149</v>
      </c>
      <c r="C107" s="3" t="s">
        <v>327</v>
      </c>
      <c r="D107" s="3" t="s">
        <v>328</v>
      </c>
      <c r="E107" s="13" t="n">
        <v>435000</v>
      </c>
      <c r="F107" s="13" t="n">
        <v>8002.36</v>
      </c>
      <c r="G107" s="13" t="n">
        <v>1000.29</v>
      </c>
      <c r="H107" s="13" t="n">
        <v>1000.29</v>
      </c>
      <c r="I107" s="13" t="n">
        <f aca="false">SUM(K107:T107)</f>
        <v>6001.8</v>
      </c>
      <c r="J107" s="13" t="n">
        <f aca="false">F107-(G107+H107+I107)</f>
        <v>-0.0200000000004366</v>
      </c>
      <c r="K107" s="13" t="n">
        <v>600.18</v>
      </c>
      <c r="L107" s="13" t="n">
        <v>600.18</v>
      </c>
      <c r="M107" s="13" t="n">
        <v>600.18</v>
      </c>
      <c r="N107" s="13" t="n">
        <v>600.18</v>
      </c>
      <c r="O107" s="13" t="n">
        <v>600.18</v>
      </c>
      <c r="P107" s="13" t="n">
        <v>600.18</v>
      </c>
      <c r="Q107" s="13" t="n">
        <v>600.18</v>
      </c>
      <c r="R107" s="13" t="n">
        <v>600.18</v>
      </c>
      <c r="S107" s="13" t="n">
        <v>600.18</v>
      </c>
      <c r="T107" s="13" t="n">
        <v>600.18</v>
      </c>
      <c r="U107" s="13" t="n">
        <v>350</v>
      </c>
      <c r="V107" s="13" t="n">
        <v>0</v>
      </c>
      <c r="W107" s="13" t="n">
        <f aca="false">U107+V107</f>
        <v>350</v>
      </c>
    </row>
    <row r="108" customFormat="false" ht="15" hidden="false" customHeight="false" outlineLevel="0" collapsed="false">
      <c r="A108" s="14" t="s">
        <v>329</v>
      </c>
      <c r="B108" s="14" t="s">
        <v>242</v>
      </c>
      <c r="C108" s="14" t="s">
        <v>330</v>
      </c>
      <c r="D108" s="14" t="s">
        <v>89</v>
      </c>
      <c r="E108" s="15" t="n">
        <v>295000</v>
      </c>
      <c r="F108" s="15" t="n">
        <v>8641.27</v>
      </c>
      <c r="G108" s="15" t="n">
        <v>1080.16</v>
      </c>
      <c r="H108" s="15" t="n">
        <v>1080.16</v>
      </c>
      <c r="I108" s="15" t="n">
        <f aca="false">SUM(K108:T108)</f>
        <v>6481</v>
      </c>
      <c r="J108" s="15" t="n">
        <f aca="false">F108-(G108+H108+I108)</f>
        <v>-0.0500000000010914</v>
      </c>
      <c r="K108" s="15" t="n">
        <v>648.1</v>
      </c>
      <c r="L108" s="15" t="n">
        <v>648.1</v>
      </c>
      <c r="M108" s="15" t="n">
        <v>648.1</v>
      </c>
      <c r="N108" s="15" t="n">
        <v>648.1</v>
      </c>
      <c r="O108" s="15" t="n">
        <v>648.1</v>
      </c>
      <c r="P108" s="15" t="n">
        <v>648.1</v>
      </c>
      <c r="Q108" s="15" t="n">
        <v>648.1</v>
      </c>
      <c r="R108" s="15" t="n">
        <v>648.1</v>
      </c>
      <c r="S108" s="15" t="n">
        <v>648.1</v>
      </c>
      <c r="T108" s="15" t="n">
        <v>648.1</v>
      </c>
      <c r="U108" s="15" t="n">
        <v>350</v>
      </c>
      <c r="V108" s="15" t="n">
        <v>0</v>
      </c>
      <c r="W108" s="15" t="n">
        <f aca="false">U108+V108</f>
        <v>350</v>
      </c>
    </row>
    <row r="109" customFormat="false" ht="15" hidden="false" customHeight="false" outlineLevel="0" collapsed="false">
      <c r="A109" s="3" t="s">
        <v>331</v>
      </c>
      <c r="B109" s="3" t="s">
        <v>205</v>
      </c>
      <c r="C109" s="3" t="s">
        <v>237</v>
      </c>
      <c r="D109" s="3" t="s">
        <v>153</v>
      </c>
      <c r="E109" s="13" t="n">
        <v>405000</v>
      </c>
      <c r="F109" s="13" t="n">
        <v>5685.28</v>
      </c>
      <c r="G109" s="13" t="n">
        <v>710.66</v>
      </c>
      <c r="H109" s="13" t="n">
        <v>710.66</v>
      </c>
      <c r="I109" s="13" t="n">
        <f aca="false">SUM(K109:T109)</f>
        <v>4264</v>
      </c>
      <c r="J109" s="13" t="n">
        <f aca="false">F109-(G109+H109+I109)</f>
        <v>-0.0399999999999636</v>
      </c>
      <c r="K109" s="13" t="n">
        <v>426.4</v>
      </c>
      <c r="L109" s="13" t="n">
        <v>426.4</v>
      </c>
      <c r="M109" s="13" t="n">
        <v>426.4</v>
      </c>
      <c r="N109" s="13" t="n">
        <v>426.4</v>
      </c>
      <c r="O109" s="13" t="n">
        <v>426.4</v>
      </c>
      <c r="P109" s="13" t="n">
        <v>426.4</v>
      </c>
      <c r="Q109" s="13" t="n">
        <v>426.4</v>
      </c>
      <c r="R109" s="13" t="n">
        <v>426.4</v>
      </c>
      <c r="S109" s="13" t="n">
        <v>426.4</v>
      </c>
      <c r="T109" s="13" t="n">
        <v>426.4</v>
      </c>
      <c r="U109" s="13" t="n">
        <v>350</v>
      </c>
      <c r="V109" s="13" t="n">
        <v>0</v>
      </c>
      <c r="W109" s="13" t="n">
        <f aca="false">U109+V109</f>
        <v>350</v>
      </c>
    </row>
    <row r="110" customFormat="false" ht="15" hidden="false" customHeight="false" outlineLevel="0" collapsed="false">
      <c r="A110" s="14" t="s">
        <v>332</v>
      </c>
      <c r="B110" s="14" t="s">
        <v>104</v>
      </c>
      <c r="C110" s="14" t="s">
        <v>333</v>
      </c>
      <c r="D110" s="14" t="s">
        <v>118</v>
      </c>
      <c r="E110" s="15" t="n">
        <v>290000</v>
      </c>
      <c r="F110" s="15" t="n">
        <v>5047.64</v>
      </c>
      <c r="G110" s="15" t="n">
        <v>630.96</v>
      </c>
      <c r="H110" s="15" t="n">
        <v>630.96</v>
      </c>
      <c r="I110" s="15" t="n">
        <f aca="false">SUM(K110:T110)</f>
        <v>3785.7</v>
      </c>
      <c r="J110" s="15" t="n">
        <f aca="false">F110-(G110+H110+I110)</f>
        <v>0.0199999999995271</v>
      </c>
      <c r="K110" s="15" t="n">
        <v>378.57</v>
      </c>
      <c r="L110" s="15" t="n">
        <v>378.57</v>
      </c>
      <c r="M110" s="15" t="n">
        <v>378.57</v>
      </c>
      <c r="N110" s="15" t="n">
        <v>378.57</v>
      </c>
      <c r="O110" s="15" t="n">
        <v>378.57</v>
      </c>
      <c r="P110" s="15" t="n">
        <v>378.57</v>
      </c>
      <c r="Q110" s="15" t="n">
        <v>378.57</v>
      </c>
      <c r="R110" s="15" t="n">
        <v>378.57</v>
      </c>
      <c r="S110" s="15" t="n">
        <v>378.57</v>
      </c>
      <c r="T110" s="15" t="n">
        <v>378.57</v>
      </c>
      <c r="U110" s="15" t="n">
        <v>350</v>
      </c>
      <c r="V110" s="15" t="n">
        <v>0</v>
      </c>
      <c r="W110" s="15" t="n">
        <f aca="false">U110+V110</f>
        <v>350</v>
      </c>
    </row>
    <row r="111" customFormat="false" ht="15" hidden="false" customHeight="false" outlineLevel="0" collapsed="false">
      <c r="A111" s="3" t="s">
        <v>334</v>
      </c>
      <c r="B111" s="3" t="s">
        <v>123</v>
      </c>
      <c r="C111" s="3" t="s">
        <v>335</v>
      </c>
      <c r="D111" s="3" t="s">
        <v>256</v>
      </c>
      <c r="E111" s="13" t="n">
        <v>460000</v>
      </c>
      <c r="F111" s="13" t="n">
        <v>8657.55</v>
      </c>
      <c r="G111" s="13" t="n">
        <v>1082.19</v>
      </c>
      <c r="H111" s="13" t="n">
        <v>1082.19</v>
      </c>
      <c r="I111" s="13" t="n">
        <f aca="false">SUM(K111:T111)</f>
        <v>6493.2</v>
      </c>
      <c r="J111" s="13" t="n">
        <f aca="false">F111-(G111+H111+I111)</f>
        <v>-0.0300000000006548</v>
      </c>
      <c r="K111" s="13" t="n">
        <v>649.32</v>
      </c>
      <c r="L111" s="13" t="n">
        <v>649.32</v>
      </c>
      <c r="M111" s="13" t="n">
        <v>649.32</v>
      </c>
      <c r="N111" s="13" t="n">
        <v>649.32</v>
      </c>
      <c r="O111" s="13" t="n">
        <v>649.32</v>
      </c>
      <c r="P111" s="13" t="n">
        <v>649.32</v>
      </c>
      <c r="Q111" s="13" t="n">
        <v>649.32</v>
      </c>
      <c r="R111" s="13" t="n">
        <v>649.32</v>
      </c>
      <c r="S111" s="13" t="n">
        <v>649.32</v>
      </c>
      <c r="T111" s="13" t="n">
        <v>649.32</v>
      </c>
      <c r="U111" s="13" t="n">
        <v>350</v>
      </c>
      <c r="V111" s="13" t="n">
        <v>0</v>
      </c>
      <c r="W111" s="13" t="n">
        <f aca="false">U111+V111</f>
        <v>350</v>
      </c>
    </row>
    <row r="112" customFormat="false" ht="15" hidden="false" customHeight="false" outlineLevel="0" collapsed="false">
      <c r="A112" s="14" t="s">
        <v>336</v>
      </c>
      <c r="B112" s="14" t="s">
        <v>168</v>
      </c>
      <c r="C112" s="14" t="s">
        <v>337</v>
      </c>
      <c r="D112" s="14" t="s">
        <v>338</v>
      </c>
      <c r="E112" s="15" t="n">
        <v>780000</v>
      </c>
      <c r="F112" s="15" t="n">
        <v>11861.89</v>
      </c>
      <c r="G112" s="15" t="n">
        <v>1482.74</v>
      </c>
      <c r="H112" s="15" t="n">
        <v>1482.74</v>
      </c>
      <c r="I112" s="15" t="n">
        <f aca="false">SUM(K112:T112)</f>
        <v>8896.4</v>
      </c>
      <c r="J112" s="15" t="n">
        <f aca="false">F112-(G112+H112+I112)</f>
        <v>0.0100000000002183</v>
      </c>
      <c r="K112" s="15" t="n">
        <v>889.64</v>
      </c>
      <c r="L112" s="15" t="n">
        <v>889.64</v>
      </c>
      <c r="M112" s="15" t="n">
        <v>889.64</v>
      </c>
      <c r="N112" s="15" t="n">
        <v>889.64</v>
      </c>
      <c r="O112" s="15" t="n">
        <v>889.64</v>
      </c>
      <c r="P112" s="15" t="n">
        <v>889.64</v>
      </c>
      <c r="Q112" s="15" t="n">
        <v>889.64</v>
      </c>
      <c r="R112" s="15" t="n">
        <v>889.64</v>
      </c>
      <c r="S112" s="15" t="n">
        <v>889.64</v>
      </c>
      <c r="T112" s="15" t="n">
        <v>889.64</v>
      </c>
      <c r="U112" s="15" t="n">
        <v>350</v>
      </c>
      <c r="V112" s="15" t="n">
        <v>0</v>
      </c>
      <c r="W112" s="15" t="n">
        <f aca="false">U112+V112</f>
        <v>350</v>
      </c>
    </row>
    <row r="113" customFormat="false" ht="15" hidden="false" customHeight="false" outlineLevel="0" collapsed="false">
      <c r="A113" s="3" t="s">
        <v>339</v>
      </c>
      <c r="B113" s="3" t="s">
        <v>104</v>
      </c>
      <c r="C113" s="3" t="s">
        <v>340</v>
      </c>
      <c r="D113" s="3" t="s">
        <v>298</v>
      </c>
      <c r="E113" s="13" t="n">
        <v>1355000</v>
      </c>
      <c r="F113" s="13" t="n">
        <v>17717.26</v>
      </c>
      <c r="G113" s="13" t="n">
        <v>2214.66</v>
      </c>
      <c r="H113" s="13" t="n">
        <v>2214.66</v>
      </c>
      <c r="I113" s="13" t="n">
        <f aca="false">SUM(K113:T113)</f>
        <v>13287.9</v>
      </c>
      <c r="J113" s="13" t="n">
        <f aca="false">F113-(G113+H113+I113)</f>
        <v>0.0399999999972351</v>
      </c>
      <c r="K113" s="13" t="n">
        <v>1328.79</v>
      </c>
      <c r="L113" s="13" t="n">
        <v>1328.79</v>
      </c>
      <c r="M113" s="13" t="n">
        <v>1328.79</v>
      </c>
      <c r="N113" s="13" t="n">
        <v>1328.79</v>
      </c>
      <c r="O113" s="13" t="n">
        <v>1328.79</v>
      </c>
      <c r="P113" s="13" t="n">
        <v>1328.79</v>
      </c>
      <c r="Q113" s="13" t="n">
        <v>1328.79</v>
      </c>
      <c r="R113" s="13" t="n">
        <v>1328.79</v>
      </c>
      <c r="S113" s="13" t="n">
        <v>1328.79</v>
      </c>
      <c r="T113" s="13" t="n">
        <v>1328.79</v>
      </c>
      <c r="U113" s="13" t="n">
        <v>350</v>
      </c>
      <c r="V113" s="13" t="n">
        <v>250</v>
      </c>
      <c r="W113" s="13" t="n">
        <f aca="false">U113+V113</f>
        <v>600</v>
      </c>
    </row>
    <row r="114" customFormat="false" ht="15" hidden="false" customHeight="false" outlineLevel="0" collapsed="false">
      <c r="A114" s="14" t="s">
        <v>341</v>
      </c>
      <c r="B114" s="14" t="s">
        <v>107</v>
      </c>
      <c r="C114" s="14" t="s">
        <v>342</v>
      </c>
      <c r="D114" s="14" t="s">
        <v>93</v>
      </c>
      <c r="E114" s="15" t="n">
        <v>395000</v>
      </c>
      <c r="F114" s="15" t="n">
        <v>7154.72</v>
      </c>
      <c r="G114" s="15" t="n">
        <v>894.34</v>
      </c>
      <c r="H114" s="15" t="n">
        <v>894.34</v>
      </c>
      <c r="I114" s="15" t="n">
        <f aca="false">SUM(K114:T114)</f>
        <v>5366</v>
      </c>
      <c r="J114" s="15" t="n">
        <f aca="false">F114-(G114+H114+I114)</f>
        <v>0.0399999999990541</v>
      </c>
      <c r="K114" s="15" t="n">
        <v>536.6</v>
      </c>
      <c r="L114" s="15" t="n">
        <v>536.6</v>
      </c>
      <c r="M114" s="15" t="n">
        <v>536.6</v>
      </c>
      <c r="N114" s="15" t="n">
        <v>536.6</v>
      </c>
      <c r="O114" s="15" t="n">
        <v>536.6</v>
      </c>
      <c r="P114" s="15" t="n">
        <v>536.6</v>
      </c>
      <c r="Q114" s="15" t="n">
        <v>536.6</v>
      </c>
      <c r="R114" s="15" t="n">
        <v>536.6</v>
      </c>
      <c r="S114" s="15" t="n">
        <v>536.6</v>
      </c>
      <c r="T114" s="15" t="n">
        <v>536.6</v>
      </c>
      <c r="U114" s="15" t="n">
        <v>350</v>
      </c>
      <c r="V114" s="15" t="n">
        <v>0</v>
      </c>
      <c r="W114" s="15" t="n">
        <f aca="false">U114+V114</f>
        <v>350</v>
      </c>
    </row>
    <row r="115" customFormat="false" ht="15" hidden="false" customHeight="false" outlineLevel="0" collapsed="false">
      <c r="A115" s="3" t="s">
        <v>343</v>
      </c>
      <c r="B115" s="3" t="s">
        <v>107</v>
      </c>
      <c r="C115" s="3" t="s">
        <v>137</v>
      </c>
      <c r="D115" s="3" t="s">
        <v>93</v>
      </c>
      <c r="E115" s="13" t="n">
        <v>380000</v>
      </c>
      <c r="F115" s="13" t="n">
        <v>4405.13</v>
      </c>
      <c r="G115" s="13" t="n">
        <v>550.64</v>
      </c>
      <c r="H115" s="13" t="n">
        <v>550.64</v>
      </c>
      <c r="I115" s="13" t="n">
        <f aca="false">SUM(K115:T115)</f>
        <v>3303.8</v>
      </c>
      <c r="J115" s="13" t="n">
        <f aca="false">F115-(G115+H115+I115)</f>
        <v>0.0500000000001819</v>
      </c>
      <c r="K115" s="13" t="n">
        <v>330.38</v>
      </c>
      <c r="L115" s="13" t="n">
        <v>330.38</v>
      </c>
      <c r="M115" s="13" t="n">
        <v>330.38</v>
      </c>
      <c r="N115" s="13" t="n">
        <v>330.38</v>
      </c>
      <c r="O115" s="13" t="n">
        <v>330.38</v>
      </c>
      <c r="P115" s="13" t="n">
        <v>330.38</v>
      </c>
      <c r="Q115" s="13" t="n">
        <v>330.38</v>
      </c>
      <c r="R115" s="13" t="n">
        <v>330.38</v>
      </c>
      <c r="S115" s="13" t="n">
        <v>330.38</v>
      </c>
      <c r="T115" s="13" t="n">
        <v>330.38</v>
      </c>
      <c r="U115" s="13" t="n">
        <v>350</v>
      </c>
      <c r="V115" s="13" t="n">
        <v>0</v>
      </c>
      <c r="W115" s="13" t="n">
        <f aca="false">U115+V115</f>
        <v>350</v>
      </c>
    </row>
    <row r="116" customFormat="false" ht="15" hidden="false" customHeight="false" outlineLevel="0" collapsed="false">
      <c r="A116" s="14" t="s">
        <v>344</v>
      </c>
      <c r="B116" s="14" t="s">
        <v>142</v>
      </c>
      <c r="C116" s="14" t="s">
        <v>345</v>
      </c>
      <c r="D116" s="14" t="s">
        <v>93</v>
      </c>
      <c r="E116" s="15" t="n">
        <v>590000</v>
      </c>
      <c r="F116" s="15" t="n">
        <v>9261.89</v>
      </c>
      <c r="G116" s="15" t="n">
        <v>1157.74</v>
      </c>
      <c r="H116" s="15" t="n">
        <v>1157.74</v>
      </c>
      <c r="I116" s="15" t="n">
        <f aca="false">SUM(K116:T116)</f>
        <v>6946.4</v>
      </c>
      <c r="J116" s="15" t="n">
        <f aca="false">F116-(G116+H116+I116)</f>
        <v>0.00999999999839929</v>
      </c>
      <c r="K116" s="15" t="n">
        <v>694.64</v>
      </c>
      <c r="L116" s="15" t="n">
        <v>694.64</v>
      </c>
      <c r="M116" s="15" t="n">
        <v>694.64</v>
      </c>
      <c r="N116" s="15" t="n">
        <v>694.64</v>
      </c>
      <c r="O116" s="15" t="n">
        <v>694.64</v>
      </c>
      <c r="P116" s="15" t="n">
        <v>694.64</v>
      </c>
      <c r="Q116" s="15" t="n">
        <v>694.64</v>
      </c>
      <c r="R116" s="15" t="n">
        <v>694.64</v>
      </c>
      <c r="S116" s="15" t="n">
        <v>694.64</v>
      </c>
      <c r="T116" s="15" t="n">
        <v>694.64</v>
      </c>
      <c r="U116" s="15" t="n">
        <v>350</v>
      </c>
      <c r="V116" s="15" t="n">
        <v>0</v>
      </c>
      <c r="W116" s="15" t="n">
        <f aca="false">U116+V116</f>
        <v>350</v>
      </c>
    </row>
    <row r="117" customFormat="false" ht="15" hidden="false" customHeight="false" outlineLevel="0" collapsed="false">
      <c r="A117" s="3" t="s">
        <v>346</v>
      </c>
      <c r="B117" s="3" t="s">
        <v>149</v>
      </c>
      <c r="C117" s="3" t="s">
        <v>347</v>
      </c>
      <c r="D117" s="3" t="s">
        <v>138</v>
      </c>
      <c r="E117" s="13" t="n">
        <v>590000</v>
      </c>
      <c r="F117" s="13" t="n">
        <v>8321.23</v>
      </c>
      <c r="G117" s="13" t="n">
        <v>1040.15</v>
      </c>
      <c r="H117" s="13" t="n">
        <v>1040.15</v>
      </c>
      <c r="I117" s="13" t="n">
        <f aca="false">SUM(K117:T117)</f>
        <v>6240.9</v>
      </c>
      <c r="J117" s="13" t="n">
        <f aca="false">F117-(G117+H117+I117)</f>
        <v>0.0299999999988358</v>
      </c>
      <c r="K117" s="13" t="n">
        <v>624.09</v>
      </c>
      <c r="L117" s="13" t="n">
        <v>624.09</v>
      </c>
      <c r="M117" s="13" t="n">
        <v>624.09</v>
      </c>
      <c r="N117" s="13" t="n">
        <v>624.09</v>
      </c>
      <c r="O117" s="13" t="n">
        <v>624.09</v>
      </c>
      <c r="P117" s="13" t="n">
        <v>624.09</v>
      </c>
      <c r="Q117" s="13" t="n">
        <v>624.09</v>
      </c>
      <c r="R117" s="13" t="n">
        <v>624.09</v>
      </c>
      <c r="S117" s="13" t="n">
        <v>624.09</v>
      </c>
      <c r="T117" s="13" t="n">
        <v>624.09</v>
      </c>
      <c r="U117" s="13" t="n">
        <v>350</v>
      </c>
      <c r="V117" s="13" t="n">
        <v>0</v>
      </c>
      <c r="W117" s="13" t="n">
        <f aca="false">U117+V117</f>
        <v>350</v>
      </c>
    </row>
    <row r="118" customFormat="false" ht="15" hidden="false" customHeight="false" outlineLevel="0" collapsed="false">
      <c r="A118" s="14" t="s">
        <v>348</v>
      </c>
      <c r="B118" s="14" t="s">
        <v>187</v>
      </c>
      <c r="C118" s="14" t="s">
        <v>349</v>
      </c>
      <c r="D118" s="14" t="s">
        <v>298</v>
      </c>
      <c r="E118" s="15" t="n">
        <v>285000</v>
      </c>
      <c r="F118" s="15" t="n">
        <v>5081.6</v>
      </c>
      <c r="G118" s="15" t="n">
        <v>635.2</v>
      </c>
      <c r="H118" s="15" t="n">
        <v>635.2</v>
      </c>
      <c r="I118" s="15" t="n">
        <f aca="false">SUM(K118:T118)</f>
        <v>3811.2</v>
      </c>
      <c r="J118" s="15" t="n">
        <f aca="false">F118-(G118+H118+I118)</f>
        <v>0</v>
      </c>
      <c r="K118" s="15" t="n">
        <v>381.12</v>
      </c>
      <c r="L118" s="15" t="n">
        <v>381.12</v>
      </c>
      <c r="M118" s="15" t="n">
        <v>381.12</v>
      </c>
      <c r="N118" s="15" t="n">
        <v>381.12</v>
      </c>
      <c r="O118" s="15" t="n">
        <v>381.12</v>
      </c>
      <c r="P118" s="15" t="n">
        <v>381.12</v>
      </c>
      <c r="Q118" s="15" t="n">
        <v>381.12</v>
      </c>
      <c r="R118" s="15" t="n">
        <v>381.12</v>
      </c>
      <c r="S118" s="15" t="n">
        <v>381.12</v>
      </c>
      <c r="T118" s="15" t="n">
        <v>381.12</v>
      </c>
      <c r="U118" s="15" t="n">
        <v>350</v>
      </c>
      <c r="V118" s="15" t="n">
        <v>0</v>
      </c>
      <c r="W118" s="15" t="n">
        <f aca="false">U118+V118</f>
        <v>350</v>
      </c>
    </row>
    <row r="119" customFormat="false" ht="15" hidden="false" customHeight="false" outlineLevel="0" collapsed="false">
      <c r="A119" s="3" t="s">
        <v>350</v>
      </c>
      <c r="B119" s="3" t="s">
        <v>75</v>
      </c>
      <c r="C119" s="3" t="s">
        <v>351</v>
      </c>
      <c r="D119" s="3" t="s">
        <v>352</v>
      </c>
      <c r="E119" s="13" t="n">
        <v>515000</v>
      </c>
      <c r="F119" s="13" t="n">
        <v>4172.47</v>
      </c>
      <c r="G119" s="13" t="n">
        <v>521.56</v>
      </c>
      <c r="H119" s="13" t="n">
        <v>521.56</v>
      </c>
      <c r="I119" s="13" t="n">
        <f aca="false">SUM(K119:T119)</f>
        <v>3129.4</v>
      </c>
      <c r="J119" s="13" t="n">
        <f aca="false">F119-(G119+H119+I119)</f>
        <v>-0.0500000000001819</v>
      </c>
      <c r="K119" s="13" t="n">
        <v>312.94</v>
      </c>
      <c r="L119" s="13" t="n">
        <v>312.94</v>
      </c>
      <c r="M119" s="13" t="n">
        <v>312.94</v>
      </c>
      <c r="N119" s="13" t="n">
        <v>312.94</v>
      </c>
      <c r="O119" s="13" t="n">
        <v>312.94</v>
      </c>
      <c r="P119" s="13" t="n">
        <v>312.94</v>
      </c>
      <c r="Q119" s="13" t="n">
        <v>312.94</v>
      </c>
      <c r="R119" s="13" t="n">
        <v>312.94</v>
      </c>
      <c r="S119" s="13" t="n">
        <v>312.94</v>
      </c>
      <c r="T119" s="13" t="n">
        <v>312.94</v>
      </c>
      <c r="U119" s="13" t="n">
        <v>350</v>
      </c>
      <c r="V119" s="13" t="n">
        <v>0</v>
      </c>
      <c r="W119" s="13" t="n">
        <f aca="false">U119+V119</f>
        <v>350</v>
      </c>
    </row>
    <row r="120" customFormat="false" ht="15" hidden="false" customHeight="false" outlineLevel="0" collapsed="false">
      <c r="A120" s="14" t="s">
        <v>353</v>
      </c>
      <c r="B120" s="14" t="s">
        <v>260</v>
      </c>
      <c r="C120" s="14" t="s">
        <v>354</v>
      </c>
      <c r="D120" s="14" t="s">
        <v>93</v>
      </c>
      <c r="E120" s="15" t="n">
        <v>405000</v>
      </c>
      <c r="F120" s="15" t="n">
        <v>4694.94</v>
      </c>
      <c r="G120" s="15" t="n">
        <v>586.87</v>
      </c>
      <c r="H120" s="15" t="n">
        <v>586.87</v>
      </c>
      <c r="I120" s="15" t="n">
        <f aca="false">SUM(K120:T120)</f>
        <v>3521.2</v>
      </c>
      <c r="J120" s="15" t="n">
        <f aca="false">F120-(G120+H120+I120)</f>
        <v>0</v>
      </c>
      <c r="K120" s="15" t="n">
        <v>352.12</v>
      </c>
      <c r="L120" s="15" t="n">
        <v>352.12</v>
      </c>
      <c r="M120" s="15" t="n">
        <v>352.12</v>
      </c>
      <c r="N120" s="15" t="n">
        <v>352.12</v>
      </c>
      <c r="O120" s="15" t="n">
        <v>352.12</v>
      </c>
      <c r="P120" s="15" t="n">
        <v>352.12</v>
      </c>
      <c r="Q120" s="15" t="n">
        <v>352.12</v>
      </c>
      <c r="R120" s="15" t="n">
        <v>352.12</v>
      </c>
      <c r="S120" s="15" t="n">
        <v>352.12</v>
      </c>
      <c r="T120" s="15" t="n">
        <v>352.12</v>
      </c>
      <c r="U120" s="15" t="n">
        <v>350</v>
      </c>
      <c r="V120" s="15" t="n">
        <v>0</v>
      </c>
      <c r="W120" s="15" t="n">
        <f aca="false">U120+V120</f>
        <v>350</v>
      </c>
    </row>
    <row r="121" customFormat="false" ht="15" hidden="false" customHeight="false" outlineLevel="0" collapsed="false">
      <c r="A121" s="3" t="s">
        <v>355</v>
      </c>
      <c r="B121" s="3" t="s">
        <v>195</v>
      </c>
      <c r="C121" s="3" t="s">
        <v>356</v>
      </c>
      <c r="D121" s="3" t="s">
        <v>118</v>
      </c>
      <c r="E121" s="13" t="n">
        <v>1595000</v>
      </c>
      <c r="F121" s="13" t="n">
        <v>20358.82</v>
      </c>
      <c r="G121" s="13" t="n">
        <v>2544.85</v>
      </c>
      <c r="H121" s="13" t="n">
        <v>2544.85</v>
      </c>
      <c r="I121" s="13" t="n">
        <f aca="false">SUM(K121:T121)</f>
        <v>15269.1</v>
      </c>
      <c r="J121" s="13" t="n">
        <f aca="false">F121-(G121+H121+I121)</f>
        <v>0.0200000000004366</v>
      </c>
      <c r="K121" s="13" t="n">
        <v>1526.91</v>
      </c>
      <c r="L121" s="13" t="n">
        <v>1526.91</v>
      </c>
      <c r="M121" s="13" t="n">
        <v>1526.91</v>
      </c>
      <c r="N121" s="13" t="n">
        <v>1526.91</v>
      </c>
      <c r="O121" s="13" t="n">
        <v>1526.91</v>
      </c>
      <c r="P121" s="13" t="n">
        <v>1526.91</v>
      </c>
      <c r="Q121" s="13" t="n">
        <v>1526.91</v>
      </c>
      <c r="R121" s="13" t="n">
        <v>1526.91</v>
      </c>
      <c r="S121" s="13" t="n">
        <v>1526.91</v>
      </c>
      <c r="T121" s="13" t="n">
        <v>1526.91</v>
      </c>
      <c r="U121" s="13" t="n">
        <v>350</v>
      </c>
      <c r="V121" s="13" t="n">
        <v>250</v>
      </c>
      <c r="W121" s="13" t="n">
        <f aca="false">U121+V121</f>
        <v>600</v>
      </c>
    </row>
    <row r="122" customFormat="false" ht="15" hidden="false" customHeight="false" outlineLevel="0" collapsed="false">
      <c r="A122" s="14" t="s">
        <v>357</v>
      </c>
      <c r="B122" s="14" t="s">
        <v>95</v>
      </c>
      <c r="C122" s="14" t="s">
        <v>358</v>
      </c>
      <c r="D122" s="14" t="s">
        <v>157</v>
      </c>
      <c r="E122" s="15" t="n">
        <v>325000</v>
      </c>
      <c r="F122" s="15" t="n">
        <v>10013.68</v>
      </c>
      <c r="G122" s="15" t="n">
        <v>1251.71</v>
      </c>
      <c r="H122" s="15" t="n">
        <v>1251.71</v>
      </c>
      <c r="I122" s="15" t="n">
        <f aca="false">SUM(K122:T122)</f>
        <v>7510.3</v>
      </c>
      <c r="J122" s="15" t="n">
        <f aca="false">F122-(G122+H122+I122)</f>
        <v>-0.0399999999990541</v>
      </c>
      <c r="K122" s="15" t="n">
        <v>751.03</v>
      </c>
      <c r="L122" s="15" t="n">
        <v>751.03</v>
      </c>
      <c r="M122" s="15" t="n">
        <v>751.03</v>
      </c>
      <c r="N122" s="15" t="n">
        <v>751.03</v>
      </c>
      <c r="O122" s="15" t="n">
        <v>751.03</v>
      </c>
      <c r="P122" s="15" t="n">
        <v>751.03</v>
      </c>
      <c r="Q122" s="15" t="n">
        <v>751.03</v>
      </c>
      <c r="R122" s="15" t="n">
        <v>751.03</v>
      </c>
      <c r="S122" s="15" t="n">
        <v>751.03</v>
      </c>
      <c r="T122" s="15" t="n">
        <v>751.03</v>
      </c>
      <c r="U122" s="15" t="n">
        <v>350</v>
      </c>
      <c r="V122" s="15" t="n">
        <v>0</v>
      </c>
      <c r="W122" s="15" t="n">
        <f aca="false">U122+V122</f>
        <v>350</v>
      </c>
    </row>
    <row r="123" customFormat="false" ht="15" hidden="false" customHeight="false" outlineLevel="0" collapsed="false">
      <c r="A123" s="3" t="s">
        <v>359</v>
      </c>
      <c r="B123" s="3" t="s">
        <v>91</v>
      </c>
      <c r="C123" s="3" t="s">
        <v>169</v>
      </c>
      <c r="D123" s="3" t="s">
        <v>121</v>
      </c>
      <c r="E123" s="13" t="n">
        <v>1265000</v>
      </c>
      <c r="F123" s="13" t="n">
        <v>16015.38</v>
      </c>
      <c r="G123" s="13" t="n">
        <v>2001.92</v>
      </c>
      <c r="H123" s="13" t="n">
        <v>2001.92</v>
      </c>
      <c r="I123" s="13" t="n">
        <f aca="false">SUM(K123:T123)</f>
        <v>12011.5</v>
      </c>
      <c r="J123" s="13" t="n">
        <f aca="false">F123-(G123+H123+I123)</f>
        <v>0.0399999999990541</v>
      </c>
      <c r="K123" s="13" t="n">
        <v>1201.15</v>
      </c>
      <c r="L123" s="13" t="n">
        <v>1201.15</v>
      </c>
      <c r="M123" s="13" t="n">
        <v>1201.15</v>
      </c>
      <c r="N123" s="13" t="n">
        <v>1201.15</v>
      </c>
      <c r="O123" s="13" t="n">
        <v>1201.15</v>
      </c>
      <c r="P123" s="13" t="n">
        <v>1201.15</v>
      </c>
      <c r="Q123" s="13" t="n">
        <v>1201.15</v>
      </c>
      <c r="R123" s="13" t="n">
        <v>1201.15</v>
      </c>
      <c r="S123" s="13" t="n">
        <v>1201.15</v>
      </c>
      <c r="T123" s="13" t="n">
        <v>1201.15</v>
      </c>
      <c r="U123" s="13" t="n">
        <v>350</v>
      </c>
      <c r="V123" s="13" t="n">
        <v>250</v>
      </c>
      <c r="W123" s="13" t="n">
        <f aca="false">U123+V123</f>
        <v>600</v>
      </c>
    </row>
    <row r="124" customFormat="false" ht="15" hidden="false" customHeight="false" outlineLevel="0" collapsed="false">
      <c r="A124" s="14" t="s">
        <v>360</v>
      </c>
      <c r="B124" s="14" t="s">
        <v>260</v>
      </c>
      <c r="C124" s="14" t="s">
        <v>225</v>
      </c>
      <c r="D124" s="14" t="s">
        <v>193</v>
      </c>
      <c r="E124" s="15" t="n">
        <v>645000</v>
      </c>
      <c r="F124" s="15" t="n">
        <v>9887.97</v>
      </c>
      <c r="G124" s="15" t="n">
        <v>1236</v>
      </c>
      <c r="H124" s="15" t="n">
        <v>1236</v>
      </c>
      <c r="I124" s="15" t="n">
        <f aca="false">SUM(K124:T124)</f>
        <v>7416</v>
      </c>
      <c r="J124" s="15" t="n">
        <f aca="false">F124-(G124+H124+I124)</f>
        <v>-0.0300000000006548</v>
      </c>
      <c r="K124" s="15" t="n">
        <v>741.6</v>
      </c>
      <c r="L124" s="15" t="n">
        <v>741.6</v>
      </c>
      <c r="M124" s="15" t="n">
        <v>741.6</v>
      </c>
      <c r="N124" s="15" t="n">
        <v>741.6</v>
      </c>
      <c r="O124" s="15" t="n">
        <v>741.6</v>
      </c>
      <c r="P124" s="15" t="n">
        <v>741.6</v>
      </c>
      <c r="Q124" s="15" t="n">
        <v>741.6</v>
      </c>
      <c r="R124" s="15" t="n">
        <v>741.6</v>
      </c>
      <c r="S124" s="15" t="n">
        <v>741.6</v>
      </c>
      <c r="T124" s="15" t="n">
        <v>741.6</v>
      </c>
      <c r="U124" s="15" t="n">
        <v>350</v>
      </c>
      <c r="V124" s="15" t="n">
        <v>0</v>
      </c>
      <c r="W124" s="15" t="n">
        <f aca="false">U124+V124</f>
        <v>350</v>
      </c>
    </row>
    <row r="125" customFormat="false" ht="15" hidden="false" customHeight="false" outlineLevel="0" collapsed="false">
      <c r="A125" s="3" t="s">
        <v>361</v>
      </c>
      <c r="B125" s="3" t="s">
        <v>67</v>
      </c>
      <c r="C125" s="3" t="s">
        <v>362</v>
      </c>
      <c r="D125" s="3" t="s">
        <v>115</v>
      </c>
      <c r="E125" s="13" t="n">
        <v>735000</v>
      </c>
      <c r="F125" s="13" t="n">
        <v>17390.38</v>
      </c>
      <c r="G125" s="13" t="n">
        <v>2173.8</v>
      </c>
      <c r="H125" s="13" t="n">
        <v>2173.8</v>
      </c>
      <c r="I125" s="13" t="n">
        <f aca="false">SUM(K125:T125)</f>
        <v>13042.8</v>
      </c>
      <c r="J125" s="13" t="n">
        <f aca="false">F125-(G125+H125+I125)</f>
        <v>-0.0200000000004366</v>
      </c>
      <c r="K125" s="13" t="n">
        <v>1304.28</v>
      </c>
      <c r="L125" s="13" t="n">
        <v>1304.28</v>
      </c>
      <c r="M125" s="13" t="n">
        <v>1304.28</v>
      </c>
      <c r="N125" s="13" t="n">
        <v>1304.28</v>
      </c>
      <c r="O125" s="13" t="n">
        <v>1304.28</v>
      </c>
      <c r="P125" s="13" t="n">
        <v>1304.28</v>
      </c>
      <c r="Q125" s="13" t="n">
        <v>1304.28</v>
      </c>
      <c r="R125" s="13" t="n">
        <v>1304.28</v>
      </c>
      <c r="S125" s="13" t="n">
        <v>1304.28</v>
      </c>
      <c r="T125" s="13" t="n">
        <v>1304.28</v>
      </c>
      <c r="U125" s="13" t="n">
        <v>350</v>
      </c>
      <c r="V125" s="13" t="n">
        <v>0</v>
      </c>
      <c r="W125" s="13" t="n">
        <f aca="false">U125+V125</f>
        <v>350</v>
      </c>
    </row>
    <row r="126" customFormat="false" ht="15" hidden="false" customHeight="false" outlineLevel="0" collapsed="false">
      <c r="A126" s="14" t="s">
        <v>363</v>
      </c>
      <c r="B126" s="14" t="s">
        <v>130</v>
      </c>
      <c r="C126" s="14" t="s">
        <v>364</v>
      </c>
      <c r="D126" s="14" t="s">
        <v>208</v>
      </c>
      <c r="E126" s="15" t="n">
        <v>960000</v>
      </c>
      <c r="F126" s="15" t="n">
        <v>22369.81</v>
      </c>
      <c r="G126" s="15" t="n">
        <v>2796.23</v>
      </c>
      <c r="H126" s="15" t="n">
        <v>2796.23</v>
      </c>
      <c r="I126" s="15" t="n">
        <f aca="false">SUM(K126:T126)</f>
        <v>16777.4</v>
      </c>
      <c r="J126" s="15" t="n">
        <f aca="false">F126-(G126+H126+I126)</f>
        <v>-0.0499999999992724</v>
      </c>
      <c r="K126" s="15" t="n">
        <v>1677.74</v>
      </c>
      <c r="L126" s="15" t="n">
        <v>1677.74</v>
      </c>
      <c r="M126" s="15" t="n">
        <v>1677.74</v>
      </c>
      <c r="N126" s="15" t="n">
        <v>1677.74</v>
      </c>
      <c r="O126" s="15" t="n">
        <v>1677.74</v>
      </c>
      <c r="P126" s="15" t="n">
        <v>1677.74</v>
      </c>
      <c r="Q126" s="15" t="n">
        <v>1677.74</v>
      </c>
      <c r="R126" s="15" t="n">
        <v>1677.74</v>
      </c>
      <c r="S126" s="15" t="n">
        <v>1677.74</v>
      </c>
      <c r="T126" s="15" t="n">
        <v>1677.74</v>
      </c>
      <c r="U126" s="15" t="n">
        <v>350</v>
      </c>
      <c r="V126" s="15" t="n">
        <v>0</v>
      </c>
      <c r="W126" s="15" t="n">
        <f aca="false">U126+V126</f>
        <v>350</v>
      </c>
    </row>
    <row r="127" customFormat="false" ht="15" hidden="false" customHeight="false" outlineLevel="0" collapsed="false">
      <c r="A127" s="3" t="s">
        <v>365</v>
      </c>
      <c r="B127" s="3" t="s">
        <v>91</v>
      </c>
      <c r="C127" s="3" t="s">
        <v>366</v>
      </c>
      <c r="D127" s="3" t="s">
        <v>125</v>
      </c>
      <c r="E127" s="13" t="n">
        <v>620000</v>
      </c>
      <c r="F127" s="13" t="n">
        <v>7299.62</v>
      </c>
      <c r="G127" s="13" t="n">
        <v>912.45</v>
      </c>
      <c r="H127" s="13" t="n">
        <v>912.45</v>
      </c>
      <c r="I127" s="13" t="n">
        <f aca="false">SUM(K127:T127)</f>
        <v>5474.7</v>
      </c>
      <c r="J127" s="13" t="n">
        <f aca="false">F127-(G127+H127+I127)</f>
        <v>0.0199999999995271</v>
      </c>
      <c r="K127" s="13" t="n">
        <v>547.47</v>
      </c>
      <c r="L127" s="13" t="n">
        <v>547.47</v>
      </c>
      <c r="M127" s="13" t="n">
        <v>547.47</v>
      </c>
      <c r="N127" s="13" t="n">
        <v>547.47</v>
      </c>
      <c r="O127" s="13" t="n">
        <v>547.47</v>
      </c>
      <c r="P127" s="13" t="n">
        <v>547.47</v>
      </c>
      <c r="Q127" s="13" t="n">
        <v>547.47</v>
      </c>
      <c r="R127" s="13" t="n">
        <v>547.47</v>
      </c>
      <c r="S127" s="13" t="n">
        <v>547.47</v>
      </c>
      <c r="T127" s="13" t="n">
        <v>547.47</v>
      </c>
      <c r="U127" s="13" t="n">
        <v>350</v>
      </c>
      <c r="V127" s="13" t="n">
        <v>0</v>
      </c>
      <c r="W127" s="13" t="n">
        <f aca="false">U127+V127</f>
        <v>350</v>
      </c>
    </row>
    <row r="128" customFormat="false" ht="15" hidden="false" customHeight="false" outlineLevel="0" collapsed="false">
      <c r="A128" s="14" t="s">
        <v>367</v>
      </c>
      <c r="B128" s="14" t="s">
        <v>91</v>
      </c>
      <c r="C128" s="14" t="s">
        <v>368</v>
      </c>
      <c r="D128" s="14" t="s">
        <v>298</v>
      </c>
      <c r="E128" s="15" t="n">
        <v>1115000</v>
      </c>
      <c r="F128" s="15" t="n">
        <v>10072.87</v>
      </c>
      <c r="G128" s="15" t="n">
        <v>1259.11</v>
      </c>
      <c r="H128" s="15" t="n">
        <v>1259.11</v>
      </c>
      <c r="I128" s="15" t="n">
        <f aca="false">SUM(K128:T128)</f>
        <v>7554.7</v>
      </c>
      <c r="J128" s="15" t="n">
        <f aca="false">F128-(G128+H128+I128)</f>
        <v>-0.0499999999992724</v>
      </c>
      <c r="K128" s="15" t="n">
        <v>755.47</v>
      </c>
      <c r="L128" s="15" t="n">
        <v>755.47</v>
      </c>
      <c r="M128" s="15" t="n">
        <v>755.47</v>
      </c>
      <c r="N128" s="15" t="n">
        <v>755.47</v>
      </c>
      <c r="O128" s="15" t="n">
        <v>755.47</v>
      </c>
      <c r="P128" s="15" t="n">
        <v>755.47</v>
      </c>
      <c r="Q128" s="15" t="n">
        <v>755.47</v>
      </c>
      <c r="R128" s="15" t="n">
        <v>755.47</v>
      </c>
      <c r="S128" s="15" t="n">
        <v>755.47</v>
      </c>
      <c r="T128" s="15" t="n">
        <v>755.47</v>
      </c>
      <c r="U128" s="15" t="n">
        <v>350</v>
      </c>
      <c r="V128" s="15" t="n">
        <v>250</v>
      </c>
      <c r="W128" s="15" t="n">
        <f aca="false">U128+V128</f>
        <v>600</v>
      </c>
    </row>
    <row r="129" customFormat="false" ht="15" hidden="false" customHeight="false" outlineLevel="0" collapsed="false">
      <c r="A129" s="3" t="s">
        <v>369</v>
      </c>
      <c r="B129" s="3" t="s">
        <v>107</v>
      </c>
      <c r="C129" s="3" t="s">
        <v>370</v>
      </c>
      <c r="D129" s="3" t="s">
        <v>163</v>
      </c>
      <c r="E129" s="13" t="n">
        <v>1080000</v>
      </c>
      <c r="F129" s="13" t="n">
        <v>11431.7</v>
      </c>
      <c r="G129" s="13" t="n">
        <v>1428.96</v>
      </c>
      <c r="H129" s="13" t="n">
        <v>1428.96</v>
      </c>
      <c r="I129" s="13" t="n">
        <f aca="false">SUM(K129:T129)</f>
        <v>8573.8</v>
      </c>
      <c r="J129" s="13" t="n">
        <f aca="false">F129-(G129+H129+I129)</f>
        <v>-0.0199999999986176</v>
      </c>
      <c r="K129" s="13" t="n">
        <v>857.38</v>
      </c>
      <c r="L129" s="13" t="n">
        <v>857.38</v>
      </c>
      <c r="M129" s="13" t="n">
        <v>857.38</v>
      </c>
      <c r="N129" s="13" t="n">
        <v>857.38</v>
      </c>
      <c r="O129" s="13" t="n">
        <v>857.38</v>
      </c>
      <c r="P129" s="13" t="n">
        <v>857.38</v>
      </c>
      <c r="Q129" s="13" t="n">
        <v>857.38</v>
      </c>
      <c r="R129" s="13" t="n">
        <v>857.38</v>
      </c>
      <c r="S129" s="13" t="n">
        <v>857.38</v>
      </c>
      <c r="T129" s="13" t="n">
        <v>857.38</v>
      </c>
      <c r="U129" s="13" t="n">
        <v>350</v>
      </c>
      <c r="V129" s="13" t="n">
        <v>250</v>
      </c>
      <c r="W129" s="13" t="n">
        <f aca="false">U129+V129</f>
        <v>600</v>
      </c>
    </row>
    <row r="130" customFormat="false" ht="15" hidden="false" customHeight="false" outlineLevel="0" collapsed="false">
      <c r="A130" s="14" t="s">
        <v>371</v>
      </c>
      <c r="B130" s="14" t="s">
        <v>107</v>
      </c>
      <c r="C130" s="14" t="s">
        <v>372</v>
      </c>
      <c r="D130" s="14" t="s">
        <v>338</v>
      </c>
      <c r="E130" s="15" t="n">
        <v>1205000</v>
      </c>
      <c r="F130" s="15" t="n">
        <v>15505.85</v>
      </c>
      <c r="G130" s="15" t="n">
        <v>1938.23</v>
      </c>
      <c r="H130" s="15" t="n">
        <v>1938.23</v>
      </c>
      <c r="I130" s="15" t="n">
        <f aca="false">SUM(K130:T130)</f>
        <v>11629.4</v>
      </c>
      <c r="J130" s="15" t="n">
        <f aca="false">F130-(G130+H130+I130)</f>
        <v>-0.0100000000002183</v>
      </c>
      <c r="K130" s="15" t="n">
        <v>1162.94</v>
      </c>
      <c r="L130" s="15" t="n">
        <v>1162.94</v>
      </c>
      <c r="M130" s="15" t="n">
        <v>1162.94</v>
      </c>
      <c r="N130" s="15" t="n">
        <v>1162.94</v>
      </c>
      <c r="O130" s="15" t="n">
        <v>1162.94</v>
      </c>
      <c r="P130" s="15" t="n">
        <v>1162.94</v>
      </c>
      <c r="Q130" s="15" t="n">
        <v>1162.94</v>
      </c>
      <c r="R130" s="15" t="n">
        <v>1162.94</v>
      </c>
      <c r="S130" s="15" t="n">
        <v>1162.94</v>
      </c>
      <c r="T130" s="15" t="n">
        <v>1162.94</v>
      </c>
      <c r="U130" s="15" t="n">
        <v>350</v>
      </c>
      <c r="V130" s="15" t="n">
        <v>250</v>
      </c>
      <c r="W130" s="15" t="n">
        <f aca="false">U130+V130</f>
        <v>600</v>
      </c>
    </row>
    <row r="131" customFormat="false" ht="15" hidden="false" customHeight="false" outlineLevel="0" collapsed="false">
      <c r="A131" s="3" t="s">
        <v>373</v>
      </c>
      <c r="B131" s="3" t="s">
        <v>107</v>
      </c>
      <c r="C131" s="3" t="s">
        <v>374</v>
      </c>
      <c r="D131" s="3" t="s">
        <v>163</v>
      </c>
      <c r="E131" s="13" t="n">
        <v>1205000</v>
      </c>
      <c r="F131" s="13" t="n">
        <v>12754.81</v>
      </c>
      <c r="G131" s="13" t="n">
        <v>1594.35</v>
      </c>
      <c r="H131" s="13" t="n">
        <v>1594.35</v>
      </c>
      <c r="I131" s="13" t="n">
        <f aca="false">SUM(K131:T131)</f>
        <v>9566.1</v>
      </c>
      <c r="J131" s="13" t="n">
        <f aca="false">F131-(G131+H131+I131)</f>
        <v>0.0100000000002183</v>
      </c>
      <c r="K131" s="13" t="n">
        <v>956.61</v>
      </c>
      <c r="L131" s="13" t="n">
        <v>956.61</v>
      </c>
      <c r="M131" s="13" t="n">
        <v>956.61</v>
      </c>
      <c r="N131" s="13" t="n">
        <v>956.61</v>
      </c>
      <c r="O131" s="13" t="n">
        <v>956.61</v>
      </c>
      <c r="P131" s="13" t="n">
        <v>956.61</v>
      </c>
      <c r="Q131" s="13" t="n">
        <v>956.61</v>
      </c>
      <c r="R131" s="13" t="n">
        <v>956.61</v>
      </c>
      <c r="S131" s="13" t="n">
        <v>956.61</v>
      </c>
      <c r="T131" s="13" t="n">
        <v>956.61</v>
      </c>
      <c r="U131" s="13" t="n">
        <v>350</v>
      </c>
      <c r="V131" s="13" t="n">
        <v>250</v>
      </c>
      <c r="W131" s="13" t="n">
        <f aca="false">U131+V131</f>
        <v>600</v>
      </c>
    </row>
    <row r="132" customFormat="false" ht="15" hidden="false" customHeight="false" outlineLevel="0" collapsed="false">
      <c r="A132" s="14" t="s">
        <v>375</v>
      </c>
      <c r="B132" s="14" t="s">
        <v>67</v>
      </c>
      <c r="C132" s="14" t="s">
        <v>376</v>
      </c>
      <c r="D132" s="14" t="s">
        <v>377</v>
      </c>
      <c r="E132" s="15" t="n">
        <v>310000</v>
      </c>
      <c r="F132" s="15" t="n">
        <v>5878.3</v>
      </c>
      <c r="G132" s="15" t="n">
        <v>734.79</v>
      </c>
      <c r="H132" s="15" t="n">
        <v>734.79</v>
      </c>
      <c r="I132" s="15" t="n">
        <f aca="false">SUM(K132:T132)</f>
        <v>4408.7</v>
      </c>
      <c r="J132" s="15" t="n">
        <f aca="false">F132-(G132+H132+I132)</f>
        <v>0.0200000000004366</v>
      </c>
      <c r="K132" s="15" t="n">
        <v>440.87</v>
      </c>
      <c r="L132" s="15" t="n">
        <v>440.87</v>
      </c>
      <c r="M132" s="15" t="n">
        <v>440.87</v>
      </c>
      <c r="N132" s="15" t="n">
        <v>440.87</v>
      </c>
      <c r="O132" s="15" t="n">
        <v>440.87</v>
      </c>
      <c r="P132" s="15" t="n">
        <v>440.87</v>
      </c>
      <c r="Q132" s="15" t="n">
        <v>440.87</v>
      </c>
      <c r="R132" s="15" t="n">
        <v>440.87</v>
      </c>
      <c r="S132" s="15" t="n">
        <v>440.87</v>
      </c>
      <c r="T132" s="15" t="n">
        <v>440.87</v>
      </c>
      <c r="U132" s="15" t="n">
        <v>350</v>
      </c>
      <c r="V132" s="15" t="n">
        <v>0</v>
      </c>
      <c r="W132" s="15" t="n">
        <f aca="false">U132+V132</f>
        <v>350</v>
      </c>
    </row>
    <row r="133" customFormat="false" ht="15" hidden="false" customHeight="false" outlineLevel="0" collapsed="false">
      <c r="A133" s="3" t="s">
        <v>378</v>
      </c>
      <c r="B133" s="3" t="s">
        <v>127</v>
      </c>
      <c r="C133" s="3" t="s">
        <v>379</v>
      </c>
      <c r="D133" s="3" t="s">
        <v>251</v>
      </c>
      <c r="E133" s="13" t="n">
        <v>790000</v>
      </c>
      <c r="F133" s="13" t="n">
        <v>15859.62</v>
      </c>
      <c r="G133" s="13" t="n">
        <v>1982.45</v>
      </c>
      <c r="H133" s="13" t="n">
        <v>1982.45</v>
      </c>
      <c r="I133" s="13" t="n">
        <f aca="false">SUM(K133:T133)</f>
        <v>11894.7</v>
      </c>
      <c r="J133" s="13" t="n">
        <f aca="false">F133-(G133+H133+I133)</f>
        <v>0.0200000000022555</v>
      </c>
      <c r="K133" s="13" t="n">
        <v>1189.47</v>
      </c>
      <c r="L133" s="13" t="n">
        <v>1189.47</v>
      </c>
      <c r="M133" s="13" t="n">
        <v>1189.47</v>
      </c>
      <c r="N133" s="13" t="n">
        <v>1189.47</v>
      </c>
      <c r="O133" s="13" t="n">
        <v>1189.47</v>
      </c>
      <c r="P133" s="13" t="n">
        <v>1189.47</v>
      </c>
      <c r="Q133" s="13" t="n">
        <v>1189.47</v>
      </c>
      <c r="R133" s="13" t="n">
        <v>1189.47</v>
      </c>
      <c r="S133" s="13" t="n">
        <v>1189.47</v>
      </c>
      <c r="T133" s="13" t="n">
        <v>1189.47</v>
      </c>
      <c r="U133" s="13" t="n">
        <v>350</v>
      </c>
      <c r="V133" s="13" t="n">
        <v>0</v>
      </c>
      <c r="W133" s="13" t="n">
        <f aca="false">U133+V133</f>
        <v>350</v>
      </c>
    </row>
    <row r="134" customFormat="false" ht="15" hidden="false" customHeight="false" outlineLevel="0" collapsed="false">
      <c r="A134" s="14" t="s">
        <v>380</v>
      </c>
      <c r="B134" s="14" t="s">
        <v>242</v>
      </c>
      <c r="C134" s="14" t="s">
        <v>381</v>
      </c>
      <c r="D134" s="14" t="s">
        <v>382</v>
      </c>
      <c r="E134" s="15" t="n">
        <v>310000</v>
      </c>
      <c r="F134" s="15" t="n">
        <v>4913.21</v>
      </c>
      <c r="G134" s="15" t="n">
        <v>614.15</v>
      </c>
      <c r="H134" s="15" t="n">
        <v>614.15</v>
      </c>
      <c r="I134" s="15" t="n">
        <f aca="false">SUM(K134:T134)</f>
        <v>3684.9</v>
      </c>
      <c r="J134" s="15" t="n">
        <f aca="false">F134-(G134+H134+I134)</f>
        <v>0.0100000000002183</v>
      </c>
      <c r="K134" s="15" t="n">
        <v>368.49</v>
      </c>
      <c r="L134" s="15" t="n">
        <v>368.49</v>
      </c>
      <c r="M134" s="15" t="n">
        <v>368.49</v>
      </c>
      <c r="N134" s="15" t="n">
        <v>368.49</v>
      </c>
      <c r="O134" s="15" t="n">
        <v>368.49</v>
      </c>
      <c r="P134" s="15" t="n">
        <v>368.49</v>
      </c>
      <c r="Q134" s="15" t="n">
        <v>368.49</v>
      </c>
      <c r="R134" s="15" t="n">
        <v>368.49</v>
      </c>
      <c r="S134" s="15" t="n">
        <v>368.49</v>
      </c>
      <c r="T134" s="15" t="n">
        <v>368.49</v>
      </c>
      <c r="U134" s="15" t="n">
        <v>350</v>
      </c>
      <c r="V134" s="15" t="n">
        <v>0</v>
      </c>
      <c r="W134" s="15" t="n">
        <f aca="false">U134+V134</f>
        <v>350</v>
      </c>
    </row>
    <row r="135" customFormat="false" ht="15" hidden="false" customHeight="false" outlineLevel="0" collapsed="false">
      <c r="A135" s="3" t="s">
        <v>383</v>
      </c>
      <c r="B135" s="3" t="s">
        <v>384</v>
      </c>
      <c r="C135" s="3" t="s">
        <v>385</v>
      </c>
      <c r="D135" s="3" t="s">
        <v>157</v>
      </c>
      <c r="E135" s="13" t="n">
        <v>485000</v>
      </c>
      <c r="F135" s="13" t="n">
        <v>6237.28</v>
      </c>
      <c r="G135" s="13" t="n">
        <v>779.66</v>
      </c>
      <c r="H135" s="13" t="n">
        <v>779.66</v>
      </c>
      <c r="I135" s="13" t="n">
        <f aca="false">SUM(K135:T135)</f>
        <v>4678</v>
      </c>
      <c r="J135" s="13" t="n">
        <f aca="false">F135-(G135+H135+I135)</f>
        <v>-0.0399999999999636</v>
      </c>
      <c r="K135" s="13" t="n">
        <v>467.8</v>
      </c>
      <c r="L135" s="13" t="n">
        <v>467.8</v>
      </c>
      <c r="M135" s="13" t="n">
        <v>467.8</v>
      </c>
      <c r="N135" s="13" t="n">
        <v>467.8</v>
      </c>
      <c r="O135" s="13" t="n">
        <v>467.8</v>
      </c>
      <c r="P135" s="13" t="n">
        <v>467.8</v>
      </c>
      <c r="Q135" s="13" t="n">
        <v>467.8</v>
      </c>
      <c r="R135" s="13" t="n">
        <v>467.8</v>
      </c>
      <c r="S135" s="13" t="n">
        <v>467.8</v>
      </c>
      <c r="T135" s="13" t="n">
        <v>467.8</v>
      </c>
      <c r="U135" s="13" t="n">
        <v>350</v>
      </c>
      <c r="V135" s="13" t="n">
        <v>0</v>
      </c>
      <c r="W135" s="13" t="n">
        <f aca="false">U135+V135</f>
        <v>350</v>
      </c>
    </row>
    <row r="136" customFormat="false" ht="15" hidden="false" customHeight="false" outlineLevel="0" collapsed="false">
      <c r="A136" s="14" t="s">
        <v>386</v>
      </c>
      <c r="B136" s="14" t="s">
        <v>127</v>
      </c>
      <c r="C136" s="14" t="s">
        <v>387</v>
      </c>
      <c r="D136" s="14" t="s">
        <v>382</v>
      </c>
      <c r="E136" s="15" t="n">
        <v>660000</v>
      </c>
      <c r="F136" s="15" t="n">
        <v>5997.28</v>
      </c>
      <c r="G136" s="15" t="n">
        <v>749.66</v>
      </c>
      <c r="H136" s="15" t="n">
        <v>749.66</v>
      </c>
      <c r="I136" s="15" t="n">
        <f aca="false">SUM(K136:T136)</f>
        <v>4498</v>
      </c>
      <c r="J136" s="15" t="n">
        <f aca="false">F136-(G136+H136+I136)</f>
        <v>-0.0399999999999636</v>
      </c>
      <c r="K136" s="15" t="n">
        <v>449.8</v>
      </c>
      <c r="L136" s="15" t="n">
        <v>449.8</v>
      </c>
      <c r="M136" s="15" t="n">
        <v>449.8</v>
      </c>
      <c r="N136" s="15" t="n">
        <v>449.8</v>
      </c>
      <c r="O136" s="15" t="n">
        <v>449.8</v>
      </c>
      <c r="P136" s="15" t="n">
        <v>449.8</v>
      </c>
      <c r="Q136" s="15" t="n">
        <v>449.8</v>
      </c>
      <c r="R136" s="15" t="n">
        <v>449.8</v>
      </c>
      <c r="S136" s="15" t="n">
        <v>449.8</v>
      </c>
      <c r="T136" s="15" t="n">
        <v>449.8</v>
      </c>
      <c r="U136" s="15" t="n">
        <v>350</v>
      </c>
      <c r="V136" s="15" t="n">
        <v>0</v>
      </c>
      <c r="W136" s="15" t="n">
        <f aca="false">U136+V136</f>
        <v>350</v>
      </c>
    </row>
    <row r="137" customFormat="false" ht="15" hidden="false" customHeight="false" outlineLevel="0" collapsed="false">
      <c r="A137" s="3" t="s">
        <v>388</v>
      </c>
      <c r="B137" s="3" t="s">
        <v>104</v>
      </c>
      <c r="C137" s="3" t="s">
        <v>389</v>
      </c>
      <c r="D137" s="3" t="s">
        <v>93</v>
      </c>
      <c r="E137" s="13" t="n">
        <v>1900000</v>
      </c>
      <c r="F137" s="13" t="n">
        <v>25237.74</v>
      </c>
      <c r="G137" s="13" t="n">
        <v>3154.72</v>
      </c>
      <c r="H137" s="13" t="n">
        <v>3154.72</v>
      </c>
      <c r="I137" s="13" t="n">
        <f aca="false">SUM(K137:T137)</f>
        <v>18928.3</v>
      </c>
      <c r="J137" s="13" t="n">
        <f aca="false">F137-(G137+H137+I137)</f>
        <v>0</v>
      </c>
      <c r="K137" s="13" t="n">
        <v>1892.83</v>
      </c>
      <c r="L137" s="13" t="n">
        <v>1892.83</v>
      </c>
      <c r="M137" s="13" t="n">
        <v>1892.83</v>
      </c>
      <c r="N137" s="13" t="n">
        <v>1892.83</v>
      </c>
      <c r="O137" s="13" t="n">
        <v>1892.83</v>
      </c>
      <c r="P137" s="13" t="n">
        <v>1892.83</v>
      </c>
      <c r="Q137" s="13" t="n">
        <v>1892.83</v>
      </c>
      <c r="R137" s="13" t="n">
        <v>1892.83</v>
      </c>
      <c r="S137" s="13" t="n">
        <v>1892.83</v>
      </c>
      <c r="T137" s="13" t="n">
        <v>1892.83</v>
      </c>
      <c r="U137" s="13" t="n">
        <v>350</v>
      </c>
      <c r="V137" s="13" t="n">
        <v>250</v>
      </c>
      <c r="W137" s="13" t="n">
        <f aca="false">U137+V137</f>
        <v>600</v>
      </c>
    </row>
    <row r="138" customFormat="false" ht="15" hidden="false" customHeight="false" outlineLevel="0" collapsed="false">
      <c r="A138" s="14" t="s">
        <v>390</v>
      </c>
      <c r="B138" s="14" t="s">
        <v>187</v>
      </c>
      <c r="C138" s="14" t="s">
        <v>391</v>
      </c>
      <c r="D138" s="14" t="s">
        <v>121</v>
      </c>
      <c r="E138" s="15" t="n">
        <v>620000</v>
      </c>
      <c r="F138" s="15" t="n">
        <v>9276.6</v>
      </c>
      <c r="G138" s="15" t="n">
        <v>1159.58</v>
      </c>
      <c r="H138" s="15" t="n">
        <v>1159.58</v>
      </c>
      <c r="I138" s="15" t="n">
        <f aca="false">SUM(K138:T138)</f>
        <v>6957.5</v>
      </c>
      <c r="J138" s="15" t="n">
        <f aca="false">F138-(G138+H138+I138)</f>
        <v>-0.0599999999994907</v>
      </c>
      <c r="K138" s="15" t="n">
        <v>695.75</v>
      </c>
      <c r="L138" s="15" t="n">
        <v>695.75</v>
      </c>
      <c r="M138" s="15" t="n">
        <v>695.75</v>
      </c>
      <c r="N138" s="15" t="n">
        <v>695.75</v>
      </c>
      <c r="O138" s="15" t="n">
        <v>695.75</v>
      </c>
      <c r="P138" s="15" t="n">
        <v>695.75</v>
      </c>
      <c r="Q138" s="15" t="n">
        <v>695.75</v>
      </c>
      <c r="R138" s="15" t="n">
        <v>695.75</v>
      </c>
      <c r="S138" s="15" t="n">
        <v>695.75</v>
      </c>
      <c r="T138" s="15" t="n">
        <v>695.75</v>
      </c>
      <c r="U138" s="15" t="n">
        <v>350</v>
      </c>
      <c r="V138" s="15" t="n">
        <v>0</v>
      </c>
      <c r="W138" s="15" t="n">
        <f aca="false">U138+V138</f>
        <v>350</v>
      </c>
    </row>
    <row r="139" customFormat="false" ht="15" hidden="false" customHeight="false" outlineLevel="0" collapsed="false">
      <c r="A139" s="3" t="s">
        <v>392</v>
      </c>
      <c r="B139" s="3" t="s">
        <v>91</v>
      </c>
      <c r="C139" s="3" t="s">
        <v>393</v>
      </c>
      <c r="D139" s="3" t="s">
        <v>132</v>
      </c>
      <c r="E139" s="13" t="n">
        <v>775000</v>
      </c>
      <c r="F139" s="13" t="n">
        <v>9504.72</v>
      </c>
      <c r="G139" s="13" t="n">
        <v>1188.09</v>
      </c>
      <c r="H139" s="13" t="n">
        <v>1188.09</v>
      </c>
      <c r="I139" s="13" t="n">
        <f aca="false">SUM(K139:T139)</f>
        <v>7128.5</v>
      </c>
      <c r="J139" s="13" t="n">
        <f aca="false">F139-(G139+H139+I139)</f>
        <v>0.0399999999990541</v>
      </c>
      <c r="K139" s="13" t="n">
        <v>712.85</v>
      </c>
      <c r="L139" s="13" t="n">
        <v>712.85</v>
      </c>
      <c r="M139" s="13" t="n">
        <v>712.85</v>
      </c>
      <c r="N139" s="13" t="n">
        <v>712.85</v>
      </c>
      <c r="O139" s="13" t="n">
        <v>712.85</v>
      </c>
      <c r="P139" s="13" t="n">
        <v>712.85</v>
      </c>
      <c r="Q139" s="13" t="n">
        <v>712.85</v>
      </c>
      <c r="R139" s="13" t="n">
        <v>712.85</v>
      </c>
      <c r="S139" s="13" t="n">
        <v>712.85</v>
      </c>
      <c r="T139" s="13" t="n">
        <v>712.85</v>
      </c>
      <c r="U139" s="13" t="n">
        <v>350</v>
      </c>
      <c r="V139" s="13" t="n">
        <v>0</v>
      </c>
      <c r="W139" s="13" t="n">
        <f aca="false">U139+V139</f>
        <v>350</v>
      </c>
    </row>
    <row r="140" customFormat="false" ht="15" hidden="false" customHeight="false" outlineLevel="0" collapsed="false">
      <c r="A140" s="14" t="s">
        <v>394</v>
      </c>
      <c r="B140" s="14" t="s">
        <v>95</v>
      </c>
      <c r="C140" s="14" t="s">
        <v>395</v>
      </c>
      <c r="D140" s="14" t="s">
        <v>81</v>
      </c>
      <c r="E140" s="15" t="n">
        <v>1525000</v>
      </c>
      <c r="F140" s="15" t="n">
        <v>20256.6</v>
      </c>
      <c r="G140" s="15" t="n">
        <v>2532.07</v>
      </c>
      <c r="H140" s="15" t="n">
        <v>2532.07</v>
      </c>
      <c r="I140" s="15" t="n">
        <f aca="false">SUM(K140:T140)</f>
        <v>15192.4</v>
      </c>
      <c r="J140" s="15" t="n">
        <f aca="false">F140-(G140+H140+I140)</f>
        <v>0.0599999999976717</v>
      </c>
      <c r="K140" s="15" t="n">
        <v>1519.24</v>
      </c>
      <c r="L140" s="15" t="n">
        <v>1519.24</v>
      </c>
      <c r="M140" s="15" t="n">
        <v>1519.24</v>
      </c>
      <c r="N140" s="15" t="n">
        <v>1519.24</v>
      </c>
      <c r="O140" s="15" t="n">
        <v>1519.24</v>
      </c>
      <c r="P140" s="15" t="n">
        <v>1519.24</v>
      </c>
      <c r="Q140" s="15" t="n">
        <v>1519.24</v>
      </c>
      <c r="R140" s="15" t="n">
        <v>1519.24</v>
      </c>
      <c r="S140" s="15" t="n">
        <v>1519.24</v>
      </c>
      <c r="T140" s="15" t="n">
        <v>1519.24</v>
      </c>
      <c r="U140" s="15" t="n">
        <v>350</v>
      </c>
      <c r="V140" s="15" t="n">
        <v>250</v>
      </c>
      <c r="W140" s="15" t="n">
        <f aca="false">U140+V140</f>
        <v>600</v>
      </c>
    </row>
    <row r="141" customFormat="false" ht="15" hidden="false" customHeight="false" outlineLevel="0" collapsed="false">
      <c r="A141" s="3" t="s">
        <v>396</v>
      </c>
      <c r="B141" s="3" t="s">
        <v>155</v>
      </c>
      <c r="C141" s="3" t="s">
        <v>192</v>
      </c>
      <c r="D141" s="3" t="s">
        <v>222</v>
      </c>
      <c r="E141" s="13" t="n">
        <v>1315000</v>
      </c>
      <c r="F141" s="13" t="n">
        <v>10371.13</v>
      </c>
      <c r="G141" s="13" t="n">
        <v>1296.39</v>
      </c>
      <c r="H141" s="13" t="n">
        <v>1296.39</v>
      </c>
      <c r="I141" s="13" t="n">
        <f aca="false">SUM(K141:T141)</f>
        <v>7778.3</v>
      </c>
      <c r="J141" s="13" t="n">
        <f aca="false">F141-(G141+H141+I141)</f>
        <v>0.0499999999992724</v>
      </c>
      <c r="K141" s="13" t="n">
        <v>777.83</v>
      </c>
      <c r="L141" s="13" t="n">
        <v>777.83</v>
      </c>
      <c r="M141" s="13" t="n">
        <v>777.83</v>
      </c>
      <c r="N141" s="13" t="n">
        <v>777.83</v>
      </c>
      <c r="O141" s="13" t="n">
        <v>777.83</v>
      </c>
      <c r="P141" s="13" t="n">
        <v>777.83</v>
      </c>
      <c r="Q141" s="13" t="n">
        <v>777.83</v>
      </c>
      <c r="R141" s="13" t="n">
        <v>777.83</v>
      </c>
      <c r="S141" s="13" t="n">
        <v>777.83</v>
      </c>
      <c r="T141" s="13" t="n">
        <v>777.83</v>
      </c>
      <c r="U141" s="13" t="n">
        <v>350</v>
      </c>
      <c r="V141" s="13" t="n">
        <v>250</v>
      </c>
      <c r="W141" s="13" t="n">
        <f aca="false">U141+V141</f>
        <v>600</v>
      </c>
    </row>
    <row r="142" customFormat="false" ht="15" hidden="false" customHeight="false" outlineLevel="0" collapsed="false">
      <c r="A142" s="14" t="s">
        <v>397</v>
      </c>
      <c r="B142" s="14" t="s">
        <v>104</v>
      </c>
      <c r="C142" s="14" t="s">
        <v>398</v>
      </c>
      <c r="D142" s="14" t="s">
        <v>115</v>
      </c>
      <c r="E142" s="15" t="n">
        <v>1015000</v>
      </c>
      <c r="F142" s="15" t="n">
        <v>8594.94</v>
      </c>
      <c r="G142" s="15" t="n">
        <v>1074.37</v>
      </c>
      <c r="H142" s="15" t="n">
        <v>1074.37</v>
      </c>
      <c r="I142" s="15" t="n">
        <f aca="false">SUM(K142:T142)</f>
        <v>6446.2</v>
      </c>
      <c r="J142" s="15" t="n">
        <f aca="false">F142-(G142+H142+I142)</f>
        <v>0</v>
      </c>
      <c r="K142" s="15" t="n">
        <v>644.62</v>
      </c>
      <c r="L142" s="15" t="n">
        <v>644.62</v>
      </c>
      <c r="M142" s="15" t="n">
        <v>644.62</v>
      </c>
      <c r="N142" s="15" t="n">
        <v>644.62</v>
      </c>
      <c r="O142" s="15" t="n">
        <v>644.62</v>
      </c>
      <c r="P142" s="15" t="n">
        <v>644.62</v>
      </c>
      <c r="Q142" s="15" t="n">
        <v>644.62</v>
      </c>
      <c r="R142" s="15" t="n">
        <v>644.62</v>
      </c>
      <c r="S142" s="15" t="n">
        <v>644.62</v>
      </c>
      <c r="T142" s="15" t="n">
        <v>644.62</v>
      </c>
      <c r="U142" s="15" t="n">
        <v>350</v>
      </c>
      <c r="V142" s="15" t="n">
        <v>250</v>
      </c>
      <c r="W142" s="15" t="n">
        <f aca="false">U142+V142</f>
        <v>600</v>
      </c>
    </row>
    <row r="143" customFormat="false" ht="15" hidden="false" customHeight="false" outlineLevel="0" collapsed="false">
      <c r="A143" s="3" t="s">
        <v>399</v>
      </c>
      <c r="B143" s="3" t="s">
        <v>308</v>
      </c>
      <c r="C143" s="3" t="s">
        <v>188</v>
      </c>
      <c r="D143" s="3" t="s">
        <v>93</v>
      </c>
      <c r="E143" s="13" t="n">
        <v>485000</v>
      </c>
      <c r="F143" s="13" t="n">
        <v>8784.91</v>
      </c>
      <c r="G143" s="13" t="n">
        <v>1098.11</v>
      </c>
      <c r="H143" s="13" t="n">
        <v>1098.11</v>
      </c>
      <c r="I143" s="13" t="n">
        <f aca="false">SUM(K143:T143)</f>
        <v>6588.7</v>
      </c>
      <c r="J143" s="13" t="n">
        <f aca="false">F143-(G143+H143+I143)</f>
        <v>-0.0100000000002183</v>
      </c>
      <c r="K143" s="13" t="n">
        <v>658.87</v>
      </c>
      <c r="L143" s="13" t="n">
        <v>658.87</v>
      </c>
      <c r="M143" s="13" t="n">
        <v>658.87</v>
      </c>
      <c r="N143" s="13" t="n">
        <v>658.87</v>
      </c>
      <c r="O143" s="13" t="n">
        <v>658.87</v>
      </c>
      <c r="P143" s="13" t="n">
        <v>658.87</v>
      </c>
      <c r="Q143" s="13" t="n">
        <v>658.87</v>
      </c>
      <c r="R143" s="13" t="n">
        <v>658.87</v>
      </c>
      <c r="S143" s="13" t="n">
        <v>658.87</v>
      </c>
      <c r="T143" s="13" t="n">
        <v>658.87</v>
      </c>
      <c r="U143" s="13" t="n">
        <v>350</v>
      </c>
      <c r="V143" s="13" t="n">
        <v>0</v>
      </c>
      <c r="W143" s="13" t="n">
        <f aca="false">U143+V143</f>
        <v>350</v>
      </c>
    </row>
    <row r="144" customFormat="false" ht="15" hidden="false" customHeight="false" outlineLevel="0" collapsed="false">
      <c r="A144" s="14" t="s">
        <v>400</v>
      </c>
      <c r="B144" s="14" t="s">
        <v>308</v>
      </c>
      <c r="C144" s="14" t="s">
        <v>401</v>
      </c>
      <c r="D144" s="14" t="s">
        <v>197</v>
      </c>
      <c r="E144" s="15" t="n">
        <v>315000</v>
      </c>
      <c r="F144" s="15" t="n">
        <v>4858.73</v>
      </c>
      <c r="G144" s="15" t="n">
        <v>607.34</v>
      </c>
      <c r="H144" s="15" t="n">
        <v>607.34</v>
      </c>
      <c r="I144" s="15" t="n">
        <f aca="false">SUM(K144:T144)</f>
        <v>3644</v>
      </c>
      <c r="J144" s="15" t="n">
        <f aca="false">F144-(G144+H144+I144)</f>
        <v>0.0499999999992724</v>
      </c>
      <c r="K144" s="15" t="n">
        <v>364.4</v>
      </c>
      <c r="L144" s="15" t="n">
        <v>364.4</v>
      </c>
      <c r="M144" s="15" t="n">
        <v>364.4</v>
      </c>
      <c r="N144" s="15" t="n">
        <v>364.4</v>
      </c>
      <c r="O144" s="15" t="n">
        <v>364.4</v>
      </c>
      <c r="P144" s="15" t="n">
        <v>364.4</v>
      </c>
      <c r="Q144" s="15" t="n">
        <v>364.4</v>
      </c>
      <c r="R144" s="15" t="n">
        <v>364.4</v>
      </c>
      <c r="S144" s="15" t="n">
        <v>364.4</v>
      </c>
      <c r="T144" s="15" t="n">
        <v>364.4</v>
      </c>
      <c r="U144" s="15" t="n">
        <v>350</v>
      </c>
      <c r="V144" s="15" t="n">
        <v>0</v>
      </c>
      <c r="W144" s="15" t="n">
        <f aca="false">U144+V144</f>
        <v>350</v>
      </c>
    </row>
    <row r="145" customFormat="false" ht="15" hidden="false" customHeight="false" outlineLevel="0" collapsed="false">
      <c r="A145" s="3" t="s">
        <v>402</v>
      </c>
      <c r="B145" s="3" t="s">
        <v>187</v>
      </c>
      <c r="C145" s="3" t="s">
        <v>403</v>
      </c>
      <c r="D145" s="3" t="s">
        <v>115</v>
      </c>
      <c r="E145" s="13" t="n">
        <v>480000</v>
      </c>
      <c r="F145" s="13" t="n">
        <v>5738.26</v>
      </c>
      <c r="G145" s="13" t="n">
        <v>717.28</v>
      </c>
      <c r="H145" s="13" t="n">
        <v>717.28</v>
      </c>
      <c r="I145" s="13" t="n">
        <f aca="false">SUM(K145:T145)</f>
        <v>4303.7</v>
      </c>
      <c r="J145" s="13" t="n">
        <f aca="false">F145-(G145+H145+I145)</f>
        <v>0</v>
      </c>
      <c r="K145" s="13" t="n">
        <v>430.37</v>
      </c>
      <c r="L145" s="13" t="n">
        <v>430.37</v>
      </c>
      <c r="M145" s="13" t="n">
        <v>430.37</v>
      </c>
      <c r="N145" s="13" t="n">
        <v>430.37</v>
      </c>
      <c r="O145" s="13" t="n">
        <v>430.37</v>
      </c>
      <c r="P145" s="13" t="n">
        <v>430.37</v>
      </c>
      <c r="Q145" s="13" t="n">
        <v>430.37</v>
      </c>
      <c r="R145" s="13" t="n">
        <v>430.37</v>
      </c>
      <c r="S145" s="13" t="n">
        <v>430.37</v>
      </c>
      <c r="T145" s="13" t="n">
        <v>430.37</v>
      </c>
      <c r="U145" s="13" t="n">
        <v>350</v>
      </c>
      <c r="V145" s="13" t="n">
        <v>0</v>
      </c>
      <c r="W145" s="13" t="n">
        <f aca="false">U145+V145</f>
        <v>350</v>
      </c>
    </row>
    <row r="146" customFormat="false" ht="15" hidden="false" customHeight="false" outlineLevel="0" collapsed="false">
      <c r="A146" s="14" t="s">
        <v>404</v>
      </c>
      <c r="B146" s="14" t="s">
        <v>104</v>
      </c>
      <c r="C146" s="14" t="s">
        <v>405</v>
      </c>
      <c r="D146" s="14" t="s">
        <v>406</v>
      </c>
      <c r="E146" s="15" t="n">
        <v>265000</v>
      </c>
      <c r="F146" s="15" t="n">
        <v>3487.5</v>
      </c>
      <c r="G146" s="15" t="n">
        <v>435.94</v>
      </c>
      <c r="H146" s="15" t="n">
        <v>435.94</v>
      </c>
      <c r="I146" s="15" t="n">
        <f aca="false">SUM(K146:T146)</f>
        <v>2615.6</v>
      </c>
      <c r="J146" s="15" t="n">
        <f aca="false">F146-(G146+H146+I146)</f>
        <v>0.0199999999999818</v>
      </c>
      <c r="K146" s="15" t="n">
        <v>261.56</v>
      </c>
      <c r="L146" s="15" t="n">
        <v>261.56</v>
      </c>
      <c r="M146" s="15" t="n">
        <v>261.56</v>
      </c>
      <c r="N146" s="15" t="n">
        <v>261.56</v>
      </c>
      <c r="O146" s="15" t="n">
        <v>261.56</v>
      </c>
      <c r="P146" s="15" t="n">
        <v>261.56</v>
      </c>
      <c r="Q146" s="15" t="n">
        <v>261.56</v>
      </c>
      <c r="R146" s="15" t="n">
        <v>261.56</v>
      </c>
      <c r="S146" s="15" t="n">
        <v>261.56</v>
      </c>
      <c r="T146" s="15" t="n">
        <v>261.56</v>
      </c>
      <c r="U146" s="15" t="n">
        <v>350</v>
      </c>
      <c r="V146" s="15" t="n">
        <v>0</v>
      </c>
      <c r="W146" s="15" t="n">
        <f aca="false">U146+V146</f>
        <v>350</v>
      </c>
    </row>
    <row r="147" customFormat="false" ht="15" hidden="false" customHeight="false" outlineLevel="0" collapsed="false">
      <c r="A147" s="3" t="s">
        <v>407</v>
      </c>
      <c r="B147" s="3" t="s">
        <v>95</v>
      </c>
      <c r="C147" s="3" t="s">
        <v>408</v>
      </c>
      <c r="D147" s="3" t="s">
        <v>89</v>
      </c>
      <c r="E147" s="13" t="n">
        <v>500000</v>
      </c>
      <c r="F147" s="13" t="n">
        <v>8278.3</v>
      </c>
      <c r="G147" s="13" t="n">
        <v>1034.79</v>
      </c>
      <c r="H147" s="13" t="n">
        <v>1034.79</v>
      </c>
      <c r="I147" s="13" t="n">
        <f aca="false">SUM(K147:T147)</f>
        <v>6208.7</v>
      </c>
      <c r="J147" s="13" t="n">
        <f aca="false">F147-(G147+H147+I147)</f>
        <v>0.0200000000004366</v>
      </c>
      <c r="K147" s="13" t="n">
        <v>620.87</v>
      </c>
      <c r="L147" s="13" t="n">
        <v>620.87</v>
      </c>
      <c r="M147" s="13" t="n">
        <v>620.87</v>
      </c>
      <c r="N147" s="13" t="n">
        <v>620.87</v>
      </c>
      <c r="O147" s="13" t="n">
        <v>620.87</v>
      </c>
      <c r="P147" s="13" t="n">
        <v>620.87</v>
      </c>
      <c r="Q147" s="13" t="n">
        <v>620.87</v>
      </c>
      <c r="R147" s="13" t="n">
        <v>620.87</v>
      </c>
      <c r="S147" s="13" t="n">
        <v>620.87</v>
      </c>
      <c r="T147" s="13" t="n">
        <v>620.87</v>
      </c>
      <c r="U147" s="13" t="n">
        <v>350</v>
      </c>
      <c r="V147" s="13" t="n">
        <v>0</v>
      </c>
      <c r="W147" s="13" t="n">
        <f aca="false">U147+V147</f>
        <v>350</v>
      </c>
    </row>
    <row r="148" customFormat="false" ht="15" hidden="false" customHeight="false" outlineLevel="0" collapsed="false">
      <c r="A148" s="14" t="s">
        <v>409</v>
      </c>
      <c r="B148" s="14" t="s">
        <v>79</v>
      </c>
      <c r="C148" s="14" t="s">
        <v>410</v>
      </c>
      <c r="D148" s="14" t="s">
        <v>166</v>
      </c>
      <c r="E148" s="15" t="n">
        <v>485000</v>
      </c>
      <c r="F148" s="15" t="n">
        <v>9265.33</v>
      </c>
      <c r="G148" s="15" t="n">
        <v>1158.17</v>
      </c>
      <c r="H148" s="15" t="n">
        <v>1158.17</v>
      </c>
      <c r="I148" s="15" t="n">
        <f aca="false">SUM(K148:T148)</f>
        <v>6949</v>
      </c>
      <c r="J148" s="15" t="n">
        <f aca="false">F148-(G148+H148+I148)</f>
        <v>-0.0100000000002183</v>
      </c>
      <c r="K148" s="15" t="n">
        <v>694.9</v>
      </c>
      <c r="L148" s="15" t="n">
        <v>694.9</v>
      </c>
      <c r="M148" s="15" t="n">
        <v>694.9</v>
      </c>
      <c r="N148" s="15" t="n">
        <v>694.9</v>
      </c>
      <c r="O148" s="15" t="n">
        <v>694.9</v>
      </c>
      <c r="P148" s="15" t="n">
        <v>694.9</v>
      </c>
      <c r="Q148" s="15" t="n">
        <v>694.9</v>
      </c>
      <c r="R148" s="15" t="n">
        <v>694.9</v>
      </c>
      <c r="S148" s="15" t="n">
        <v>694.9</v>
      </c>
      <c r="T148" s="15" t="n">
        <v>694.9</v>
      </c>
      <c r="U148" s="15" t="n">
        <v>350</v>
      </c>
      <c r="V148" s="15" t="n">
        <v>0</v>
      </c>
      <c r="W148" s="15" t="n">
        <f aca="false">U148+V148</f>
        <v>350</v>
      </c>
    </row>
    <row r="149" customFormat="false" ht="15" hidden="false" customHeight="false" outlineLevel="0" collapsed="false">
      <c r="A149" s="3" t="s">
        <v>411</v>
      </c>
      <c r="B149" s="3" t="s">
        <v>134</v>
      </c>
      <c r="C149" s="3" t="s">
        <v>412</v>
      </c>
      <c r="D149" s="3" t="s">
        <v>89</v>
      </c>
      <c r="E149" s="13" t="n">
        <v>1100000</v>
      </c>
      <c r="F149" s="13" t="n">
        <v>22415.09</v>
      </c>
      <c r="G149" s="13" t="n">
        <v>2801.89</v>
      </c>
      <c r="H149" s="13" t="n">
        <v>2801.89</v>
      </c>
      <c r="I149" s="13" t="n">
        <f aca="false">SUM(K149:T149)</f>
        <v>16811.3</v>
      </c>
      <c r="J149" s="13" t="n">
        <f aca="false">F149-(G149+H149+I149)</f>
        <v>0.00999999999839929</v>
      </c>
      <c r="K149" s="13" t="n">
        <v>1681.13</v>
      </c>
      <c r="L149" s="13" t="n">
        <v>1681.13</v>
      </c>
      <c r="M149" s="13" t="n">
        <v>1681.13</v>
      </c>
      <c r="N149" s="13" t="n">
        <v>1681.13</v>
      </c>
      <c r="O149" s="13" t="n">
        <v>1681.13</v>
      </c>
      <c r="P149" s="13" t="n">
        <v>1681.13</v>
      </c>
      <c r="Q149" s="13" t="n">
        <v>1681.13</v>
      </c>
      <c r="R149" s="13" t="n">
        <v>1681.13</v>
      </c>
      <c r="S149" s="13" t="n">
        <v>1681.13</v>
      </c>
      <c r="T149" s="13" t="n">
        <v>1681.13</v>
      </c>
      <c r="U149" s="13" t="n">
        <v>350</v>
      </c>
      <c r="V149" s="13" t="n">
        <v>250</v>
      </c>
      <c r="W149" s="13" t="n">
        <f aca="false">U149+V149</f>
        <v>600</v>
      </c>
    </row>
    <row r="150" customFormat="false" ht="15" hidden="false" customHeight="false" outlineLevel="0" collapsed="false">
      <c r="A150" s="14" t="s">
        <v>413</v>
      </c>
      <c r="B150" s="14" t="s">
        <v>142</v>
      </c>
      <c r="C150" s="14" t="s">
        <v>414</v>
      </c>
      <c r="D150" s="14" t="s">
        <v>406</v>
      </c>
      <c r="E150" s="15" t="n">
        <v>345000</v>
      </c>
      <c r="F150" s="15" t="n">
        <v>4540.33</v>
      </c>
      <c r="G150" s="15" t="n">
        <v>567.54</v>
      </c>
      <c r="H150" s="15" t="n">
        <v>567.54</v>
      </c>
      <c r="I150" s="15" t="n">
        <f aca="false">SUM(K150:T150)</f>
        <v>3405.2</v>
      </c>
      <c r="J150" s="15" t="n">
        <f aca="false">F150-(G150+H150+I150)</f>
        <v>0.0500000000001819</v>
      </c>
      <c r="K150" s="15" t="n">
        <v>340.52</v>
      </c>
      <c r="L150" s="15" t="n">
        <v>340.52</v>
      </c>
      <c r="M150" s="15" t="n">
        <v>340.52</v>
      </c>
      <c r="N150" s="15" t="n">
        <v>340.52</v>
      </c>
      <c r="O150" s="15" t="n">
        <v>340.52</v>
      </c>
      <c r="P150" s="15" t="n">
        <v>340.52</v>
      </c>
      <c r="Q150" s="15" t="n">
        <v>340.52</v>
      </c>
      <c r="R150" s="15" t="n">
        <v>340.52</v>
      </c>
      <c r="S150" s="15" t="n">
        <v>340.52</v>
      </c>
      <c r="T150" s="15" t="n">
        <v>340.52</v>
      </c>
      <c r="U150" s="15" t="n">
        <v>350</v>
      </c>
      <c r="V150" s="15" t="n">
        <v>0</v>
      </c>
      <c r="W150" s="15" t="n">
        <f aca="false">U150+V150</f>
        <v>350</v>
      </c>
    </row>
    <row r="151" customFormat="false" ht="15" hidden="false" customHeight="false" outlineLevel="0" collapsed="false">
      <c r="A151" s="3" t="s">
        <v>415</v>
      </c>
      <c r="B151" s="3" t="s">
        <v>271</v>
      </c>
      <c r="C151" s="3" t="s">
        <v>393</v>
      </c>
      <c r="D151" s="3" t="s">
        <v>93</v>
      </c>
      <c r="E151" s="13" t="n">
        <v>1090000</v>
      </c>
      <c r="F151" s="13" t="n">
        <v>14478.49</v>
      </c>
      <c r="G151" s="13" t="n">
        <v>1809.81</v>
      </c>
      <c r="H151" s="13" t="n">
        <v>1809.81</v>
      </c>
      <c r="I151" s="13" t="n">
        <f aca="false">SUM(K151:T151)</f>
        <v>10858.9</v>
      </c>
      <c r="J151" s="13" t="n">
        <f aca="false">F151-(G151+H151+I151)</f>
        <v>-0.0300000000006548</v>
      </c>
      <c r="K151" s="13" t="n">
        <v>1085.89</v>
      </c>
      <c r="L151" s="13" t="n">
        <v>1085.89</v>
      </c>
      <c r="M151" s="13" t="n">
        <v>1085.89</v>
      </c>
      <c r="N151" s="13" t="n">
        <v>1085.89</v>
      </c>
      <c r="O151" s="13" t="n">
        <v>1085.89</v>
      </c>
      <c r="P151" s="13" t="n">
        <v>1085.89</v>
      </c>
      <c r="Q151" s="13" t="n">
        <v>1085.89</v>
      </c>
      <c r="R151" s="13" t="n">
        <v>1085.89</v>
      </c>
      <c r="S151" s="13" t="n">
        <v>1085.89</v>
      </c>
      <c r="T151" s="13" t="n">
        <v>1085.89</v>
      </c>
      <c r="U151" s="13" t="n">
        <v>350</v>
      </c>
      <c r="V151" s="13" t="n">
        <v>250</v>
      </c>
      <c r="W151" s="13" t="n">
        <f aca="false">U151+V151</f>
        <v>600</v>
      </c>
    </row>
    <row r="152" customFormat="false" ht="15" hidden="false" customHeight="false" outlineLevel="0" collapsed="false">
      <c r="A152" s="14" t="s">
        <v>416</v>
      </c>
      <c r="B152" s="14" t="s">
        <v>134</v>
      </c>
      <c r="C152" s="14" t="s">
        <v>417</v>
      </c>
      <c r="D152" s="14" t="s">
        <v>147</v>
      </c>
      <c r="E152" s="15" t="n">
        <v>510000</v>
      </c>
      <c r="F152" s="15" t="n">
        <v>4427.38</v>
      </c>
      <c r="G152" s="15" t="n">
        <v>553.42</v>
      </c>
      <c r="H152" s="15" t="n">
        <v>553.42</v>
      </c>
      <c r="I152" s="15" t="n">
        <f aca="false">SUM(K152:T152)</f>
        <v>3320.5</v>
      </c>
      <c r="J152" s="15" t="n">
        <f aca="false">F152-(G152+H152+I152)</f>
        <v>0.0399999999999636</v>
      </c>
      <c r="K152" s="15" t="n">
        <v>332.05</v>
      </c>
      <c r="L152" s="15" t="n">
        <v>332.05</v>
      </c>
      <c r="M152" s="15" t="n">
        <v>332.05</v>
      </c>
      <c r="N152" s="15" t="n">
        <v>332.05</v>
      </c>
      <c r="O152" s="15" t="n">
        <v>332.05</v>
      </c>
      <c r="P152" s="15" t="n">
        <v>332.05</v>
      </c>
      <c r="Q152" s="15" t="n">
        <v>332.05</v>
      </c>
      <c r="R152" s="15" t="n">
        <v>332.05</v>
      </c>
      <c r="S152" s="15" t="n">
        <v>332.05</v>
      </c>
      <c r="T152" s="15" t="n">
        <v>332.05</v>
      </c>
      <c r="U152" s="15" t="n">
        <v>350</v>
      </c>
      <c r="V152" s="15" t="n">
        <v>0</v>
      </c>
      <c r="W152" s="15" t="n">
        <f aca="false">U152+V152</f>
        <v>350</v>
      </c>
    </row>
    <row r="153" customFormat="false" ht="15" hidden="false" customHeight="false" outlineLevel="0" collapsed="false">
      <c r="A153" s="3" t="s">
        <v>418</v>
      </c>
      <c r="B153" s="3" t="s">
        <v>67</v>
      </c>
      <c r="C153" s="3" t="s">
        <v>419</v>
      </c>
      <c r="D153" s="3" t="s">
        <v>102</v>
      </c>
      <c r="E153" s="13" t="n">
        <v>1900000</v>
      </c>
      <c r="F153" s="13" t="n">
        <v>22674.53</v>
      </c>
      <c r="G153" s="13" t="n">
        <v>2834.32</v>
      </c>
      <c r="H153" s="13" t="n">
        <v>2834.32</v>
      </c>
      <c r="I153" s="13" t="n">
        <f aca="false">SUM(K153:T153)</f>
        <v>17005.9</v>
      </c>
      <c r="J153" s="13" t="n">
        <f aca="false">F153-(G153+H153+I153)</f>
        <v>-0.00999999999839929</v>
      </c>
      <c r="K153" s="13" t="n">
        <v>1700.59</v>
      </c>
      <c r="L153" s="13" t="n">
        <v>1700.59</v>
      </c>
      <c r="M153" s="13" t="n">
        <v>1700.59</v>
      </c>
      <c r="N153" s="13" t="n">
        <v>1700.59</v>
      </c>
      <c r="O153" s="13" t="n">
        <v>1700.59</v>
      </c>
      <c r="P153" s="13" t="n">
        <v>1700.59</v>
      </c>
      <c r="Q153" s="13" t="n">
        <v>1700.59</v>
      </c>
      <c r="R153" s="13" t="n">
        <v>1700.59</v>
      </c>
      <c r="S153" s="13" t="n">
        <v>1700.59</v>
      </c>
      <c r="T153" s="13" t="n">
        <v>1700.59</v>
      </c>
      <c r="U153" s="13" t="n">
        <v>350</v>
      </c>
      <c r="V153" s="13" t="n">
        <v>250</v>
      </c>
      <c r="W153" s="13" t="n">
        <f aca="false">U153+V153</f>
        <v>600</v>
      </c>
    </row>
    <row r="154" customFormat="false" ht="15" hidden="false" customHeight="false" outlineLevel="0" collapsed="false">
      <c r="A154" s="14" t="s">
        <v>420</v>
      </c>
      <c r="B154" s="14" t="s">
        <v>134</v>
      </c>
      <c r="C154" s="14" t="s">
        <v>421</v>
      </c>
      <c r="D154" s="14" t="s">
        <v>352</v>
      </c>
      <c r="E154" s="15" t="n">
        <v>1215000</v>
      </c>
      <c r="F154" s="15" t="n">
        <v>14247.59</v>
      </c>
      <c r="G154" s="15" t="n">
        <v>1780.95</v>
      </c>
      <c r="H154" s="15" t="n">
        <v>1780.95</v>
      </c>
      <c r="I154" s="15" t="n">
        <f aca="false">SUM(K154:T154)</f>
        <v>10685.7</v>
      </c>
      <c r="J154" s="15" t="n">
        <f aca="false">F154-(G154+H154+I154)</f>
        <v>-0.00999999999839929</v>
      </c>
      <c r="K154" s="15" t="n">
        <v>1068.57</v>
      </c>
      <c r="L154" s="15" t="n">
        <v>1068.57</v>
      </c>
      <c r="M154" s="15" t="n">
        <v>1068.57</v>
      </c>
      <c r="N154" s="15" t="n">
        <v>1068.57</v>
      </c>
      <c r="O154" s="15" t="n">
        <v>1068.57</v>
      </c>
      <c r="P154" s="15" t="n">
        <v>1068.57</v>
      </c>
      <c r="Q154" s="15" t="n">
        <v>1068.57</v>
      </c>
      <c r="R154" s="15" t="n">
        <v>1068.57</v>
      </c>
      <c r="S154" s="15" t="n">
        <v>1068.57</v>
      </c>
      <c r="T154" s="15" t="n">
        <v>1068.57</v>
      </c>
      <c r="U154" s="15" t="n">
        <v>350</v>
      </c>
      <c r="V154" s="15" t="n">
        <v>250</v>
      </c>
      <c r="W154" s="15" t="n">
        <f aca="false">U154+V154</f>
        <v>600</v>
      </c>
    </row>
    <row r="155" customFormat="false" ht="15" hidden="false" customHeight="false" outlineLevel="0" collapsed="false">
      <c r="A155" s="3" t="s">
        <v>422</v>
      </c>
      <c r="B155" s="3" t="s">
        <v>67</v>
      </c>
      <c r="C155" s="3" t="s">
        <v>423</v>
      </c>
      <c r="D155" s="3" t="s">
        <v>85</v>
      </c>
      <c r="E155" s="13" t="n">
        <v>825000</v>
      </c>
      <c r="F155" s="13" t="n">
        <v>20554.95</v>
      </c>
      <c r="G155" s="13" t="n">
        <v>2569.37</v>
      </c>
      <c r="H155" s="13" t="n">
        <v>2569.37</v>
      </c>
      <c r="I155" s="13" t="n">
        <f aca="false">SUM(K155:T155)</f>
        <v>15416.2</v>
      </c>
      <c r="J155" s="13" t="n">
        <f aca="false">F155-(G155+H155+I155)</f>
        <v>0.0100000000056752</v>
      </c>
      <c r="K155" s="13" t="n">
        <v>1541.62</v>
      </c>
      <c r="L155" s="13" t="n">
        <v>1541.62</v>
      </c>
      <c r="M155" s="13" t="n">
        <v>1541.62</v>
      </c>
      <c r="N155" s="13" t="n">
        <v>1541.62</v>
      </c>
      <c r="O155" s="13" t="n">
        <v>1541.62</v>
      </c>
      <c r="P155" s="13" t="n">
        <v>1541.62</v>
      </c>
      <c r="Q155" s="13" t="n">
        <v>1541.62</v>
      </c>
      <c r="R155" s="13" t="n">
        <v>1541.62</v>
      </c>
      <c r="S155" s="13" t="n">
        <v>1541.62</v>
      </c>
      <c r="T155" s="13" t="n">
        <v>1541.62</v>
      </c>
      <c r="U155" s="13" t="n">
        <v>350</v>
      </c>
      <c r="V155" s="13" t="n">
        <v>0</v>
      </c>
      <c r="W155" s="13" t="n">
        <f aca="false">U155+V155</f>
        <v>350</v>
      </c>
    </row>
    <row r="156" customFormat="false" ht="15" hidden="false" customHeight="false" outlineLevel="0" collapsed="false">
      <c r="A156" s="14" t="s">
        <v>424</v>
      </c>
      <c r="B156" s="14" t="s">
        <v>67</v>
      </c>
      <c r="C156" s="14" t="s">
        <v>425</v>
      </c>
      <c r="D156" s="14" t="s">
        <v>93</v>
      </c>
      <c r="E156" s="15" t="n">
        <v>1345000</v>
      </c>
      <c r="F156" s="15" t="n">
        <v>12343.55</v>
      </c>
      <c r="G156" s="15" t="n">
        <v>1542.94</v>
      </c>
      <c r="H156" s="15" t="n">
        <v>1542.94</v>
      </c>
      <c r="I156" s="15" t="n">
        <f aca="false">SUM(K156:T156)</f>
        <v>9257.7</v>
      </c>
      <c r="J156" s="15" t="n">
        <f aca="false">F156-(G156+H156+I156)</f>
        <v>-0.0300000000024738</v>
      </c>
      <c r="K156" s="15" t="n">
        <v>925.77</v>
      </c>
      <c r="L156" s="15" t="n">
        <v>925.77</v>
      </c>
      <c r="M156" s="15" t="n">
        <v>925.77</v>
      </c>
      <c r="N156" s="15" t="n">
        <v>925.77</v>
      </c>
      <c r="O156" s="15" t="n">
        <v>925.77</v>
      </c>
      <c r="P156" s="15" t="n">
        <v>925.77</v>
      </c>
      <c r="Q156" s="15" t="n">
        <v>925.77</v>
      </c>
      <c r="R156" s="15" t="n">
        <v>925.77</v>
      </c>
      <c r="S156" s="15" t="n">
        <v>925.77</v>
      </c>
      <c r="T156" s="15" t="n">
        <v>925.77</v>
      </c>
      <c r="U156" s="15" t="n">
        <v>350</v>
      </c>
      <c r="V156" s="15" t="n">
        <v>250</v>
      </c>
      <c r="W156" s="15" t="n">
        <f aca="false">U156+V156</f>
        <v>600</v>
      </c>
    </row>
    <row r="157" customFormat="false" ht="15" hidden="false" customHeight="false" outlineLevel="0" collapsed="false">
      <c r="A157" s="3" t="s">
        <v>426</v>
      </c>
      <c r="B157" s="3" t="s">
        <v>195</v>
      </c>
      <c r="C157" s="3" t="s">
        <v>427</v>
      </c>
      <c r="D157" s="3" t="s">
        <v>132</v>
      </c>
      <c r="E157" s="13" t="n">
        <v>635000</v>
      </c>
      <c r="F157" s="13" t="n">
        <v>5151.89</v>
      </c>
      <c r="G157" s="13" t="n">
        <v>643.99</v>
      </c>
      <c r="H157" s="13" t="n">
        <v>643.99</v>
      </c>
      <c r="I157" s="13" t="n">
        <f aca="false">SUM(K157:T157)</f>
        <v>3863.9</v>
      </c>
      <c r="J157" s="13" t="n">
        <f aca="false">F157-(G157+H157+I157)</f>
        <v>0.0100000000011278</v>
      </c>
      <c r="K157" s="13" t="n">
        <v>386.39</v>
      </c>
      <c r="L157" s="13" t="n">
        <v>386.39</v>
      </c>
      <c r="M157" s="13" t="n">
        <v>386.39</v>
      </c>
      <c r="N157" s="13" t="n">
        <v>386.39</v>
      </c>
      <c r="O157" s="13" t="n">
        <v>386.39</v>
      </c>
      <c r="P157" s="13" t="n">
        <v>386.39</v>
      </c>
      <c r="Q157" s="13" t="n">
        <v>386.39</v>
      </c>
      <c r="R157" s="13" t="n">
        <v>386.39</v>
      </c>
      <c r="S157" s="13" t="n">
        <v>386.39</v>
      </c>
      <c r="T157" s="13" t="n">
        <v>386.39</v>
      </c>
      <c r="U157" s="13" t="n">
        <v>350</v>
      </c>
      <c r="V157" s="13" t="n">
        <v>0</v>
      </c>
      <c r="W157" s="13" t="n">
        <f aca="false">U157+V157</f>
        <v>350</v>
      </c>
    </row>
    <row r="158" customFormat="false" ht="15" hidden="false" customHeight="false" outlineLevel="0" collapsed="false">
      <c r="A158" s="14" t="s">
        <v>428</v>
      </c>
      <c r="B158" s="14" t="s">
        <v>79</v>
      </c>
      <c r="C158" s="14" t="s">
        <v>429</v>
      </c>
      <c r="D158" s="14" t="s">
        <v>430</v>
      </c>
      <c r="E158" s="15" t="n">
        <v>1950000</v>
      </c>
      <c r="F158" s="15" t="n">
        <v>29139.62</v>
      </c>
      <c r="G158" s="15" t="n">
        <v>3642.45</v>
      </c>
      <c r="H158" s="15" t="n">
        <v>3642.45</v>
      </c>
      <c r="I158" s="15" t="n">
        <f aca="false">SUM(K158:T158)</f>
        <v>21854.7</v>
      </c>
      <c r="J158" s="15" t="n">
        <f aca="false">F158-(G158+H158+I158)</f>
        <v>0.0200000000004366</v>
      </c>
      <c r="K158" s="15" t="n">
        <v>2185.47</v>
      </c>
      <c r="L158" s="15" t="n">
        <v>2185.47</v>
      </c>
      <c r="M158" s="15" t="n">
        <v>2185.47</v>
      </c>
      <c r="N158" s="15" t="n">
        <v>2185.47</v>
      </c>
      <c r="O158" s="15" t="n">
        <v>2185.47</v>
      </c>
      <c r="P158" s="15" t="n">
        <v>2185.47</v>
      </c>
      <c r="Q158" s="15" t="n">
        <v>2185.47</v>
      </c>
      <c r="R158" s="15" t="n">
        <v>2185.47</v>
      </c>
      <c r="S158" s="15" t="n">
        <v>2185.47</v>
      </c>
      <c r="T158" s="15" t="n">
        <v>2185.47</v>
      </c>
      <c r="U158" s="15" t="n">
        <v>350</v>
      </c>
      <c r="V158" s="15" t="n">
        <v>250</v>
      </c>
      <c r="W158" s="15" t="n">
        <f aca="false">U158+V158</f>
        <v>600</v>
      </c>
    </row>
    <row r="159" customFormat="false" ht="15" hidden="false" customHeight="false" outlineLevel="0" collapsed="false">
      <c r="A159" s="3" t="s">
        <v>431</v>
      </c>
      <c r="B159" s="3" t="s">
        <v>224</v>
      </c>
      <c r="C159" s="3" t="s">
        <v>432</v>
      </c>
      <c r="D159" s="3" t="s">
        <v>125</v>
      </c>
      <c r="E159" s="13" t="n">
        <v>725000</v>
      </c>
      <c r="F159" s="13" t="n">
        <v>5646.79</v>
      </c>
      <c r="G159" s="13" t="n">
        <v>705.85</v>
      </c>
      <c r="H159" s="13" t="n">
        <v>705.85</v>
      </c>
      <c r="I159" s="13" t="n">
        <f aca="false">SUM(K159:T159)</f>
        <v>4235.1</v>
      </c>
      <c r="J159" s="13" t="n">
        <f aca="false">F159-(G159+H159+I159)</f>
        <v>-0.0100000000002183</v>
      </c>
      <c r="K159" s="13" t="n">
        <v>423.51</v>
      </c>
      <c r="L159" s="13" t="n">
        <v>423.51</v>
      </c>
      <c r="M159" s="13" t="n">
        <v>423.51</v>
      </c>
      <c r="N159" s="13" t="n">
        <v>423.51</v>
      </c>
      <c r="O159" s="13" t="n">
        <v>423.51</v>
      </c>
      <c r="P159" s="13" t="n">
        <v>423.51</v>
      </c>
      <c r="Q159" s="13" t="n">
        <v>423.51</v>
      </c>
      <c r="R159" s="13" t="n">
        <v>423.51</v>
      </c>
      <c r="S159" s="13" t="n">
        <v>423.51</v>
      </c>
      <c r="T159" s="13" t="n">
        <v>423.51</v>
      </c>
      <c r="U159" s="13" t="n">
        <v>350</v>
      </c>
      <c r="V159" s="13" t="n">
        <v>0</v>
      </c>
      <c r="W159" s="13" t="n">
        <f aca="false">U159+V159</f>
        <v>350</v>
      </c>
    </row>
    <row r="160" customFormat="false" ht="15" hidden="false" customHeight="false" outlineLevel="0" collapsed="false">
      <c r="A160" s="14" t="s">
        <v>433</v>
      </c>
      <c r="B160" s="14" t="s">
        <v>201</v>
      </c>
      <c r="C160" s="14" t="s">
        <v>434</v>
      </c>
      <c r="D160" s="14" t="s">
        <v>382</v>
      </c>
      <c r="E160" s="15" t="n">
        <v>510000</v>
      </c>
      <c r="F160" s="15" t="n">
        <v>4634.26</v>
      </c>
      <c r="G160" s="15" t="n">
        <v>579.28</v>
      </c>
      <c r="H160" s="15" t="n">
        <v>579.28</v>
      </c>
      <c r="I160" s="15" t="n">
        <f aca="false">SUM(K160:T160)</f>
        <v>3475.7</v>
      </c>
      <c r="J160" s="15" t="n">
        <f aca="false">F160-(G160+H160+I160)</f>
        <v>0</v>
      </c>
      <c r="K160" s="15" t="n">
        <v>347.57</v>
      </c>
      <c r="L160" s="15" t="n">
        <v>347.57</v>
      </c>
      <c r="M160" s="15" t="n">
        <v>347.57</v>
      </c>
      <c r="N160" s="15" t="n">
        <v>347.57</v>
      </c>
      <c r="O160" s="15" t="n">
        <v>347.57</v>
      </c>
      <c r="P160" s="15" t="n">
        <v>347.57</v>
      </c>
      <c r="Q160" s="15" t="n">
        <v>347.57</v>
      </c>
      <c r="R160" s="15" t="n">
        <v>347.57</v>
      </c>
      <c r="S160" s="15" t="n">
        <v>347.57</v>
      </c>
      <c r="T160" s="15" t="n">
        <v>347.57</v>
      </c>
      <c r="U160" s="15" t="n">
        <v>350</v>
      </c>
      <c r="V160" s="15" t="n">
        <v>0</v>
      </c>
      <c r="W160" s="15" t="n">
        <f aca="false">U160+V160</f>
        <v>350</v>
      </c>
    </row>
    <row r="161" customFormat="false" ht="15" hidden="false" customHeight="false" outlineLevel="0" collapsed="false">
      <c r="A161" s="3" t="s">
        <v>435</v>
      </c>
      <c r="B161" s="3" t="s">
        <v>142</v>
      </c>
      <c r="C161" s="3" t="s">
        <v>436</v>
      </c>
      <c r="D161" s="3" t="s">
        <v>325</v>
      </c>
      <c r="E161" s="13" t="n">
        <v>415000</v>
      </c>
      <c r="F161" s="13" t="n">
        <v>8104.25</v>
      </c>
      <c r="G161" s="13" t="n">
        <v>1013.03</v>
      </c>
      <c r="H161" s="13" t="n">
        <v>1013.03</v>
      </c>
      <c r="I161" s="13" t="n">
        <f aca="false">SUM(K161:T161)</f>
        <v>6078.2</v>
      </c>
      <c r="J161" s="13" t="n">
        <f aca="false">F161-(G161+H161+I161)</f>
        <v>-0.0100000000002183</v>
      </c>
      <c r="K161" s="13" t="n">
        <v>607.82</v>
      </c>
      <c r="L161" s="13" t="n">
        <v>607.82</v>
      </c>
      <c r="M161" s="13" t="n">
        <v>607.82</v>
      </c>
      <c r="N161" s="13" t="n">
        <v>607.82</v>
      </c>
      <c r="O161" s="13" t="n">
        <v>607.82</v>
      </c>
      <c r="P161" s="13" t="n">
        <v>607.82</v>
      </c>
      <c r="Q161" s="13" t="n">
        <v>607.82</v>
      </c>
      <c r="R161" s="13" t="n">
        <v>607.82</v>
      </c>
      <c r="S161" s="13" t="n">
        <v>607.82</v>
      </c>
      <c r="T161" s="13" t="n">
        <v>607.82</v>
      </c>
      <c r="U161" s="13" t="n">
        <v>350</v>
      </c>
      <c r="V161" s="13" t="n">
        <v>0</v>
      </c>
      <c r="W161" s="13" t="n">
        <f aca="false">U161+V161</f>
        <v>350</v>
      </c>
    </row>
    <row r="162" customFormat="false" ht="15" hidden="false" customHeight="false" outlineLevel="0" collapsed="false">
      <c r="A162" s="14" t="s">
        <v>437</v>
      </c>
      <c r="B162" s="14" t="s">
        <v>83</v>
      </c>
      <c r="C162" s="14" t="s">
        <v>438</v>
      </c>
      <c r="D162" s="14" t="s">
        <v>377</v>
      </c>
      <c r="E162" s="15" t="n">
        <v>590000</v>
      </c>
      <c r="F162" s="15" t="n">
        <v>9696.04</v>
      </c>
      <c r="G162" s="15" t="n">
        <v>1212.01</v>
      </c>
      <c r="H162" s="15" t="n">
        <v>1212.01</v>
      </c>
      <c r="I162" s="15" t="n">
        <f aca="false">SUM(K162:T162)</f>
        <v>7272</v>
      </c>
      <c r="J162" s="15" t="n">
        <f aca="false">F162-(G162+H162+I162)</f>
        <v>0.0200000000004366</v>
      </c>
      <c r="K162" s="15" t="n">
        <v>727.2</v>
      </c>
      <c r="L162" s="15" t="n">
        <v>727.2</v>
      </c>
      <c r="M162" s="15" t="n">
        <v>727.2</v>
      </c>
      <c r="N162" s="15" t="n">
        <v>727.2</v>
      </c>
      <c r="O162" s="15" t="n">
        <v>727.2</v>
      </c>
      <c r="P162" s="15" t="n">
        <v>727.2</v>
      </c>
      <c r="Q162" s="15" t="n">
        <v>727.2</v>
      </c>
      <c r="R162" s="15" t="n">
        <v>727.2</v>
      </c>
      <c r="S162" s="15" t="n">
        <v>727.2</v>
      </c>
      <c r="T162" s="15" t="n">
        <v>727.2</v>
      </c>
      <c r="U162" s="15" t="n">
        <v>350</v>
      </c>
      <c r="V162" s="15" t="n">
        <v>0</v>
      </c>
      <c r="W162" s="15" t="n">
        <f aca="false">U162+V162</f>
        <v>350</v>
      </c>
    </row>
    <row r="163" customFormat="false" ht="15" hidden="false" customHeight="false" outlineLevel="0" collapsed="false">
      <c r="A163" s="3" t="s">
        <v>439</v>
      </c>
      <c r="B163" s="3" t="s">
        <v>71</v>
      </c>
      <c r="C163" s="3" t="s">
        <v>440</v>
      </c>
      <c r="D163" s="3" t="s">
        <v>246</v>
      </c>
      <c r="E163" s="13" t="n">
        <v>600000</v>
      </c>
      <c r="F163" s="13" t="n">
        <v>8830.19</v>
      </c>
      <c r="G163" s="13" t="n">
        <v>1103.77</v>
      </c>
      <c r="H163" s="13" t="n">
        <v>1103.77</v>
      </c>
      <c r="I163" s="13" t="n">
        <f aca="false">SUM(K163:T163)</f>
        <v>6622.6</v>
      </c>
      <c r="J163" s="13" t="n">
        <f aca="false">F163-(G163+H163+I163)</f>
        <v>0.0500000000010914</v>
      </c>
      <c r="K163" s="13" t="n">
        <v>662.26</v>
      </c>
      <c r="L163" s="13" t="n">
        <v>662.26</v>
      </c>
      <c r="M163" s="13" t="n">
        <v>662.26</v>
      </c>
      <c r="N163" s="13" t="n">
        <v>662.26</v>
      </c>
      <c r="O163" s="13" t="n">
        <v>662.26</v>
      </c>
      <c r="P163" s="13" t="n">
        <v>662.26</v>
      </c>
      <c r="Q163" s="13" t="n">
        <v>662.26</v>
      </c>
      <c r="R163" s="13" t="n">
        <v>662.26</v>
      </c>
      <c r="S163" s="13" t="n">
        <v>662.26</v>
      </c>
      <c r="T163" s="13" t="n">
        <v>662.26</v>
      </c>
      <c r="U163" s="13" t="n">
        <v>350</v>
      </c>
      <c r="V163" s="13" t="n">
        <v>0</v>
      </c>
      <c r="W163" s="13" t="n">
        <f aca="false">U163+V163</f>
        <v>350</v>
      </c>
    </row>
    <row r="164" customFormat="false" ht="15" hidden="false" customHeight="false" outlineLevel="0" collapsed="false">
      <c r="A164" s="14" t="s">
        <v>441</v>
      </c>
      <c r="B164" s="14" t="s">
        <v>187</v>
      </c>
      <c r="C164" s="14" t="s">
        <v>310</v>
      </c>
      <c r="D164" s="14" t="s">
        <v>180</v>
      </c>
      <c r="E164" s="15" t="n">
        <v>300000</v>
      </c>
      <c r="F164" s="15" t="n">
        <v>5136.79</v>
      </c>
      <c r="G164" s="15" t="n">
        <v>642.1</v>
      </c>
      <c r="H164" s="15" t="n">
        <v>642.1</v>
      </c>
      <c r="I164" s="15" t="n">
        <f aca="false">SUM(K164:T164)</f>
        <v>3852.6</v>
      </c>
      <c r="J164" s="15" t="n">
        <f aca="false">F164-(G164+H164+I164)</f>
        <v>-0.0100000000002183</v>
      </c>
      <c r="K164" s="15" t="n">
        <v>385.26</v>
      </c>
      <c r="L164" s="15" t="n">
        <v>385.26</v>
      </c>
      <c r="M164" s="15" t="n">
        <v>385.26</v>
      </c>
      <c r="N164" s="15" t="n">
        <v>385.26</v>
      </c>
      <c r="O164" s="15" t="n">
        <v>385.26</v>
      </c>
      <c r="P164" s="15" t="n">
        <v>385.26</v>
      </c>
      <c r="Q164" s="15" t="n">
        <v>385.26</v>
      </c>
      <c r="R164" s="15" t="n">
        <v>385.26</v>
      </c>
      <c r="S164" s="15" t="n">
        <v>385.26</v>
      </c>
      <c r="T164" s="15" t="n">
        <v>385.26</v>
      </c>
      <c r="U164" s="15" t="n">
        <v>350</v>
      </c>
      <c r="V164" s="15" t="n">
        <v>0</v>
      </c>
      <c r="W164" s="15" t="n">
        <f aca="false">U164+V164</f>
        <v>350</v>
      </c>
    </row>
    <row r="165" customFormat="false" ht="15" hidden="false" customHeight="false" outlineLevel="0" collapsed="false">
      <c r="A165" s="3" t="s">
        <v>442</v>
      </c>
      <c r="B165" s="3" t="s">
        <v>149</v>
      </c>
      <c r="C165" s="3" t="s">
        <v>443</v>
      </c>
      <c r="D165" s="3" t="s">
        <v>102</v>
      </c>
      <c r="E165" s="13" t="n">
        <v>675000</v>
      </c>
      <c r="F165" s="13" t="n">
        <v>9520.05</v>
      </c>
      <c r="G165" s="13" t="n">
        <v>1190.01</v>
      </c>
      <c r="H165" s="13" t="n">
        <v>1190.01</v>
      </c>
      <c r="I165" s="13" t="n">
        <f aca="false">SUM(K165:T165)</f>
        <v>7140</v>
      </c>
      <c r="J165" s="13" t="n">
        <f aca="false">F165-(G165+H165+I165)</f>
        <v>0.0299999999988358</v>
      </c>
      <c r="K165" s="13" t="n">
        <v>714</v>
      </c>
      <c r="L165" s="13" t="n">
        <v>714</v>
      </c>
      <c r="M165" s="13" t="n">
        <v>714</v>
      </c>
      <c r="N165" s="13" t="n">
        <v>714</v>
      </c>
      <c r="O165" s="13" t="n">
        <v>714</v>
      </c>
      <c r="P165" s="13" t="n">
        <v>714</v>
      </c>
      <c r="Q165" s="13" t="n">
        <v>714</v>
      </c>
      <c r="R165" s="13" t="n">
        <v>714</v>
      </c>
      <c r="S165" s="13" t="n">
        <v>714</v>
      </c>
      <c r="T165" s="13" t="n">
        <v>714</v>
      </c>
      <c r="U165" s="13" t="n">
        <v>350</v>
      </c>
      <c r="V165" s="13" t="n">
        <v>0</v>
      </c>
      <c r="W165" s="13" t="n">
        <f aca="false">U165+V165</f>
        <v>350</v>
      </c>
    </row>
    <row r="166" customFormat="false" ht="15" hidden="false" customHeight="false" outlineLevel="0" collapsed="false">
      <c r="A166" s="14" t="s">
        <v>444</v>
      </c>
      <c r="B166" s="14" t="s">
        <v>205</v>
      </c>
      <c r="C166" s="14" t="s">
        <v>445</v>
      </c>
      <c r="D166" s="14" t="s">
        <v>102</v>
      </c>
      <c r="E166" s="15" t="n">
        <v>640000</v>
      </c>
      <c r="F166" s="15" t="n">
        <v>5971.32</v>
      </c>
      <c r="G166" s="15" t="n">
        <v>746.41</v>
      </c>
      <c r="H166" s="15" t="n">
        <v>746.41</v>
      </c>
      <c r="I166" s="15" t="n">
        <f aca="false">SUM(K166:T166)</f>
        <v>4478.5</v>
      </c>
      <c r="J166" s="15" t="n">
        <f aca="false">F166-(G166+H166+I166)</f>
        <v>0</v>
      </c>
      <c r="K166" s="15" t="n">
        <v>447.85</v>
      </c>
      <c r="L166" s="15" t="n">
        <v>447.85</v>
      </c>
      <c r="M166" s="15" t="n">
        <v>447.85</v>
      </c>
      <c r="N166" s="15" t="n">
        <v>447.85</v>
      </c>
      <c r="O166" s="15" t="n">
        <v>447.85</v>
      </c>
      <c r="P166" s="15" t="n">
        <v>447.85</v>
      </c>
      <c r="Q166" s="15" t="n">
        <v>447.85</v>
      </c>
      <c r="R166" s="15" t="n">
        <v>447.85</v>
      </c>
      <c r="S166" s="15" t="n">
        <v>447.85</v>
      </c>
      <c r="T166" s="15" t="n">
        <v>447.85</v>
      </c>
      <c r="U166" s="15" t="n">
        <v>350</v>
      </c>
      <c r="V166" s="15" t="n">
        <v>0</v>
      </c>
      <c r="W166" s="15" t="n">
        <f aca="false">U166+V166</f>
        <v>350</v>
      </c>
    </row>
    <row r="167" customFormat="false" ht="15" hidden="false" customHeight="false" outlineLevel="0" collapsed="false">
      <c r="A167" s="3" t="s">
        <v>446</v>
      </c>
      <c r="B167" s="3" t="s">
        <v>130</v>
      </c>
      <c r="C167" s="3" t="s">
        <v>447</v>
      </c>
      <c r="D167" s="3" t="s">
        <v>448</v>
      </c>
      <c r="E167" s="13" t="n">
        <v>555000</v>
      </c>
      <c r="F167" s="13" t="n">
        <v>7215</v>
      </c>
      <c r="G167" s="13" t="n">
        <v>901.88</v>
      </c>
      <c r="H167" s="13" t="n">
        <v>901.88</v>
      </c>
      <c r="I167" s="13" t="n">
        <f aca="false">SUM(K167:T167)</f>
        <v>5411.2</v>
      </c>
      <c r="J167" s="13" t="n">
        <f aca="false">F167-(G167+H167+I167)</f>
        <v>0.0399999999999636</v>
      </c>
      <c r="K167" s="13" t="n">
        <v>541.12</v>
      </c>
      <c r="L167" s="13" t="n">
        <v>541.12</v>
      </c>
      <c r="M167" s="13" t="n">
        <v>541.12</v>
      </c>
      <c r="N167" s="13" t="n">
        <v>541.12</v>
      </c>
      <c r="O167" s="13" t="n">
        <v>541.12</v>
      </c>
      <c r="P167" s="13" t="n">
        <v>541.12</v>
      </c>
      <c r="Q167" s="13" t="n">
        <v>541.12</v>
      </c>
      <c r="R167" s="13" t="n">
        <v>541.12</v>
      </c>
      <c r="S167" s="13" t="n">
        <v>541.12</v>
      </c>
      <c r="T167" s="13" t="n">
        <v>541.12</v>
      </c>
      <c r="U167" s="13" t="n">
        <v>350</v>
      </c>
      <c r="V167" s="13" t="n">
        <v>0</v>
      </c>
      <c r="W167" s="13" t="n">
        <f aca="false">U167+V167</f>
        <v>350</v>
      </c>
    </row>
    <row r="168" customFormat="false" ht="15" hidden="false" customHeight="false" outlineLevel="0" collapsed="false">
      <c r="A168" s="14" t="s">
        <v>449</v>
      </c>
      <c r="B168" s="14" t="s">
        <v>95</v>
      </c>
      <c r="C168" s="14" t="s">
        <v>450</v>
      </c>
      <c r="D168" s="14" t="s">
        <v>163</v>
      </c>
      <c r="E168" s="15" t="n">
        <v>610000</v>
      </c>
      <c r="F168" s="15" t="n">
        <v>7630.75</v>
      </c>
      <c r="G168" s="15" t="n">
        <v>953.84</v>
      </c>
      <c r="H168" s="15" t="n">
        <v>953.84</v>
      </c>
      <c r="I168" s="15" t="n">
        <f aca="false">SUM(K168:T168)</f>
        <v>5723.1</v>
      </c>
      <c r="J168" s="15" t="n">
        <f aca="false">F168-(G168+H168+I168)</f>
        <v>-0.0299999999988358</v>
      </c>
      <c r="K168" s="15" t="n">
        <v>572.31</v>
      </c>
      <c r="L168" s="15" t="n">
        <v>572.31</v>
      </c>
      <c r="M168" s="15" t="n">
        <v>572.31</v>
      </c>
      <c r="N168" s="15" t="n">
        <v>572.31</v>
      </c>
      <c r="O168" s="15" t="n">
        <v>572.31</v>
      </c>
      <c r="P168" s="15" t="n">
        <v>572.31</v>
      </c>
      <c r="Q168" s="15" t="n">
        <v>572.31</v>
      </c>
      <c r="R168" s="15" t="n">
        <v>572.31</v>
      </c>
      <c r="S168" s="15" t="n">
        <v>572.31</v>
      </c>
      <c r="T168" s="15" t="n">
        <v>572.31</v>
      </c>
      <c r="U168" s="15" t="n">
        <v>350</v>
      </c>
      <c r="V168" s="15" t="n">
        <v>0</v>
      </c>
      <c r="W168" s="15" t="n">
        <f aca="false">U168+V168</f>
        <v>350</v>
      </c>
    </row>
    <row r="169" customFormat="false" ht="15" hidden="false" customHeight="false" outlineLevel="0" collapsed="false">
      <c r="A169" s="3" t="s">
        <v>451</v>
      </c>
      <c r="B169" s="3" t="s">
        <v>384</v>
      </c>
      <c r="C169" s="3" t="s">
        <v>452</v>
      </c>
      <c r="D169" s="3" t="s">
        <v>312</v>
      </c>
      <c r="E169" s="13" t="n">
        <v>1040000</v>
      </c>
      <c r="F169" s="13" t="n">
        <v>17424.91</v>
      </c>
      <c r="G169" s="13" t="n">
        <v>2178.11</v>
      </c>
      <c r="H169" s="13" t="n">
        <v>2178.11</v>
      </c>
      <c r="I169" s="13" t="n">
        <f aca="false">SUM(K169:T169)</f>
        <v>13068.7</v>
      </c>
      <c r="J169" s="13" t="n">
        <f aca="false">F169-(G169+H169+I169)</f>
        <v>-0.00999999999839929</v>
      </c>
      <c r="K169" s="13" t="n">
        <v>1306.87</v>
      </c>
      <c r="L169" s="13" t="n">
        <v>1306.87</v>
      </c>
      <c r="M169" s="13" t="n">
        <v>1306.87</v>
      </c>
      <c r="N169" s="13" t="n">
        <v>1306.87</v>
      </c>
      <c r="O169" s="13" t="n">
        <v>1306.87</v>
      </c>
      <c r="P169" s="13" t="n">
        <v>1306.87</v>
      </c>
      <c r="Q169" s="13" t="n">
        <v>1306.87</v>
      </c>
      <c r="R169" s="13" t="n">
        <v>1306.87</v>
      </c>
      <c r="S169" s="13" t="n">
        <v>1306.87</v>
      </c>
      <c r="T169" s="13" t="n">
        <v>1306.87</v>
      </c>
      <c r="U169" s="13" t="n">
        <v>350</v>
      </c>
      <c r="V169" s="13" t="n">
        <v>250</v>
      </c>
      <c r="W169" s="13" t="n">
        <f aca="false">U169+V169</f>
        <v>600</v>
      </c>
    </row>
    <row r="170" customFormat="false" ht="15" hidden="false" customHeight="false" outlineLevel="0" collapsed="false">
      <c r="A170" s="14" t="s">
        <v>453</v>
      </c>
      <c r="B170" s="14" t="s">
        <v>127</v>
      </c>
      <c r="C170" s="14" t="s">
        <v>454</v>
      </c>
      <c r="D170" s="14" t="s">
        <v>69</v>
      </c>
      <c r="E170" s="15" t="n">
        <v>710000</v>
      </c>
      <c r="F170" s="15" t="n">
        <v>4937.85</v>
      </c>
      <c r="G170" s="15" t="n">
        <v>617.23</v>
      </c>
      <c r="H170" s="15" t="n">
        <v>617.23</v>
      </c>
      <c r="I170" s="15" t="n">
        <f aca="false">SUM(K170:T170)</f>
        <v>3703.4</v>
      </c>
      <c r="J170" s="15" t="n">
        <f aca="false">F170-(G170+H170+I170)</f>
        <v>-0.0100000000002183</v>
      </c>
      <c r="K170" s="15" t="n">
        <v>370.34</v>
      </c>
      <c r="L170" s="15" t="n">
        <v>370.34</v>
      </c>
      <c r="M170" s="15" t="n">
        <v>370.34</v>
      </c>
      <c r="N170" s="15" t="n">
        <v>370.34</v>
      </c>
      <c r="O170" s="15" t="n">
        <v>370.34</v>
      </c>
      <c r="P170" s="15" t="n">
        <v>370.34</v>
      </c>
      <c r="Q170" s="15" t="n">
        <v>370.34</v>
      </c>
      <c r="R170" s="15" t="n">
        <v>370.34</v>
      </c>
      <c r="S170" s="15" t="n">
        <v>370.34</v>
      </c>
      <c r="T170" s="15" t="n">
        <v>370.34</v>
      </c>
      <c r="U170" s="15" t="n">
        <v>350</v>
      </c>
      <c r="V170" s="15" t="n">
        <v>0</v>
      </c>
      <c r="W170" s="15" t="n">
        <f aca="false">U170+V170</f>
        <v>350</v>
      </c>
    </row>
    <row r="171" customFormat="false" ht="15" hidden="false" customHeight="false" outlineLevel="0" collapsed="false">
      <c r="A171" s="3" t="s">
        <v>455</v>
      </c>
      <c r="B171" s="3" t="s">
        <v>142</v>
      </c>
      <c r="C171" s="3" t="s">
        <v>456</v>
      </c>
      <c r="D171" s="3" t="s">
        <v>99</v>
      </c>
      <c r="E171" s="13" t="n">
        <v>270000</v>
      </c>
      <c r="F171" s="13" t="n">
        <v>5196.23</v>
      </c>
      <c r="G171" s="13" t="n">
        <v>649.53</v>
      </c>
      <c r="H171" s="13" t="n">
        <v>649.53</v>
      </c>
      <c r="I171" s="13" t="n">
        <f aca="false">SUM(K171:T171)</f>
        <v>3897.2</v>
      </c>
      <c r="J171" s="13" t="n">
        <f aca="false">F171-(G171+H171+I171)</f>
        <v>-0.0300000000006548</v>
      </c>
      <c r="K171" s="13" t="n">
        <v>389.72</v>
      </c>
      <c r="L171" s="13" t="n">
        <v>389.72</v>
      </c>
      <c r="M171" s="13" t="n">
        <v>389.72</v>
      </c>
      <c r="N171" s="13" t="n">
        <v>389.72</v>
      </c>
      <c r="O171" s="13" t="n">
        <v>389.72</v>
      </c>
      <c r="P171" s="13" t="n">
        <v>389.72</v>
      </c>
      <c r="Q171" s="13" t="n">
        <v>389.72</v>
      </c>
      <c r="R171" s="13" t="n">
        <v>389.72</v>
      </c>
      <c r="S171" s="13" t="n">
        <v>389.72</v>
      </c>
      <c r="T171" s="13" t="n">
        <v>389.72</v>
      </c>
      <c r="U171" s="13" t="n">
        <v>350</v>
      </c>
      <c r="V171" s="13" t="n">
        <v>0</v>
      </c>
      <c r="W171" s="13" t="n">
        <f aca="false">U171+V171</f>
        <v>350</v>
      </c>
    </row>
    <row r="172" customFormat="false" ht="15" hidden="false" customHeight="false" outlineLevel="0" collapsed="false">
      <c r="A172" s="14" t="s">
        <v>457</v>
      </c>
      <c r="B172" s="14" t="s">
        <v>114</v>
      </c>
      <c r="C172" s="14" t="s">
        <v>458</v>
      </c>
      <c r="D172" s="14" t="s">
        <v>197</v>
      </c>
      <c r="E172" s="15" t="n">
        <v>235000</v>
      </c>
      <c r="F172" s="15" t="n">
        <v>4446.38</v>
      </c>
      <c r="G172" s="15" t="n">
        <v>555.8</v>
      </c>
      <c r="H172" s="15" t="n">
        <v>555.8</v>
      </c>
      <c r="I172" s="15" t="n">
        <f aca="false">SUM(K172:T172)</f>
        <v>3334.8</v>
      </c>
      <c r="J172" s="15" t="n">
        <f aca="false">F172-(G172+H172+I172)</f>
        <v>-0.0199999999995271</v>
      </c>
      <c r="K172" s="15" t="n">
        <v>333.48</v>
      </c>
      <c r="L172" s="15" t="n">
        <v>333.48</v>
      </c>
      <c r="M172" s="15" t="n">
        <v>333.48</v>
      </c>
      <c r="N172" s="15" t="n">
        <v>333.48</v>
      </c>
      <c r="O172" s="15" t="n">
        <v>333.48</v>
      </c>
      <c r="P172" s="15" t="n">
        <v>333.48</v>
      </c>
      <c r="Q172" s="15" t="n">
        <v>333.48</v>
      </c>
      <c r="R172" s="15" t="n">
        <v>333.48</v>
      </c>
      <c r="S172" s="15" t="n">
        <v>333.48</v>
      </c>
      <c r="T172" s="15" t="n">
        <v>333.48</v>
      </c>
      <c r="U172" s="15" t="n">
        <v>350</v>
      </c>
      <c r="V172" s="15" t="n">
        <v>0</v>
      </c>
      <c r="W172" s="15" t="n">
        <f aca="false">U172+V172</f>
        <v>350</v>
      </c>
    </row>
    <row r="173" customFormat="false" ht="15" hidden="false" customHeight="false" outlineLevel="0" collapsed="false">
      <c r="A173" s="8" t="s">
        <v>459</v>
      </c>
      <c r="E173" s="9" t="n">
        <f aca="false">SUM(E5:E172)</f>
        <v>128120000</v>
      </c>
      <c r="F173" s="9" t="n">
        <f aca="false">SUM(F5:F172)</f>
        <v>1872239.19</v>
      </c>
      <c r="G173" s="9" t="n">
        <f aca="false">SUM(G5:G172)</f>
        <v>234029.87</v>
      </c>
      <c r="H173" s="9" t="n">
        <f aca="false">SUM(H5:H172)</f>
        <v>234029.87</v>
      </c>
      <c r="I173" s="9" t="n">
        <f aca="false">SUM(I5:I172)</f>
        <v>1404179.6</v>
      </c>
      <c r="J173" s="9" t="n">
        <f aca="false">SUM(J5:J172)</f>
        <v>-0.149999999988268</v>
      </c>
      <c r="K173" s="9" t="n">
        <f aca="false">SUM(K5:K172)</f>
        <v>140417.96</v>
      </c>
      <c r="L173" s="9" t="n">
        <f aca="false">SUM(L5:L172)</f>
        <v>140417.96</v>
      </c>
      <c r="M173" s="9" t="n">
        <f aca="false">SUM(M5:M172)</f>
        <v>140417.96</v>
      </c>
      <c r="N173" s="9" t="n">
        <f aca="false">SUM(N5:N172)</f>
        <v>140417.96</v>
      </c>
      <c r="O173" s="9" t="n">
        <f aca="false">SUM(O5:O172)</f>
        <v>140417.96</v>
      </c>
      <c r="P173" s="9" t="n">
        <f aca="false">SUM(P5:P172)</f>
        <v>140417.96</v>
      </c>
      <c r="Q173" s="9" t="n">
        <f aca="false">SUM(Q5:Q172)</f>
        <v>140417.96</v>
      </c>
      <c r="R173" s="9" t="n">
        <f aca="false">SUM(R5:R172)</f>
        <v>140417.96</v>
      </c>
      <c r="S173" s="9" t="n">
        <f aca="false">SUM(S5:S172)</f>
        <v>140417.96</v>
      </c>
      <c r="T173" s="9" t="n">
        <f aca="false">SUM(T5:T172)</f>
        <v>140417.96</v>
      </c>
      <c r="U173" s="9" t="n">
        <f aca="false">SUM(U5:U172)</f>
        <v>58800</v>
      </c>
      <c r="V173" s="9" t="n">
        <f aca="false">SUM(V5:V172)</f>
        <v>10750</v>
      </c>
      <c r="W173" s="9" t="n">
        <f aca="false">SUM(W5:W172)</f>
        <v>69550</v>
      </c>
    </row>
    <row r="174" customFormat="false" ht="15" hidden="false" customHeight="false" outlineLevel="0" collapsed="false">
      <c r="A174" s="4" t="s">
        <v>460</v>
      </c>
      <c r="F174" s="16" t="n">
        <f aca="false">F173-(G173+H173+I173+J173)</f>
        <v>0</v>
      </c>
    </row>
    <row r="175" customFormat="false" ht="15" hidden="false" customHeight="false" outlineLevel="0" collapsed="false">
      <c r="A175" s="4" t="s">
        <v>461</v>
      </c>
      <c r="I175" s="16" t="n">
        <f aca="false">I173-SUM(K173:T173)</f>
        <v>0</v>
      </c>
    </row>
  </sheetData>
  <autoFilter ref="A4:W17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21" min="11" style="0" width="11"/>
    <col collapsed="false" customWidth="true" hidden="false" outlineLevel="0" max="22" min="22" style="0" width="13"/>
    <col collapsed="false" customWidth="true" hidden="false" outlineLevel="0" max="23" min="23" style="0" width="11"/>
  </cols>
  <sheetData>
    <row r="1" customFormat="false" ht="17.35" hidden="false" customHeight="false" outlineLevel="0" collapsed="false">
      <c r="A1" s="1" t="s">
        <v>462</v>
      </c>
    </row>
    <row r="2" customFormat="false" ht="15" hidden="false" customHeight="false" outlineLevel="0" collapsed="false">
      <c r="A2" s="4" t="s">
        <v>60</v>
      </c>
    </row>
    <row r="4" customFormat="false" ht="15" hidden="false" customHeight="false" outlineLevel="0" collapsed="false">
      <c r="A4" s="5" t="s">
        <v>61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15</v>
      </c>
      <c r="G4" s="5" t="s">
        <v>16</v>
      </c>
      <c r="H4" s="5" t="s">
        <v>17</v>
      </c>
      <c r="I4" s="5" t="s">
        <v>18</v>
      </c>
      <c r="J4" s="5" t="s">
        <v>19</v>
      </c>
      <c r="K4" s="5" t="s">
        <v>20</v>
      </c>
      <c r="L4" s="5" t="s">
        <v>21</v>
      </c>
      <c r="M4" s="5" t="s">
        <v>22</v>
      </c>
      <c r="N4" s="5" t="s">
        <v>23</v>
      </c>
      <c r="O4" s="5" t="s">
        <v>24</v>
      </c>
      <c r="P4" s="5" t="s">
        <v>25</v>
      </c>
      <c r="Q4" s="5" t="s">
        <v>26</v>
      </c>
      <c r="R4" s="5" t="s">
        <v>27</v>
      </c>
      <c r="S4" s="5" t="s">
        <v>28</v>
      </c>
      <c r="T4" s="5" t="s">
        <v>29</v>
      </c>
      <c r="U4" s="5" t="s">
        <v>30</v>
      </c>
      <c r="V4" s="5" t="s">
        <v>31</v>
      </c>
      <c r="W4" s="5" t="s">
        <v>32</v>
      </c>
    </row>
    <row r="5" customFormat="false" ht="15" hidden="false" customHeight="false" outlineLevel="0" collapsed="false">
      <c r="A5" s="3" t="s">
        <v>463</v>
      </c>
      <c r="B5" s="3" t="s">
        <v>464</v>
      </c>
      <c r="C5" s="3" t="s">
        <v>108</v>
      </c>
      <c r="D5" s="3" t="s">
        <v>157</v>
      </c>
      <c r="E5" s="13" t="n">
        <v>855000</v>
      </c>
      <c r="F5" s="13" t="n">
        <v>17137.09</v>
      </c>
      <c r="G5" s="13" t="n">
        <v>2142.14</v>
      </c>
      <c r="H5" s="13" t="n">
        <v>2142.14</v>
      </c>
      <c r="I5" s="13" t="n">
        <f aca="false">SUM(K5:T5)</f>
        <v>12852.8</v>
      </c>
      <c r="J5" s="13" t="n">
        <f aca="false">F5-(G5+H5+I5)</f>
        <v>0.00999999999839929</v>
      </c>
      <c r="K5" s="13" t="n">
        <v>1285.28</v>
      </c>
      <c r="L5" s="13" t="n">
        <v>1285.28</v>
      </c>
      <c r="M5" s="13" t="n">
        <v>1285.28</v>
      </c>
      <c r="N5" s="13" t="n">
        <v>1285.28</v>
      </c>
      <c r="O5" s="13" t="n">
        <v>1285.28</v>
      </c>
      <c r="P5" s="13" t="n">
        <v>1285.28</v>
      </c>
      <c r="Q5" s="13" t="n">
        <v>1285.28</v>
      </c>
      <c r="R5" s="13" t="n">
        <v>1285.28</v>
      </c>
      <c r="S5" s="13" t="n">
        <v>1285.28</v>
      </c>
      <c r="T5" s="13" t="n">
        <v>1285.28</v>
      </c>
      <c r="U5" s="13" t="n">
        <v>350</v>
      </c>
      <c r="V5" s="13" t="n">
        <v>0</v>
      </c>
      <c r="W5" s="13" t="n">
        <f aca="false">U5+V5</f>
        <v>350</v>
      </c>
    </row>
    <row r="6" customFormat="false" ht="15" hidden="false" customHeight="false" outlineLevel="0" collapsed="false">
      <c r="A6" s="14" t="s">
        <v>465</v>
      </c>
      <c r="B6" s="14" t="s">
        <v>466</v>
      </c>
      <c r="C6" s="14" t="s">
        <v>80</v>
      </c>
      <c r="D6" s="14" t="s">
        <v>430</v>
      </c>
      <c r="E6" s="15" t="n">
        <v>690000</v>
      </c>
      <c r="F6" s="15" t="n">
        <v>8034.99</v>
      </c>
      <c r="G6" s="15" t="n">
        <v>1004.37</v>
      </c>
      <c r="H6" s="15" t="n">
        <v>1004.37</v>
      </c>
      <c r="I6" s="15" t="n">
        <f aca="false">SUM(K6:T6)</f>
        <v>6026.2</v>
      </c>
      <c r="J6" s="15" t="n">
        <f aca="false">F6-(G6+H6+I6)</f>
        <v>0.0500000000001819</v>
      </c>
      <c r="K6" s="15" t="n">
        <v>602.62</v>
      </c>
      <c r="L6" s="15" t="n">
        <v>602.62</v>
      </c>
      <c r="M6" s="15" t="n">
        <v>602.62</v>
      </c>
      <c r="N6" s="15" t="n">
        <v>602.62</v>
      </c>
      <c r="O6" s="15" t="n">
        <v>602.62</v>
      </c>
      <c r="P6" s="15" t="n">
        <v>602.62</v>
      </c>
      <c r="Q6" s="15" t="n">
        <v>602.62</v>
      </c>
      <c r="R6" s="15" t="n">
        <v>602.62</v>
      </c>
      <c r="S6" s="15" t="n">
        <v>602.62</v>
      </c>
      <c r="T6" s="15" t="n">
        <v>602.62</v>
      </c>
      <c r="U6" s="15" t="n">
        <v>350</v>
      </c>
      <c r="V6" s="15" t="n">
        <v>0</v>
      </c>
      <c r="W6" s="15" t="n">
        <f aca="false">U6+V6</f>
        <v>350</v>
      </c>
    </row>
    <row r="7" customFormat="false" ht="15" hidden="false" customHeight="false" outlineLevel="0" collapsed="false">
      <c r="A7" s="3" t="s">
        <v>467</v>
      </c>
      <c r="B7" s="3" t="s">
        <v>468</v>
      </c>
      <c r="C7" s="3" t="s">
        <v>124</v>
      </c>
      <c r="D7" s="3" t="s">
        <v>115</v>
      </c>
      <c r="E7" s="13" t="n">
        <v>1270000</v>
      </c>
      <c r="F7" s="13" t="n">
        <v>24269.21</v>
      </c>
      <c r="G7" s="13" t="n">
        <v>3033.65</v>
      </c>
      <c r="H7" s="13" t="n">
        <v>3033.65</v>
      </c>
      <c r="I7" s="13" t="n">
        <f aca="false">SUM(K7:T7)</f>
        <v>18201.9</v>
      </c>
      <c r="J7" s="13" t="n">
        <f aca="false">F7-(G7+H7+I7)</f>
        <v>0.00999999999839929</v>
      </c>
      <c r="K7" s="13" t="n">
        <v>1820.19</v>
      </c>
      <c r="L7" s="13" t="n">
        <v>1820.19</v>
      </c>
      <c r="M7" s="13" t="n">
        <v>1820.19</v>
      </c>
      <c r="N7" s="13" t="n">
        <v>1820.19</v>
      </c>
      <c r="O7" s="13" t="n">
        <v>1820.19</v>
      </c>
      <c r="P7" s="13" t="n">
        <v>1820.19</v>
      </c>
      <c r="Q7" s="13" t="n">
        <v>1820.19</v>
      </c>
      <c r="R7" s="13" t="n">
        <v>1820.19</v>
      </c>
      <c r="S7" s="13" t="n">
        <v>1820.19</v>
      </c>
      <c r="T7" s="13" t="n">
        <v>1820.19</v>
      </c>
      <c r="U7" s="13" t="n">
        <v>350</v>
      </c>
      <c r="V7" s="13" t="n">
        <v>250</v>
      </c>
      <c r="W7" s="13" t="n">
        <f aca="false">U7+V7</f>
        <v>600</v>
      </c>
    </row>
    <row r="8" customFormat="false" ht="15" hidden="false" customHeight="false" outlineLevel="0" collapsed="false">
      <c r="A8" s="14" t="s">
        <v>469</v>
      </c>
      <c r="B8" s="14" t="s">
        <v>470</v>
      </c>
      <c r="C8" s="14" t="s">
        <v>471</v>
      </c>
      <c r="D8" s="14" t="s">
        <v>230</v>
      </c>
      <c r="E8" s="15" t="n">
        <v>350000</v>
      </c>
      <c r="F8" s="15" t="n">
        <v>5652.81</v>
      </c>
      <c r="G8" s="15" t="n">
        <v>706.6</v>
      </c>
      <c r="H8" s="15" t="n">
        <v>706.6</v>
      </c>
      <c r="I8" s="15" t="n">
        <f aca="false">SUM(K8:T8)</f>
        <v>4239.6</v>
      </c>
      <c r="J8" s="15" t="n">
        <f aca="false">F8-(G8+H8+I8)</f>
        <v>0.0100000000011278</v>
      </c>
      <c r="K8" s="15" t="n">
        <v>423.96</v>
      </c>
      <c r="L8" s="15" t="n">
        <v>423.96</v>
      </c>
      <c r="M8" s="15" t="n">
        <v>423.96</v>
      </c>
      <c r="N8" s="15" t="n">
        <v>423.96</v>
      </c>
      <c r="O8" s="15" t="n">
        <v>423.96</v>
      </c>
      <c r="P8" s="15" t="n">
        <v>423.96</v>
      </c>
      <c r="Q8" s="15" t="n">
        <v>423.96</v>
      </c>
      <c r="R8" s="15" t="n">
        <v>423.96</v>
      </c>
      <c r="S8" s="15" t="n">
        <v>423.96</v>
      </c>
      <c r="T8" s="15" t="n">
        <v>423.96</v>
      </c>
      <c r="U8" s="15" t="n">
        <v>350</v>
      </c>
      <c r="V8" s="15" t="n">
        <v>0</v>
      </c>
      <c r="W8" s="15" t="n">
        <f aca="false">U8+V8</f>
        <v>350</v>
      </c>
    </row>
    <row r="9" customFormat="false" ht="15" hidden="false" customHeight="false" outlineLevel="0" collapsed="false">
      <c r="A9" s="3" t="s">
        <v>472</v>
      </c>
      <c r="B9" s="3" t="s">
        <v>473</v>
      </c>
      <c r="C9" s="3" t="s">
        <v>474</v>
      </c>
      <c r="D9" s="3" t="s">
        <v>89</v>
      </c>
      <c r="E9" s="13" t="n">
        <v>915000</v>
      </c>
      <c r="F9" s="13" t="n">
        <v>14529.68</v>
      </c>
      <c r="G9" s="13" t="n">
        <v>1816.21</v>
      </c>
      <c r="H9" s="13" t="n">
        <v>1816.21</v>
      </c>
      <c r="I9" s="13" t="n">
        <f aca="false">SUM(K9:T9)</f>
        <v>10897.3</v>
      </c>
      <c r="J9" s="13" t="n">
        <f aca="false">F9-(G9+H9+I9)</f>
        <v>-0.0399999999990541</v>
      </c>
      <c r="K9" s="13" t="n">
        <v>1089.73</v>
      </c>
      <c r="L9" s="13" t="n">
        <v>1089.73</v>
      </c>
      <c r="M9" s="13" t="n">
        <v>1089.73</v>
      </c>
      <c r="N9" s="13" t="n">
        <v>1089.73</v>
      </c>
      <c r="O9" s="13" t="n">
        <v>1089.73</v>
      </c>
      <c r="P9" s="13" t="n">
        <v>1089.73</v>
      </c>
      <c r="Q9" s="13" t="n">
        <v>1089.73</v>
      </c>
      <c r="R9" s="13" t="n">
        <v>1089.73</v>
      </c>
      <c r="S9" s="13" t="n">
        <v>1089.73</v>
      </c>
      <c r="T9" s="13" t="n">
        <v>1089.73</v>
      </c>
      <c r="U9" s="13" t="n">
        <v>350</v>
      </c>
      <c r="V9" s="13" t="n">
        <v>0</v>
      </c>
      <c r="W9" s="13" t="n">
        <f aca="false">U9+V9</f>
        <v>350</v>
      </c>
    </row>
    <row r="10" customFormat="false" ht="15" hidden="false" customHeight="false" outlineLevel="0" collapsed="false">
      <c r="A10" s="14" t="s">
        <v>475</v>
      </c>
      <c r="B10" s="14" t="s">
        <v>476</v>
      </c>
      <c r="C10" s="14" t="s">
        <v>477</v>
      </c>
      <c r="D10" s="14" t="s">
        <v>132</v>
      </c>
      <c r="E10" s="15" t="n">
        <v>660000</v>
      </c>
      <c r="F10" s="15" t="n">
        <v>7763.28</v>
      </c>
      <c r="G10" s="15" t="n">
        <v>970.41</v>
      </c>
      <c r="H10" s="15" t="n">
        <v>970.41</v>
      </c>
      <c r="I10" s="15" t="n">
        <f aca="false">SUM(K10:T10)</f>
        <v>5822.5</v>
      </c>
      <c r="J10" s="15" t="n">
        <f aca="false">F10-(G10+H10+I10)</f>
        <v>-0.0399999999999636</v>
      </c>
      <c r="K10" s="15" t="n">
        <v>582.25</v>
      </c>
      <c r="L10" s="15" t="n">
        <v>582.25</v>
      </c>
      <c r="M10" s="15" t="n">
        <v>582.25</v>
      </c>
      <c r="N10" s="15" t="n">
        <v>582.25</v>
      </c>
      <c r="O10" s="15" t="n">
        <v>582.25</v>
      </c>
      <c r="P10" s="15" t="n">
        <v>582.25</v>
      </c>
      <c r="Q10" s="15" t="n">
        <v>582.25</v>
      </c>
      <c r="R10" s="15" t="n">
        <v>582.25</v>
      </c>
      <c r="S10" s="15" t="n">
        <v>582.25</v>
      </c>
      <c r="T10" s="15" t="n">
        <v>582.25</v>
      </c>
      <c r="U10" s="15" t="n">
        <v>350</v>
      </c>
      <c r="V10" s="15" t="n">
        <v>0</v>
      </c>
      <c r="W10" s="15" t="n">
        <f aca="false">U10+V10</f>
        <v>350</v>
      </c>
    </row>
    <row r="11" customFormat="false" ht="15" hidden="false" customHeight="false" outlineLevel="0" collapsed="false">
      <c r="A11" s="3" t="s">
        <v>478</v>
      </c>
      <c r="B11" s="3" t="s">
        <v>479</v>
      </c>
      <c r="C11" s="3" t="s">
        <v>250</v>
      </c>
      <c r="D11" s="3" t="s">
        <v>251</v>
      </c>
      <c r="E11" s="13" t="n">
        <v>1055000</v>
      </c>
      <c r="F11" s="13" t="n">
        <v>11760.38</v>
      </c>
      <c r="G11" s="13" t="n">
        <v>1470.05</v>
      </c>
      <c r="H11" s="13" t="n">
        <v>1470.05</v>
      </c>
      <c r="I11" s="13" t="n">
        <f aca="false">SUM(K11:T11)</f>
        <v>8820.3</v>
      </c>
      <c r="J11" s="13" t="n">
        <f aca="false">F11-(G11+H11+I11)</f>
        <v>-0.0200000000004366</v>
      </c>
      <c r="K11" s="13" t="n">
        <v>882.03</v>
      </c>
      <c r="L11" s="13" t="n">
        <v>882.03</v>
      </c>
      <c r="M11" s="13" t="n">
        <v>882.03</v>
      </c>
      <c r="N11" s="13" t="n">
        <v>882.03</v>
      </c>
      <c r="O11" s="13" t="n">
        <v>882.03</v>
      </c>
      <c r="P11" s="13" t="n">
        <v>882.03</v>
      </c>
      <c r="Q11" s="13" t="n">
        <v>882.03</v>
      </c>
      <c r="R11" s="13" t="n">
        <v>882.03</v>
      </c>
      <c r="S11" s="13" t="n">
        <v>882.03</v>
      </c>
      <c r="T11" s="13" t="n">
        <v>882.03</v>
      </c>
      <c r="U11" s="13" t="n">
        <v>350</v>
      </c>
      <c r="V11" s="13" t="n">
        <v>250</v>
      </c>
      <c r="W11" s="13" t="n">
        <f aca="false">U11+V11</f>
        <v>600</v>
      </c>
    </row>
    <row r="12" customFormat="false" ht="15" hidden="false" customHeight="false" outlineLevel="0" collapsed="false">
      <c r="A12" s="14" t="s">
        <v>480</v>
      </c>
      <c r="B12" s="14" t="s">
        <v>481</v>
      </c>
      <c r="C12" s="14" t="s">
        <v>221</v>
      </c>
      <c r="D12" s="14" t="s">
        <v>125</v>
      </c>
      <c r="E12" s="15" t="n">
        <v>360000</v>
      </c>
      <c r="F12" s="15" t="n">
        <v>7192.17</v>
      </c>
      <c r="G12" s="15" t="n">
        <v>899.02</v>
      </c>
      <c r="H12" s="15" t="n">
        <v>899.02</v>
      </c>
      <c r="I12" s="15" t="n">
        <f aca="false">SUM(K12:T12)</f>
        <v>5394.1</v>
      </c>
      <c r="J12" s="15" t="n">
        <f aca="false">F12-(G12+H12+I12)</f>
        <v>0.0300000000006548</v>
      </c>
      <c r="K12" s="15" t="n">
        <v>539.41</v>
      </c>
      <c r="L12" s="15" t="n">
        <v>539.41</v>
      </c>
      <c r="M12" s="15" t="n">
        <v>539.41</v>
      </c>
      <c r="N12" s="15" t="n">
        <v>539.41</v>
      </c>
      <c r="O12" s="15" t="n">
        <v>539.41</v>
      </c>
      <c r="P12" s="15" t="n">
        <v>539.41</v>
      </c>
      <c r="Q12" s="15" t="n">
        <v>539.41</v>
      </c>
      <c r="R12" s="15" t="n">
        <v>539.41</v>
      </c>
      <c r="S12" s="15" t="n">
        <v>539.41</v>
      </c>
      <c r="T12" s="15" t="n">
        <v>539.41</v>
      </c>
      <c r="U12" s="15" t="n">
        <v>350</v>
      </c>
      <c r="V12" s="15" t="n">
        <v>0</v>
      </c>
      <c r="W12" s="15" t="n">
        <f aca="false">U12+V12</f>
        <v>350</v>
      </c>
    </row>
    <row r="13" customFormat="false" ht="15" hidden="false" customHeight="false" outlineLevel="0" collapsed="false">
      <c r="A13" s="3" t="s">
        <v>482</v>
      </c>
      <c r="B13" s="3" t="s">
        <v>483</v>
      </c>
      <c r="C13" s="3" t="s">
        <v>484</v>
      </c>
      <c r="D13" s="3" t="s">
        <v>325</v>
      </c>
      <c r="E13" s="13" t="n">
        <v>670000</v>
      </c>
      <c r="F13" s="13" t="n">
        <v>10875.65</v>
      </c>
      <c r="G13" s="13" t="n">
        <v>1359.46</v>
      </c>
      <c r="H13" s="13" t="n">
        <v>1359.46</v>
      </c>
      <c r="I13" s="13" t="n">
        <f aca="false">SUM(K13:T13)</f>
        <v>8156.7</v>
      </c>
      <c r="J13" s="13" t="n">
        <f aca="false">F13-(G13+H13+I13)</f>
        <v>0.0300000000006548</v>
      </c>
      <c r="K13" s="13" t="n">
        <v>815.67</v>
      </c>
      <c r="L13" s="13" t="n">
        <v>815.67</v>
      </c>
      <c r="M13" s="13" t="n">
        <v>815.67</v>
      </c>
      <c r="N13" s="13" t="n">
        <v>815.67</v>
      </c>
      <c r="O13" s="13" t="n">
        <v>815.67</v>
      </c>
      <c r="P13" s="13" t="n">
        <v>815.67</v>
      </c>
      <c r="Q13" s="13" t="n">
        <v>815.67</v>
      </c>
      <c r="R13" s="13" t="n">
        <v>815.67</v>
      </c>
      <c r="S13" s="13" t="n">
        <v>815.67</v>
      </c>
      <c r="T13" s="13" t="n">
        <v>815.67</v>
      </c>
      <c r="U13" s="13" t="n">
        <v>350</v>
      </c>
      <c r="V13" s="13" t="n">
        <v>0</v>
      </c>
      <c r="W13" s="13" t="n">
        <f aca="false">U13+V13</f>
        <v>350</v>
      </c>
    </row>
    <row r="14" customFormat="false" ht="15" hidden="false" customHeight="false" outlineLevel="0" collapsed="false">
      <c r="A14" s="14" t="s">
        <v>485</v>
      </c>
      <c r="B14" s="14" t="s">
        <v>486</v>
      </c>
      <c r="C14" s="14" t="s">
        <v>487</v>
      </c>
      <c r="D14" s="14" t="s">
        <v>279</v>
      </c>
      <c r="E14" s="15" t="n">
        <v>380000</v>
      </c>
      <c r="F14" s="15" t="n">
        <v>4693.26</v>
      </c>
      <c r="G14" s="15" t="n">
        <v>586.66</v>
      </c>
      <c r="H14" s="15" t="n">
        <v>586.66</v>
      </c>
      <c r="I14" s="15" t="n">
        <f aca="false">SUM(K14:T14)</f>
        <v>3519.9</v>
      </c>
      <c r="J14" s="15" t="n">
        <f aca="false">F14-(G14+H14+I14)</f>
        <v>0.0400000000008731</v>
      </c>
      <c r="K14" s="15" t="n">
        <v>351.99</v>
      </c>
      <c r="L14" s="15" t="n">
        <v>351.99</v>
      </c>
      <c r="M14" s="15" t="n">
        <v>351.99</v>
      </c>
      <c r="N14" s="15" t="n">
        <v>351.99</v>
      </c>
      <c r="O14" s="15" t="n">
        <v>351.99</v>
      </c>
      <c r="P14" s="15" t="n">
        <v>351.99</v>
      </c>
      <c r="Q14" s="15" t="n">
        <v>351.99</v>
      </c>
      <c r="R14" s="15" t="n">
        <v>351.99</v>
      </c>
      <c r="S14" s="15" t="n">
        <v>351.99</v>
      </c>
      <c r="T14" s="15" t="n">
        <v>351.99</v>
      </c>
      <c r="U14" s="15" t="n">
        <v>350</v>
      </c>
      <c r="V14" s="15" t="n">
        <v>0</v>
      </c>
      <c r="W14" s="15" t="n">
        <f aca="false">U14+V14</f>
        <v>350</v>
      </c>
    </row>
    <row r="15" customFormat="false" ht="15" hidden="false" customHeight="false" outlineLevel="0" collapsed="false">
      <c r="A15" s="3" t="s">
        <v>488</v>
      </c>
      <c r="B15" s="3" t="s">
        <v>468</v>
      </c>
      <c r="C15" s="3" t="s">
        <v>489</v>
      </c>
      <c r="D15" s="3" t="s">
        <v>279</v>
      </c>
      <c r="E15" s="13" t="n">
        <v>890000</v>
      </c>
      <c r="F15" s="13" t="n">
        <v>9526.49</v>
      </c>
      <c r="G15" s="13" t="n">
        <v>1190.81</v>
      </c>
      <c r="H15" s="13" t="n">
        <v>1190.81</v>
      </c>
      <c r="I15" s="13" t="n">
        <f aca="false">SUM(K15:T15)</f>
        <v>7144.9</v>
      </c>
      <c r="J15" s="13" t="n">
        <f aca="false">F15-(G15+H15+I15)</f>
        <v>-0.0300000000006548</v>
      </c>
      <c r="K15" s="13" t="n">
        <v>714.49</v>
      </c>
      <c r="L15" s="13" t="n">
        <v>714.49</v>
      </c>
      <c r="M15" s="13" t="n">
        <v>714.49</v>
      </c>
      <c r="N15" s="13" t="n">
        <v>714.49</v>
      </c>
      <c r="O15" s="13" t="n">
        <v>714.49</v>
      </c>
      <c r="P15" s="13" t="n">
        <v>714.49</v>
      </c>
      <c r="Q15" s="13" t="n">
        <v>714.49</v>
      </c>
      <c r="R15" s="13" t="n">
        <v>714.49</v>
      </c>
      <c r="S15" s="13" t="n">
        <v>714.49</v>
      </c>
      <c r="T15" s="13" t="n">
        <v>714.49</v>
      </c>
      <c r="U15" s="13" t="n">
        <v>350</v>
      </c>
      <c r="V15" s="13" t="n">
        <v>0</v>
      </c>
      <c r="W15" s="13" t="n">
        <f aca="false">U15+V15</f>
        <v>350</v>
      </c>
    </row>
    <row r="16" customFormat="false" ht="15" hidden="false" customHeight="false" outlineLevel="0" collapsed="false">
      <c r="A16" s="14" t="s">
        <v>490</v>
      </c>
      <c r="B16" s="14" t="s">
        <v>466</v>
      </c>
      <c r="C16" s="14" t="s">
        <v>491</v>
      </c>
      <c r="D16" s="14" t="s">
        <v>99</v>
      </c>
      <c r="E16" s="15" t="n">
        <v>460000</v>
      </c>
      <c r="F16" s="15" t="n">
        <v>9962.48</v>
      </c>
      <c r="G16" s="15" t="n">
        <v>1245.31</v>
      </c>
      <c r="H16" s="15" t="n">
        <v>1245.31</v>
      </c>
      <c r="I16" s="15" t="n">
        <f aca="false">SUM(K16:T16)</f>
        <v>7471.9</v>
      </c>
      <c r="J16" s="15" t="n">
        <f aca="false">F16-(G16+H16+I16)</f>
        <v>-0.0400000000008731</v>
      </c>
      <c r="K16" s="15" t="n">
        <v>747.19</v>
      </c>
      <c r="L16" s="15" t="n">
        <v>747.19</v>
      </c>
      <c r="M16" s="15" t="n">
        <v>747.19</v>
      </c>
      <c r="N16" s="15" t="n">
        <v>747.19</v>
      </c>
      <c r="O16" s="15" t="n">
        <v>747.19</v>
      </c>
      <c r="P16" s="15" t="n">
        <v>747.19</v>
      </c>
      <c r="Q16" s="15" t="n">
        <v>747.19</v>
      </c>
      <c r="R16" s="15" t="n">
        <v>747.19</v>
      </c>
      <c r="S16" s="15" t="n">
        <v>747.19</v>
      </c>
      <c r="T16" s="15" t="n">
        <v>747.19</v>
      </c>
      <c r="U16" s="15" t="n">
        <v>350</v>
      </c>
      <c r="V16" s="15" t="n">
        <v>0</v>
      </c>
      <c r="W16" s="15" t="n">
        <f aca="false">U16+V16</f>
        <v>350</v>
      </c>
    </row>
    <row r="17" customFormat="false" ht="15" hidden="false" customHeight="false" outlineLevel="0" collapsed="false">
      <c r="A17" s="3" t="s">
        <v>492</v>
      </c>
      <c r="B17" s="3" t="s">
        <v>493</v>
      </c>
      <c r="C17" s="3" t="s">
        <v>417</v>
      </c>
      <c r="D17" s="3" t="s">
        <v>325</v>
      </c>
      <c r="E17" s="13" t="n">
        <v>1440000</v>
      </c>
      <c r="F17" s="13" t="n">
        <v>19778.45</v>
      </c>
      <c r="G17" s="13" t="n">
        <v>2472.31</v>
      </c>
      <c r="H17" s="13" t="n">
        <v>2472.31</v>
      </c>
      <c r="I17" s="13" t="n">
        <f aca="false">SUM(K17:T17)</f>
        <v>14833.8</v>
      </c>
      <c r="J17" s="13" t="n">
        <f aca="false">F17-(G17+H17+I17)</f>
        <v>0.0299999999988358</v>
      </c>
      <c r="K17" s="13" t="n">
        <v>1483.38</v>
      </c>
      <c r="L17" s="13" t="n">
        <v>1483.38</v>
      </c>
      <c r="M17" s="13" t="n">
        <v>1483.38</v>
      </c>
      <c r="N17" s="13" t="n">
        <v>1483.38</v>
      </c>
      <c r="O17" s="13" t="n">
        <v>1483.38</v>
      </c>
      <c r="P17" s="13" t="n">
        <v>1483.38</v>
      </c>
      <c r="Q17" s="13" t="n">
        <v>1483.38</v>
      </c>
      <c r="R17" s="13" t="n">
        <v>1483.38</v>
      </c>
      <c r="S17" s="13" t="n">
        <v>1483.38</v>
      </c>
      <c r="T17" s="13" t="n">
        <v>1483.38</v>
      </c>
      <c r="U17" s="13" t="n">
        <v>350</v>
      </c>
      <c r="V17" s="13" t="n">
        <v>250</v>
      </c>
      <c r="W17" s="13" t="n">
        <f aca="false">U17+V17</f>
        <v>600</v>
      </c>
    </row>
    <row r="18" customFormat="false" ht="15" hidden="false" customHeight="false" outlineLevel="0" collapsed="false">
      <c r="A18" s="14" t="s">
        <v>494</v>
      </c>
      <c r="B18" s="14" t="s">
        <v>473</v>
      </c>
      <c r="C18" s="14" t="s">
        <v>495</v>
      </c>
      <c r="D18" s="14" t="s">
        <v>233</v>
      </c>
      <c r="E18" s="15" t="n">
        <v>795000</v>
      </c>
      <c r="F18" s="15" t="n">
        <v>9164.2</v>
      </c>
      <c r="G18" s="15" t="n">
        <v>1145.53</v>
      </c>
      <c r="H18" s="15" t="n">
        <v>1145.53</v>
      </c>
      <c r="I18" s="15" t="n">
        <f aca="false">SUM(K18:T18)</f>
        <v>6873.2</v>
      </c>
      <c r="J18" s="15" t="n">
        <f aca="false">F18-(G18+H18+I18)</f>
        <v>-0.0599999999994907</v>
      </c>
      <c r="K18" s="15" t="n">
        <v>687.32</v>
      </c>
      <c r="L18" s="15" t="n">
        <v>687.32</v>
      </c>
      <c r="M18" s="15" t="n">
        <v>687.32</v>
      </c>
      <c r="N18" s="15" t="n">
        <v>687.32</v>
      </c>
      <c r="O18" s="15" t="n">
        <v>687.32</v>
      </c>
      <c r="P18" s="15" t="n">
        <v>687.32</v>
      </c>
      <c r="Q18" s="15" t="n">
        <v>687.32</v>
      </c>
      <c r="R18" s="15" t="n">
        <v>687.32</v>
      </c>
      <c r="S18" s="15" t="n">
        <v>687.32</v>
      </c>
      <c r="T18" s="15" t="n">
        <v>687.32</v>
      </c>
      <c r="U18" s="15" t="n">
        <v>350</v>
      </c>
      <c r="V18" s="15" t="n">
        <v>0</v>
      </c>
      <c r="W18" s="15" t="n">
        <f aca="false">U18+V18</f>
        <v>350</v>
      </c>
    </row>
    <row r="19" customFormat="false" ht="15" hidden="false" customHeight="false" outlineLevel="0" collapsed="false">
      <c r="A19" s="3" t="s">
        <v>496</v>
      </c>
      <c r="B19" s="3" t="s">
        <v>497</v>
      </c>
      <c r="C19" s="3" t="s">
        <v>429</v>
      </c>
      <c r="D19" s="3" t="s">
        <v>93</v>
      </c>
      <c r="E19" s="13" t="n">
        <v>265000</v>
      </c>
      <c r="F19" s="13" t="n">
        <v>4603.68</v>
      </c>
      <c r="G19" s="13" t="n">
        <v>575.46</v>
      </c>
      <c r="H19" s="13" t="n">
        <v>575.46</v>
      </c>
      <c r="I19" s="13" t="n">
        <f aca="false">SUM(K19:T19)</f>
        <v>3452.8</v>
      </c>
      <c r="J19" s="13" t="n">
        <f aca="false">F19-(G19+H19+I19)</f>
        <v>-0.0399999999990541</v>
      </c>
      <c r="K19" s="13" t="n">
        <v>345.28</v>
      </c>
      <c r="L19" s="13" t="n">
        <v>345.28</v>
      </c>
      <c r="M19" s="13" t="n">
        <v>345.28</v>
      </c>
      <c r="N19" s="13" t="n">
        <v>345.28</v>
      </c>
      <c r="O19" s="13" t="n">
        <v>345.28</v>
      </c>
      <c r="P19" s="13" t="n">
        <v>345.28</v>
      </c>
      <c r="Q19" s="13" t="n">
        <v>345.28</v>
      </c>
      <c r="R19" s="13" t="n">
        <v>345.28</v>
      </c>
      <c r="S19" s="13" t="n">
        <v>345.28</v>
      </c>
      <c r="T19" s="13" t="n">
        <v>345.28</v>
      </c>
      <c r="U19" s="13" t="n">
        <v>350</v>
      </c>
      <c r="V19" s="13" t="n">
        <v>0</v>
      </c>
      <c r="W19" s="13" t="n">
        <f aca="false">U19+V19</f>
        <v>350</v>
      </c>
    </row>
    <row r="20" customFormat="false" ht="15" hidden="false" customHeight="false" outlineLevel="0" collapsed="false">
      <c r="A20" s="14" t="s">
        <v>498</v>
      </c>
      <c r="B20" s="14" t="s">
        <v>499</v>
      </c>
      <c r="C20" s="14" t="s">
        <v>500</v>
      </c>
      <c r="D20" s="14" t="s">
        <v>109</v>
      </c>
      <c r="E20" s="15" t="n">
        <v>765000</v>
      </c>
      <c r="F20" s="15" t="n">
        <v>11247.93</v>
      </c>
      <c r="G20" s="15" t="n">
        <v>1405.99</v>
      </c>
      <c r="H20" s="15" t="n">
        <v>1405.99</v>
      </c>
      <c r="I20" s="15" t="n">
        <f aca="false">SUM(K20:T20)</f>
        <v>8435.9</v>
      </c>
      <c r="J20" s="15" t="n">
        <f aca="false">F20-(G20+H20+I20)</f>
        <v>0.0500000000010914</v>
      </c>
      <c r="K20" s="15" t="n">
        <v>843.59</v>
      </c>
      <c r="L20" s="15" t="n">
        <v>843.59</v>
      </c>
      <c r="M20" s="15" t="n">
        <v>843.59</v>
      </c>
      <c r="N20" s="15" t="n">
        <v>843.59</v>
      </c>
      <c r="O20" s="15" t="n">
        <v>843.59</v>
      </c>
      <c r="P20" s="15" t="n">
        <v>843.59</v>
      </c>
      <c r="Q20" s="15" t="n">
        <v>843.59</v>
      </c>
      <c r="R20" s="15" t="n">
        <v>843.59</v>
      </c>
      <c r="S20" s="15" t="n">
        <v>843.59</v>
      </c>
      <c r="T20" s="15" t="n">
        <v>843.59</v>
      </c>
      <c r="U20" s="15" t="n">
        <v>350</v>
      </c>
      <c r="V20" s="15" t="n">
        <v>0</v>
      </c>
      <c r="W20" s="15" t="n">
        <f aca="false">U20+V20</f>
        <v>350</v>
      </c>
    </row>
    <row r="21" customFormat="false" ht="15" hidden="false" customHeight="false" outlineLevel="0" collapsed="false">
      <c r="A21" s="3" t="s">
        <v>501</v>
      </c>
      <c r="B21" s="3" t="s">
        <v>502</v>
      </c>
      <c r="C21" s="3" t="s">
        <v>503</v>
      </c>
      <c r="D21" s="3" t="s">
        <v>180</v>
      </c>
      <c r="E21" s="13" t="n">
        <v>640000</v>
      </c>
      <c r="F21" s="13" t="n">
        <v>9108.92</v>
      </c>
      <c r="G21" s="13" t="n">
        <v>1138.62</v>
      </c>
      <c r="H21" s="13" t="n">
        <v>1138.62</v>
      </c>
      <c r="I21" s="13" t="n">
        <f aca="false">SUM(K21:T21)</f>
        <v>6831.7</v>
      </c>
      <c r="J21" s="13" t="n">
        <f aca="false">F21-(G21+H21+I21)</f>
        <v>-0.0199999999986176</v>
      </c>
      <c r="K21" s="13" t="n">
        <v>683.17</v>
      </c>
      <c r="L21" s="13" t="n">
        <v>683.17</v>
      </c>
      <c r="M21" s="13" t="n">
        <v>683.17</v>
      </c>
      <c r="N21" s="13" t="n">
        <v>683.17</v>
      </c>
      <c r="O21" s="13" t="n">
        <v>683.17</v>
      </c>
      <c r="P21" s="13" t="n">
        <v>683.17</v>
      </c>
      <c r="Q21" s="13" t="n">
        <v>683.17</v>
      </c>
      <c r="R21" s="13" t="n">
        <v>683.17</v>
      </c>
      <c r="S21" s="13" t="n">
        <v>683.17</v>
      </c>
      <c r="T21" s="13" t="n">
        <v>683.17</v>
      </c>
      <c r="U21" s="13" t="n">
        <v>350</v>
      </c>
      <c r="V21" s="13" t="n">
        <v>0</v>
      </c>
      <c r="W21" s="13" t="n">
        <f aca="false">U21+V21</f>
        <v>350</v>
      </c>
    </row>
    <row r="22" customFormat="false" ht="15" hidden="false" customHeight="false" outlineLevel="0" collapsed="false">
      <c r="A22" s="14" t="s">
        <v>504</v>
      </c>
      <c r="B22" s="14" t="s">
        <v>505</v>
      </c>
      <c r="C22" s="14" t="s">
        <v>506</v>
      </c>
      <c r="D22" s="14" t="s">
        <v>279</v>
      </c>
      <c r="E22" s="15" t="n">
        <v>450000</v>
      </c>
      <c r="F22" s="15" t="n">
        <v>5557.8</v>
      </c>
      <c r="G22" s="15" t="n">
        <v>694.73</v>
      </c>
      <c r="H22" s="15" t="n">
        <v>694.73</v>
      </c>
      <c r="I22" s="15" t="n">
        <f aca="false">SUM(K22:T22)</f>
        <v>4168.3</v>
      </c>
      <c r="J22" s="15" t="n">
        <f aca="false">F22-(G22+H22+I22)</f>
        <v>0.0399999999999636</v>
      </c>
      <c r="K22" s="15" t="n">
        <v>416.83</v>
      </c>
      <c r="L22" s="15" t="n">
        <v>416.83</v>
      </c>
      <c r="M22" s="15" t="n">
        <v>416.83</v>
      </c>
      <c r="N22" s="15" t="n">
        <v>416.83</v>
      </c>
      <c r="O22" s="15" t="n">
        <v>416.83</v>
      </c>
      <c r="P22" s="15" t="n">
        <v>416.83</v>
      </c>
      <c r="Q22" s="15" t="n">
        <v>416.83</v>
      </c>
      <c r="R22" s="15" t="n">
        <v>416.83</v>
      </c>
      <c r="S22" s="15" t="n">
        <v>416.83</v>
      </c>
      <c r="T22" s="15" t="n">
        <v>416.83</v>
      </c>
      <c r="U22" s="15" t="n">
        <v>350</v>
      </c>
      <c r="V22" s="15" t="n">
        <v>0</v>
      </c>
      <c r="W22" s="15" t="n">
        <f aca="false">U22+V22</f>
        <v>350</v>
      </c>
    </row>
    <row r="23" customFormat="false" ht="15" hidden="false" customHeight="false" outlineLevel="0" collapsed="false">
      <c r="A23" s="3" t="s">
        <v>507</v>
      </c>
      <c r="B23" s="3" t="s">
        <v>466</v>
      </c>
      <c r="C23" s="3" t="s">
        <v>243</v>
      </c>
      <c r="D23" s="3" t="s">
        <v>93</v>
      </c>
      <c r="E23" s="13" t="n">
        <v>385000</v>
      </c>
      <c r="F23" s="13" t="n">
        <v>6688.36</v>
      </c>
      <c r="G23" s="13" t="n">
        <v>836.04</v>
      </c>
      <c r="H23" s="13" t="n">
        <v>836.04</v>
      </c>
      <c r="I23" s="13" t="n">
        <f aca="false">SUM(K23:T23)</f>
        <v>5016.3</v>
      </c>
      <c r="J23" s="13" t="n">
        <f aca="false">F23-(G23+H23+I23)</f>
        <v>-0.0200000000004366</v>
      </c>
      <c r="K23" s="13" t="n">
        <v>501.63</v>
      </c>
      <c r="L23" s="13" t="n">
        <v>501.63</v>
      </c>
      <c r="M23" s="13" t="n">
        <v>501.63</v>
      </c>
      <c r="N23" s="13" t="n">
        <v>501.63</v>
      </c>
      <c r="O23" s="13" t="n">
        <v>501.63</v>
      </c>
      <c r="P23" s="13" t="n">
        <v>501.63</v>
      </c>
      <c r="Q23" s="13" t="n">
        <v>501.63</v>
      </c>
      <c r="R23" s="13" t="n">
        <v>501.63</v>
      </c>
      <c r="S23" s="13" t="n">
        <v>501.63</v>
      </c>
      <c r="T23" s="13" t="n">
        <v>501.63</v>
      </c>
      <c r="U23" s="13" t="n">
        <v>350</v>
      </c>
      <c r="V23" s="13" t="n">
        <v>0</v>
      </c>
      <c r="W23" s="13" t="n">
        <f aca="false">U23+V23</f>
        <v>350</v>
      </c>
    </row>
    <row r="24" customFormat="false" ht="15" hidden="false" customHeight="false" outlineLevel="0" collapsed="false">
      <c r="A24" s="14" t="s">
        <v>508</v>
      </c>
      <c r="B24" s="14" t="s">
        <v>509</v>
      </c>
      <c r="C24" s="14" t="s">
        <v>92</v>
      </c>
      <c r="D24" s="14" t="s">
        <v>138</v>
      </c>
      <c r="E24" s="15" t="n">
        <v>395000</v>
      </c>
      <c r="F24" s="15" t="n">
        <v>6165.16</v>
      </c>
      <c r="G24" s="15" t="n">
        <v>770.64</v>
      </c>
      <c r="H24" s="15" t="n">
        <v>770.64</v>
      </c>
      <c r="I24" s="15" t="n">
        <f aca="false">SUM(K24:T24)</f>
        <v>4623.9</v>
      </c>
      <c r="J24" s="15" t="n">
        <f aca="false">F24-(G24+H24+I24)</f>
        <v>-0.0200000000004366</v>
      </c>
      <c r="K24" s="15" t="n">
        <v>462.39</v>
      </c>
      <c r="L24" s="15" t="n">
        <v>462.39</v>
      </c>
      <c r="M24" s="15" t="n">
        <v>462.39</v>
      </c>
      <c r="N24" s="15" t="n">
        <v>462.39</v>
      </c>
      <c r="O24" s="15" t="n">
        <v>462.39</v>
      </c>
      <c r="P24" s="15" t="n">
        <v>462.39</v>
      </c>
      <c r="Q24" s="15" t="n">
        <v>462.39</v>
      </c>
      <c r="R24" s="15" t="n">
        <v>462.39</v>
      </c>
      <c r="S24" s="15" t="n">
        <v>462.39</v>
      </c>
      <c r="T24" s="15" t="n">
        <v>462.39</v>
      </c>
      <c r="U24" s="15" t="n">
        <v>350</v>
      </c>
      <c r="V24" s="15" t="n">
        <v>0</v>
      </c>
      <c r="W24" s="15" t="n">
        <f aca="false">U24+V24</f>
        <v>350</v>
      </c>
    </row>
    <row r="25" customFormat="false" ht="15" hidden="false" customHeight="false" outlineLevel="0" collapsed="false">
      <c r="A25" s="3" t="s">
        <v>510</v>
      </c>
      <c r="B25" s="3" t="s">
        <v>468</v>
      </c>
      <c r="C25" s="3" t="s">
        <v>511</v>
      </c>
      <c r="D25" s="3" t="s">
        <v>180</v>
      </c>
      <c r="E25" s="13" t="n">
        <v>155000</v>
      </c>
      <c r="F25" s="13" t="n">
        <v>3122.43</v>
      </c>
      <c r="G25" s="13" t="n">
        <v>390.3</v>
      </c>
      <c r="H25" s="13" t="n">
        <v>390.3</v>
      </c>
      <c r="I25" s="13" t="n">
        <f aca="false">SUM(K25:T25)</f>
        <v>2341.8</v>
      </c>
      <c r="J25" s="13" t="n">
        <f aca="false">F25-(G25+H25+I25)</f>
        <v>0.0300000000002001</v>
      </c>
      <c r="K25" s="13" t="n">
        <v>234.18</v>
      </c>
      <c r="L25" s="13" t="n">
        <v>234.18</v>
      </c>
      <c r="M25" s="13" t="n">
        <v>234.18</v>
      </c>
      <c r="N25" s="13" t="n">
        <v>234.18</v>
      </c>
      <c r="O25" s="13" t="n">
        <v>234.18</v>
      </c>
      <c r="P25" s="13" t="n">
        <v>234.18</v>
      </c>
      <c r="Q25" s="13" t="n">
        <v>234.18</v>
      </c>
      <c r="R25" s="13" t="n">
        <v>234.18</v>
      </c>
      <c r="S25" s="13" t="n">
        <v>234.18</v>
      </c>
      <c r="T25" s="13" t="n">
        <v>234.18</v>
      </c>
      <c r="U25" s="13" t="n">
        <v>350</v>
      </c>
      <c r="V25" s="13" t="n">
        <v>0</v>
      </c>
      <c r="W25" s="13" t="n">
        <f aca="false">U25+V25</f>
        <v>350</v>
      </c>
    </row>
    <row r="26" customFormat="false" ht="15" hidden="false" customHeight="false" outlineLevel="0" collapsed="false">
      <c r="A26" s="14" t="s">
        <v>512</v>
      </c>
      <c r="B26" s="14" t="s">
        <v>513</v>
      </c>
      <c r="C26" s="14" t="s">
        <v>514</v>
      </c>
      <c r="D26" s="14" t="s">
        <v>93</v>
      </c>
      <c r="E26" s="15" t="n">
        <v>250000</v>
      </c>
      <c r="F26" s="15" t="n">
        <v>2779.58</v>
      </c>
      <c r="G26" s="15" t="n">
        <v>347.45</v>
      </c>
      <c r="H26" s="15" t="n">
        <v>347.45</v>
      </c>
      <c r="I26" s="15" t="n">
        <f aca="false">SUM(K26:T26)</f>
        <v>2084.7</v>
      </c>
      <c r="J26" s="15" t="n">
        <f aca="false">F26-(G26+H26+I26)</f>
        <v>-0.0199999999999818</v>
      </c>
      <c r="K26" s="15" t="n">
        <v>208.47</v>
      </c>
      <c r="L26" s="15" t="n">
        <v>208.47</v>
      </c>
      <c r="M26" s="15" t="n">
        <v>208.47</v>
      </c>
      <c r="N26" s="15" t="n">
        <v>208.47</v>
      </c>
      <c r="O26" s="15" t="n">
        <v>208.47</v>
      </c>
      <c r="P26" s="15" t="n">
        <v>208.47</v>
      </c>
      <c r="Q26" s="15" t="n">
        <v>208.47</v>
      </c>
      <c r="R26" s="15" t="n">
        <v>208.47</v>
      </c>
      <c r="S26" s="15" t="n">
        <v>208.47</v>
      </c>
      <c r="T26" s="15" t="n">
        <v>208.47</v>
      </c>
      <c r="U26" s="15" t="n">
        <v>350</v>
      </c>
      <c r="V26" s="15" t="n">
        <v>0</v>
      </c>
      <c r="W26" s="15" t="n">
        <f aca="false">U26+V26</f>
        <v>350</v>
      </c>
    </row>
    <row r="27" customFormat="false" ht="15" hidden="false" customHeight="false" outlineLevel="0" collapsed="false">
      <c r="A27" s="3" t="s">
        <v>515</v>
      </c>
      <c r="B27" s="3" t="s">
        <v>473</v>
      </c>
      <c r="C27" s="3" t="s">
        <v>516</v>
      </c>
      <c r="D27" s="3" t="s">
        <v>352</v>
      </c>
      <c r="E27" s="13" t="n">
        <v>220000</v>
      </c>
      <c r="F27" s="13" t="n">
        <v>4138.82</v>
      </c>
      <c r="G27" s="13" t="n">
        <v>517.35</v>
      </c>
      <c r="H27" s="13" t="n">
        <v>517.35</v>
      </c>
      <c r="I27" s="13" t="n">
        <f aca="false">SUM(K27:T27)</f>
        <v>3104.1</v>
      </c>
      <c r="J27" s="13" t="n">
        <f aca="false">F27-(G27+H27+I27)</f>
        <v>0.0199999999995271</v>
      </c>
      <c r="K27" s="13" t="n">
        <v>310.41</v>
      </c>
      <c r="L27" s="13" t="n">
        <v>310.41</v>
      </c>
      <c r="M27" s="13" t="n">
        <v>310.41</v>
      </c>
      <c r="N27" s="13" t="n">
        <v>310.41</v>
      </c>
      <c r="O27" s="13" t="n">
        <v>310.41</v>
      </c>
      <c r="P27" s="13" t="n">
        <v>310.41</v>
      </c>
      <c r="Q27" s="13" t="n">
        <v>310.41</v>
      </c>
      <c r="R27" s="13" t="n">
        <v>310.41</v>
      </c>
      <c r="S27" s="13" t="n">
        <v>310.41</v>
      </c>
      <c r="T27" s="13" t="n">
        <v>310.41</v>
      </c>
      <c r="U27" s="13" t="n">
        <v>350</v>
      </c>
      <c r="V27" s="13" t="n">
        <v>0</v>
      </c>
      <c r="W27" s="13" t="n">
        <f aca="false">U27+V27</f>
        <v>350</v>
      </c>
    </row>
    <row r="28" customFormat="false" ht="15" hidden="false" customHeight="false" outlineLevel="0" collapsed="false">
      <c r="A28" s="14" t="s">
        <v>517</v>
      </c>
      <c r="B28" s="14" t="s">
        <v>518</v>
      </c>
      <c r="C28" s="14" t="s">
        <v>421</v>
      </c>
      <c r="D28" s="14" t="s">
        <v>157</v>
      </c>
      <c r="E28" s="15" t="n">
        <v>700000</v>
      </c>
      <c r="F28" s="15" t="n">
        <v>11691.98</v>
      </c>
      <c r="G28" s="15" t="n">
        <v>1461.5</v>
      </c>
      <c r="H28" s="15" t="n">
        <v>1461.5</v>
      </c>
      <c r="I28" s="15" t="n">
        <f aca="false">SUM(K28:T28)</f>
        <v>8769</v>
      </c>
      <c r="J28" s="15" t="n">
        <f aca="false">F28-(G28+H28+I28)</f>
        <v>-0.0200000000004366</v>
      </c>
      <c r="K28" s="15" t="n">
        <v>876.9</v>
      </c>
      <c r="L28" s="15" t="n">
        <v>876.9</v>
      </c>
      <c r="M28" s="15" t="n">
        <v>876.9</v>
      </c>
      <c r="N28" s="15" t="n">
        <v>876.9</v>
      </c>
      <c r="O28" s="15" t="n">
        <v>876.9</v>
      </c>
      <c r="P28" s="15" t="n">
        <v>876.9</v>
      </c>
      <c r="Q28" s="15" t="n">
        <v>876.9</v>
      </c>
      <c r="R28" s="15" t="n">
        <v>876.9</v>
      </c>
      <c r="S28" s="15" t="n">
        <v>876.9</v>
      </c>
      <c r="T28" s="15" t="n">
        <v>876.9</v>
      </c>
      <c r="U28" s="15" t="n">
        <v>350</v>
      </c>
      <c r="V28" s="15" t="n">
        <v>0</v>
      </c>
      <c r="W28" s="15" t="n">
        <f aca="false">U28+V28</f>
        <v>350</v>
      </c>
    </row>
    <row r="29" customFormat="false" ht="15" hidden="false" customHeight="false" outlineLevel="0" collapsed="false">
      <c r="A29" s="3" t="s">
        <v>519</v>
      </c>
      <c r="B29" s="3" t="s">
        <v>520</v>
      </c>
      <c r="C29" s="3" t="s">
        <v>521</v>
      </c>
      <c r="D29" s="3" t="s">
        <v>430</v>
      </c>
      <c r="E29" s="13" t="n">
        <v>460000</v>
      </c>
      <c r="F29" s="13" t="n">
        <v>6180.77</v>
      </c>
      <c r="G29" s="13" t="n">
        <v>772.6</v>
      </c>
      <c r="H29" s="13" t="n">
        <v>772.6</v>
      </c>
      <c r="I29" s="13" t="n">
        <f aca="false">SUM(K29:T29)</f>
        <v>4635.6</v>
      </c>
      <c r="J29" s="13" t="n">
        <f aca="false">F29-(G29+H29+I29)</f>
        <v>-0.0299999999997453</v>
      </c>
      <c r="K29" s="13" t="n">
        <v>463.56</v>
      </c>
      <c r="L29" s="13" t="n">
        <v>463.56</v>
      </c>
      <c r="M29" s="13" t="n">
        <v>463.56</v>
      </c>
      <c r="N29" s="13" t="n">
        <v>463.56</v>
      </c>
      <c r="O29" s="13" t="n">
        <v>463.56</v>
      </c>
      <c r="P29" s="13" t="n">
        <v>463.56</v>
      </c>
      <c r="Q29" s="13" t="n">
        <v>463.56</v>
      </c>
      <c r="R29" s="13" t="n">
        <v>463.56</v>
      </c>
      <c r="S29" s="13" t="n">
        <v>463.56</v>
      </c>
      <c r="T29" s="13" t="n">
        <v>463.56</v>
      </c>
      <c r="U29" s="13" t="n">
        <v>350</v>
      </c>
      <c r="V29" s="13" t="n">
        <v>0</v>
      </c>
      <c r="W29" s="13" t="n">
        <f aca="false">U29+V29</f>
        <v>350</v>
      </c>
    </row>
    <row r="30" customFormat="false" ht="15" hidden="false" customHeight="false" outlineLevel="0" collapsed="false">
      <c r="A30" s="14" t="s">
        <v>522</v>
      </c>
      <c r="B30" s="14" t="s">
        <v>493</v>
      </c>
      <c r="C30" s="14" t="s">
        <v>523</v>
      </c>
      <c r="D30" s="14" t="s">
        <v>328</v>
      </c>
      <c r="E30" s="15" t="n">
        <v>520000</v>
      </c>
      <c r="F30" s="15" t="n">
        <v>9541.78</v>
      </c>
      <c r="G30" s="15" t="n">
        <v>1192.72</v>
      </c>
      <c r="H30" s="15" t="n">
        <v>1192.72</v>
      </c>
      <c r="I30" s="15" t="n">
        <f aca="false">SUM(K30:T30)</f>
        <v>7156.3</v>
      </c>
      <c r="J30" s="15" t="n">
        <f aca="false">F30-(G30+H30+I30)</f>
        <v>0.0400000000008731</v>
      </c>
      <c r="K30" s="15" t="n">
        <v>715.63</v>
      </c>
      <c r="L30" s="15" t="n">
        <v>715.63</v>
      </c>
      <c r="M30" s="15" t="n">
        <v>715.63</v>
      </c>
      <c r="N30" s="15" t="n">
        <v>715.63</v>
      </c>
      <c r="O30" s="15" t="n">
        <v>715.63</v>
      </c>
      <c r="P30" s="15" t="n">
        <v>715.63</v>
      </c>
      <c r="Q30" s="15" t="n">
        <v>715.63</v>
      </c>
      <c r="R30" s="15" t="n">
        <v>715.63</v>
      </c>
      <c r="S30" s="15" t="n">
        <v>715.63</v>
      </c>
      <c r="T30" s="15" t="n">
        <v>715.63</v>
      </c>
      <c r="U30" s="15" t="n">
        <v>350</v>
      </c>
      <c r="V30" s="15" t="n">
        <v>0</v>
      </c>
      <c r="W30" s="15" t="n">
        <f aca="false">U30+V30</f>
        <v>350</v>
      </c>
    </row>
    <row r="31" customFormat="false" ht="15" hidden="false" customHeight="false" outlineLevel="0" collapsed="false">
      <c r="A31" s="3" t="s">
        <v>524</v>
      </c>
      <c r="B31" s="3" t="s">
        <v>525</v>
      </c>
      <c r="C31" s="3" t="s">
        <v>526</v>
      </c>
      <c r="D31" s="3" t="s">
        <v>233</v>
      </c>
      <c r="E31" s="13" t="n">
        <v>1345000</v>
      </c>
      <c r="F31" s="13" t="n">
        <v>13118.95</v>
      </c>
      <c r="G31" s="13" t="n">
        <v>1639.87</v>
      </c>
      <c r="H31" s="13" t="n">
        <v>1639.87</v>
      </c>
      <c r="I31" s="13" t="n">
        <f aca="false">SUM(K31:T31)</f>
        <v>9839.2</v>
      </c>
      <c r="J31" s="13" t="n">
        <f aca="false">F31-(G31+H31+I31)</f>
        <v>0.0100000000020373</v>
      </c>
      <c r="K31" s="13" t="n">
        <v>983.92</v>
      </c>
      <c r="L31" s="13" t="n">
        <v>983.92</v>
      </c>
      <c r="M31" s="13" t="n">
        <v>983.92</v>
      </c>
      <c r="N31" s="13" t="n">
        <v>983.92</v>
      </c>
      <c r="O31" s="13" t="n">
        <v>983.92</v>
      </c>
      <c r="P31" s="13" t="n">
        <v>983.92</v>
      </c>
      <c r="Q31" s="13" t="n">
        <v>983.92</v>
      </c>
      <c r="R31" s="13" t="n">
        <v>983.92</v>
      </c>
      <c r="S31" s="13" t="n">
        <v>983.92</v>
      </c>
      <c r="T31" s="13" t="n">
        <v>983.92</v>
      </c>
      <c r="U31" s="13" t="n">
        <v>350</v>
      </c>
      <c r="V31" s="13" t="n">
        <v>250</v>
      </c>
      <c r="W31" s="13" t="n">
        <f aca="false">U31+V31</f>
        <v>600</v>
      </c>
    </row>
    <row r="32" customFormat="false" ht="15" hidden="false" customHeight="false" outlineLevel="0" collapsed="false">
      <c r="A32" s="14" t="s">
        <v>527</v>
      </c>
      <c r="B32" s="14" t="s">
        <v>528</v>
      </c>
      <c r="C32" s="14" t="s">
        <v>529</v>
      </c>
      <c r="D32" s="14" t="s">
        <v>93</v>
      </c>
      <c r="E32" s="15" t="n">
        <v>205000</v>
      </c>
      <c r="F32" s="15" t="n">
        <v>4368.58</v>
      </c>
      <c r="G32" s="15" t="n">
        <v>546.07</v>
      </c>
      <c r="H32" s="15" t="n">
        <v>546.07</v>
      </c>
      <c r="I32" s="15" t="n">
        <f aca="false">SUM(K32:T32)</f>
        <v>3276.4</v>
      </c>
      <c r="J32" s="15" t="n">
        <f aca="false">F32-(G32+H32+I32)</f>
        <v>0.0399999999999636</v>
      </c>
      <c r="K32" s="15" t="n">
        <v>327.64</v>
      </c>
      <c r="L32" s="15" t="n">
        <v>327.64</v>
      </c>
      <c r="M32" s="15" t="n">
        <v>327.64</v>
      </c>
      <c r="N32" s="15" t="n">
        <v>327.64</v>
      </c>
      <c r="O32" s="15" t="n">
        <v>327.64</v>
      </c>
      <c r="P32" s="15" t="n">
        <v>327.64</v>
      </c>
      <c r="Q32" s="15" t="n">
        <v>327.64</v>
      </c>
      <c r="R32" s="15" t="n">
        <v>327.64</v>
      </c>
      <c r="S32" s="15" t="n">
        <v>327.64</v>
      </c>
      <c r="T32" s="15" t="n">
        <v>327.64</v>
      </c>
      <c r="U32" s="15" t="n">
        <v>350</v>
      </c>
      <c r="V32" s="15" t="n">
        <v>0</v>
      </c>
      <c r="W32" s="15" t="n">
        <f aca="false">U32+V32</f>
        <v>350</v>
      </c>
    </row>
    <row r="33" customFormat="false" ht="15" hidden="false" customHeight="false" outlineLevel="0" collapsed="false">
      <c r="A33" s="3" t="s">
        <v>530</v>
      </c>
      <c r="B33" s="3" t="s">
        <v>464</v>
      </c>
      <c r="C33" s="3" t="s">
        <v>531</v>
      </c>
      <c r="D33" s="3" t="s">
        <v>112</v>
      </c>
      <c r="E33" s="13" t="n">
        <v>415000</v>
      </c>
      <c r="F33" s="13" t="n">
        <v>5350.83</v>
      </c>
      <c r="G33" s="13" t="n">
        <v>668.85</v>
      </c>
      <c r="H33" s="13" t="n">
        <v>668.85</v>
      </c>
      <c r="I33" s="13" t="n">
        <f aca="false">SUM(K33:T33)</f>
        <v>4013.1</v>
      </c>
      <c r="J33" s="13" t="n">
        <f aca="false">F33-(G33+H33+I33)</f>
        <v>0.0299999999997453</v>
      </c>
      <c r="K33" s="13" t="n">
        <v>401.31</v>
      </c>
      <c r="L33" s="13" t="n">
        <v>401.31</v>
      </c>
      <c r="M33" s="13" t="n">
        <v>401.31</v>
      </c>
      <c r="N33" s="13" t="n">
        <v>401.31</v>
      </c>
      <c r="O33" s="13" t="n">
        <v>401.31</v>
      </c>
      <c r="P33" s="13" t="n">
        <v>401.31</v>
      </c>
      <c r="Q33" s="13" t="n">
        <v>401.31</v>
      </c>
      <c r="R33" s="13" t="n">
        <v>401.31</v>
      </c>
      <c r="S33" s="13" t="n">
        <v>401.31</v>
      </c>
      <c r="T33" s="13" t="n">
        <v>401.31</v>
      </c>
      <c r="U33" s="13" t="n">
        <v>350</v>
      </c>
      <c r="V33" s="13" t="n">
        <v>0</v>
      </c>
      <c r="W33" s="13" t="n">
        <f aca="false">U33+V33</f>
        <v>350</v>
      </c>
    </row>
    <row r="34" customFormat="false" ht="15" hidden="false" customHeight="false" outlineLevel="0" collapsed="false">
      <c r="A34" s="14" t="s">
        <v>532</v>
      </c>
      <c r="B34" s="14" t="s">
        <v>528</v>
      </c>
      <c r="C34" s="14" t="s">
        <v>533</v>
      </c>
      <c r="D34" s="14" t="s">
        <v>73</v>
      </c>
      <c r="E34" s="15" t="n">
        <v>1000000</v>
      </c>
      <c r="F34" s="15" t="n">
        <v>16938.07</v>
      </c>
      <c r="G34" s="15" t="n">
        <v>2117.26</v>
      </c>
      <c r="H34" s="15" t="n">
        <v>2117.26</v>
      </c>
      <c r="I34" s="15" t="n">
        <f aca="false">SUM(K34:T34)</f>
        <v>12703.6</v>
      </c>
      <c r="J34" s="15" t="n">
        <f aca="false">F34-(G34+H34+I34)</f>
        <v>-0.0500000000029104</v>
      </c>
      <c r="K34" s="15" t="n">
        <v>1270.36</v>
      </c>
      <c r="L34" s="15" t="n">
        <v>1270.36</v>
      </c>
      <c r="M34" s="15" t="n">
        <v>1270.36</v>
      </c>
      <c r="N34" s="15" t="n">
        <v>1270.36</v>
      </c>
      <c r="O34" s="15" t="n">
        <v>1270.36</v>
      </c>
      <c r="P34" s="15" t="n">
        <v>1270.36</v>
      </c>
      <c r="Q34" s="15" t="n">
        <v>1270.36</v>
      </c>
      <c r="R34" s="15" t="n">
        <v>1270.36</v>
      </c>
      <c r="S34" s="15" t="n">
        <v>1270.36</v>
      </c>
      <c r="T34" s="15" t="n">
        <v>1270.36</v>
      </c>
      <c r="U34" s="15" t="n">
        <v>350</v>
      </c>
      <c r="V34" s="15" t="n">
        <v>250</v>
      </c>
      <c r="W34" s="15" t="n">
        <f aca="false">U34+V34</f>
        <v>600</v>
      </c>
    </row>
    <row r="35" customFormat="false" ht="15" hidden="false" customHeight="false" outlineLevel="0" collapsed="false">
      <c r="A35" s="3" t="s">
        <v>534</v>
      </c>
      <c r="B35" s="3" t="s">
        <v>502</v>
      </c>
      <c r="C35" s="3" t="s">
        <v>535</v>
      </c>
      <c r="D35" s="3" t="s">
        <v>172</v>
      </c>
      <c r="E35" s="13" t="n">
        <v>695000</v>
      </c>
      <c r="F35" s="13" t="n">
        <v>8501.97</v>
      </c>
      <c r="G35" s="13" t="n">
        <v>1062.75</v>
      </c>
      <c r="H35" s="13" t="n">
        <v>1062.75</v>
      </c>
      <c r="I35" s="13" t="n">
        <f aca="false">SUM(K35:T35)</f>
        <v>6376.5</v>
      </c>
      <c r="J35" s="13" t="n">
        <f aca="false">F35-(G35+H35+I35)</f>
        <v>-0.0300000000006548</v>
      </c>
      <c r="K35" s="13" t="n">
        <v>637.65</v>
      </c>
      <c r="L35" s="13" t="n">
        <v>637.65</v>
      </c>
      <c r="M35" s="13" t="n">
        <v>637.65</v>
      </c>
      <c r="N35" s="13" t="n">
        <v>637.65</v>
      </c>
      <c r="O35" s="13" t="n">
        <v>637.65</v>
      </c>
      <c r="P35" s="13" t="n">
        <v>637.65</v>
      </c>
      <c r="Q35" s="13" t="n">
        <v>637.65</v>
      </c>
      <c r="R35" s="13" t="n">
        <v>637.65</v>
      </c>
      <c r="S35" s="13" t="n">
        <v>637.65</v>
      </c>
      <c r="T35" s="13" t="n">
        <v>637.65</v>
      </c>
      <c r="U35" s="13" t="n">
        <v>350</v>
      </c>
      <c r="V35" s="13" t="n">
        <v>0</v>
      </c>
      <c r="W35" s="13" t="n">
        <f aca="false">U35+V35</f>
        <v>350</v>
      </c>
    </row>
    <row r="36" customFormat="false" ht="15" hidden="false" customHeight="false" outlineLevel="0" collapsed="false">
      <c r="A36" s="14" t="s">
        <v>536</v>
      </c>
      <c r="B36" s="14" t="s">
        <v>513</v>
      </c>
      <c r="C36" s="14" t="s">
        <v>182</v>
      </c>
      <c r="D36" s="14" t="s">
        <v>157</v>
      </c>
      <c r="E36" s="15" t="n">
        <v>105000</v>
      </c>
      <c r="F36" s="15" t="n">
        <v>2482.29</v>
      </c>
      <c r="G36" s="15" t="n">
        <v>310.29</v>
      </c>
      <c r="H36" s="15" t="n">
        <v>310.29</v>
      </c>
      <c r="I36" s="15" t="n">
        <f aca="false">SUM(K36:T36)</f>
        <v>1861.7</v>
      </c>
      <c r="J36" s="15" t="n">
        <f aca="false">F36-(G36+H36+I36)</f>
        <v>0.00999999999976353</v>
      </c>
      <c r="K36" s="15" t="n">
        <v>186.17</v>
      </c>
      <c r="L36" s="15" t="n">
        <v>186.17</v>
      </c>
      <c r="M36" s="15" t="n">
        <v>186.17</v>
      </c>
      <c r="N36" s="15" t="n">
        <v>186.17</v>
      </c>
      <c r="O36" s="15" t="n">
        <v>186.17</v>
      </c>
      <c r="P36" s="15" t="n">
        <v>186.17</v>
      </c>
      <c r="Q36" s="15" t="n">
        <v>186.17</v>
      </c>
      <c r="R36" s="15" t="n">
        <v>186.17</v>
      </c>
      <c r="S36" s="15" t="n">
        <v>186.17</v>
      </c>
      <c r="T36" s="15" t="n">
        <v>186.17</v>
      </c>
      <c r="U36" s="15" t="n">
        <v>350</v>
      </c>
      <c r="V36" s="15" t="n">
        <v>0</v>
      </c>
      <c r="W36" s="15" t="n">
        <f aca="false">U36+V36</f>
        <v>350</v>
      </c>
    </row>
    <row r="37" customFormat="false" ht="15" hidden="false" customHeight="false" outlineLevel="0" collapsed="false">
      <c r="A37" s="3" t="s">
        <v>537</v>
      </c>
      <c r="B37" s="3" t="s">
        <v>499</v>
      </c>
      <c r="C37" s="3" t="s">
        <v>538</v>
      </c>
      <c r="D37" s="3" t="s">
        <v>208</v>
      </c>
      <c r="E37" s="13" t="n">
        <v>645000</v>
      </c>
      <c r="F37" s="13" t="n">
        <v>6524.68</v>
      </c>
      <c r="G37" s="13" t="n">
        <v>815.59</v>
      </c>
      <c r="H37" s="13" t="n">
        <v>815.59</v>
      </c>
      <c r="I37" s="13" t="n">
        <f aca="false">SUM(K37:T37)</f>
        <v>4893.5</v>
      </c>
      <c r="J37" s="13" t="n">
        <f aca="false">F37-(G37+H37+I37)</f>
        <v>0</v>
      </c>
      <c r="K37" s="13" t="n">
        <v>489.35</v>
      </c>
      <c r="L37" s="13" t="n">
        <v>489.35</v>
      </c>
      <c r="M37" s="13" t="n">
        <v>489.35</v>
      </c>
      <c r="N37" s="13" t="n">
        <v>489.35</v>
      </c>
      <c r="O37" s="13" t="n">
        <v>489.35</v>
      </c>
      <c r="P37" s="13" t="n">
        <v>489.35</v>
      </c>
      <c r="Q37" s="13" t="n">
        <v>489.35</v>
      </c>
      <c r="R37" s="13" t="n">
        <v>489.35</v>
      </c>
      <c r="S37" s="13" t="n">
        <v>489.35</v>
      </c>
      <c r="T37" s="13" t="n">
        <v>489.35</v>
      </c>
      <c r="U37" s="13" t="n">
        <v>350</v>
      </c>
      <c r="V37" s="13" t="n">
        <v>0</v>
      </c>
      <c r="W37" s="13" t="n">
        <f aca="false">U37+V37</f>
        <v>350</v>
      </c>
    </row>
    <row r="38" customFormat="false" ht="15" hidden="false" customHeight="false" outlineLevel="0" collapsed="false">
      <c r="A38" s="14" t="s">
        <v>539</v>
      </c>
      <c r="B38" s="14" t="s">
        <v>540</v>
      </c>
      <c r="C38" s="14" t="s">
        <v>541</v>
      </c>
      <c r="D38" s="14" t="s">
        <v>166</v>
      </c>
      <c r="E38" s="15" t="n">
        <v>655000</v>
      </c>
      <c r="F38" s="15" t="n">
        <v>10401.04</v>
      </c>
      <c r="G38" s="15" t="n">
        <v>1300.13</v>
      </c>
      <c r="H38" s="15" t="n">
        <v>1300.13</v>
      </c>
      <c r="I38" s="15" t="n">
        <f aca="false">SUM(K38:T38)</f>
        <v>7800.8</v>
      </c>
      <c r="J38" s="15" t="n">
        <f aca="false">F38-(G38+H38+I38)</f>
        <v>-0.0200000000004366</v>
      </c>
      <c r="K38" s="15" t="n">
        <v>780.08</v>
      </c>
      <c r="L38" s="15" t="n">
        <v>780.08</v>
      </c>
      <c r="M38" s="15" t="n">
        <v>780.08</v>
      </c>
      <c r="N38" s="15" t="n">
        <v>780.08</v>
      </c>
      <c r="O38" s="15" t="n">
        <v>780.08</v>
      </c>
      <c r="P38" s="15" t="n">
        <v>780.08</v>
      </c>
      <c r="Q38" s="15" t="n">
        <v>780.08</v>
      </c>
      <c r="R38" s="15" t="n">
        <v>780.08</v>
      </c>
      <c r="S38" s="15" t="n">
        <v>780.08</v>
      </c>
      <c r="T38" s="15" t="n">
        <v>780.08</v>
      </c>
      <c r="U38" s="15" t="n">
        <v>350</v>
      </c>
      <c r="V38" s="15" t="n">
        <v>0</v>
      </c>
      <c r="W38" s="15" t="n">
        <f aca="false">U38+V38</f>
        <v>350</v>
      </c>
    </row>
    <row r="39" customFormat="false" ht="15" hidden="false" customHeight="false" outlineLevel="0" collapsed="false">
      <c r="A39" s="3" t="s">
        <v>542</v>
      </c>
      <c r="B39" s="3" t="s">
        <v>497</v>
      </c>
      <c r="C39" s="3" t="s">
        <v>543</v>
      </c>
      <c r="D39" s="3" t="s">
        <v>85</v>
      </c>
      <c r="E39" s="13" t="n">
        <v>500000</v>
      </c>
      <c r="F39" s="13" t="n">
        <v>8174.97</v>
      </c>
      <c r="G39" s="13" t="n">
        <v>1021.87</v>
      </c>
      <c r="H39" s="13" t="n">
        <v>1021.87</v>
      </c>
      <c r="I39" s="13" t="n">
        <f aca="false">SUM(K39:T39)</f>
        <v>6131.2</v>
      </c>
      <c r="J39" s="13" t="n">
        <f aca="false">F39-(G39+H39+I39)</f>
        <v>0.0300000000006548</v>
      </c>
      <c r="K39" s="13" t="n">
        <v>613.12</v>
      </c>
      <c r="L39" s="13" t="n">
        <v>613.12</v>
      </c>
      <c r="M39" s="13" t="n">
        <v>613.12</v>
      </c>
      <c r="N39" s="13" t="n">
        <v>613.12</v>
      </c>
      <c r="O39" s="13" t="n">
        <v>613.12</v>
      </c>
      <c r="P39" s="13" t="n">
        <v>613.12</v>
      </c>
      <c r="Q39" s="13" t="n">
        <v>613.12</v>
      </c>
      <c r="R39" s="13" t="n">
        <v>613.12</v>
      </c>
      <c r="S39" s="13" t="n">
        <v>613.12</v>
      </c>
      <c r="T39" s="13" t="n">
        <v>613.12</v>
      </c>
      <c r="U39" s="13" t="n">
        <v>350</v>
      </c>
      <c r="V39" s="13" t="n">
        <v>0</v>
      </c>
      <c r="W39" s="13" t="n">
        <f aca="false">U39+V39</f>
        <v>350</v>
      </c>
    </row>
    <row r="40" customFormat="false" ht="15" hidden="false" customHeight="false" outlineLevel="0" collapsed="false">
      <c r="A40" s="14" t="s">
        <v>544</v>
      </c>
      <c r="B40" s="14" t="s">
        <v>509</v>
      </c>
      <c r="C40" s="14" t="s">
        <v>545</v>
      </c>
      <c r="D40" s="14" t="s">
        <v>77</v>
      </c>
      <c r="E40" s="15" t="n">
        <v>1740000</v>
      </c>
      <c r="F40" s="15" t="n">
        <v>31991.23</v>
      </c>
      <c r="G40" s="15" t="n">
        <v>3998.9</v>
      </c>
      <c r="H40" s="15" t="n">
        <v>3998.9</v>
      </c>
      <c r="I40" s="15" t="n">
        <f aca="false">SUM(K40:T40)</f>
        <v>23993.4</v>
      </c>
      <c r="J40" s="15" t="n">
        <f aca="false">F40-(G40+H40+I40)</f>
        <v>0.0299999999988358</v>
      </c>
      <c r="K40" s="15" t="n">
        <v>2399.34</v>
      </c>
      <c r="L40" s="15" t="n">
        <v>2399.34</v>
      </c>
      <c r="M40" s="15" t="n">
        <v>2399.34</v>
      </c>
      <c r="N40" s="15" t="n">
        <v>2399.34</v>
      </c>
      <c r="O40" s="15" t="n">
        <v>2399.34</v>
      </c>
      <c r="P40" s="15" t="n">
        <v>2399.34</v>
      </c>
      <c r="Q40" s="15" t="n">
        <v>2399.34</v>
      </c>
      <c r="R40" s="15" t="n">
        <v>2399.34</v>
      </c>
      <c r="S40" s="15" t="n">
        <v>2399.34</v>
      </c>
      <c r="T40" s="15" t="n">
        <v>2399.34</v>
      </c>
      <c r="U40" s="15" t="n">
        <v>350</v>
      </c>
      <c r="V40" s="15" t="n">
        <v>250</v>
      </c>
      <c r="W40" s="15" t="n">
        <f aca="false">U40+V40</f>
        <v>600</v>
      </c>
    </row>
    <row r="41" customFormat="false" ht="15" hidden="false" customHeight="false" outlineLevel="0" collapsed="false">
      <c r="A41" s="3" t="s">
        <v>546</v>
      </c>
      <c r="B41" s="3" t="s">
        <v>520</v>
      </c>
      <c r="C41" s="3" t="s">
        <v>547</v>
      </c>
      <c r="D41" s="3" t="s">
        <v>157</v>
      </c>
      <c r="E41" s="13" t="n">
        <v>970000</v>
      </c>
      <c r="F41" s="13" t="n">
        <v>10718.07</v>
      </c>
      <c r="G41" s="13" t="n">
        <v>1339.76</v>
      </c>
      <c r="H41" s="13" t="n">
        <v>1339.76</v>
      </c>
      <c r="I41" s="13" t="n">
        <f aca="false">SUM(K41:T41)</f>
        <v>8038.6</v>
      </c>
      <c r="J41" s="13" t="n">
        <f aca="false">F41-(G41+H41+I41)</f>
        <v>-0.0499999999992724</v>
      </c>
      <c r="K41" s="13" t="n">
        <v>803.86</v>
      </c>
      <c r="L41" s="13" t="n">
        <v>803.86</v>
      </c>
      <c r="M41" s="13" t="n">
        <v>803.86</v>
      </c>
      <c r="N41" s="13" t="n">
        <v>803.86</v>
      </c>
      <c r="O41" s="13" t="n">
        <v>803.86</v>
      </c>
      <c r="P41" s="13" t="n">
        <v>803.86</v>
      </c>
      <c r="Q41" s="13" t="n">
        <v>803.86</v>
      </c>
      <c r="R41" s="13" t="n">
        <v>803.86</v>
      </c>
      <c r="S41" s="13" t="n">
        <v>803.86</v>
      </c>
      <c r="T41" s="13" t="n">
        <v>803.86</v>
      </c>
      <c r="U41" s="13" t="n">
        <v>350</v>
      </c>
      <c r="V41" s="13" t="n">
        <v>0</v>
      </c>
      <c r="W41" s="13" t="n">
        <f aca="false">U41+V41</f>
        <v>350</v>
      </c>
    </row>
    <row r="42" customFormat="false" ht="15" hidden="false" customHeight="false" outlineLevel="0" collapsed="false">
      <c r="A42" s="14" t="s">
        <v>548</v>
      </c>
      <c r="B42" s="14" t="s">
        <v>549</v>
      </c>
      <c r="C42" s="14" t="s">
        <v>321</v>
      </c>
      <c r="D42" s="14" t="s">
        <v>279</v>
      </c>
      <c r="E42" s="15" t="n">
        <v>170000</v>
      </c>
      <c r="F42" s="15" t="n">
        <v>2575.53</v>
      </c>
      <c r="G42" s="15" t="n">
        <v>321.94</v>
      </c>
      <c r="H42" s="15" t="n">
        <v>321.94</v>
      </c>
      <c r="I42" s="15" t="n">
        <f aca="false">SUM(K42:T42)</f>
        <v>1931.6</v>
      </c>
      <c r="J42" s="15" t="n">
        <f aca="false">F42-(G42+H42+I42)</f>
        <v>0.0500000000001819</v>
      </c>
      <c r="K42" s="15" t="n">
        <v>193.16</v>
      </c>
      <c r="L42" s="15" t="n">
        <v>193.16</v>
      </c>
      <c r="M42" s="15" t="n">
        <v>193.16</v>
      </c>
      <c r="N42" s="15" t="n">
        <v>193.16</v>
      </c>
      <c r="O42" s="15" t="n">
        <v>193.16</v>
      </c>
      <c r="P42" s="15" t="n">
        <v>193.16</v>
      </c>
      <c r="Q42" s="15" t="n">
        <v>193.16</v>
      </c>
      <c r="R42" s="15" t="n">
        <v>193.16</v>
      </c>
      <c r="S42" s="15" t="n">
        <v>193.16</v>
      </c>
      <c r="T42" s="15" t="n">
        <v>193.16</v>
      </c>
      <c r="U42" s="15" t="n">
        <v>350</v>
      </c>
      <c r="V42" s="15" t="n">
        <v>0</v>
      </c>
      <c r="W42" s="15" t="n">
        <f aca="false">U42+V42</f>
        <v>350</v>
      </c>
    </row>
    <row r="43" customFormat="false" ht="15" hidden="false" customHeight="false" outlineLevel="0" collapsed="false">
      <c r="A43" s="3" t="s">
        <v>550</v>
      </c>
      <c r="B43" s="3" t="s">
        <v>466</v>
      </c>
      <c r="C43" s="3" t="s">
        <v>551</v>
      </c>
      <c r="D43" s="3" t="s">
        <v>115</v>
      </c>
      <c r="E43" s="13" t="n">
        <v>280000</v>
      </c>
      <c r="F43" s="13" t="n">
        <v>5016.28</v>
      </c>
      <c r="G43" s="13" t="n">
        <v>627.03</v>
      </c>
      <c r="H43" s="13" t="n">
        <v>627.03</v>
      </c>
      <c r="I43" s="13" t="n">
        <f aca="false">SUM(K43:T43)</f>
        <v>3762.2</v>
      </c>
      <c r="J43" s="13" t="n">
        <f aca="false">F43-(G43+H43+I43)</f>
        <v>0.0199999999995271</v>
      </c>
      <c r="K43" s="13" t="n">
        <v>376.22</v>
      </c>
      <c r="L43" s="13" t="n">
        <v>376.22</v>
      </c>
      <c r="M43" s="13" t="n">
        <v>376.22</v>
      </c>
      <c r="N43" s="13" t="n">
        <v>376.22</v>
      </c>
      <c r="O43" s="13" t="n">
        <v>376.22</v>
      </c>
      <c r="P43" s="13" t="n">
        <v>376.22</v>
      </c>
      <c r="Q43" s="13" t="n">
        <v>376.22</v>
      </c>
      <c r="R43" s="13" t="n">
        <v>376.22</v>
      </c>
      <c r="S43" s="13" t="n">
        <v>376.22</v>
      </c>
      <c r="T43" s="13" t="n">
        <v>376.22</v>
      </c>
      <c r="U43" s="13" t="n">
        <v>350</v>
      </c>
      <c r="V43" s="13" t="n">
        <v>0</v>
      </c>
      <c r="W43" s="13" t="n">
        <f aca="false">U43+V43</f>
        <v>350</v>
      </c>
    </row>
    <row r="44" customFormat="false" ht="15" hidden="false" customHeight="false" outlineLevel="0" collapsed="false">
      <c r="A44" s="14" t="s">
        <v>552</v>
      </c>
      <c r="B44" s="14" t="s">
        <v>553</v>
      </c>
      <c r="C44" s="14" t="s">
        <v>554</v>
      </c>
      <c r="D44" s="14" t="s">
        <v>382</v>
      </c>
      <c r="E44" s="15" t="n">
        <v>480000</v>
      </c>
      <c r="F44" s="15" t="n">
        <v>7296.4</v>
      </c>
      <c r="G44" s="15" t="n">
        <v>912.05</v>
      </c>
      <c r="H44" s="15" t="n">
        <v>912.05</v>
      </c>
      <c r="I44" s="15" t="n">
        <f aca="false">SUM(K44:T44)</f>
        <v>5472.3</v>
      </c>
      <c r="J44" s="15" t="n">
        <f aca="false">F44-(G44+H44+I44)</f>
        <v>0</v>
      </c>
      <c r="K44" s="15" t="n">
        <v>547.23</v>
      </c>
      <c r="L44" s="15" t="n">
        <v>547.23</v>
      </c>
      <c r="M44" s="15" t="n">
        <v>547.23</v>
      </c>
      <c r="N44" s="15" t="n">
        <v>547.23</v>
      </c>
      <c r="O44" s="15" t="n">
        <v>547.23</v>
      </c>
      <c r="P44" s="15" t="n">
        <v>547.23</v>
      </c>
      <c r="Q44" s="15" t="n">
        <v>547.23</v>
      </c>
      <c r="R44" s="15" t="n">
        <v>547.23</v>
      </c>
      <c r="S44" s="15" t="n">
        <v>547.23</v>
      </c>
      <c r="T44" s="15" t="n">
        <v>547.23</v>
      </c>
      <c r="U44" s="15" t="n">
        <v>350</v>
      </c>
      <c r="V44" s="15" t="n">
        <v>0</v>
      </c>
      <c r="W44" s="15" t="n">
        <f aca="false">U44+V44</f>
        <v>350</v>
      </c>
    </row>
    <row r="45" customFormat="false" ht="15" hidden="false" customHeight="false" outlineLevel="0" collapsed="false">
      <c r="A45" s="3" t="s">
        <v>555</v>
      </c>
      <c r="B45" s="3" t="s">
        <v>518</v>
      </c>
      <c r="C45" s="3" t="s">
        <v>556</v>
      </c>
      <c r="D45" s="3" t="s">
        <v>89</v>
      </c>
      <c r="E45" s="13" t="n">
        <v>815000</v>
      </c>
      <c r="F45" s="13" t="n">
        <v>12941.74</v>
      </c>
      <c r="G45" s="13" t="n">
        <v>1617.72</v>
      </c>
      <c r="H45" s="13" t="n">
        <v>1617.72</v>
      </c>
      <c r="I45" s="13" t="n">
        <f aca="false">SUM(K45:T45)</f>
        <v>9706.3</v>
      </c>
      <c r="J45" s="13" t="n">
        <f aca="false">F45-(G45+H45+I45)</f>
        <v>0</v>
      </c>
      <c r="K45" s="13" t="n">
        <v>970.63</v>
      </c>
      <c r="L45" s="13" t="n">
        <v>970.63</v>
      </c>
      <c r="M45" s="13" t="n">
        <v>970.63</v>
      </c>
      <c r="N45" s="13" t="n">
        <v>970.63</v>
      </c>
      <c r="O45" s="13" t="n">
        <v>970.63</v>
      </c>
      <c r="P45" s="13" t="n">
        <v>970.63</v>
      </c>
      <c r="Q45" s="13" t="n">
        <v>970.63</v>
      </c>
      <c r="R45" s="13" t="n">
        <v>970.63</v>
      </c>
      <c r="S45" s="13" t="n">
        <v>970.63</v>
      </c>
      <c r="T45" s="13" t="n">
        <v>970.63</v>
      </c>
      <c r="U45" s="13" t="n">
        <v>350</v>
      </c>
      <c r="V45" s="13" t="n">
        <v>0</v>
      </c>
      <c r="W45" s="13" t="n">
        <f aca="false">U45+V45</f>
        <v>350</v>
      </c>
    </row>
    <row r="46" customFormat="false" ht="15" hidden="false" customHeight="false" outlineLevel="0" collapsed="false">
      <c r="A46" s="14" t="s">
        <v>557</v>
      </c>
      <c r="B46" s="14" t="s">
        <v>473</v>
      </c>
      <c r="C46" s="14" t="s">
        <v>196</v>
      </c>
      <c r="D46" s="14" t="s">
        <v>109</v>
      </c>
      <c r="E46" s="15" t="n">
        <v>1280000</v>
      </c>
      <c r="F46" s="15" t="n">
        <v>15924.68</v>
      </c>
      <c r="G46" s="15" t="n">
        <v>1990.59</v>
      </c>
      <c r="H46" s="15" t="n">
        <v>1990.59</v>
      </c>
      <c r="I46" s="15" t="n">
        <f aca="false">SUM(K46:T46)</f>
        <v>11943.5</v>
      </c>
      <c r="J46" s="15" t="n">
        <f aca="false">F46-(G46+H46+I46)</f>
        <v>0</v>
      </c>
      <c r="K46" s="15" t="n">
        <v>1194.35</v>
      </c>
      <c r="L46" s="15" t="n">
        <v>1194.35</v>
      </c>
      <c r="M46" s="15" t="n">
        <v>1194.35</v>
      </c>
      <c r="N46" s="15" t="n">
        <v>1194.35</v>
      </c>
      <c r="O46" s="15" t="n">
        <v>1194.35</v>
      </c>
      <c r="P46" s="15" t="n">
        <v>1194.35</v>
      </c>
      <c r="Q46" s="15" t="n">
        <v>1194.35</v>
      </c>
      <c r="R46" s="15" t="n">
        <v>1194.35</v>
      </c>
      <c r="S46" s="15" t="n">
        <v>1194.35</v>
      </c>
      <c r="T46" s="15" t="n">
        <v>1194.35</v>
      </c>
      <c r="U46" s="15" t="n">
        <v>350</v>
      </c>
      <c r="V46" s="15" t="n">
        <v>250</v>
      </c>
      <c r="W46" s="15" t="n">
        <f aca="false">U46+V46</f>
        <v>600</v>
      </c>
    </row>
    <row r="47" customFormat="false" ht="15" hidden="false" customHeight="false" outlineLevel="0" collapsed="false">
      <c r="A47" s="3" t="s">
        <v>558</v>
      </c>
      <c r="B47" s="3" t="s">
        <v>479</v>
      </c>
      <c r="C47" s="3" t="s">
        <v>559</v>
      </c>
      <c r="D47" s="3" t="s">
        <v>109</v>
      </c>
      <c r="E47" s="13" t="n">
        <v>1515000</v>
      </c>
      <c r="F47" s="13" t="n">
        <v>13022.5</v>
      </c>
      <c r="G47" s="13" t="n">
        <v>1627.81</v>
      </c>
      <c r="H47" s="13" t="n">
        <v>1627.81</v>
      </c>
      <c r="I47" s="13" t="n">
        <f aca="false">SUM(K47:T47)</f>
        <v>9766.9</v>
      </c>
      <c r="J47" s="13" t="n">
        <f aca="false">F47-(G47+H47+I47)</f>
        <v>-0.0200000000004366</v>
      </c>
      <c r="K47" s="13" t="n">
        <v>976.69</v>
      </c>
      <c r="L47" s="13" t="n">
        <v>976.69</v>
      </c>
      <c r="M47" s="13" t="n">
        <v>976.69</v>
      </c>
      <c r="N47" s="13" t="n">
        <v>976.69</v>
      </c>
      <c r="O47" s="13" t="n">
        <v>976.69</v>
      </c>
      <c r="P47" s="13" t="n">
        <v>976.69</v>
      </c>
      <c r="Q47" s="13" t="n">
        <v>976.69</v>
      </c>
      <c r="R47" s="13" t="n">
        <v>976.69</v>
      </c>
      <c r="S47" s="13" t="n">
        <v>976.69</v>
      </c>
      <c r="T47" s="13" t="n">
        <v>976.69</v>
      </c>
      <c r="U47" s="13" t="n">
        <v>350</v>
      </c>
      <c r="V47" s="13" t="n">
        <v>250</v>
      </c>
      <c r="W47" s="13" t="n">
        <f aca="false">U47+V47</f>
        <v>600</v>
      </c>
    </row>
    <row r="48" customFormat="false" ht="15" hidden="false" customHeight="false" outlineLevel="0" collapsed="false">
      <c r="A48" s="14" t="s">
        <v>560</v>
      </c>
      <c r="B48" s="14" t="s">
        <v>520</v>
      </c>
      <c r="C48" s="14" t="s">
        <v>321</v>
      </c>
      <c r="D48" s="14" t="s">
        <v>89</v>
      </c>
      <c r="E48" s="15" t="n">
        <v>850000</v>
      </c>
      <c r="F48" s="15" t="n">
        <v>8929.13</v>
      </c>
      <c r="G48" s="15" t="n">
        <v>1116.14</v>
      </c>
      <c r="H48" s="15" t="n">
        <v>1116.14</v>
      </c>
      <c r="I48" s="15" t="n">
        <f aca="false">SUM(K48:T48)</f>
        <v>6696.8</v>
      </c>
      <c r="J48" s="15" t="n">
        <f aca="false">F48-(G48+H48+I48)</f>
        <v>0.0499999999992724</v>
      </c>
      <c r="K48" s="15" t="n">
        <v>669.68</v>
      </c>
      <c r="L48" s="15" t="n">
        <v>669.68</v>
      </c>
      <c r="M48" s="15" t="n">
        <v>669.68</v>
      </c>
      <c r="N48" s="15" t="n">
        <v>669.68</v>
      </c>
      <c r="O48" s="15" t="n">
        <v>669.68</v>
      </c>
      <c r="P48" s="15" t="n">
        <v>669.68</v>
      </c>
      <c r="Q48" s="15" t="n">
        <v>669.68</v>
      </c>
      <c r="R48" s="15" t="n">
        <v>669.68</v>
      </c>
      <c r="S48" s="15" t="n">
        <v>669.68</v>
      </c>
      <c r="T48" s="15" t="n">
        <v>669.68</v>
      </c>
      <c r="U48" s="15" t="n">
        <v>350</v>
      </c>
      <c r="V48" s="15" t="n">
        <v>0</v>
      </c>
      <c r="W48" s="15" t="n">
        <f aca="false">U48+V48</f>
        <v>350</v>
      </c>
    </row>
    <row r="49" customFormat="false" ht="15" hidden="false" customHeight="false" outlineLevel="0" collapsed="false">
      <c r="A49" s="3" t="s">
        <v>561</v>
      </c>
      <c r="B49" s="3" t="s">
        <v>509</v>
      </c>
      <c r="C49" s="3" t="s">
        <v>562</v>
      </c>
      <c r="D49" s="3" t="s">
        <v>102</v>
      </c>
      <c r="E49" s="13" t="n">
        <v>365000</v>
      </c>
      <c r="F49" s="13" t="n">
        <v>5696.92</v>
      </c>
      <c r="G49" s="13" t="n">
        <v>712.12</v>
      </c>
      <c r="H49" s="13" t="n">
        <v>712.12</v>
      </c>
      <c r="I49" s="13" t="n">
        <f aca="false">SUM(K49:T49)</f>
        <v>4272.7</v>
      </c>
      <c r="J49" s="13" t="n">
        <f aca="false">F49-(G49+H49+I49)</f>
        <v>-0.0199999999995271</v>
      </c>
      <c r="K49" s="13" t="n">
        <v>427.27</v>
      </c>
      <c r="L49" s="13" t="n">
        <v>427.27</v>
      </c>
      <c r="M49" s="13" t="n">
        <v>427.27</v>
      </c>
      <c r="N49" s="13" t="n">
        <v>427.27</v>
      </c>
      <c r="O49" s="13" t="n">
        <v>427.27</v>
      </c>
      <c r="P49" s="13" t="n">
        <v>427.27</v>
      </c>
      <c r="Q49" s="13" t="n">
        <v>427.27</v>
      </c>
      <c r="R49" s="13" t="n">
        <v>427.27</v>
      </c>
      <c r="S49" s="13" t="n">
        <v>427.27</v>
      </c>
      <c r="T49" s="13" t="n">
        <v>427.27</v>
      </c>
      <c r="U49" s="13" t="n">
        <v>350</v>
      </c>
      <c r="V49" s="13" t="n">
        <v>0</v>
      </c>
      <c r="W49" s="13" t="n">
        <f aca="false">U49+V49</f>
        <v>350</v>
      </c>
    </row>
    <row r="50" customFormat="false" ht="15" hidden="false" customHeight="false" outlineLevel="0" collapsed="false">
      <c r="A50" s="14" t="s">
        <v>563</v>
      </c>
      <c r="B50" s="14" t="s">
        <v>499</v>
      </c>
      <c r="C50" s="14" t="s">
        <v>401</v>
      </c>
      <c r="D50" s="14" t="s">
        <v>163</v>
      </c>
      <c r="E50" s="15" t="n">
        <v>580000</v>
      </c>
      <c r="F50" s="15" t="n">
        <v>6958.72</v>
      </c>
      <c r="G50" s="15" t="n">
        <v>869.84</v>
      </c>
      <c r="H50" s="15" t="n">
        <v>869.84</v>
      </c>
      <c r="I50" s="15" t="n">
        <f aca="false">SUM(K50:T50)</f>
        <v>5219</v>
      </c>
      <c r="J50" s="15" t="n">
        <f aca="false">F50-(G50+H50+I50)</f>
        <v>0.0400000000008731</v>
      </c>
      <c r="K50" s="15" t="n">
        <v>521.9</v>
      </c>
      <c r="L50" s="15" t="n">
        <v>521.9</v>
      </c>
      <c r="M50" s="15" t="n">
        <v>521.9</v>
      </c>
      <c r="N50" s="15" t="n">
        <v>521.9</v>
      </c>
      <c r="O50" s="15" t="n">
        <v>521.9</v>
      </c>
      <c r="P50" s="15" t="n">
        <v>521.9</v>
      </c>
      <c r="Q50" s="15" t="n">
        <v>521.9</v>
      </c>
      <c r="R50" s="15" t="n">
        <v>521.9</v>
      </c>
      <c r="S50" s="15" t="n">
        <v>521.9</v>
      </c>
      <c r="T50" s="15" t="n">
        <v>521.9</v>
      </c>
      <c r="U50" s="15" t="n">
        <v>350</v>
      </c>
      <c r="V50" s="15" t="n">
        <v>0</v>
      </c>
      <c r="W50" s="15" t="n">
        <f aca="false">U50+V50</f>
        <v>350</v>
      </c>
    </row>
    <row r="51" customFormat="false" ht="15" hidden="false" customHeight="false" outlineLevel="0" collapsed="false">
      <c r="A51" s="3" t="s">
        <v>564</v>
      </c>
      <c r="B51" s="3" t="s">
        <v>497</v>
      </c>
      <c r="C51" s="3" t="s">
        <v>565</v>
      </c>
      <c r="D51" s="3" t="s">
        <v>448</v>
      </c>
      <c r="E51" s="13" t="n">
        <v>180000</v>
      </c>
      <c r="F51" s="13" t="n">
        <v>1968.07</v>
      </c>
      <c r="G51" s="13" t="n">
        <v>246.01</v>
      </c>
      <c r="H51" s="13" t="n">
        <v>246.01</v>
      </c>
      <c r="I51" s="13" t="n">
        <f aca="false">SUM(K51:T51)</f>
        <v>1476.1</v>
      </c>
      <c r="J51" s="13" t="n">
        <f aca="false">F51-(G51+H51+I51)</f>
        <v>-0.0500000000004093</v>
      </c>
      <c r="K51" s="13" t="n">
        <v>147.61</v>
      </c>
      <c r="L51" s="13" t="n">
        <v>147.61</v>
      </c>
      <c r="M51" s="13" t="n">
        <v>147.61</v>
      </c>
      <c r="N51" s="13" t="n">
        <v>147.61</v>
      </c>
      <c r="O51" s="13" t="n">
        <v>147.61</v>
      </c>
      <c r="P51" s="13" t="n">
        <v>147.61</v>
      </c>
      <c r="Q51" s="13" t="n">
        <v>147.61</v>
      </c>
      <c r="R51" s="13" t="n">
        <v>147.61</v>
      </c>
      <c r="S51" s="13" t="n">
        <v>147.61</v>
      </c>
      <c r="T51" s="13" t="n">
        <v>147.61</v>
      </c>
      <c r="U51" s="13" t="n">
        <v>350</v>
      </c>
      <c r="V51" s="13" t="n">
        <v>0</v>
      </c>
      <c r="W51" s="13" t="n">
        <f aca="false">U51+V51</f>
        <v>350</v>
      </c>
    </row>
    <row r="52" customFormat="false" ht="15" hidden="false" customHeight="false" outlineLevel="0" collapsed="false">
      <c r="A52" s="14" t="s">
        <v>566</v>
      </c>
      <c r="B52" s="14" t="s">
        <v>464</v>
      </c>
      <c r="C52" s="14" t="s">
        <v>128</v>
      </c>
      <c r="D52" s="14" t="s">
        <v>193</v>
      </c>
      <c r="E52" s="15" t="n">
        <v>355000</v>
      </c>
      <c r="F52" s="15" t="n">
        <v>6022.65</v>
      </c>
      <c r="G52" s="15" t="n">
        <v>752.83</v>
      </c>
      <c r="H52" s="15" t="n">
        <v>752.83</v>
      </c>
      <c r="I52" s="15" t="n">
        <f aca="false">SUM(K52:T52)</f>
        <v>4517</v>
      </c>
      <c r="J52" s="15" t="n">
        <f aca="false">F52-(G52+H52+I52)</f>
        <v>-0.0100000000002183</v>
      </c>
      <c r="K52" s="15" t="n">
        <v>451.7</v>
      </c>
      <c r="L52" s="15" t="n">
        <v>451.7</v>
      </c>
      <c r="M52" s="15" t="n">
        <v>451.7</v>
      </c>
      <c r="N52" s="15" t="n">
        <v>451.7</v>
      </c>
      <c r="O52" s="15" t="n">
        <v>451.7</v>
      </c>
      <c r="P52" s="15" t="n">
        <v>451.7</v>
      </c>
      <c r="Q52" s="15" t="n">
        <v>451.7</v>
      </c>
      <c r="R52" s="15" t="n">
        <v>451.7</v>
      </c>
      <c r="S52" s="15" t="n">
        <v>451.7</v>
      </c>
      <c r="T52" s="15" t="n">
        <v>451.7</v>
      </c>
      <c r="U52" s="15" t="n">
        <v>350</v>
      </c>
      <c r="V52" s="15" t="n">
        <v>0</v>
      </c>
      <c r="W52" s="15" t="n">
        <f aca="false">U52+V52</f>
        <v>350</v>
      </c>
    </row>
    <row r="53" customFormat="false" ht="15" hidden="false" customHeight="false" outlineLevel="0" collapsed="false">
      <c r="A53" s="3" t="s">
        <v>567</v>
      </c>
      <c r="B53" s="3" t="s">
        <v>528</v>
      </c>
      <c r="C53" s="3" t="s">
        <v>356</v>
      </c>
      <c r="D53" s="3" t="s">
        <v>197</v>
      </c>
      <c r="E53" s="13" t="n">
        <v>345000</v>
      </c>
      <c r="F53" s="13" t="n">
        <v>5103.81</v>
      </c>
      <c r="G53" s="13" t="n">
        <v>637.98</v>
      </c>
      <c r="H53" s="13" t="n">
        <v>637.98</v>
      </c>
      <c r="I53" s="13" t="n">
        <f aca="false">SUM(K53:T53)</f>
        <v>3827.9</v>
      </c>
      <c r="J53" s="13" t="n">
        <f aca="false">F53-(G53+H53+I53)</f>
        <v>-0.0500000000001819</v>
      </c>
      <c r="K53" s="13" t="n">
        <v>382.79</v>
      </c>
      <c r="L53" s="13" t="n">
        <v>382.79</v>
      </c>
      <c r="M53" s="13" t="n">
        <v>382.79</v>
      </c>
      <c r="N53" s="13" t="n">
        <v>382.79</v>
      </c>
      <c r="O53" s="13" t="n">
        <v>382.79</v>
      </c>
      <c r="P53" s="13" t="n">
        <v>382.79</v>
      </c>
      <c r="Q53" s="13" t="n">
        <v>382.79</v>
      </c>
      <c r="R53" s="13" t="n">
        <v>382.79</v>
      </c>
      <c r="S53" s="13" t="n">
        <v>382.79</v>
      </c>
      <c r="T53" s="13" t="n">
        <v>382.79</v>
      </c>
      <c r="U53" s="13" t="n">
        <v>350</v>
      </c>
      <c r="V53" s="13" t="n">
        <v>0</v>
      </c>
      <c r="W53" s="13" t="n">
        <f aca="false">U53+V53</f>
        <v>350</v>
      </c>
    </row>
    <row r="54" customFormat="false" ht="15" hidden="false" customHeight="false" outlineLevel="0" collapsed="false">
      <c r="A54" s="14" t="s">
        <v>568</v>
      </c>
      <c r="B54" s="14" t="s">
        <v>569</v>
      </c>
      <c r="C54" s="14" t="s">
        <v>570</v>
      </c>
      <c r="D54" s="14" t="s">
        <v>325</v>
      </c>
      <c r="E54" s="15" t="n">
        <v>625000</v>
      </c>
      <c r="F54" s="15" t="n">
        <v>10145.2</v>
      </c>
      <c r="G54" s="15" t="n">
        <v>1268.15</v>
      </c>
      <c r="H54" s="15" t="n">
        <v>1268.15</v>
      </c>
      <c r="I54" s="15" t="n">
        <f aca="false">SUM(K54:T54)</f>
        <v>7608.9</v>
      </c>
      <c r="J54" s="15" t="n">
        <f aca="false">F54-(G54+H54+I54)</f>
        <v>0</v>
      </c>
      <c r="K54" s="15" t="n">
        <v>760.89</v>
      </c>
      <c r="L54" s="15" t="n">
        <v>760.89</v>
      </c>
      <c r="M54" s="15" t="n">
        <v>760.89</v>
      </c>
      <c r="N54" s="15" t="n">
        <v>760.89</v>
      </c>
      <c r="O54" s="15" t="n">
        <v>760.89</v>
      </c>
      <c r="P54" s="15" t="n">
        <v>760.89</v>
      </c>
      <c r="Q54" s="15" t="n">
        <v>760.89</v>
      </c>
      <c r="R54" s="15" t="n">
        <v>760.89</v>
      </c>
      <c r="S54" s="15" t="n">
        <v>760.89</v>
      </c>
      <c r="T54" s="15" t="n">
        <v>760.89</v>
      </c>
      <c r="U54" s="15" t="n">
        <v>350</v>
      </c>
      <c r="V54" s="15" t="n">
        <v>0</v>
      </c>
      <c r="W54" s="15" t="n">
        <f aca="false">U54+V54</f>
        <v>350</v>
      </c>
    </row>
    <row r="55" customFormat="false" ht="15" hidden="false" customHeight="false" outlineLevel="0" collapsed="false">
      <c r="A55" s="3" t="s">
        <v>571</v>
      </c>
      <c r="B55" s="3" t="s">
        <v>549</v>
      </c>
      <c r="C55" s="3" t="s">
        <v>572</v>
      </c>
      <c r="D55" s="3" t="s">
        <v>132</v>
      </c>
      <c r="E55" s="13" t="n">
        <v>400000</v>
      </c>
      <c r="F55" s="13" t="n">
        <v>3474.47</v>
      </c>
      <c r="G55" s="13" t="n">
        <v>434.31</v>
      </c>
      <c r="H55" s="13" t="n">
        <v>434.31</v>
      </c>
      <c r="I55" s="13" t="n">
        <f aca="false">SUM(K55:T55)</f>
        <v>2605.9</v>
      </c>
      <c r="J55" s="13" t="n">
        <f aca="false">F55-(G55+H55+I55)</f>
        <v>-0.0500000000001819</v>
      </c>
      <c r="K55" s="13" t="n">
        <v>260.59</v>
      </c>
      <c r="L55" s="13" t="n">
        <v>260.59</v>
      </c>
      <c r="M55" s="13" t="n">
        <v>260.59</v>
      </c>
      <c r="N55" s="13" t="n">
        <v>260.59</v>
      </c>
      <c r="O55" s="13" t="n">
        <v>260.59</v>
      </c>
      <c r="P55" s="13" t="n">
        <v>260.59</v>
      </c>
      <c r="Q55" s="13" t="n">
        <v>260.59</v>
      </c>
      <c r="R55" s="13" t="n">
        <v>260.59</v>
      </c>
      <c r="S55" s="13" t="n">
        <v>260.59</v>
      </c>
      <c r="T55" s="13" t="n">
        <v>260.59</v>
      </c>
      <c r="U55" s="13" t="n">
        <v>350</v>
      </c>
      <c r="V55" s="13" t="n">
        <v>0</v>
      </c>
      <c r="W55" s="13" t="n">
        <f aca="false">U55+V55</f>
        <v>350</v>
      </c>
    </row>
    <row r="56" customFormat="false" ht="15" hidden="false" customHeight="false" outlineLevel="0" collapsed="false">
      <c r="A56" s="14" t="s">
        <v>573</v>
      </c>
      <c r="B56" s="14" t="s">
        <v>549</v>
      </c>
      <c r="C56" s="14" t="s">
        <v>574</v>
      </c>
      <c r="D56" s="14" t="s">
        <v>312</v>
      </c>
      <c r="E56" s="15" t="n">
        <v>390000</v>
      </c>
      <c r="F56" s="15" t="n">
        <v>5875.39</v>
      </c>
      <c r="G56" s="15" t="n">
        <v>734.42</v>
      </c>
      <c r="H56" s="15" t="n">
        <v>734.42</v>
      </c>
      <c r="I56" s="15" t="n">
        <f aca="false">SUM(K56:T56)</f>
        <v>4406.5</v>
      </c>
      <c r="J56" s="15" t="n">
        <f aca="false">F56-(G56+H56+I56)</f>
        <v>0.0500000000001819</v>
      </c>
      <c r="K56" s="15" t="n">
        <v>440.65</v>
      </c>
      <c r="L56" s="15" t="n">
        <v>440.65</v>
      </c>
      <c r="M56" s="15" t="n">
        <v>440.65</v>
      </c>
      <c r="N56" s="15" t="n">
        <v>440.65</v>
      </c>
      <c r="O56" s="15" t="n">
        <v>440.65</v>
      </c>
      <c r="P56" s="15" t="n">
        <v>440.65</v>
      </c>
      <c r="Q56" s="15" t="n">
        <v>440.65</v>
      </c>
      <c r="R56" s="15" t="n">
        <v>440.65</v>
      </c>
      <c r="S56" s="15" t="n">
        <v>440.65</v>
      </c>
      <c r="T56" s="15" t="n">
        <v>440.65</v>
      </c>
      <c r="U56" s="15" t="n">
        <v>350</v>
      </c>
      <c r="V56" s="15" t="n">
        <v>0</v>
      </c>
      <c r="W56" s="15" t="n">
        <f aca="false">U56+V56</f>
        <v>350</v>
      </c>
    </row>
    <row r="57" customFormat="false" ht="15" hidden="false" customHeight="false" outlineLevel="0" collapsed="false">
      <c r="A57" s="3" t="s">
        <v>575</v>
      </c>
      <c r="B57" s="3" t="s">
        <v>486</v>
      </c>
      <c r="C57" s="3" t="s">
        <v>576</v>
      </c>
      <c r="D57" s="3" t="s">
        <v>125</v>
      </c>
      <c r="E57" s="13" t="n">
        <v>715000</v>
      </c>
      <c r="F57" s="13" t="n">
        <v>11800.19</v>
      </c>
      <c r="G57" s="13" t="n">
        <v>1475.02</v>
      </c>
      <c r="H57" s="13" t="n">
        <v>1475.02</v>
      </c>
      <c r="I57" s="13" t="n">
        <f aca="false">SUM(K57:T57)</f>
        <v>8850.1</v>
      </c>
      <c r="J57" s="13" t="n">
        <f aca="false">F57-(G57+H57+I57)</f>
        <v>0.0500000000010914</v>
      </c>
      <c r="K57" s="13" t="n">
        <v>885.01</v>
      </c>
      <c r="L57" s="13" t="n">
        <v>885.01</v>
      </c>
      <c r="M57" s="13" t="n">
        <v>885.01</v>
      </c>
      <c r="N57" s="13" t="n">
        <v>885.01</v>
      </c>
      <c r="O57" s="13" t="n">
        <v>885.01</v>
      </c>
      <c r="P57" s="13" t="n">
        <v>885.01</v>
      </c>
      <c r="Q57" s="13" t="n">
        <v>885.01</v>
      </c>
      <c r="R57" s="13" t="n">
        <v>885.01</v>
      </c>
      <c r="S57" s="13" t="n">
        <v>885.01</v>
      </c>
      <c r="T57" s="13" t="n">
        <v>885.01</v>
      </c>
      <c r="U57" s="13" t="n">
        <v>350</v>
      </c>
      <c r="V57" s="13" t="n">
        <v>0</v>
      </c>
      <c r="W57" s="13" t="n">
        <f aca="false">U57+V57</f>
        <v>350</v>
      </c>
    </row>
    <row r="58" customFormat="false" ht="15" hidden="false" customHeight="false" outlineLevel="0" collapsed="false">
      <c r="A58" s="14" t="s">
        <v>577</v>
      </c>
      <c r="B58" s="14" t="s">
        <v>473</v>
      </c>
      <c r="C58" s="14" t="s">
        <v>578</v>
      </c>
      <c r="D58" s="14" t="s">
        <v>93</v>
      </c>
      <c r="E58" s="15" t="n">
        <v>1950000</v>
      </c>
      <c r="F58" s="15" t="n">
        <v>36134.54</v>
      </c>
      <c r="G58" s="15" t="n">
        <v>4516.82</v>
      </c>
      <c r="H58" s="15" t="n">
        <v>4516.82</v>
      </c>
      <c r="I58" s="15" t="n">
        <f aca="false">SUM(K58:T58)</f>
        <v>27100.9</v>
      </c>
      <c r="J58" s="15" t="n">
        <f aca="false">F58-(G58+H58+I58)</f>
        <v>0</v>
      </c>
      <c r="K58" s="15" t="n">
        <v>2710.09</v>
      </c>
      <c r="L58" s="15" t="n">
        <v>2710.09</v>
      </c>
      <c r="M58" s="15" t="n">
        <v>2710.09</v>
      </c>
      <c r="N58" s="15" t="n">
        <v>2710.09</v>
      </c>
      <c r="O58" s="15" t="n">
        <v>2710.09</v>
      </c>
      <c r="P58" s="15" t="n">
        <v>2710.09</v>
      </c>
      <c r="Q58" s="15" t="n">
        <v>2710.09</v>
      </c>
      <c r="R58" s="15" t="n">
        <v>2710.09</v>
      </c>
      <c r="S58" s="15" t="n">
        <v>2710.09</v>
      </c>
      <c r="T58" s="15" t="n">
        <v>2710.09</v>
      </c>
      <c r="U58" s="15" t="n">
        <v>350</v>
      </c>
      <c r="V58" s="15" t="n">
        <v>250</v>
      </c>
      <c r="W58" s="15" t="n">
        <f aca="false">U58+V58</f>
        <v>600</v>
      </c>
    </row>
    <row r="59" customFormat="false" ht="15" hidden="false" customHeight="false" outlineLevel="0" collapsed="false">
      <c r="A59" s="3" t="s">
        <v>579</v>
      </c>
      <c r="B59" s="3" t="s">
        <v>476</v>
      </c>
      <c r="C59" s="3" t="s">
        <v>580</v>
      </c>
      <c r="D59" s="3" t="s">
        <v>256</v>
      </c>
      <c r="E59" s="13" t="n">
        <v>315000</v>
      </c>
      <c r="F59" s="13" t="n">
        <v>5686.06</v>
      </c>
      <c r="G59" s="13" t="n">
        <v>710.76</v>
      </c>
      <c r="H59" s="13" t="n">
        <v>710.76</v>
      </c>
      <c r="I59" s="13" t="n">
        <f aca="false">SUM(K59:T59)</f>
        <v>4264.5</v>
      </c>
      <c r="J59" s="13" t="n">
        <f aca="false">F59-(G59+H59+I59)</f>
        <v>0.0399999999999636</v>
      </c>
      <c r="K59" s="13" t="n">
        <v>426.45</v>
      </c>
      <c r="L59" s="13" t="n">
        <v>426.45</v>
      </c>
      <c r="M59" s="13" t="n">
        <v>426.45</v>
      </c>
      <c r="N59" s="13" t="n">
        <v>426.45</v>
      </c>
      <c r="O59" s="13" t="n">
        <v>426.45</v>
      </c>
      <c r="P59" s="13" t="n">
        <v>426.45</v>
      </c>
      <c r="Q59" s="13" t="n">
        <v>426.45</v>
      </c>
      <c r="R59" s="13" t="n">
        <v>426.45</v>
      </c>
      <c r="S59" s="13" t="n">
        <v>426.45</v>
      </c>
      <c r="T59" s="13" t="n">
        <v>426.45</v>
      </c>
      <c r="U59" s="13" t="n">
        <v>350</v>
      </c>
      <c r="V59" s="13" t="n">
        <v>0</v>
      </c>
      <c r="W59" s="13" t="n">
        <f aca="false">U59+V59</f>
        <v>350</v>
      </c>
    </row>
    <row r="60" customFormat="false" ht="15" hidden="false" customHeight="false" outlineLevel="0" collapsed="false">
      <c r="A60" s="14" t="s">
        <v>581</v>
      </c>
      <c r="B60" s="14" t="s">
        <v>473</v>
      </c>
      <c r="C60" s="14" t="s">
        <v>582</v>
      </c>
      <c r="D60" s="14" t="s">
        <v>121</v>
      </c>
      <c r="E60" s="15" t="n">
        <v>970000</v>
      </c>
      <c r="F60" s="15" t="n">
        <v>13919.8</v>
      </c>
      <c r="G60" s="15" t="n">
        <v>1739.97</v>
      </c>
      <c r="H60" s="15" t="n">
        <v>1739.97</v>
      </c>
      <c r="I60" s="15" t="n">
        <f aca="false">SUM(K60:T60)</f>
        <v>10439.8</v>
      </c>
      <c r="J60" s="15" t="n">
        <f aca="false">F60-(G60+H60+I60)</f>
        <v>0.0599999999994907</v>
      </c>
      <c r="K60" s="15" t="n">
        <v>1043.98</v>
      </c>
      <c r="L60" s="15" t="n">
        <v>1043.98</v>
      </c>
      <c r="M60" s="15" t="n">
        <v>1043.98</v>
      </c>
      <c r="N60" s="15" t="n">
        <v>1043.98</v>
      </c>
      <c r="O60" s="15" t="n">
        <v>1043.98</v>
      </c>
      <c r="P60" s="15" t="n">
        <v>1043.98</v>
      </c>
      <c r="Q60" s="15" t="n">
        <v>1043.98</v>
      </c>
      <c r="R60" s="15" t="n">
        <v>1043.98</v>
      </c>
      <c r="S60" s="15" t="n">
        <v>1043.98</v>
      </c>
      <c r="T60" s="15" t="n">
        <v>1043.98</v>
      </c>
      <c r="U60" s="15" t="n">
        <v>350</v>
      </c>
      <c r="V60" s="15" t="n">
        <v>0</v>
      </c>
      <c r="W60" s="15" t="n">
        <f aca="false">U60+V60</f>
        <v>350</v>
      </c>
    </row>
    <row r="61" customFormat="false" ht="15" hidden="false" customHeight="false" outlineLevel="0" collapsed="false">
      <c r="A61" s="3" t="s">
        <v>583</v>
      </c>
      <c r="B61" s="3" t="s">
        <v>540</v>
      </c>
      <c r="C61" s="3" t="s">
        <v>511</v>
      </c>
      <c r="D61" s="3" t="s">
        <v>279</v>
      </c>
      <c r="E61" s="13" t="n">
        <v>760000</v>
      </c>
      <c r="F61" s="13" t="n">
        <v>8134.98</v>
      </c>
      <c r="G61" s="13" t="n">
        <v>1016.87</v>
      </c>
      <c r="H61" s="13" t="n">
        <v>1016.87</v>
      </c>
      <c r="I61" s="13" t="n">
        <f aca="false">SUM(K61:T61)</f>
        <v>6101.2</v>
      </c>
      <c r="J61" s="13" t="n">
        <f aca="false">F61-(G61+H61+I61)</f>
        <v>0.0399999999999636</v>
      </c>
      <c r="K61" s="13" t="n">
        <v>610.12</v>
      </c>
      <c r="L61" s="13" t="n">
        <v>610.12</v>
      </c>
      <c r="M61" s="13" t="n">
        <v>610.12</v>
      </c>
      <c r="N61" s="13" t="n">
        <v>610.12</v>
      </c>
      <c r="O61" s="13" t="n">
        <v>610.12</v>
      </c>
      <c r="P61" s="13" t="n">
        <v>610.12</v>
      </c>
      <c r="Q61" s="13" t="n">
        <v>610.12</v>
      </c>
      <c r="R61" s="13" t="n">
        <v>610.12</v>
      </c>
      <c r="S61" s="13" t="n">
        <v>610.12</v>
      </c>
      <c r="T61" s="13" t="n">
        <v>610.12</v>
      </c>
      <c r="U61" s="13" t="n">
        <v>350</v>
      </c>
      <c r="V61" s="13" t="n">
        <v>0</v>
      </c>
      <c r="W61" s="13" t="n">
        <f aca="false">U61+V61</f>
        <v>350</v>
      </c>
    </row>
    <row r="62" customFormat="false" ht="15" hidden="false" customHeight="false" outlineLevel="0" collapsed="false">
      <c r="A62" s="14" t="s">
        <v>584</v>
      </c>
      <c r="B62" s="14" t="s">
        <v>499</v>
      </c>
      <c r="C62" s="14" t="s">
        <v>585</v>
      </c>
      <c r="D62" s="14" t="s">
        <v>230</v>
      </c>
      <c r="E62" s="15" t="n">
        <v>290000</v>
      </c>
      <c r="F62" s="15" t="n">
        <v>4683.76</v>
      </c>
      <c r="G62" s="15" t="n">
        <v>585.47</v>
      </c>
      <c r="H62" s="15" t="n">
        <v>585.47</v>
      </c>
      <c r="I62" s="15" t="n">
        <f aca="false">SUM(K62:T62)</f>
        <v>3512.8</v>
      </c>
      <c r="J62" s="15" t="n">
        <f aca="false">F62-(G62+H62+I62)</f>
        <v>0.0200000000004366</v>
      </c>
      <c r="K62" s="15" t="n">
        <v>351.28</v>
      </c>
      <c r="L62" s="15" t="n">
        <v>351.28</v>
      </c>
      <c r="M62" s="15" t="n">
        <v>351.28</v>
      </c>
      <c r="N62" s="15" t="n">
        <v>351.28</v>
      </c>
      <c r="O62" s="15" t="n">
        <v>351.28</v>
      </c>
      <c r="P62" s="15" t="n">
        <v>351.28</v>
      </c>
      <c r="Q62" s="15" t="n">
        <v>351.28</v>
      </c>
      <c r="R62" s="15" t="n">
        <v>351.28</v>
      </c>
      <c r="S62" s="15" t="n">
        <v>351.28</v>
      </c>
      <c r="T62" s="15" t="n">
        <v>351.28</v>
      </c>
      <c r="U62" s="15" t="n">
        <v>350</v>
      </c>
      <c r="V62" s="15" t="n">
        <v>0</v>
      </c>
      <c r="W62" s="15" t="n">
        <f aca="false">U62+V62</f>
        <v>350</v>
      </c>
    </row>
    <row r="63" customFormat="false" ht="15" hidden="false" customHeight="false" outlineLevel="0" collapsed="false">
      <c r="A63" s="3" t="s">
        <v>586</v>
      </c>
      <c r="B63" s="3" t="s">
        <v>505</v>
      </c>
      <c r="C63" s="3" t="s">
        <v>587</v>
      </c>
      <c r="D63" s="3" t="s">
        <v>125</v>
      </c>
      <c r="E63" s="13" t="n">
        <v>430000</v>
      </c>
      <c r="F63" s="13" t="n">
        <v>3585.66</v>
      </c>
      <c r="G63" s="13" t="n">
        <v>448.21</v>
      </c>
      <c r="H63" s="13" t="n">
        <v>448.21</v>
      </c>
      <c r="I63" s="13" t="n">
        <f aca="false">SUM(K63:T63)</f>
        <v>2689.2</v>
      </c>
      <c r="J63" s="13" t="n">
        <f aca="false">F63-(G63+H63+I63)</f>
        <v>0.0399999999995089</v>
      </c>
      <c r="K63" s="13" t="n">
        <v>268.92</v>
      </c>
      <c r="L63" s="13" t="n">
        <v>268.92</v>
      </c>
      <c r="M63" s="13" t="n">
        <v>268.92</v>
      </c>
      <c r="N63" s="13" t="n">
        <v>268.92</v>
      </c>
      <c r="O63" s="13" t="n">
        <v>268.92</v>
      </c>
      <c r="P63" s="13" t="n">
        <v>268.92</v>
      </c>
      <c r="Q63" s="13" t="n">
        <v>268.92</v>
      </c>
      <c r="R63" s="13" t="n">
        <v>268.92</v>
      </c>
      <c r="S63" s="13" t="n">
        <v>268.92</v>
      </c>
      <c r="T63" s="13" t="n">
        <v>268.92</v>
      </c>
      <c r="U63" s="13" t="n">
        <v>350</v>
      </c>
      <c r="V63" s="13" t="n">
        <v>0</v>
      </c>
      <c r="W63" s="13" t="n">
        <f aca="false">U63+V63</f>
        <v>350</v>
      </c>
    </row>
    <row r="64" customFormat="false" ht="15" hidden="false" customHeight="false" outlineLevel="0" collapsed="false">
      <c r="A64" s="14" t="s">
        <v>588</v>
      </c>
      <c r="B64" s="14" t="s">
        <v>499</v>
      </c>
      <c r="C64" s="14" t="s">
        <v>232</v>
      </c>
      <c r="D64" s="14" t="s">
        <v>406</v>
      </c>
      <c r="E64" s="15" t="n">
        <v>710000</v>
      </c>
      <c r="F64" s="15" t="n">
        <v>7766.81</v>
      </c>
      <c r="G64" s="15" t="n">
        <v>970.85</v>
      </c>
      <c r="H64" s="15" t="n">
        <v>970.85</v>
      </c>
      <c r="I64" s="15" t="n">
        <f aca="false">SUM(K64:T64)</f>
        <v>5825.1</v>
      </c>
      <c r="J64" s="15" t="n">
        <f aca="false">F64-(G64+H64+I64)</f>
        <v>0.0100000000002183</v>
      </c>
      <c r="K64" s="15" t="n">
        <v>582.51</v>
      </c>
      <c r="L64" s="15" t="n">
        <v>582.51</v>
      </c>
      <c r="M64" s="15" t="n">
        <v>582.51</v>
      </c>
      <c r="N64" s="15" t="n">
        <v>582.51</v>
      </c>
      <c r="O64" s="15" t="n">
        <v>582.51</v>
      </c>
      <c r="P64" s="15" t="n">
        <v>582.51</v>
      </c>
      <c r="Q64" s="15" t="n">
        <v>582.51</v>
      </c>
      <c r="R64" s="15" t="n">
        <v>582.51</v>
      </c>
      <c r="S64" s="15" t="n">
        <v>582.51</v>
      </c>
      <c r="T64" s="15" t="n">
        <v>582.51</v>
      </c>
      <c r="U64" s="15" t="n">
        <v>350</v>
      </c>
      <c r="V64" s="15" t="n">
        <v>0</v>
      </c>
      <c r="W64" s="15" t="n">
        <f aca="false">U64+V64</f>
        <v>350</v>
      </c>
    </row>
    <row r="65" customFormat="false" ht="15" hidden="false" customHeight="false" outlineLevel="0" collapsed="false">
      <c r="A65" s="3" t="s">
        <v>589</v>
      </c>
      <c r="B65" s="3" t="s">
        <v>493</v>
      </c>
      <c r="C65" s="3" t="s">
        <v>590</v>
      </c>
      <c r="D65" s="3" t="s">
        <v>325</v>
      </c>
      <c r="E65" s="13" t="n">
        <v>495000</v>
      </c>
      <c r="F65" s="13" t="n">
        <v>9271.15</v>
      </c>
      <c r="G65" s="13" t="n">
        <v>1158.89</v>
      </c>
      <c r="H65" s="13" t="n">
        <v>1158.89</v>
      </c>
      <c r="I65" s="13" t="n">
        <f aca="false">SUM(K65:T65)</f>
        <v>6953.4</v>
      </c>
      <c r="J65" s="13" t="n">
        <f aca="false">F65-(G65+H65+I65)</f>
        <v>-0.0300000000006548</v>
      </c>
      <c r="K65" s="13" t="n">
        <v>695.34</v>
      </c>
      <c r="L65" s="13" t="n">
        <v>695.34</v>
      </c>
      <c r="M65" s="13" t="n">
        <v>695.34</v>
      </c>
      <c r="N65" s="13" t="n">
        <v>695.34</v>
      </c>
      <c r="O65" s="13" t="n">
        <v>695.34</v>
      </c>
      <c r="P65" s="13" t="n">
        <v>695.34</v>
      </c>
      <c r="Q65" s="13" t="n">
        <v>695.34</v>
      </c>
      <c r="R65" s="13" t="n">
        <v>695.34</v>
      </c>
      <c r="S65" s="13" t="n">
        <v>695.34</v>
      </c>
      <c r="T65" s="13" t="n">
        <v>695.34</v>
      </c>
      <c r="U65" s="13" t="n">
        <v>350</v>
      </c>
      <c r="V65" s="13" t="n">
        <v>0</v>
      </c>
      <c r="W65" s="13" t="n">
        <f aca="false">U65+V65</f>
        <v>350</v>
      </c>
    </row>
    <row r="66" customFormat="false" ht="15" hidden="false" customHeight="false" outlineLevel="0" collapsed="false">
      <c r="A66" s="14" t="s">
        <v>591</v>
      </c>
      <c r="B66" s="14" t="s">
        <v>493</v>
      </c>
      <c r="C66" s="14" t="s">
        <v>592</v>
      </c>
      <c r="D66" s="14" t="s">
        <v>153</v>
      </c>
      <c r="E66" s="15" t="n">
        <v>1250000</v>
      </c>
      <c r="F66" s="15" t="n">
        <v>28049.15</v>
      </c>
      <c r="G66" s="15" t="n">
        <v>3506.14</v>
      </c>
      <c r="H66" s="15" t="n">
        <v>3506.14</v>
      </c>
      <c r="I66" s="15" t="n">
        <f aca="false">SUM(K66:T66)</f>
        <v>21036.9</v>
      </c>
      <c r="J66" s="15" t="n">
        <f aca="false">F66-(G66+H66+I66)</f>
        <v>-0.0299999999951979</v>
      </c>
      <c r="K66" s="15" t="n">
        <v>2103.69</v>
      </c>
      <c r="L66" s="15" t="n">
        <v>2103.69</v>
      </c>
      <c r="M66" s="15" t="n">
        <v>2103.69</v>
      </c>
      <c r="N66" s="15" t="n">
        <v>2103.69</v>
      </c>
      <c r="O66" s="15" t="n">
        <v>2103.69</v>
      </c>
      <c r="P66" s="15" t="n">
        <v>2103.69</v>
      </c>
      <c r="Q66" s="15" t="n">
        <v>2103.69</v>
      </c>
      <c r="R66" s="15" t="n">
        <v>2103.69</v>
      </c>
      <c r="S66" s="15" t="n">
        <v>2103.69</v>
      </c>
      <c r="T66" s="15" t="n">
        <v>2103.69</v>
      </c>
      <c r="U66" s="15" t="n">
        <v>350</v>
      </c>
      <c r="V66" s="15" t="n">
        <v>250</v>
      </c>
      <c r="W66" s="15" t="n">
        <f aca="false">U66+V66</f>
        <v>600</v>
      </c>
    </row>
    <row r="67" customFormat="false" ht="15" hidden="false" customHeight="false" outlineLevel="0" collapsed="false">
      <c r="A67" s="3" t="s">
        <v>593</v>
      </c>
      <c r="B67" s="3" t="s">
        <v>540</v>
      </c>
      <c r="C67" s="3" t="s">
        <v>594</v>
      </c>
      <c r="D67" s="3" t="s">
        <v>89</v>
      </c>
      <c r="E67" s="13" t="n">
        <v>530000</v>
      </c>
      <c r="F67" s="13" t="n">
        <v>8416.1</v>
      </c>
      <c r="G67" s="13" t="n">
        <v>1052.01</v>
      </c>
      <c r="H67" s="13" t="n">
        <v>1052.01</v>
      </c>
      <c r="I67" s="13" t="n">
        <f aca="false">SUM(K67:T67)</f>
        <v>6312.1</v>
      </c>
      <c r="J67" s="13" t="n">
        <f aca="false">F67-(G67+H67+I67)</f>
        <v>-0.0200000000004366</v>
      </c>
      <c r="K67" s="13" t="n">
        <v>631.21</v>
      </c>
      <c r="L67" s="13" t="n">
        <v>631.21</v>
      </c>
      <c r="M67" s="13" t="n">
        <v>631.21</v>
      </c>
      <c r="N67" s="13" t="n">
        <v>631.21</v>
      </c>
      <c r="O67" s="13" t="n">
        <v>631.21</v>
      </c>
      <c r="P67" s="13" t="n">
        <v>631.21</v>
      </c>
      <c r="Q67" s="13" t="n">
        <v>631.21</v>
      </c>
      <c r="R67" s="13" t="n">
        <v>631.21</v>
      </c>
      <c r="S67" s="13" t="n">
        <v>631.21</v>
      </c>
      <c r="T67" s="13" t="n">
        <v>631.21</v>
      </c>
      <c r="U67" s="13" t="n">
        <v>350</v>
      </c>
      <c r="V67" s="13" t="n">
        <v>0</v>
      </c>
      <c r="W67" s="13" t="n">
        <f aca="false">U67+V67</f>
        <v>350</v>
      </c>
    </row>
    <row r="68" customFormat="false" ht="15" hidden="false" customHeight="false" outlineLevel="0" collapsed="false">
      <c r="A68" s="14" t="s">
        <v>595</v>
      </c>
      <c r="B68" s="14" t="s">
        <v>596</v>
      </c>
      <c r="C68" s="14" t="s">
        <v>597</v>
      </c>
      <c r="D68" s="14" t="s">
        <v>125</v>
      </c>
      <c r="E68" s="15" t="n">
        <v>700000</v>
      </c>
      <c r="F68" s="15" t="n">
        <v>7904.43</v>
      </c>
      <c r="G68" s="15" t="n">
        <v>988.05</v>
      </c>
      <c r="H68" s="15" t="n">
        <v>988.05</v>
      </c>
      <c r="I68" s="15" t="n">
        <f aca="false">SUM(K68:T68)</f>
        <v>5928.3</v>
      </c>
      <c r="J68" s="15" t="n">
        <f aca="false">F68-(G68+H68+I68)</f>
        <v>0.0300000000006548</v>
      </c>
      <c r="K68" s="15" t="n">
        <v>592.83</v>
      </c>
      <c r="L68" s="15" t="n">
        <v>592.83</v>
      </c>
      <c r="M68" s="15" t="n">
        <v>592.83</v>
      </c>
      <c r="N68" s="15" t="n">
        <v>592.83</v>
      </c>
      <c r="O68" s="15" t="n">
        <v>592.83</v>
      </c>
      <c r="P68" s="15" t="n">
        <v>592.83</v>
      </c>
      <c r="Q68" s="15" t="n">
        <v>592.83</v>
      </c>
      <c r="R68" s="15" t="n">
        <v>592.83</v>
      </c>
      <c r="S68" s="15" t="n">
        <v>592.83</v>
      </c>
      <c r="T68" s="15" t="n">
        <v>592.83</v>
      </c>
      <c r="U68" s="15" t="n">
        <v>350</v>
      </c>
      <c r="V68" s="15" t="n">
        <v>0</v>
      </c>
      <c r="W68" s="15" t="n">
        <f aca="false">U68+V68</f>
        <v>350</v>
      </c>
    </row>
    <row r="69" customFormat="false" ht="15" hidden="false" customHeight="false" outlineLevel="0" collapsed="false">
      <c r="A69" s="3" t="s">
        <v>598</v>
      </c>
      <c r="B69" s="3" t="s">
        <v>505</v>
      </c>
      <c r="C69" s="3" t="s">
        <v>128</v>
      </c>
      <c r="D69" s="3" t="s">
        <v>89</v>
      </c>
      <c r="E69" s="13" t="n">
        <v>435000</v>
      </c>
      <c r="F69" s="13" t="n">
        <v>7970.26</v>
      </c>
      <c r="G69" s="13" t="n">
        <v>996.28</v>
      </c>
      <c r="H69" s="13" t="n">
        <v>996.28</v>
      </c>
      <c r="I69" s="13" t="n">
        <f aca="false">SUM(K69:T69)</f>
        <v>5977.7</v>
      </c>
      <c r="J69" s="13" t="n">
        <f aca="false">F69-(G69+H69+I69)</f>
        <v>0</v>
      </c>
      <c r="K69" s="13" t="n">
        <v>597.77</v>
      </c>
      <c r="L69" s="13" t="n">
        <v>597.77</v>
      </c>
      <c r="M69" s="13" t="n">
        <v>597.77</v>
      </c>
      <c r="N69" s="13" t="n">
        <v>597.77</v>
      </c>
      <c r="O69" s="13" t="n">
        <v>597.77</v>
      </c>
      <c r="P69" s="13" t="n">
        <v>597.77</v>
      </c>
      <c r="Q69" s="13" t="n">
        <v>597.77</v>
      </c>
      <c r="R69" s="13" t="n">
        <v>597.77</v>
      </c>
      <c r="S69" s="13" t="n">
        <v>597.77</v>
      </c>
      <c r="T69" s="13" t="n">
        <v>597.77</v>
      </c>
      <c r="U69" s="13" t="n">
        <v>350</v>
      </c>
      <c r="V69" s="13" t="n">
        <v>0</v>
      </c>
      <c r="W69" s="13" t="n">
        <f aca="false">U69+V69</f>
        <v>350</v>
      </c>
    </row>
    <row r="70" customFormat="false" ht="15" hidden="false" customHeight="false" outlineLevel="0" collapsed="false">
      <c r="A70" s="14" t="s">
        <v>599</v>
      </c>
      <c r="B70" s="14" t="s">
        <v>528</v>
      </c>
      <c r="C70" s="14" t="s">
        <v>600</v>
      </c>
      <c r="D70" s="14" t="s">
        <v>180</v>
      </c>
      <c r="E70" s="15" t="n">
        <v>1830000</v>
      </c>
      <c r="F70" s="15" t="n">
        <v>15226.78</v>
      </c>
      <c r="G70" s="15" t="n">
        <v>1903.35</v>
      </c>
      <c r="H70" s="15" t="n">
        <v>1903.35</v>
      </c>
      <c r="I70" s="15" t="n">
        <f aca="false">SUM(K70:T70)</f>
        <v>11420.1</v>
      </c>
      <c r="J70" s="15" t="n">
        <f aca="false">F70-(G70+H70+I70)</f>
        <v>-0.0199999999986176</v>
      </c>
      <c r="K70" s="15" t="n">
        <v>1142.01</v>
      </c>
      <c r="L70" s="15" t="n">
        <v>1142.01</v>
      </c>
      <c r="M70" s="15" t="n">
        <v>1142.01</v>
      </c>
      <c r="N70" s="15" t="n">
        <v>1142.01</v>
      </c>
      <c r="O70" s="15" t="n">
        <v>1142.01</v>
      </c>
      <c r="P70" s="15" t="n">
        <v>1142.01</v>
      </c>
      <c r="Q70" s="15" t="n">
        <v>1142.01</v>
      </c>
      <c r="R70" s="15" t="n">
        <v>1142.01</v>
      </c>
      <c r="S70" s="15" t="n">
        <v>1142.01</v>
      </c>
      <c r="T70" s="15" t="n">
        <v>1142.01</v>
      </c>
      <c r="U70" s="15" t="n">
        <v>350</v>
      </c>
      <c r="V70" s="15" t="n">
        <v>250</v>
      </c>
      <c r="W70" s="15" t="n">
        <f aca="false">U70+V70</f>
        <v>600</v>
      </c>
    </row>
    <row r="71" customFormat="false" ht="15" hidden="false" customHeight="false" outlineLevel="0" collapsed="false">
      <c r="A71" s="3" t="s">
        <v>601</v>
      </c>
      <c r="B71" s="3" t="s">
        <v>596</v>
      </c>
      <c r="C71" s="3" t="s">
        <v>602</v>
      </c>
      <c r="D71" s="3" t="s">
        <v>448</v>
      </c>
      <c r="E71" s="13" t="n">
        <v>715000</v>
      </c>
      <c r="F71" s="13" t="n">
        <v>8914.83</v>
      </c>
      <c r="G71" s="13" t="n">
        <v>1114.35</v>
      </c>
      <c r="H71" s="13" t="n">
        <v>1114.35</v>
      </c>
      <c r="I71" s="13" t="n">
        <f aca="false">SUM(K71:T71)</f>
        <v>6686.1</v>
      </c>
      <c r="J71" s="13" t="n">
        <f aca="false">F71-(G71+H71+I71)</f>
        <v>0.0300000000006548</v>
      </c>
      <c r="K71" s="13" t="n">
        <v>668.61</v>
      </c>
      <c r="L71" s="13" t="n">
        <v>668.61</v>
      </c>
      <c r="M71" s="13" t="n">
        <v>668.61</v>
      </c>
      <c r="N71" s="13" t="n">
        <v>668.61</v>
      </c>
      <c r="O71" s="13" t="n">
        <v>668.61</v>
      </c>
      <c r="P71" s="13" t="n">
        <v>668.61</v>
      </c>
      <c r="Q71" s="13" t="n">
        <v>668.61</v>
      </c>
      <c r="R71" s="13" t="n">
        <v>668.61</v>
      </c>
      <c r="S71" s="13" t="n">
        <v>668.61</v>
      </c>
      <c r="T71" s="13" t="n">
        <v>668.61</v>
      </c>
      <c r="U71" s="13" t="n">
        <v>350</v>
      </c>
      <c r="V71" s="13" t="n">
        <v>0</v>
      </c>
      <c r="W71" s="13" t="n">
        <f aca="false">U71+V71</f>
        <v>350</v>
      </c>
    </row>
    <row r="72" customFormat="false" ht="15" hidden="false" customHeight="false" outlineLevel="0" collapsed="false">
      <c r="A72" s="14" t="s">
        <v>603</v>
      </c>
      <c r="B72" s="14" t="s">
        <v>540</v>
      </c>
      <c r="C72" s="14" t="s">
        <v>604</v>
      </c>
      <c r="D72" s="14" t="s">
        <v>93</v>
      </c>
      <c r="E72" s="15" t="n">
        <v>390000</v>
      </c>
      <c r="F72" s="15" t="n">
        <v>6775.23</v>
      </c>
      <c r="G72" s="15" t="n">
        <v>846.9</v>
      </c>
      <c r="H72" s="15" t="n">
        <v>846.9</v>
      </c>
      <c r="I72" s="15" t="n">
        <f aca="false">SUM(K72:T72)</f>
        <v>5081.4</v>
      </c>
      <c r="J72" s="15" t="n">
        <f aca="false">F72-(G72+H72+I72)</f>
        <v>0.0299999999988358</v>
      </c>
      <c r="K72" s="15" t="n">
        <v>508.14</v>
      </c>
      <c r="L72" s="15" t="n">
        <v>508.14</v>
      </c>
      <c r="M72" s="15" t="n">
        <v>508.14</v>
      </c>
      <c r="N72" s="15" t="n">
        <v>508.14</v>
      </c>
      <c r="O72" s="15" t="n">
        <v>508.14</v>
      </c>
      <c r="P72" s="15" t="n">
        <v>508.14</v>
      </c>
      <c r="Q72" s="15" t="n">
        <v>508.14</v>
      </c>
      <c r="R72" s="15" t="n">
        <v>508.14</v>
      </c>
      <c r="S72" s="15" t="n">
        <v>508.14</v>
      </c>
      <c r="T72" s="15" t="n">
        <v>508.14</v>
      </c>
      <c r="U72" s="15" t="n">
        <v>350</v>
      </c>
      <c r="V72" s="15" t="n">
        <v>0</v>
      </c>
      <c r="W72" s="15" t="n">
        <f aca="false">U72+V72</f>
        <v>350</v>
      </c>
    </row>
    <row r="73" customFormat="false" ht="15" hidden="false" customHeight="false" outlineLevel="0" collapsed="false">
      <c r="A73" s="3" t="s">
        <v>605</v>
      </c>
      <c r="B73" s="3" t="s">
        <v>468</v>
      </c>
      <c r="C73" s="3" t="s">
        <v>606</v>
      </c>
      <c r="D73" s="3" t="s">
        <v>93</v>
      </c>
      <c r="E73" s="13" t="n">
        <v>670000</v>
      </c>
      <c r="F73" s="13" t="n">
        <v>10087.56</v>
      </c>
      <c r="G73" s="13" t="n">
        <v>1260.94</v>
      </c>
      <c r="H73" s="13" t="n">
        <v>1260.94</v>
      </c>
      <c r="I73" s="13" t="n">
        <f aca="false">SUM(K73:T73)</f>
        <v>7565.7</v>
      </c>
      <c r="J73" s="13" t="n">
        <f aca="false">F73-(G73+H73+I73)</f>
        <v>-0.0200000000004366</v>
      </c>
      <c r="K73" s="13" t="n">
        <v>756.57</v>
      </c>
      <c r="L73" s="13" t="n">
        <v>756.57</v>
      </c>
      <c r="M73" s="13" t="n">
        <v>756.57</v>
      </c>
      <c r="N73" s="13" t="n">
        <v>756.57</v>
      </c>
      <c r="O73" s="13" t="n">
        <v>756.57</v>
      </c>
      <c r="P73" s="13" t="n">
        <v>756.57</v>
      </c>
      <c r="Q73" s="13" t="n">
        <v>756.57</v>
      </c>
      <c r="R73" s="13" t="n">
        <v>756.57</v>
      </c>
      <c r="S73" s="13" t="n">
        <v>756.57</v>
      </c>
      <c r="T73" s="13" t="n">
        <v>756.57</v>
      </c>
      <c r="U73" s="13" t="n">
        <v>350</v>
      </c>
      <c r="V73" s="13" t="n">
        <v>0</v>
      </c>
      <c r="W73" s="13" t="n">
        <f aca="false">U73+V73</f>
        <v>350</v>
      </c>
    </row>
    <row r="74" customFormat="false" ht="15" hidden="false" customHeight="false" outlineLevel="0" collapsed="false">
      <c r="A74" s="14" t="s">
        <v>607</v>
      </c>
      <c r="B74" s="14" t="s">
        <v>569</v>
      </c>
      <c r="C74" s="14" t="s">
        <v>608</v>
      </c>
      <c r="D74" s="14" t="s">
        <v>180</v>
      </c>
      <c r="E74" s="15" t="n">
        <v>340000</v>
      </c>
      <c r="F74" s="15" t="n">
        <v>5583.59</v>
      </c>
      <c r="G74" s="15" t="n">
        <v>697.95</v>
      </c>
      <c r="H74" s="15" t="n">
        <v>697.95</v>
      </c>
      <c r="I74" s="15" t="n">
        <f aca="false">SUM(K74:T74)</f>
        <v>4187.7</v>
      </c>
      <c r="J74" s="15" t="n">
        <f aca="false">F74-(G74+H74+I74)</f>
        <v>-0.0100000000002183</v>
      </c>
      <c r="K74" s="15" t="n">
        <v>418.77</v>
      </c>
      <c r="L74" s="15" t="n">
        <v>418.77</v>
      </c>
      <c r="M74" s="15" t="n">
        <v>418.77</v>
      </c>
      <c r="N74" s="15" t="n">
        <v>418.77</v>
      </c>
      <c r="O74" s="15" t="n">
        <v>418.77</v>
      </c>
      <c r="P74" s="15" t="n">
        <v>418.77</v>
      </c>
      <c r="Q74" s="15" t="n">
        <v>418.77</v>
      </c>
      <c r="R74" s="15" t="n">
        <v>418.77</v>
      </c>
      <c r="S74" s="15" t="n">
        <v>418.77</v>
      </c>
      <c r="T74" s="15" t="n">
        <v>418.77</v>
      </c>
      <c r="U74" s="15" t="n">
        <v>350</v>
      </c>
      <c r="V74" s="15" t="n">
        <v>0</v>
      </c>
      <c r="W74" s="15" t="n">
        <f aca="false">U74+V74</f>
        <v>350</v>
      </c>
    </row>
    <row r="75" customFormat="false" ht="15" hidden="false" customHeight="false" outlineLevel="0" collapsed="false">
      <c r="A75" s="3" t="s">
        <v>609</v>
      </c>
      <c r="B75" s="3" t="s">
        <v>518</v>
      </c>
      <c r="C75" s="3" t="s">
        <v>545</v>
      </c>
      <c r="D75" s="3" t="s">
        <v>153</v>
      </c>
      <c r="E75" s="13" t="n">
        <v>445000</v>
      </c>
      <c r="F75" s="13" t="n">
        <v>9361.4</v>
      </c>
      <c r="G75" s="13" t="n">
        <v>1170.17</v>
      </c>
      <c r="H75" s="13" t="n">
        <v>1170.17</v>
      </c>
      <c r="I75" s="13" t="n">
        <f aca="false">SUM(K75:T75)</f>
        <v>7021</v>
      </c>
      <c r="J75" s="13" t="n">
        <f aca="false">F75-(G75+H75+I75)</f>
        <v>0.0599999999994907</v>
      </c>
      <c r="K75" s="13" t="n">
        <v>702.1</v>
      </c>
      <c r="L75" s="13" t="n">
        <v>702.1</v>
      </c>
      <c r="M75" s="13" t="n">
        <v>702.1</v>
      </c>
      <c r="N75" s="13" t="n">
        <v>702.1</v>
      </c>
      <c r="O75" s="13" t="n">
        <v>702.1</v>
      </c>
      <c r="P75" s="13" t="n">
        <v>702.1</v>
      </c>
      <c r="Q75" s="13" t="n">
        <v>702.1</v>
      </c>
      <c r="R75" s="13" t="n">
        <v>702.1</v>
      </c>
      <c r="S75" s="13" t="n">
        <v>702.1</v>
      </c>
      <c r="T75" s="13" t="n">
        <v>702.1</v>
      </c>
      <c r="U75" s="13" t="n">
        <v>350</v>
      </c>
      <c r="V75" s="13" t="n">
        <v>0</v>
      </c>
      <c r="W75" s="13" t="n">
        <f aca="false">U75+V75</f>
        <v>350</v>
      </c>
    </row>
    <row r="76" customFormat="false" ht="15" hidden="false" customHeight="false" outlineLevel="0" collapsed="false">
      <c r="A76" s="14" t="s">
        <v>610</v>
      </c>
      <c r="B76" s="14" t="s">
        <v>483</v>
      </c>
      <c r="C76" s="14" t="s">
        <v>92</v>
      </c>
      <c r="D76" s="14" t="s">
        <v>89</v>
      </c>
      <c r="E76" s="15" t="n">
        <v>490000</v>
      </c>
      <c r="F76" s="15" t="n">
        <v>8977.99</v>
      </c>
      <c r="G76" s="15" t="n">
        <v>1122.25</v>
      </c>
      <c r="H76" s="15" t="n">
        <v>1122.25</v>
      </c>
      <c r="I76" s="15" t="n">
        <f aca="false">SUM(K76:T76)</f>
        <v>6733.5</v>
      </c>
      <c r="J76" s="15" t="n">
        <f aca="false">F76-(G76+H76+I76)</f>
        <v>-0.0100000000002183</v>
      </c>
      <c r="K76" s="15" t="n">
        <v>673.35</v>
      </c>
      <c r="L76" s="15" t="n">
        <v>673.35</v>
      </c>
      <c r="M76" s="15" t="n">
        <v>673.35</v>
      </c>
      <c r="N76" s="15" t="n">
        <v>673.35</v>
      </c>
      <c r="O76" s="15" t="n">
        <v>673.35</v>
      </c>
      <c r="P76" s="15" t="n">
        <v>673.35</v>
      </c>
      <c r="Q76" s="15" t="n">
        <v>673.35</v>
      </c>
      <c r="R76" s="15" t="n">
        <v>673.35</v>
      </c>
      <c r="S76" s="15" t="n">
        <v>673.35</v>
      </c>
      <c r="T76" s="15" t="n">
        <v>673.35</v>
      </c>
      <c r="U76" s="15" t="n">
        <v>350</v>
      </c>
      <c r="V76" s="15" t="n">
        <v>0</v>
      </c>
      <c r="W76" s="15" t="n">
        <f aca="false">U76+V76</f>
        <v>350</v>
      </c>
    </row>
    <row r="77" customFormat="false" ht="15" hidden="false" customHeight="false" outlineLevel="0" collapsed="false">
      <c r="A77" s="3" t="s">
        <v>611</v>
      </c>
      <c r="B77" s="3" t="s">
        <v>505</v>
      </c>
      <c r="C77" s="3" t="s">
        <v>128</v>
      </c>
      <c r="D77" s="3" t="s">
        <v>166</v>
      </c>
      <c r="E77" s="13" t="n">
        <v>1550000</v>
      </c>
      <c r="F77" s="13" t="n">
        <v>14389.21</v>
      </c>
      <c r="G77" s="13" t="n">
        <v>1798.65</v>
      </c>
      <c r="H77" s="13" t="n">
        <v>1798.65</v>
      </c>
      <c r="I77" s="13" t="n">
        <f aca="false">SUM(K77:T77)</f>
        <v>10791.9</v>
      </c>
      <c r="J77" s="13" t="n">
        <f aca="false">F77-(G77+H77+I77)</f>
        <v>0.00999999999839929</v>
      </c>
      <c r="K77" s="13" t="n">
        <v>1079.19</v>
      </c>
      <c r="L77" s="13" t="n">
        <v>1079.19</v>
      </c>
      <c r="M77" s="13" t="n">
        <v>1079.19</v>
      </c>
      <c r="N77" s="13" t="n">
        <v>1079.19</v>
      </c>
      <c r="O77" s="13" t="n">
        <v>1079.19</v>
      </c>
      <c r="P77" s="13" t="n">
        <v>1079.19</v>
      </c>
      <c r="Q77" s="13" t="n">
        <v>1079.19</v>
      </c>
      <c r="R77" s="13" t="n">
        <v>1079.19</v>
      </c>
      <c r="S77" s="13" t="n">
        <v>1079.19</v>
      </c>
      <c r="T77" s="13" t="n">
        <v>1079.19</v>
      </c>
      <c r="U77" s="13" t="n">
        <v>350</v>
      </c>
      <c r="V77" s="13" t="n">
        <v>250</v>
      </c>
      <c r="W77" s="13" t="n">
        <f aca="false">U77+V77</f>
        <v>600</v>
      </c>
    </row>
    <row r="78" customFormat="false" ht="15" hidden="false" customHeight="false" outlineLevel="0" collapsed="false">
      <c r="A78" s="14" t="s">
        <v>612</v>
      </c>
      <c r="B78" s="14" t="s">
        <v>483</v>
      </c>
      <c r="C78" s="14" t="s">
        <v>602</v>
      </c>
      <c r="D78" s="14" t="s">
        <v>230</v>
      </c>
      <c r="E78" s="15" t="n">
        <v>460000</v>
      </c>
      <c r="F78" s="15" t="n">
        <v>11391.76</v>
      </c>
      <c r="G78" s="15" t="n">
        <v>1423.97</v>
      </c>
      <c r="H78" s="15" t="n">
        <v>1423.97</v>
      </c>
      <c r="I78" s="15" t="n">
        <f aca="false">SUM(K78:T78)</f>
        <v>8543.8</v>
      </c>
      <c r="J78" s="15" t="n">
        <f aca="false">F78-(G78+H78+I78)</f>
        <v>0.0200000000004366</v>
      </c>
      <c r="K78" s="15" t="n">
        <v>854.38</v>
      </c>
      <c r="L78" s="15" t="n">
        <v>854.38</v>
      </c>
      <c r="M78" s="15" t="n">
        <v>854.38</v>
      </c>
      <c r="N78" s="15" t="n">
        <v>854.38</v>
      </c>
      <c r="O78" s="15" t="n">
        <v>854.38</v>
      </c>
      <c r="P78" s="15" t="n">
        <v>854.38</v>
      </c>
      <c r="Q78" s="15" t="n">
        <v>854.38</v>
      </c>
      <c r="R78" s="15" t="n">
        <v>854.38</v>
      </c>
      <c r="S78" s="15" t="n">
        <v>854.38</v>
      </c>
      <c r="T78" s="15" t="n">
        <v>854.38</v>
      </c>
      <c r="U78" s="15" t="n">
        <v>350</v>
      </c>
      <c r="V78" s="15" t="n">
        <v>0</v>
      </c>
      <c r="W78" s="15" t="n">
        <f aca="false">U78+V78</f>
        <v>350</v>
      </c>
    </row>
    <row r="79" customFormat="false" ht="15" hidden="false" customHeight="false" outlineLevel="0" collapsed="false">
      <c r="A79" s="3" t="s">
        <v>613</v>
      </c>
      <c r="B79" s="3" t="s">
        <v>470</v>
      </c>
      <c r="C79" s="3" t="s">
        <v>614</v>
      </c>
      <c r="D79" s="3" t="s">
        <v>138</v>
      </c>
      <c r="E79" s="13" t="n">
        <v>370000</v>
      </c>
      <c r="F79" s="13" t="n">
        <v>5774.96</v>
      </c>
      <c r="G79" s="13" t="n">
        <v>721.87</v>
      </c>
      <c r="H79" s="13" t="n">
        <v>721.87</v>
      </c>
      <c r="I79" s="13" t="n">
        <f aca="false">SUM(K79:T79)</f>
        <v>4331.2</v>
      </c>
      <c r="J79" s="13" t="n">
        <f aca="false">F79-(G79+H79+I79)</f>
        <v>0.0200000000004366</v>
      </c>
      <c r="K79" s="13" t="n">
        <v>433.12</v>
      </c>
      <c r="L79" s="13" t="n">
        <v>433.12</v>
      </c>
      <c r="M79" s="13" t="n">
        <v>433.12</v>
      </c>
      <c r="N79" s="13" t="n">
        <v>433.12</v>
      </c>
      <c r="O79" s="13" t="n">
        <v>433.12</v>
      </c>
      <c r="P79" s="13" t="n">
        <v>433.12</v>
      </c>
      <c r="Q79" s="13" t="n">
        <v>433.12</v>
      </c>
      <c r="R79" s="13" t="n">
        <v>433.12</v>
      </c>
      <c r="S79" s="13" t="n">
        <v>433.12</v>
      </c>
      <c r="T79" s="13" t="n">
        <v>433.12</v>
      </c>
      <c r="U79" s="13" t="n">
        <v>350</v>
      </c>
      <c r="V79" s="13" t="n">
        <v>0</v>
      </c>
      <c r="W79" s="13" t="n">
        <f aca="false">U79+V79</f>
        <v>350</v>
      </c>
    </row>
    <row r="80" customFormat="false" ht="15" hidden="false" customHeight="false" outlineLevel="0" collapsed="false">
      <c r="A80" s="14" t="s">
        <v>615</v>
      </c>
      <c r="B80" s="14" t="s">
        <v>528</v>
      </c>
      <c r="C80" s="14" t="s">
        <v>616</v>
      </c>
      <c r="D80" s="14" t="s">
        <v>112</v>
      </c>
      <c r="E80" s="15" t="n">
        <v>850000</v>
      </c>
      <c r="F80" s="15" t="n">
        <v>9498.26</v>
      </c>
      <c r="G80" s="15" t="n">
        <v>1187.28</v>
      </c>
      <c r="H80" s="15" t="n">
        <v>1187.28</v>
      </c>
      <c r="I80" s="15" t="n">
        <f aca="false">SUM(K80:T80)</f>
        <v>7123.7</v>
      </c>
      <c r="J80" s="15" t="n">
        <f aca="false">F80-(G80+H80+I80)</f>
        <v>0</v>
      </c>
      <c r="K80" s="15" t="n">
        <v>712.37</v>
      </c>
      <c r="L80" s="15" t="n">
        <v>712.37</v>
      </c>
      <c r="M80" s="15" t="n">
        <v>712.37</v>
      </c>
      <c r="N80" s="15" t="n">
        <v>712.37</v>
      </c>
      <c r="O80" s="15" t="n">
        <v>712.37</v>
      </c>
      <c r="P80" s="15" t="n">
        <v>712.37</v>
      </c>
      <c r="Q80" s="15" t="n">
        <v>712.37</v>
      </c>
      <c r="R80" s="15" t="n">
        <v>712.37</v>
      </c>
      <c r="S80" s="15" t="n">
        <v>712.37</v>
      </c>
      <c r="T80" s="15" t="n">
        <v>712.37</v>
      </c>
      <c r="U80" s="15" t="n">
        <v>350</v>
      </c>
      <c r="V80" s="15" t="n">
        <v>0</v>
      </c>
      <c r="W80" s="15" t="n">
        <f aca="false">U80+V80</f>
        <v>350</v>
      </c>
    </row>
    <row r="81" customFormat="false" ht="15" hidden="false" customHeight="false" outlineLevel="0" collapsed="false">
      <c r="A81" s="3" t="s">
        <v>617</v>
      </c>
      <c r="B81" s="3" t="s">
        <v>553</v>
      </c>
      <c r="C81" s="3" t="s">
        <v>618</v>
      </c>
      <c r="D81" s="3" t="s">
        <v>69</v>
      </c>
      <c r="E81" s="13" t="n">
        <v>545000</v>
      </c>
      <c r="F81" s="13" t="n">
        <v>9088.24</v>
      </c>
      <c r="G81" s="13" t="n">
        <v>1136.03</v>
      </c>
      <c r="H81" s="13" t="n">
        <v>1136.03</v>
      </c>
      <c r="I81" s="13" t="n">
        <f aca="false">SUM(K81:T81)</f>
        <v>6816.2</v>
      </c>
      <c r="J81" s="13" t="n">
        <f aca="false">F81-(G81+H81+I81)</f>
        <v>-0.0200000000004366</v>
      </c>
      <c r="K81" s="13" t="n">
        <v>681.62</v>
      </c>
      <c r="L81" s="13" t="n">
        <v>681.62</v>
      </c>
      <c r="M81" s="13" t="n">
        <v>681.62</v>
      </c>
      <c r="N81" s="13" t="n">
        <v>681.62</v>
      </c>
      <c r="O81" s="13" t="n">
        <v>681.62</v>
      </c>
      <c r="P81" s="13" t="n">
        <v>681.62</v>
      </c>
      <c r="Q81" s="13" t="n">
        <v>681.62</v>
      </c>
      <c r="R81" s="13" t="n">
        <v>681.62</v>
      </c>
      <c r="S81" s="13" t="n">
        <v>681.62</v>
      </c>
      <c r="T81" s="13" t="n">
        <v>681.62</v>
      </c>
      <c r="U81" s="13" t="n">
        <v>350</v>
      </c>
      <c r="V81" s="13" t="n">
        <v>0</v>
      </c>
      <c r="W81" s="13" t="n">
        <f aca="false">U81+V81</f>
        <v>350</v>
      </c>
    </row>
    <row r="82" customFormat="false" ht="15" hidden="false" customHeight="false" outlineLevel="0" collapsed="false">
      <c r="A82" s="14" t="s">
        <v>619</v>
      </c>
      <c r="B82" s="14" t="s">
        <v>509</v>
      </c>
      <c r="C82" s="14" t="s">
        <v>620</v>
      </c>
      <c r="D82" s="14" t="s">
        <v>89</v>
      </c>
      <c r="E82" s="15" t="n">
        <v>320000</v>
      </c>
      <c r="F82" s="15" t="n">
        <v>5863.18</v>
      </c>
      <c r="G82" s="15" t="n">
        <v>732.9</v>
      </c>
      <c r="H82" s="15" t="n">
        <v>732.9</v>
      </c>
      <c r="I82" s="15" t="n">
        <f aca="false">SUM(K82:T82)</f>
        <v>4397.4</v>
      </c>
      <c r="J82" s="15" t="n">
        <f aca="false">F82-(G82+H82+I82)</f>
        <v>-0.0199999999995271</v>
      </c>
      <c r="K82" s="15" t="n">
        <v>439.74</v>
      </c>
      <c r="L82" s="15" t="n">
        <v>439.74</v>
      </c>
      <c r="M82" s="15" t="n">
        <v>439.74</v>
      </c>
      <c r="N82" s="15" t="n">
        <v>439.74</v>
      </c>
      <c r="O82" s="15" t="n">
        <v>439.74</v>
      </c>
      <c r="P82" s="15" t="n">
        <v>439.74</v>
      </c>
      <c r="Q82" s="15" t="n">
        <v>439.74</v>
      </c>
      <c r="R82" s="15" t="n">
        <v>439.74</v>
      </c>
      <c r="S82" s="15" t="n">
        <v>439.74</v>
      </c>
      <c r="T82" s="15" t="n">
        <v>439.74</v>
      </c>
      <c r="U82" s="15" t="n">
        <v>350</v>
      </c>
      <c r="V82" s="15" t="n">
        <v>0</v>
      </c>
      <c r="W82" s="15" t="n">
        <f aca="false">U82+V82</f>
        <v>350</v>
      </c>
    </row>
    <row r="83" customFormat="false" ht="15" hidden="false" customHeight="false" outlineLevel="0" collapsed="false">
      <c r="A83" s="3" t="s">
        <v>621</v>
      </c>
      <c r="B83" s="3" t="s">
        <v>473</v>
      </c>
      <c r="C83" s="3" t="s">
        <v>272</v>
      </c>
      <c r="D83" s="3" t="s">
        <v>197</v>
      </c>
      <c r="E83" s="13" t="n">
        <v>535000</v>
      </c>
      <c r="F83" s="13" t="n">
        <v>10025.17</v>
      </c>
      <c r="G83" s="13" t="n">
        <v>1253.15</v>
      </c>
      <c r="H83" s="13" t="n">
        <v>1253.15</v>
      </c>
      <c r="I83" s="13" t="n">
        <f aca="false">SUM(K83:T83)</f>
        <v>7518.9</v>
      </c>
      <c r="J83" s="13" t="n">
        <f aca="false">F83-(G83+H83+I83)</f>
        <v>-0.0300000000006548</v>
      </c>
      <c r="K83" s="13" t="n">
        <v>751.89</v>
      </c>
      <c r="L83" s="13" t="n">
        <v>751.89</v>
      </c>
      <c r="M83" s="13" t="n">
        <v>751.89</v>
      </c>
      <c r="N83" s="13" t="n">
        <v>751.89</v>
      </c>
      <c r="O83" s="13" t="n">
        <v>751.89</v>
      </c>
      <c r="P83" s="13" t="n">
        <v>751.89</v>
      </c>
      <c r="Q83" s="13" t="n">
        <v>751.89</v>
      </c>
      <c r="R83" s="13" t="n">
        <v>751.89</v>
      </c>
      <c r="S83" s="13" t="n">
        <v>751.89</v>
      </c>
      <c r="T83" s="13" t="n">
        <v>751.89</v>
      </c>
      <c r="U83" s="13" t="n">
        <v>350</v>
      </c>
      <c r="V83" s="13" t="n">
        <v>0</v>
      </c>
      <c r="W83" s="13" t="n">
        <f aca="false">U83+V83</f>
        <v>350</v>
      </c>
    </row>
    <row r="84" customFormat="false" ht="15" hidden="false" customHeight="false" outlineLevel="0" collapsed="false">
      <c r="A84" s="14" t="s">
        <v>622</v>
      </c>
      <c r="B84" s="14" t="s">
        <v>483</v>
      </c>
      <c r="C84" s="14" t="s">
        <v>623</v>
      </c>
      <c r="D84" s="14" t="s">
        <v>132</v>
      </c>
      <c r="E84" s="15" t="n">
        <v>190000</v>
      </c>
      <c r="F84" s="15" t="n">
        <v>3163.22</v>
      </c>
      <c r="G84" s="15" t="n">
        <v>395.4</v>
      </c>
      <c r="H84" s="15" t="n">
        <v>395.4</v>
      </c>
      <c r="I84" s="15" t="n">
        <f aca="false">SUM(K84:T84)</f>
        <v>2372.4</v>
      </c>
      <c r="J84" s="15" t="n">
        <f aca="false">F84-(G84+H84+I84)</f>
        <v>0.0199999999999818</v>
      </c>
      <c r="K84" s="15" t="n">
        <v>237.24</v>
      </c>
      <c r="L84" s="15" t="n">
        <v>237.24</v>
      </c>
      <c r="M84" s="15" t="n">
        <v>237.24</v>
      </c>
      <c r="N84" s="15" t="n">
        <v>237.24</v>
      </c>
      <c r="O84" s="15" t="n">
        <v>237.24</v>
      </c>
      <c r="P84" s="15" t="n">
        <v>237.24</v>
      </c>
      <c r="Q84" s="15" t="n">
        <v>237.24</v>
      </c>
      <c r="R84" s="15" t="n">
        <v>237.24</v>
      </c>
      <c r="S84" s="15" t="n">
        <v>237.24</v>
      </c>
      <c r="T84" s="15" t="n">
        <v>237.24</v>
      </c>
      <c r="U84" s="15" t="n">
        <v>350</v>
      </c>
      <c r="V84" s="15" t="n">
        <v>0</v>
      </c>
      <c r="W84" s="15" t="n">
        <f aca="false">U84+V84</f>
        <v>350</v>
      </c>
    </row>
    <row r="85" customFormat="false" ht="15" hidden="false" customHeight="false" outlineLevel="0" collapsed="false">
      <c r="A85" s="3" t="s">
        <v>624</v>
      </c>
      <c r="B85" s="3" t="s">
        <v>493</v>
      </c>
      <c r="C85" s="3" t="s">
        <v>111</v>
      </c>
      <c r="D85" s="3" t="s">
        <v>180</v>
      </c>
      <c r="E85" s="13" t="n">
        <v>285000</v>
      </c>
      <c r="F85" s="13" t="n">
        <v>7176.55</v>
      </c>
      <c r="G85" s="13" t="n">
        <v>897.07</v>
      </c>
      <c r="H85" s="13" t="n">
        <v>897.07</v>
      </c>
      <c r="I85" s="13" t="n">
        <f aca="false">SUM(K85:T85)</f>
        <v>5382.4</v>
      </c>
      <c r="J85" s="13" t="n">
        <f aca="false">F85-(G85+H85+I85)</f>
        <v>0.0100000000002183</v>
      </c>
      <c r="K85" s="13" t="n">
        <v>538.24</v>
      </c>
      <c r="L85" s="13" t="n">
        <v>538.24</v>
      </c>
      <c r="M85" s="13" t="n">
        <v>538.24</v>
      </c>
      <c r="N85" s="13" t="n">
        <v>538.24</v>
      </c>
      <c r="O85" s="13" t="n">
        <v>538.24</v>
      </c>
      <c r="P85" s="13" t="n">
        <v>538.24</v>
      </c>
      <c r="Q85" s="13" t="n">
        <v>538.24</v>
      </c>
      <c r="R85" s="13" t="n">
        <v>538.24</v>
      </c>
      <c r="S85" s="13" t="n">
        <v>538.24</v>
      </c>
      <c r="T85" s="13" t="n">
        <v>538.24</v>
      </c>
      <c r="U85" s="13" t="n">
        <v>350</v>
      </c>
      <c r="V85" s="13" t="n">
        <v>0</v>
      </c>
      <c r="W85" s="13" t="n">
        <f aca="false">U85+V85</f>
        <v>350</v>
      </c>
    </row>
    <row r="86" customFormat="false" ht="15" hidden="false" customHeight="false" outlineLevel="0" collapsed="false">
      <c r="A86" s="14" t="s">
        <v>625</v>
      </c>
      <c r="B86" s="14" t="s">
        <v>525</v>
      </c>
      <c r="C86" s="14" t="s">
        <v>626</v>
      </c>
      <c r="D86" s="14" t="s">
        <v>166</v>
      </c>
      <c r="E86" s="15" t="n">
        <v>490000</v>
      </c>
      <c r="F86" s="15" t="n">
        <v>8977.99</v>
      </c>
      <c r="G86" s="15" t="n">
        <v>1122.25</v>
      </c>
      <c r="H86" s="15" t="n">
        <v>1122.25</v>
      </c>
      <c r="I86" s="15" t="n">
        <f aca="false">SUM(K86:T86)</f>
        <v>6733.5</v>
      </c>
      <c r="J86" s="15" t="n">
        <f aca="false">F86-(G86+H86+I86)</f>
        <v>-0.0100000000002183</v>
      </c>
      <c r="K86" s="15" t="n">
        <v>673.35</v>
      </c>
      <c r="L86" s="15" t="n">
        <v>673.35</v>
      </c>
      <c r="M86" s="15" t="n">
        <v>673.35</v>
      </c>
      <c r="N86" s="15" t="n">
        <v>673.35</v>
      </c>
      <c r="O86" s="15" t="n">
        <v>673.35</v>
      </c>
      <c r="P86" s="15" t="n">
        <v>673.35</v>
      </c>
      <c r="Q86" s="15" t="n">
        <v>673.35</v>
      </c>
      <c r="R86" s="15" t="n">
        <v>673.35</v>
      </c>
      <c r="S86" s="15" t="n">
        <v>673.35</v>
      </c>
      <c r="T86" s="15" t="n">
        <v>673.35</v>
      </c>
      <c r="U86" s="15" t="n">
        <v>350</v>
      </c>
      <c r="V86" s="15" t="n">
        <v>0</v>
      </c>
      <c r="W86" s="15" t="n">
        <f aca="false">U86+V86</f>
        <v>350</v>
      </c>
    </row>
    <row r="87" customFormat="false" ht="15" hidden="false" customHeight="false" outlineLevel="0" collapsed="false">
      <c r="A87" s="3" t="s">
        <v>627</v>
      </c>
      <c r="B87" s="3" t="s">
        <v>502</v>
      </c>
      <c r="C87" s="3" t="s">
        <v>628</v>
      </c>
      <c r="D87" s="3" t="s">
        <v>230</v>
      </c>
      <c r="E87" s="13" t="n">
        <v>165000</v>
      </c>
      <c r="F87" s="13" t="n">
        <v>5045.54</v>
      </c>
      <c r="G87" s="13" t="n">
        <v>630.69</v>
      </c>
      <c r="H87" s="13" t="n">
        <v>630.69</v>
      </c>
      <c r="I87" s="13" t="n">
        <f aca="false">SUM(K87:T87)</f>
        <v>3784.2</v>
      </c>
      <c r="J87" s="13" t="n">
        <f aca="false">F87-(G87+H87+I87)</f>
        <v>-0.0399999999999636</v>
      </c>
      <c r="K87" s="13" t="n">
        <v>378.42</v>
      </c>
      <c r="L87" s="13" t="n">
        <v>378.42</v>
      </c>
      <c r="M87" s="13" t="n">
        <v>378.42</v>
      </c>
      <c r="N87" s="13" t="n">
        <v>378.42</v>
      </c>
      <c r="O87" s="13" t="n">
        <v>378.42</v>
      </c>
      <c r="P87" s="13" t="n">
        <v>378.42</v>
      </c>
      <c r="Q87" s="13" t="n">
        <v>378.42</v>
      </c>
      <c r="R87" s="13" t="n">
        <v>378.42</v>
      </c>
      <c r="S87" s="13" t="n">
        <v>378.42</v>
      </c>
      <c r="T87" s="13" t="n">
        <v>378.42</v>
      </c>
      <c r="U87" s="13" t="n">
        <v>350</v>
      </c>
      <c r="V87" s="13" t="n">
        <v>0</v>
      </c>
      <c r="W87" s="13" t="n">
        <f aca="false">U87+V87</f>
        <v>350</v>
      </c>
    </row>
    <row r="88" customFormat="false" ht="15" hidden="false" customHeight="false" outlineLevel="0" collapsed="false">
      <c r="A88" s="14" t="s">
        <v>629</v>
      </c>
      <c r="B88" s="14" t="s">
        <v>479</v>
      </c>
      <c r="C88" s="14" t="s">
        <v>443</v>
      </c>
      <c r="D88" s="14" t="s">
        <v>448</v>
      </c>
      <c r="E88" s="15" t="n">
        <v>1950000</v>
      </c>
      <c r="F88" s="15" t="n">
        <v>29923.92</v>
      </c>
      <c r="G88" s="15" t="n">
        <v>3740.49</v>
      </c>
      <c r="H88" s="15" t="n">
        <v>3740.49</v>
      </c>
      <c r="I88" s="15" t="n">
        <f aca="false">SUM(K88:T88)</f>
        <v>22442.9</v>
      </c>
      <c r="J88" s="15" t="n">
        <f aca="false">F88-(G88+H88+I88)</f>
        <v>0.0399999999972351</v>
      </c>
      <c r="K88" s="15" t="n">
        <v>2244.29</v>
      </c>
      <c r="L88" s="15" t="n">
        <v>2244.29</v>
      </c>
      <c r="M88" s="15" t="n">
        <v>2244.29</v>
      </c>
      <c r="N88" s="15" t="n">
        <v>2244.29</v>
      </c>
      <c r="O88" s="15" t="n">
        <v>2244.29</v>
      </c>
      <c r="P88" s="15" t="n">
        <v>2244.29</v>
      </c>
      <c r="Q88" s="15" t="n">
        <v>2244.29</v>
      </c>
      <c r="R88" s="15" t="n">
        <v>2244.29</v>
      </c>
      <c r="S88" s="15" t="n">
        <v>2244.29</v>
      </c>
      <c r="T88" s="15" t="n">
        <v>2244.29</v>
      </c>
      <c r="U88" s="15" t="n">
        <v>350</v>
      </c>
      <c r="V88" s="15" t="n">
        <v>250</v>
      </c>
      <c r="W88" s="15" t="n">
        <f aca="false">U88+V88</f>
        <v>600</v>
      </c>
    </row>
    <row r="89" customFormat="false" ht="15" hidden="false" customHeight="false" outlineLevel="0" collapsed="false">
      <c r="A89" s="3" t="s">
        <v>630</v>
      </c>
      <c r="B89" s="3" t="s">
        <v>631</v>
      </c>
      <c r="C89" s="3" t="s">
        <v>632</v>
      </c>
      <c r="D89" s="3" t="s">
        <v>325</v>
      </c>
      <c r="E89" s="13" t="n">
        <v>545000</v>
      </c>
      <c r="F89" s="13" t="n">
        <v>8846.61</v>
      </c>
      <c r="G89" s="13" t="n">
        <v>1105.83</v>
      </c>
      <c r="H89" s="13" t="n">
        <v>1105.83</v>
      </c>
      <c r="I89" s="13" t="n">
        <f aca="false">SUM(K89:T89)</f>
        <v>6635</v>
      </c>
      <c r="J89" s="13" t="n">
        <f aca="false">F89-(G89+H89+I89)</f>
        <v>-0.0499999999992724</v>
      </c>
      <c r="K89" s="13" t="n">
        <v>663.5</v>
      </c>
      <c r="L89" s="13" t="n">
        <v>663.5</v>
      </c>
      <c r="M89" s="13" t="n">
        <v>663.5</v>
      </c>
      <c r="N89" s="13" t="n">
        <v>663.5</v>
      </c>
      <c r="O89" s="13" t="n">
        <v>663.5</v>
      </c>
      <c r="P89" s="13" t="n">
        <v>663.5</v>
      </c>
      <c r="Q89" s="13" t="n">
        <v>663.5</v>
      </c>
      <c r="R89" s="13" t="n">
        <v>663.5</v>
      </c>
      <c r="S89" s="13" t="n">
        <v>663.5</v>
      </c>
      <c r="T89" s="13" t="n">
        <v>663.5</v>
      </c>
      <c r="U89" s="13" t="n">
        <v>350</v>
      </c>
      <c r="V89" s="13" t="n">
        <v>0</v>
      </c>
      <c r="W89" s="13" t="n">
        <f aca="false">U89+V89</f>
        <v>350</v>
      </c>
    </row>
    <row r="90" customFormat="false" ht="15" hidden="false" customHeight="false" outlineLevel="0" collapsed="false">
      <c r="A90" s="14" t="s">
        <v>633</v>
      </c>
      <c r="B90" s="14" t="s">
        <v>483</v>
      </c>
      <c r="C90" s="14" t="s">
        <v>634</v>
      </c>
      <c r="D90" s="14" t="s">
        <v>153</v>
      </c>
      <c r="E90" s="15" t="n">
        <v>715000</v>
      </c>
      <c r="F90" s="15" t="n">
        <v>13035.85</v>
      </c>
      <c r="G90" s="15" t="n">
        <v>1629.48</v>
      </c>
      <c r="H90" s="15" t="n">
        <v>1629.48</v>
      </c>
      <c r="I90" s="15" t="n">
        <f aca="false">SUM(K90:T90)</f>
        <v>9776.9</v>
      </c>
      <c r="J90" s="15" t="n">
        <f aca="false">F90-(G90+H90+I90)</f>
        <v>-0.0100000000002183</v>
      </c>
      <c r="K90" s="15" t="n">
        <v>977.69</v>
      </c>
      <c r="L90" s="15" t="n">
        <v>977.69</v>
      </c>
      <c r="M90" s="15" t="n">
        <v>977.69</v>
      </c>
      <c r="N90" s="15" t="n">
        <v>977.69</v>
      </c>
      <c r="O90" s="15" t="n">
        <v>977.69</v>
      </c>
      <c r="P90" s="15" t="n">
        <v>977.69</v>
      </c>
      <c r="Q90" s="15" t="n">
        <v>977.69</v>
      </c>
      <c r="R90" s="15" t="n">
        <v>977.69</v>
      </c>
      <c r="S90" s="15" t="n">
        <v>977.69</v>
      </c>
      <c r="T90" s="15" t="n">
        <v>977.69</v>
      </c>
      <c r="U90" s="15" t="n">
        <v>350</v>
      </c>
      <c r="V90" s="15" t="n">
        <v>0</v>
      </c>
      <c r="W90" s="15" t="n">
        <f aca="false">U90+V90</f>
        <v>350</v>
      </c>
    </row>
    <row r="91" customFormat="false" ht="15" hidden="false" customHeight="false" outlineLevel="0" collapsed="false">
      <c r="A91" s="3" t="s">
        <v>635</v>
      </c>
      <c r="B91" s="3" t="s">
        <v>553</v>
      </c>
      <c r="C91" s="3" t="s">
        <v>636</v>
      </c>
      <c r="D91" s="3" t="s">
        <v>166</v>
      </c>
      <c r="E91" s="13" t="n">
        <v>170000</v>
      </c>
      <c r="F91" s="13" t="n">
        <v>2367.26</v>
      </c>
      <c r="G91" s="13" t="n">
        <v>295.91</v>
      </c>
      <c r="H91" s="13" t="n">
        <v>295.91</v>
      </c>
      <c r="I91" s="13" t="n">
        <f aca="false">SUM(K91:T91)</f>
        <v>1775.4</v>
      </c>
      <c r="J91" s="13" t="n">
        <f aca="false">F91-(G91+H91+I91)</f>
        <v>0.0400000000004184</v>
      </c>
      <c r="K91" s="13" t="n">
        <v>177.54</v>
      </c>
      <c r="L91" s="13" t="n">
        <v>177.54</v>
      </c>
      <c r="M91" s="13" t="n">
        <v>177.54</v>
      </c>
      <c r="N91" s="13" t="n">
        <v>177.54</v>
      </c>
      <c r="O91" s="13" t="n">
        <v>177.54</v>
      </c>
      <c r="P91" s="13" t="n">
        <v>177.54</v>
      </c>
      <c r="Q91" s="13" t="n">
        <v>177.54</v>
      </c>
      <c r="R91" s="13" t="n">
        <v>177.54</v>
      </c>
      <c r="S91" s="13" t="n">
        <v>177.54</v>
      </c>
      <c r="T91" s="13" t="n">
        <v>177.54</v>
      </c>
      <c r="U91" s="13" t="n">
        <v>350</v>
      </c>
      <c r="V91" s="13" t="n">
        <v>0</v>
      </c>
      <c r="W91" s="13" t="n">
        <f aca="false">U91+V91</f>
        <v>350</v>
      </c>
    </row>
    <row r="92" customFormat="false" ht="15" hidden="false" customHeight="false" outlineLevel="0" collapsed="false">
      <c r="A92" s="14" t="s">
        <v>637</v>
      </c>
      <c r="B92" s="14" t="s">
        <v>481</v>
      </c>
      <c r="C92" s="14" t="s">
        <v>354</v>
      </c>
      <c r="D92" s="14" t="s">
        <v>89</v>
      </c>
      <c r="E92" s="15" t="n">
        <v>260000</v>
      </c>
      <c r="F92" s="15" t="n">
        <v>4763.83</v>
      </c>
      <c r="G92" s="15" t="n">
        <v>595.48</v>
      </c>
      <c r="H92" s="15" t="n">
        <v>595.48</v>
      </c>
      <c r="I92" s="15" t="n">
        <f aca="false">SUM(K92:T92)</f>
        <v>3572.9</v>
      </c>
      <c r="J92" s="15" t="n">
        <f aca="false">F92-(G92+H92+I92)</f>
        <v>-0.0300000000006548</v>
      </c>
      <c r="K92" s="15" t="n">
        <v>357.29</v>
      </c>
      <c r="L92" s="15" t="n">
        <v>357.29</v>
      </c>
      <c r="M92" s="15" t="n">
        <v>357.29</v>
      </c>
      <c r="N92" s="15" t="n">
        <v>357.29</v>
      </c>
      <c r="O92" s="15" t="n">
        <v>357.29</v>
      </c>
      <c r="P92" s="15" t="n">
        <v>357.29</v>
      </c>
      <c r="Q92" s="15" t="n">
        <v>357.29</v>
      </c>
      <c r="R92" s="15" t="n">
        <v>357.29</v>
      </c>
      <c r="S92" s="15" t="n">
        <v>357.29</v>
      </c>
      <c r="T92" s="15" t="n">
        <v>357.29</v>
      </c>
      <c r="U92" s="15" t="n">
        <v>350</v>
      </c>
      <c r="V92" s="15" t="n">
        <v>0</v>
      </c>
      <c r="W92" s="15" t="n">
        <f aca="false">U92+V92</f>
        <v>350</v>
      </c>
    </row>
    <row r="93" customFormat="false" ht="15" hidden="false" customHeight="false" outlineLevel="0" collapsed="false">
      <c r="A93" s="3" t="s">
        <v>638</v>
      </c>
      <c r="B93" s="3" t="s">
        <v>483</v>
      </c>
      <c r="C93" s="3" t="s">
        <v>237</v>
      </c>
      <c r="D93" s="3" t="s">
        <v>118</v>
      </c>
      <c r="E93" s="13" t="n">
        <v>470000</v>
      </c>
      <c r="F93" s="13" t="n">
        <v>12030.64</v>
      </c>
      <c r="G93" s="13" t="n">
        <v>1503.83</v>
      </c>
      <c r="H93" s="13" t="n">
        <v>1503.83</v>
      </c>
      <c r="I93" s="13" t="n">
        <f aca="false">SUM(K93:T93)</f>
        <v>9023</v>
      </c>
      <c r="J93" s="13" t="n">
        <f aca="false">F93-(G93+H93+I93)</f>
        <v>-0.0200000000004366</v>
      </c>
      <c r="K93" s="13" t="n">
        <v>902.3</v>
      </c>
      <c r="L93" s="13" t="n">
        <v>902.3</v>
      </c>
      <c r="M93" s="13" t="n">
        <v>902.3</v>
      </c>
      <c r="N93" s="13" t="n">
        <v>902.3</v>
      </c>
      <c r="O93" s="13" t="n">
        <v>902.3</v>
      </c>
      <c r="P93" s="13" t="n">
        <v>902.3</v>
      </c>
      <c r="Q93" s="13" t="n">
        <v>902.3</v>
      </c>
      <c r="R93" s="13" t="n">
        <v>902.3</v>
      </c>
      <c r="S93" s="13" t="n">
        <v>902.3</v>
      </c>
      <c r="T93" s="13" t="n">
        <v>902.3</v>
      </c>
      <c r="U93" s="13" t="n">
        <v>350</v>
      </c>
      <c r="V93" s="13" t="n">
        <v>0</v>
      </c>
      <c r="W93" s="13" t="n">
        <f aca="false">U93+V93</f>
        <v>350</v>
      </c>
    </row>
    <row r="94" customFormat="false" ht="15" hidden="false" customHeight="false" outlineLevel="0" collapsed="false">
      <c r="A94" s="14" t="s">
        <v>639</v>
      </c>
      <c r="B94" s="14" t="s">
        <v>505</v>
      </c>
      <c r="C94" s="14" t="s">
        <v>303</v>
      </c>
      <c r="D94" s="14" t="s">
        <v>99</v>
      </c>
      <c r="E94" s="15" t="n">
        <v>1950000</v>
      </c>
      <c r="F94" s="15" t="n">
        <v>38392.96</v>
      </c>
      <c r="G94" s="15" t="n">
        <v>4799.12</v>
      </c>
      <c r="H94" s="15" t="n">
        <v>4799.12</v>
      </c>
      <c r="I94" s="15" t="n">
        <f aca="false">SUM(K94:T94)</f>
        <v>28794.7</v>
      </c>
      <c r="J94" s="15" t="n">
        <f aca="false">F94-(G94+H94+I94)</f>
        <v>0.0199999999967986</v>
      </c>
      <c r="K94" s="15" t="n">
        <v>2879.47</v>
      </c>
      <c r="L94" s="15" t="n">
        <v>2879.47</v>
      </c>
      <c r="M94" s="15" t="n">
        <v>2879.47</v>
      </c>
      <c r="N94" s="15" t="n">
        <v>2879.47</v>
      </c>
      <c r="O94" s="15" t="n">
        <v>2879.47</v>
      </c>
      <c r="P94" s="15" t="n">
        <v>2879.47</v>
      </c>
      <c r="Q94" s="15" t="n">
        <v>2879.47</v>
      </c>
      <c r="R94" s="15" t="n">
        <v>2879.47</v>
      </c>
      <c r="S94" s="15" t="n">
        <v>2879.47</v>
      </c>
      <c r="T94" s="15" t="n">
        <v>2879.47</v>
      </c>
      <c r="U94" s="15" t="n">
        <v>350</v>
      </c>
      <c r="V94" s="15" t="n">
        <v>250</v>
      </c>
      <c r="W94" s="15" t="n">
        <f aca="false">U94+V94</f>
        <v>600</v>
      </c>
    </row>
    <row r="95" customFormat="false" ht="15" hidden="false" customHeight="false" outlineLevel="0" collapsed="false">
      <c r="A95" s="3" t="s">
        <v>640</v>
      </c>
      <c r="B95" s="3" t="s">
        <v>473</v>
      </c>
      <c r="C95" s="3" t="s">
        <v>641</v>
      </c>
      <c r="D95" s="3" t="s">
        <v>102</v>
      </c>
      <c r="E95" s="13" t="n">
        <v>555000</v>
      </c>
      <c r="F95" s="13" t="n">
        <v>7507.44</v>
      </c>
      <c r="G95" s="13" t="n">
        <v>938.43</v>
      </c>
      <c r="H95" s="13" t="n">
        <v>938.43</v>
      </c>
      <c r="I95" s="13" t="n">
        <f aca="false">SUM(K95:T95)</f>
        <v>5630.6</v>
      </c>
      <c r="J95" s="13" t="n">
        <f aca="false">F95-(G95+H95+I95)</f>
        <v>-0.0199999999986176</v>
      </c>
      <c r="K95" s="13" t="n">
        <v>563.06</v>
      </c>
      <c r="L95" s="13" t="n">
        <v>563.06</v>
      </c>
      <c r="M95" s="13" t="n">
        <v>563.06</v>
      </c>
      <c r="N95" s="13" t="n">
        <v>563.06</v>
      </c>
      <c r="O95" s="13" t="n">
        <v>563.06</v>
      </c>
      <c r="P95" s="13" t="n">
        <v>563.06</v>
      </c>
      <c r="Q95" s="13" t="n">
        <v>563.06</v>
      </c>
      <c r="R95" s="13" t="n">
        <v>563.06</v>
      </c>
      <c r="S95" s="13" t="n">
        <v>563.06</v>
      </c>
      <c r="T95" s="13" t="n">
        <v>563.06</v>
      </c>
      <c r="U95" s="13" t="n">
        <v>350</v>
      </c>
      <c r="V95" s="13" t="n">
        <v>0</v>
      </c>
      <c r="W95" s="13" t="n">
        <f aca="false">U95+V95</f>
        <v>350</v>
      </c>
    </row>
    <row r="96" customFormat="false" ht="15" hidden="false" customHeight="false" outlineLevel="0" collapsed="false">
      <c r="A96" s="14" t="s">
        <v>642</v>
      </c>
      <c r="B96" s="14" t="s">
        <v>464</v>
      </c>
      <c r="C96" s="14" t="s">
        <v>643</v>
      </c>
      <c r="D96" s="14" t="s">
        <v>230</v>
      </c>
      <c r="E96" s="15" t="n">
        <v>1145000</v>
      </c>
      <c r="F96" s="15" t="n">
        <v>19725.61</v>
      </c>
      <c r="G96" s="15" t="n">
        <v>2465.7</v>
      </c>
      <c r="H96" s="15" t="n">
        <v>2465.7</v>
      </c>
      <c r="I96" s="15" t="n">
        <f aca="false">SUM(K96:T96)</f>
        <v>14794.2</v>
      </c>
      <c r="J96" s="15" t="n">
        <f aca="false">F96-(G96+H96+I96)</f>
        <v>0.0100000000020373</v>
      </c>
      <c r="K96" s="15" t="n">
        <v>1479.42</v>
      </c>
      <c r="L96" s="15" t="n">
        <v>1479.42</v>
      </c>
      <c r="M96" s="15" t="n">
        <v>1479.42</v>
      </c>
      <c r="N96" s="15" t="n">
        <v>1479.42</v>
      </c>
      <c r="O96" s="15" t="n">
        <v>1479.42</v>
      </c>
      <c r="P96" s="15" t="n">
        <v>1479.42</v>
      </c>
      <c r="Q96" s="15" t="n">
        <v>1479.42</v>
      </c>
      <c r="R96" s="15" t="n">
        <v>1479.42</v>
      </c>
      <c r="S96" s="15" t="n">
        <v>1479.42</v>
      </c>
      <c r="T96" s="15" t="n">
        <v>1479.42</v>
      </c>
      <c r="U96" s="15" t="n">
        <v>350</v>
      </c>
      <c r="V96" s="15" t="n">
        <v>250</v>
      </c>
      <c r="W96" s="15" t="n">
        <f aca="false">U96+V96</f>
        <v>600</v>
      </c>
    </row>
    <row r="97" customFormat="false" ht="15" hidden="false" customHeight="false" outlineLevel="0" collapsed="false">
      <c r="A97" s="3" t="s">
        <v>644</v>
      </c>
      <c r="B97" s="3" t="s">
        <v>486</v>
      </c>
      <c r="C97" s="3" t="s">
        <v>645</v>
      </c>
      <c r="D97" s="3" t="s">
        <v>157</v>
      </c>
      <c r="E97" s="13" t="n">
        <v>530000</v>
      </c>
      <c r="F97" s="13" t="n">
        <v>8852.49</v>
      </c>
      <c r="G97" s="13" t="n">
        <v>1106.56</v>
      </c>
      <c r="H97" s="13" t="n">
        <v>1106.56</v>
      </c>
      <c r="I97" s="13" t="n">
        <f aca="false">SUM(K97:T97)</f>
        <v>6639.4</v>
      </c>
      <c r="J97" s="13" t="n">
        <f aca="false">F97-(G97+H97+I97)</f>
        <v>-0.0300000000006548</v>
      </c>
      <c r="K97" s="13" t="n">
        <v>663.94</v>
      </c>
      <c r="L97" s="13" t="n">
        <v>663.94</v>
      </c>
      <c r="M97" s="13" t="n">
        <v>663.94</v>
      </c>
      <c r="N97" s="13" t="n">
        <v>663.94</v>
      </c>
      <c r="O97" s="13" t="n">
        <v>663.94</v>
      </c>
      <c r="P97" s="13" t="n">
        <v>663.94</v>
      </c>
      <c r="Q97" s="13" t="n">
        <v>663.94</v>
      </c>
      <c r="R97" s="13" t="n">
        <v>663.94</v>
      </c>
      <c r="S97" s="13" t="n">
        <v>663.94</v>
      </c>
      <c r="T97" s="13" t="n">
        <v>663.94</v>
      </c>
      <c r="U97" s="13" t="n">
        <v>350</v>
      </c>
      <c r="V97" s="13" t="n">
        <v>0</v>
      </c>
      <c r="W97" s="13" t="n">
        <f aca="false">U97+V97</f>
        <v>350</v>
      </c>
    </row>
    <row r="98" customFormat="false" ht="15" hidden="false" customHeight="false" outlineLevel="0" collapsed="false">
      <c r="A98" s="14" t="s">
        <v>646</v>
      </c>
      <c r="B98" s="14" t="s">
        <v>525</v>
      </c>
      <c r="C98" s="14" t="s">
        <v>647</v>
      </c>
      <c r="D98" s="14" t="s">
        <v>115</v>
      </c>
      <c r="E98" s="15" t="n">
        <v>860000</v>
      </c>
      <c r="F98" s="15" t="n">
        <v>13352.84</v>
      </c>
      <c r="G98" s="15" t="n">
        <v>1669.11</v>
      </c>
      <c r="H98" s="15" t="n">
        <v>1669.11</v>
      </c>
      <c r="I98" s="15" t="n">
        <f aca="false">SUM(K98:T98)</f>
        <v>10014.6</v>
      </c>
      <c r="J98" s="15" t="n">
        <f aca="false">F98-(G98+H98+I98)</f>
        <v>0.0200000000022555</v>
      </c>
      <c r="K98" s="15" t="n">
        <v>1001.46</v>
      </c>
      <c r="L98" s="15" t="n">
        <v>1001.46</v>
      </c>
      <c r="M98" s="15" t="n">
        <v>1001.46</v>
      </c>
      <c r="N98" s="15" t="n">
        <v>1001.46</v>
      </c>
      <c r="O98" s="15" t="n">
        <v>1001.46</v>
      </c>
      <c r="P98" s="15" t="n">
        <v>1001.46</v>
      </c>
      <c r="Q98" s="15" t="n">
        <v>1001.46</v>
      </c>
      <c r="R98" s="15" t="n">
        <v>1001.46</v>
      </c>
      <c r="S98" s="15" t="n">
        <v>1001.46</v>
      </c>
      <c r="T98" s="15" t="n">
        <v>1001.46</v>
      </c>
      <c r="U98" s="15" t="n">
        <v>350</v>
      </c>
      <c r="V98" s="15" t="n">
        <v>0</v>
      </c>
      <c r="W98" s="15" t="n">
        <f aca="false">U98+V98</f>
        <v>350</v>
      </c>
    </row>
    <row r="99" customFormat="false" ht="15" hidden="false" customHeight="false" outlineLevel="0" collapsed="false">
      <c r="A99" s="3" t="s">
        <v>648</v>
      </c>
      <c r="B99" s="3" t="s">
        <v>525</v>
      </c>
      <c r="C99" s="3" t="s">
        <v>649</v>
      </c>
      <c r="D99" s="3" t="s">
        <v>251</v>
      </c>
      <c r="E99" s="13" t="n">
        <v>295000</v>
      </c>
      <c r="F99" s="13" t="n">
        <v>4484.24</v>
      </c>
      <c r="G99" s="13" t="n">
        <v>560.53</v>
      </c>
      <c r="H99" s="13" t="n">
        <v>560.53</v>
      </c>
      <c r="I99" s="13" t="n">
        <f aca="false">SUM(K99:T99)</f>
        <v>3363.2</v>
      </c>
      <c r="J99" s="13" t="n">
        <f aca="false">F99-(G99+H99+I99)</f>
        <v>-0.0200000000004366</v>
      </c>
      <c r="K99" s="13" t="n">
        <v>336.32</v>
      </c>
      <c r="L99" s="13" t="n">
        <v>336.32</v>
      </c>
      <c r="M99" s="13" t="n">
        <v>336.32</v>
      </c>
      <c r="N99" s="13" t="n">
        <v>336.32</v>
      </c>
      <c r="O99" s="13" t="n">
        <v>336.32</v>
      </c>
      <c r="P99" s="13" t="n">
        <v>336.32</v>
      </c>
      <c r="Q99" s="13" t="n">
        <v>336.32</v>
      </c>
      <c r="R99" s="13" t="n">
        <v>336.32</v>
      </c>
      <c r="S99" s="13" t="n">
        <v>336.32</v>
      </c>
      <c r="T99" s="13" t="n">
        <v>336.32</v>
      </c>
      <c r="U99" s="13" t="n">
        <v>350</v>
      </c>
      <c r="V99" s="13" t="n">
        <v>0</v>
      </c>
      <c r="W99" s="13" t="n">
        <f aca="false">U99+V99</f>
        <v>350</v>
      </c>
    </row>
    <row r="100" customFormat="false" ht="15" hidden="false" customHeight="false" outlineLevel="0" collapsed="false">
      <c r="A100" s="14" t="s">
        <v>650</v>
      </c>
      <c r="B100" s="14" t="s">
        <v>470</v>
      </c>
      <c r="C100" s="14" t="s">
        <v>651</v>
      </c>
      <c r="D100" s="14" t="s">
        <v>377</v>
      </c>
      <c r="E100" s="15" t="n">
        <v>460000</v>
      </c>
      <c r="F100" s="15" t="n">
        <v>12827.69</v>
      </c>
      <c r="G100" s="15" t="n">
        <v>1603.46</v>
      </c>
      <c r="H100" s="15" t="n">
        <v>1603.46</v>
      </c>
      <c r="I100" s="15" t="n">
        <f aca="false">SUM(K100:T100)</f>
        <v>9620.8</v>
      </c>
      <c r="J100" s="15" t="n">
        <f aca="false">F100-(G100+H100+I100)</f>
        <v>-0.0300000000006548</v>
      </c>
      <c r="K100" s="15" t="n">
        <v>962.08</v>
      </c>
      <c r="L100" s="15" t="n">
        <v>962.08</v>
      </c>
      <c r="M100" s="15" t="n">
        <v>962.08</v>
      </c>
      <c r="N100" s="15" t="n">
        <v>962.08</v>
      </c>
      <c r="O100" s="15" t="n">
        <v>962.08</v>
      </c>
      <c r="P100" s="15" t="n">
        <v>962.08</v>
      </c>
      <c r="Q100" s="15" t="n">
        <v>962.08</v>
      </c>
      <c r="R100" s="15" t="n">
        <v>962.08</v>
      </c>
      <c r="S100" s="15" t="n">
        <v>962.08</v>
      </c>
      <c r="T100" s="15" t="n">
        <v>962.08</v>
      </c>
      <c r="U100" s="15" t="n">
        <v>350</v>
      </c>
      <c r="V100" s="15" t="n">
        <v>0</v>
      </c>
      <c r="W100" s="15" t="n">
        <f aca="false">U100+V100</f>
        <v>350</v>
      </c>
    </row>
    <row r="101" customFormat="false" ht="15" hidden="false" customHeight="false" outlineLevel="0" collapsed="false">
      <c r="A101" s="3" t="s">
        <v>652</v>
      </c>
      <c r="B101" s="3" t="s">
        <v>596</v>
      </c>
      <c r="C101" s="3" t="s">
        <v>653</v>
      </c>
      <c r="D101" s="3" t="s">
        <v>230</v>
      </c>
      <c r="E101" s="13" t="n">
        <v>410000</v>
      </c>
      <c r="F101" s="13" t="n">
        <v>6621.87</v>
      </c>
      <c r="G101" s="13" t="n">
        <v>827.73</v>
      </c>
      <c r="H101" s="13" t="n">
        <v>827.73</v>
      </c>
      <c r="I101" s="13" t="n">
        <f aca="false">SUM(K101:T101)</f>
        <v>4966.4</v>
      </c>
      <c r="J101" s="13" t="n">
        <f aca="false">F101-(G101+H101+I101)</f>
        <v>0.00999999999930878</v>
      </c>
      <c r="K101" s="13" t="n">
        <v>496.64</v>
      </c>
      <c r="L101" s="13" t="n">
        <v>496.64</v>
      </c>
      <c r="M101" s="13" t="n">
        <v>496.64</v>
      </c>
      <c r="N101" s="13" t="n">
        <v>496.64</v>
      </c>
      <c r="O101" s="13" t="n">
        <v>496.64</v>
      </c>
      <c r="P101" s="13" t="n">
        <v>496.64</v>
      </c>
      <c r="Q101" s="13" t="n">
        <v>496.64</v>
      </c>
      <c r="R101" s="13" t="n">
        <v>496.64</v>
      </c>
      <c r="S101" s="13" t="n">
        <v>496.64</v>
      </c>
      <c r="T101" s="13" t="n">
        <v>496.64</v>
      </c>
      <c r="U101" s="13" t="n">
        <v>350</v>
      </c>
      <c r="V101" s="13" t="n">
        <v>0</v>
      </c>
      <c r="W101" s="13" t="n">
        <f aca="false">U101+V101</f>
        <v>350</v>
      </c>
    </row>
    <row r="102" customFormat="false" ht="15" hidden="false" customHeight="false" outlineLevel="0" collapsed="false">
      <c r="A102" s="14" t="s">
        <v>654</v>
      </c>
      <c r="B102" s="14" t="s">
        <v>499</v>
      </c>
      <c r="C102" s="14" t="s">
        <v>655</v>
      </c>
      <c r="D102" s="14" t="s">
        <v>256</v>
      </c>
      <c r="E102" s="15" t="n">
        <v>265000</v>
      </c>
      <c r="F102" s="15" t="n">
        <v>4783.51</v>
      </c>
      <c r="G102" s="15" t="n">
        <v>597.94</v>
      </c>
      <c r="H102" s="15" t="n">
        <v>597.94</v>
      </c>
      <c r="I102" s="15" t="n">
        <f aca="false">SUM(K102:T102)</f>
        <v>3587.6</v>
      </c>
      <c r="J102" s="15" t="n">
        <f aca="false">F102-(G102+H102+I102)</f>
        <v>0.0299999999997453</v>
      </c>
      <c r="K102" s="15" t="n">
        <v>358.76</v>
      </c>
      <c r="L102" s="15" t="n">
        <v>358.76</v>
      </c>
      <c r="M102" s="15" t="n">
        <v>358.76</v>
      </c>
      <c r="N102" s="15" t="n">
        <v>358.76</v>
      </c>
      <c r="O102" s="15" t="n">
        <v>358.76</v>
      </c>
      <c r="P102" s="15" t="n">
        <v>358.76</v>
      </c>
      <c r="Q102" s="15" t="n">
        <v>358.76</v>
      </c>
      <c r="R102" s="15" t="n">
        <v>358.76</v>
      </c>
      <c r="S102" s="15" t="n">
        <v>358.76</v>
      </c>
      <c r="T102" s="15" t="n">
        <v>358.76</v>
      </c>
      <c r="U102" s="15" t="n">
        <v>350</v>
      </c>
      <c r="V102" s="15" t="n">
        <v>0</v>
      </c>
      <c r="W102" s="15" t="n">
        <f aca="false">U102+V102</f>
        <v>350</v>
      </c>
    </row>
    <row r="103" customFormat="false" ht="15" hidden="false" customHeight="false" outlineLevel="0" collapsed="false">
      <c r="A103" s="3" t="s">
        <v>656</v>
      </c>
      <c r="B103" s="3" t="s">
        <v>596</v>
      </c>
      <c r="C103" s="3" t="s">
        <v>657</v>
      </c>
      <c r="D103" s="3" t="s">
        <v>298</v>
      </c>
      <c r="E103" s="13" t="n">
        <v>1145000</v>
      </c>
      <c r="F103" s="13" t="n">
        <v>17753.05</v>
      </c>
      <c r="G103" s="13" t="n">
        <v>2219.13</v>
      </c>
      <c r="H103" s="13" t="n">
        <v>2219.13</v>
      </c>
      <c r="I103" s="13" t="n">
        <f aca="false">SUM(K103:T103)</f>
        <v>13314.8</v>
      </c>
      <c r="J103" s="13" t="n">
        <f aca="false">F103-(G103+H103+I103)</f>
        <v>-0.00999999999839929</v>
      </c>
      <c r="K103" s="13" t="n">
        <v>1331.48</v>
      </c>
      <c r="L103" s="13" t="n">
        <v>1331.48</v>
      </c>
      <c r="M103" s="13" t="n">
        <v>1331.48</v>
      </c>
      <c r="N103" s="13" t="n">
        <v>1331.48</v>
      </c>
      <c r="O103" s="13" t="n">
        <v>1331.48</v>
      </c>
      <c r="P103" s="13" t="n">
        <v>1331.48</v>
      </c>
      <c r="Q103" s="13" t="n">
        <v>1331.48</v>
      </c>
      <c r="R103" s="13" t="n">
        <v>1331.48</v>
      </c>
      <c r="S103" s="13" t="n">
        <v>1331.48</v>
      </c>
      <c r="T103" s="13" t="n">
        <v>1331.48</v>
      </c>
      <c r="U103" s="13" t="n">
        <v>350</v>
      </c>
      <c r="V103" s="13" t="n">
        <v>250</v>
      </c>
      <c r="W103" s="13" t="n">
        <f aca="false">U103+V103</f>
        <v>600</v>
      </c>
    </row>
    <row r="104" customFormat="false" ht="15" hidden="false" customHeight="false" outlineLevel="0" collapsed="false">
      <c r="A104" s="14" t="s">
        <v>658</v>
      </c>
      <c r="B104" s="14" t="s">
        <v>466</v>
      </c>
      <c r="C104" s="14" t="s">
        <v>641</v>
      </c>
      <c r="D104" s="14" t="s">
        <v>93</v>
      </c>
      <c r="E104" s="15" t="n">
        <v>675000</v>
      </c>
      <c r="F104" s="15" t="n">
        <v>10162.84</v>
      </c>
      <c r="G104" s="15" t="n">
        <v>1270.36</v>
      </c>
      <c r="H104" s="15" t="n">
        <v>1270.36</v>
      </c>
      <c r="I104" s="15" t="n">
        <f aca="false">SUM(K104:T104)</f>
        <v>7622.1</v>
      </c>
      <c r="J104" s="15" t="n">
        <f aca="false">F104-(G104+H104+I104)</f>
        <v>0.0200000000004366</v>
      </c>
      <c r="K104" s="15" t="n">
        <v>762.21</v>
      </c>
      <c r="L104" s="15" t="n">
        <v>762.21</v>
      </c>
      <c r="M104" s="15" t="n">
        <v>762.21</v>
      </c>
      <c r="N104" s="15" t="n">
        <v>762.21</v>
      </c>
      <c r="O104" s="15" t="n">
        <v>762.21</v>
      </c>
      <c r="P104" s="15" t="n">
        <v>762.21</v>
      </c>
      <c r="Q104" s="15" t="n">
        <v>762.21</v>
      </c>
      <c r="R104" s="15" t="n">
        <v>762.21</v>
      </c>
      <c r="S104" s="15" t="n">
        <v>762.21</v>
      </c>
      <c r="T104" s="15" t="n">
        <v>762.21</v>
      </c>
      <c r="U104" s="15" t="n">
        <v>350</v>
      </c>
      <c r="V104" s="15" t="n">
        <v>0</v>
      </c>
      <c r="W104" s="15" t="n">
        <f aca="false">U104+V104</f>
        <v>350</v>
      </c>
    </row>
    <row r="105" customFormat="false" ht="15" hidden="false" customHeight="false" outlineLevel="0" collapsed="false">
      <c r="A105" s="3" t="s">
        <v>659</v>
      </c>
      <c r="B105" s="3" t="s">
        <v>520</v>
      </c>
      <c r="C105" s="3" t="s">
        <v>660</v>
      </c>
      <c r="D105" s="3" t="s">
        <v>279</v>
      </c>
      <c r="E105" s="13" t="n">
        <v>615000</v>
      </c>
      <c r="F105" s="13" t="n">
        <v>6582.91</v>
      </c>
      <c r="G105" s="13" t="n">
        <v>822.86</v>
      </c>
      <c r="H105" s="13" t="n">
        <v>822.86</v>
      </c>
      <c r="I105" s="13" t="n">
        <f aca="false">SUM(K105:T105)</f>
        <v>4937.2</v>
      </c>
      <c r="J105" s="13" t="n">
        <f aca="false">F105-(G105+H105+I105)</f>
        <v>-0.0100000000011278</v>
      </c>
      <c r="K105" s="13" t="n">
        <v>493.72</v>
      </c>
      <c r="L105" s="13" t="n">
        <v>493.72</v>
      </c>
      <c r="M105" s="13" t="n">
        <v>493.72</v>
      </c>
      <c r="N105" s="13" t="n">
        <v>493.72</v>
      </c>
      <c r="O105" s="13" t="n">
        <v>493.72</v>
      </c>
      <c r="P105" s="13" t="n">
        <v>493.72</v>
      </c>
      <c r="Q105" s="13" t="n">
        <v>493.72</v>
      </c>
      <c r="R105" s="13" t="n">
        <v>493.72</v>
      </c>
      <c r="S105" s="13" t="n">
        <v>493.72</v>
      </c>
      <c r="T105" s="13" t="n">
        <v>493.72</v>
      </c>
      <c r="U105" s="13" t="n">
        <v>350</v>
      </c>
      <c r="V105" s="13" t="n">
        <v>0</v>
      </c>
      <c r="W105" s="13" t="n">
        <f aca="false">U105+V105</f>
        <v>350</v>
      </c>
    </row>
    <row r="106" customFormat="false" ht="15" hidden="false" customHeight="false" outlineLevel="0" collapsed="false">
      <c r="A106" s="14" t="s">
        <v>661</v>
      </c>
      <c r="B106" s="14" t="s">
        <v>505</v>
      </c>
      <c r="C106" s="14" t="s">
        <v>662</v>
      </c>
      <c r="D106" s="14" t="s">
        <v>256</v>
      </c>
      <c r="E106" s="15" t="n">
        <v>420000</v>
      </c>
      <c r="F106" s="15" t="n">
        <v>4852.11</v>
      </c>
      <c r="G106" s="15" t="n">
        <v>606.51</v>
      </c>
      <c r="H106" s="15" t="n">
        <v>606.51</v>
      </c>
      <c r="I106" s="15" t="n">
        <f aca="false">SUM(K106:T106)</f>
        <v>3639.1</v>
      </c>
      <c r="J106" s="15" t="n">
        <f aca="false">F106-(G106+H106+I106)</f>
        <v>-0.0100000000002183</v>
      </c>
      <c r="K106" s="15" t="n">
        <v>363.91</v>
      </c>
      <c r="L106" s="15" t="n">
        <v>363.91</v>
      </c>
      <c r="M106" s="15" t="n">
        <v>363.91</v>
      </c>
      <c r="N106" s="15" t="n">
        <v>363.91</v>
      </c>
      <c r="O106" s="15" t="n">
        <v>363.91</v>
      </c>
      <c r="P106" s="15" t="n">
        <v>363.91</v>
      </c>
      <c r="Q106" s="15" t="n">
        <v>363.91</v>
      </c>
      <c r="R106" s="15" t="n">
        <v>363.91</v>
      </c>
      <c r="S106" s="15" t="n">
        <v>363.91</v>
      </c>
      <c r="T106" s="15" t="n">
        <v>363.91</v>
      </c>
      <c r="U106" s="15" t="n">
        <v>350</v>
      </c>
      <c r="V106" s="15" t="n">
        <v>0</v>
      </c>
      <c r="W106" s="15" t="n">
        <f aca="false">U106+V106</f>
        <v>350</v>
      </c>
    </row>
    <row r="107" customFormat="false" ht="15" hidden="false" customHeight="false" outlineLevel="0" collapsed="false">
      <c r="A107" s="3" t="s">
        <v>663</v>
      </c>
      <c r="B107" s="3" t="s">
        <v>518</v>
      </c>
      <c r="C107" s="3" t="s">
        <v>664</v>
      </c>
      <c r="D107" s="3" t="s">
        <v>89</v>
      </c>
      <c r="E107" s="13" t="n">
        <v>600000</v>
      </c>
      <c r="F107" s="13" t="n">
        <v>9527.66</v>
      </c>
      <c r="G107" s="13" t="n">
        <v>1190.96</v>
      </c>
      <c r="H107" s="13" t="n">
        <v>1190.96</v>
      </c>
      <c r="I107" s="13" t="n">
        <f aca="false">SUM(K107:T107)</f>
        <v>7145.7</v>
      </c>
      <c r="J107" s="13" t="n">
        <f aca="false">F107-(G107+H107+I107)</f>
        <v>0.0400000000008731</v>
      </c>
      <c r="K107" s="13" t="n">
        <v>714.57</v>
      </c>
      <c r="L107" s="13" t="n">
        <v>714.57</v>
      </c>
      <c r="M107" s="13" t="n">
        <v>714.57</v>
      </c>
      <c r="N107" s="13" t="n">
        <v>714.57</v>
      </c>
      <c r="O107" s="13" t="n">
        <v>714.57</v>
      </c>
      <c r="P107" s="13" t="n">
        <v>714.57</v>
      </c>
      <c r="Q107" s="13" t="n">
        <v>714.57</v>
      </c>
      <c r="R107" s="13" t="n">
        <v>714.57</v>
      </c>
      <c r="S107" s="13" t="n">
        <v>714.57</v>
      </c>
      <c r="T107" s="13" t="n">
        <v>714.57</v>
      </c>
      <c r="U107" s="13" t="n">
        <v>350</v>
      </c>
      <c r="V107" s="13" t="n">
        <v>0</v>
      </c>
      <c r="W107" s="13" t="n">
        <f aca="false">U107+V107</f>
        <v>350</v>
      </c>
    </row>
    <row r="108" customFormat="false" ht="15" hidden="false" customHeight="false" outlineLevel="0" collapsed="false">
      <c r="A108" s="14" t="s">
        <v>665</v>
      </c>
      <c r="B108" s="14" t="s">
        <v>596</v>
      </c>
      <c r="C108" s="14" t="s">
        <v>666</v>
      </c>
      <c r="D108" s="14" t="s">
        <v>85</v>
      </c>
      <c r="E108" s="15" t="n">
        <v>385000</v>
      </c>
      <c r="F108" s="15" t="n">
        <v>7263.15</v>
      </c>
      <c r="G108" s="15" t="n">
        <v>907.89</v>
      </c>
      <c r="H108" s="15" t="n">
        <v>907.89</v>
      </c>
      <c r="I108" s="15" t="n">
        <f aca="false">SUM(K108:T108)</f>
        <v>5447.4</v>
      </c>
      <c r="J108" s="15" t="n">
        <f aca="false">F108-(G108+H108+I108)</f>
        <v>-0.0299999999997453</v>
      </c>
      <c r="K108" s="15" t="n">
        <v>544.74</v>
      </c>
      <c r="L108" s="15" t="n">
        <v>544.74</v>
      </c>
      <c r="M108" s="15" t="n">
        <v>544.74</v>
      </c>
      <c r="N108" s="15" t="n">
        <v>544.74</v>
      </c>
      <c r="O108" s="15" t="n">
        <v>544.74</v>
      </c>
      <c r="P108" s="15" t="n">
        <v>544.74</v>
      </c>
      <c r="Q108" s="15" t="n">
        <v>544.74</v>
      </c>
      <c r="R108" s="15" t="n">
        <v>544.74</v>
      </c>
      <c r="S108" s="15" t="n">
        <v>544.74</v>
      </c>
      <c r="T108" s="15" t="n">
        <v>544.74</v>
      </c>
      <c r="U108" s="15" t="n">
        <v>350</v>
      </c>
      <c r="V108" s="15" t="n">
        <v>0</v>
      </c>
      <c r="W108" s="15" t="n">
        <f aca="false">U108+V108</f>
        <v>350</v>
      </c>
    </row>
    <row r="109" customFormat="false" ht="15" hidden="false" customHeight="false" outlineLevel="0" collapsed="false">
      <c r="A109" s="3" t="s">
        <v>667</v>
      </c>
      <c r="B109" s="3" t="s">
        <v>596</v>
      </c>
      <c r="C109" s="3" t="s">
        <v>374</v>
      </c>
      <c r="D109" s="3" t="s">
        <v>382</v>
      </c>
      <c r="E109" s="13" t="n">
        <v>575000</v>
      </c>
      <c r="F109" s="13" t="n">
        <v>7575.08</v>
      </c>
      <c r="G109" s="13" t="n">
        <v>946.88</v>
      </c>
      <c r="H109" s="13" t="n">
        <v>946.88</v>
      </c>
      <c r="I109" s="13" t="n">
        <f aca="false">SUM(K109:T109)</f>
        <v>5681.3</v>
      </c>
      <c r="J109" s="13" t="n">
        <f aca="false">F109-(G109+H109+I109)</f>
        <v>0.0199999999995271</v>
      </c>
      <c r="K109" s="13" t="n">
        <v>568.13</v>
      </c>
      <c r="L109" s="13" t="n">
        <v>568.13</v>
      </c>
      <c r="M109" s="13" t="n">
        <v>568.13</v>
      </c>
      <c r="N109" s="13" t="n">
        <v>568.13</v>
      </c>
      <c r="O109" s="13" t="n">
        <v>568.13</v>
      </c>
      <c r="P109" s="13" t="n">
        <v>568.13</v>
      </c>
      <c r="Q109" s="13" t="n">
        <v>568.13</v>
      </c>
      <c r="R109" s="13" t="n">
        <v>568.13</v>
      </c>
      <c r="S109" s="13" t="n">
        <v>568.13</v>
      </c>
      <c r="T109" s="13" t="n">
        <v>568.13</v>
      </c>
      <c r="U109" s="13" t="n">
        <v>350</v>
      </c>
      <c r="V109" s="13" t="n">
        <v>0</v>
      </c>
      <c r="W109" s="13" t="n">
        <f aca="false">U109+V109</f>
        <v>350</v>
      </c>
    </row>
    <row r="110" customFormat="false" ht="15" hidden="false" customHeight="false" outlineLevel="0" collapsed="false">
      <c r="A110" s="14" t="s">
        <v>668</v>
      </c>
      <c r="B110" s="14" t="s">
        <v>631</v>
      </c>
      <c r="C110" s="14" t="s">
        <v>349</v>
      </c>
      <c r="D110" s="14" t="s">
        <v>99</v>
      </c>
      <c r="E110" s="15" t="n">
        <v>120000</v>
      </c>
      <c r="F110" s="15" t="n">
        <v>2717.04</v>
      </c>
      <c r="G110" s="15" t="n">
        <v>339.63</v>
      </c>
      <c r="H110" s="15" t="n">
        <v>339.63</v>
      </c>
      <c r="I110" s="15" t="n">
        <f aca="false">SUM(K110:T110)</f>
        <v>2037.8</v>
      </c>
      <c r="J110" s="15" t="n">
        <f aca="false">F110-(G110+H110+I110)</f>
        <v>-0.0199999999999818</v>
      </c>
      <c r="K110" s="15" t="n">
        <v>203.78</v>
      </c>
      <c r="L110" s="15" t="n">
        <v>203.78</v>
      </c>
      <c r="M110" s="15" t="n">
        <v>203.78</v>
      </c>
      <c r="N110" s="15" t="n">
        <v>203.78</v>
      </c>
      <c r="O110" s="15" t="n">
        <v>203.78</v>
      </c>
      <c r="P110" s="15" t="n">
        <v>203.78</v>
      </c>
      <c r="Q110" s="15" t="n">
        <v>203.78</v>
      </c>
      <c r="R110" s="15" t="n">
        <v>203.78</v>
      </c>
      <c r="S110" s="15" t="n">
        <v>203.78</v>
      </c>
      <c r="T110" s="15" t="n">
        <v>203.78</v>
      </c>
      <c r="U110" s="15" t="n">
        <v>350</v>
      </c>
      <c r="V110" s="15" t="n">
        <v>0</v>
      </c>
      <c r="W110" s="15" t="n">
        <f aca="false">U110+V110</f>
        <v>350</v>
      </c>
    </row>
    <row r="111" customFormat="false" ht="15" hidden="false" customHeight="false" outlineLevel="0" collapsed="false">
      <c r="A111" s="3" t="s">
        <v>669</v>
      </c>
      <c r="B111" s="3" t="s">
        <v>518</v>
      </c>
      <c r="C111" s="3" t="s">
        <v>670</v>
      </c>
      <c r="D111" s="3" t="s">
        <v>193</v>
      </c>
      <c r="E111" s="13" t="n">
        <v>1365000</v>
      </c>
      <c r="F111" s="13" t="n">
        <v>11733.14</v>
      </c>
      <c r="G111" s="13" t="n">
        <v>1466.64</v>
      </c>
      <c r="H111" s="13" t="n">
        <v>1466.64</v>
      </c>
      <c r="I111" s="13" t="n">
        <f aca="false">SUM(K111:T111)</f>
        <v>8799.9</v>
      </c>
      <c r="J111" s="13" t="n">
        <f aca="false">F111-(G111+H111+I111)</f>
        <v>-0.0400000000008731</v>
      </c>
      <c r="K111" s="13" t="n">
        <v>879.99</v>
      </c>
      <c r="L111" s="13" t="n">
        <v>879.99</v>
      </c>
      <c r="M111" s="13" t="n">
        <v>879.99</v>
      </c>
      <c r="N111" s="13" t="n">
        <v>879.99</v>
      </c>
      <c r="O111" s="13" t="n">
        <v>879.99</v>
      </c>
      <c r="P111" s="13" t="n">
        <v>879.99</v>
      </c>
      <c r="Q111" s="13" t="n">
        <v>879.99</v>
      </c>
      <c r="R111" s="13" t="n">
        <v>879.99</v>
      </c>
      <c r="S111" s="13" t="n">
        <v>879.99</v>
      </c>
      <c r="T111" s="13" t="n">
        <v>879.99</v>
      </c>
      <c r="U111" s="13" t="n">
        <v>350</v>
      </c>
      <c r="V111" s="13" t="n">
        <v>250</v>
      </c>
      <c r="W111" s="13" t="n">
        <f aca="false">U111+V111</f>
        <v>600</v>
      </c>
    </row>
    <row r="112" customFormat="false" ht="15" hidden="false" customHeight="false" outlineLevel="0" collapsed="false">
      <c r="A112" s="14" t="s">
        <v>671</v>
      </c>
      <c r="B112" s="14" t="s">
        <v>468</v>
      </c>
      <c r="C112" s="14" t="s">
        <v>443</v>
      </c>
      <c r="D112" s="14" t="s">
        <v>112</v>
      </c>
      <c r="E112" s="15" t="n">
        <v>555000</v>
      </c>
      <c r="F112" s="15" t="n">
        <v>9064.18</v>
      </c>
      <c r="G112" s="15" t="n">
        <v>1133.02</v>
      </c>
      <c r="H112" s="15" t="n">
        <v>1133.02</v>
      </c>
      <c r="I112" s="15" t="n">
        <f aca="false">SUM(K112:T112)</f>
        <v>6798.1</v>
      </c>
      <c r="J112" s="15" t="n">
        <f aca="false">F112-(G112+H112+I112)</f>
        <v>0.0400000000008731</v>
      </c>
      <c r="K112" s="15" t="n">
        <v>679.81</v>
      </c>
      <c r="L112" s="15" t="n">
        <v>679.81</v>
      </c>
      <c r="M112" s="15" t="n">
        <v>679.81</v>
      </c>
      <c r="N112" s="15" t="n">
        <v>679.81</v>
      </c>
      <c r="O112" s="15" t="n">
        <v>679.81</v>
      </c>
      <c r="P112" s="15" t="n">
        <v>679.81</v>
      </c>
      <c r="Q112" s="15" t="n">
        <v>679.81</v>
      </c>
      <c r="R112" s="15" t="n">
        <v>679.81</v>
      </c>
      <c r="S112" s="15" t="n">
        <v>679.81</v>
      </c>
      <c r="T112" s="15" t="n">
        <v>679.81</v>
      </c>
      <c r="U112" s="15" t="n">
        <v>350</v>
      </c>
      <c r="V112" s="15" t="n">
        <v>0</v>
      </c>
      <c r="W112" s="15" t="n">
        <f aca="false">U112+V112</f>
        <v>350</v>
      </c>
    </row>
    <row r="113" customFormat="false" ht="15" hidden="false" customHeight="false" outlineLevel="0" collapsed="false">
      <c r="A113" s="3" t="s">
        <v>672</v>
      </c>
      <c r="B113" s="3" t="s">
        <v>493</v>
      </c>
      <c r="C113" s="3" t="s">
        <v>673</v>
      </c>
      <c r="D113" s="3" t="s">
        <v>138</v>
      </c>
      <c r="E113" s="13" t="n">
        <v>570000</v>
      </c>
      <c r="F113" s="13" t="n">
        <v>11268.97</v>
      </c>
      <c r="G113" s="13" t="n">
        <v>1408.62</v>
      </c>
      <c r="H113" s="13" t="n">
        <v>1408.62</v>
      </c>
      <c r="I113" s="13" t="n">
        <f aca="false">SUM(K113:T113)</f>
        <v>8451.7</v>
      </c>
      <c r="J113" s="13" t="n">
        <f aca="false">F113-(G113+H113+I113)</f>
        <v>0.0300000000006548</v>
      </c>
      <c r="K113" s="13" t="n">
        <v>845.17</v>
      </c>
      <c r="L113" s="13" t="n">
        <v>845.17</v>
      </c>
      <c r="M113" s="13" t="n">
        <v>845.17</v>
      </c>
      <c r="N113" s="13" t="n">
        <v>845.17</v>
      </c>
      <c r="O113" s="13" t="n">
        <v>845.17</v>
      </c>
      <c r="P113" s="13" t="n">
        <v>845.17</v>
      </c>
      <c r="Q113" s="13" t="n">
        <v>845.17</v>
      </c>
      <c r="R113" s="13" t="n">
        <v>845.17</v>
      </c>
      <c r="S113" s="13" t="n">
        <v>845.17</v>
      </c>
      <c r="T113" s="13" t="n">
        <v>845.17</v>
      </c>
      <c r="U113" s="13" t="n">
        <v>350</v>
      </c>
      <c r="V113" s="13" t="n">
        <v>0</v>
      </c>
      <c r="W113" s="13" t="n">
        <f aca="false">U113+V113</f>
        <v>350</v>
      </c>
    </row>
    <row r="114" customFormat="false" ht="15" hidden="false" customHeight="false" outlineLevel="0" collapsed="false">
      <c r="A114" s="14" t="s">
        <v>674</v>
      </c>
      <c r="B114" s="14" t="s">
        <v>549</v>
      </c>
      <c r="C114" s="14" t="s">
        <v>368</v>
      </c>
      <c r="D114" s="14" t="s">
        <v>153</v>
      </c>
      <c r="E114" s="15" t="n">
        <v>480000</v>
      </c>
      <c r="F114" s="15" t="n">
        <v>10097.69</v>
      </c>
      <c r="G114" s="15" t="n">
        <v>1262.21</v>
      </c>
      <c r="H114" s="15" t="n">
        <v>1262.21</v>
      </c>
      <c r="I114" s="15" t="n">
        <f aca="false">SUM(K114:T114)</f>
        <v>7573.3</v>
      </c>
      <c r="J114" s="15" t="n">
        <f aca="false">F114-(G114+H114+I114)</f>
        <v>-0.0300000000006548</v>
      </c>
      <c r="K114" s="15" t="n">
        <v>757.33</v>
      </c>
      <c r="L114" s="15" t="n">
        <v>757.33</v>
      </c>
      <c r="M114" s="15" t="n">
        <v>757.33</v>
      </c>
      <c r="N114" s="15" t="n">
        <v>757.33</v>
      </c>
      <c r="O114" s="15" t="n">
        <v>757.33</v>
      </c>
      <c r="P114" s="15" t="n">
        <v>757.33</v>
      </c>
      <c r="Q114" s="15" t="n">
        <v>757.33</v>
      </c>
      <c r="R114" s="15" t="n">
        <v>757.33</v>
      </c>
      <c r="S114" s="15" t="n">
        <v>757.33</v>
      </c>
      <c r="T114" s="15" t="n">
        <v>757.33</v>
      </c>
      <c r="U114" s="15" t="n">
        <v>350</v>
      </c>
      <c r="V114" s="15" t="n">
        <v>0</v>
      </c>
      <c r="W114" s="15" t="n">
        <f aca="false">U114+V114</f>
        <v>350</v>
      </c>
    </row>
    <row r="115" customFormat="false" ht="15" hidden="false" customHeight="false" outlineLevel="0" collapsed="false">
      <c r="A115" s="3" t="s">
        <v>675</v>
      </c>
      <c r="B115" s="3" t="s">
        <v>676</v>
      </c>
      <c r="C115" s="3" t="s">
        <v>677</v>
      </c>
      <c r="D115" s="3" t="s">
        <v>251</v>
      </c>
      <c r="E115" s="13" t="n">
        <v>325000</v>
      </c>
      <c r="F115" s="13" t="n">
        <v>4940.27</v>
      </c>
      <c r="G115" s="13" t="n">
        <v>617.53</v>
      </c>
      <c r="H115" s="13" t="n">
        <v>617.53</v>
      </c>
      <c r="I115" s="13" t="n">
        <f aca="false">SUM(K115:T115)</f>
        <v>3705.2</v>
      </c>
      <c r="J115" s="13" t="n">
        <f aca="false">F115-(G115+H115+I115)</f>
        <v>0.0100000000002183</v>
      </c>
      <c r="K115" s="13" t="n">
        <v>370.52</v>
      </c>
      <c r="L115" s="13" t="n">
        <v>370.52</v>
      </c>
      <c r="M115" s="13" t="n">
        <v>370.52</v>
      </c>
      <c r="N115" s="13" t="n">
        <v>370.52</v>
      </c>
      <c r="O115" s="13" t="n">
        <v>370.52</v>
      </c>
      <c r="P115" s="13" t="n">
        <v>370.52</v>
      </c>
      <c r="Q115" s="13" t="n">
        <v>370.52</v>
      </c>
      <c r="R115" s="13" t="n">
        <v>370.52</v>
      </c>
      <c r="S115" s="13" t="n">
        <v>370.52</v>
      </c>
      <c r="T115" s="13" t="n">
        <v>370.52</v>
      </c>
      <c r="U115" s="13" t="n">
        <v>350</v>
      </c>
      <c r="V115" s="13" t="n">
        <v>0</v>
      </c>
      <c r="W115" s="13" t="n">
        <f aca="false">U115+V115</f>
        <v>350</v>
      </c>
    </row>
    <row r="116" customFormat="false" ht="15" hidden="false" customHeight="false" outlineLevel="0" collapsed="false">
      <c r="A116" s="14" t="s">
        <v>678</v>
      </c>
      <c r="B116" s="14" t="s">
        <v>502</v>
      </c>
      <c r="C116" s="14" t="s">
        <v>679</v>
      </c>
      <c r="D116" s="14" t="s">
        <v>189</v>
      </c>
      <c r="E116" s="15" t="n">
        <v>770000</v>
      </c>
      <c r="F116" s="15" t="n">
        <v>9962.88</v>
      </c>
      <c r="G116" s="15" t="n">
        <v>1245.36</v>
      </c>
      <c r="H116" s="15" t="n">
        <v>1245.36</v>
      </c>
      <c r="I116" s="15" t="n">
        <f aca="false">SUM(K116:T116)</f>
        <v>7472.2</v>
      </c>
      <c r="J116" s="15" t="n">
        <f aca="false">F116-(G116+H116+I116)</f>
        <v>-0.0400000000008731</v>
      </c>
      <c r="K116" s="15" t="n">
        <v>747.22</v>
      </c>
      <c r="L116" s="15" t="n">
        <v>747.22</v>
      </c>
      <c r="M116" s="15" t="n">
        <v>747.22</v>
      </c>
      <c r="N116" s="15" t="n">
        <v>747.22</v>
      </c>
      <c r="O116" s="15" t="n">
        <v>747.22</v>
      </c>
      <c r="P116" s="15" t="n">
        <v>747.22</v>
      </c>
      <c r="Q116" s="15" t="n">
        <v>747.22</v>
      </c>
      <c r="R116" s="15" t="n">
        <v>747.22</v>
      </c>
      <c r="S116" s="15" t="n">
        <v>747.22</v>
      </c>
      <c r="T116" s="15" t="n">
        <v>747.22</v>
      </c>
      <c r="U116" s="15" t="n">
        <v>350</v>
      </c>
      <c r="V116" s="15" t="n">
        <v>0</v>
      </c>
      <c r="W116" s="15" t="n">
        <f aca="false">U116+V116</f>
        <v>350</v>
      </c>
    </row>
    <row r="117" customFormat="false" ht="15" hidden="false" customHeight="false" outlineLevel="0" collapsed="false">
      <c r="A117" s="3" t="s">
        <v>680</v>
      </c>
      <c r="B117" s="3" t="s">
        <v>549</v>
      </c>
      <c r="C117" s="3" t="s">
        <v>681</v>
      </c>
      <c r="D117" s="3" t="s">
        <v>377</v>
      </c>
      <c r="E117" s="13" t="n">
        <v>1950000</v>
      </c>
      <c r="F117" s="13" t="n">
        <v>37828.35</v>
      </c>
      <c r="G117" s="13" t="n">
        <v>4728.54</v>
      </c>
      <c r="H117" s="13" t="n">
        <v>4728.54</v>
      </c>
      <c r="I117" s="13" t="n">
        <f aca="false">SUM(K117:T117)</f>
        <v>28371.3</v>
      </c>
      <c r="J117" s="13" t="n">
        <f aca="false">F117-(G117+H117+I117)</f>
        <v>-0.0300000000061118</v>
      </c>
      <c r="K117" s="13" t="n">
        <v>2837.13</v>
      </c>
      <c r="L117" s="13" t="n">
        <v>2837.13</v>
      </c>
      <c r="M117" s="13" t="n">
        <v>2837.13</v>
      </c>
      <c r="N117" s="13" t="n">
        <v>2837.13</v>
      </c>
      <c r="O117" s="13" t="n">
        <v>2837.13</v>
      </c>
      <c r="P117" s="13" t="n">
        <v>2837.13</v>
      </c>
      <c r="Q117" s="13" t="n">
        <v>2837.13</v>
      </c>
      <c r="R117" s="13" t="n">
        <v>2837.13</v>
      </c>
      <c r="S117" s="13" t="n">
        <v>2837.13</v>
      </c>
      <c r="T117" s="13" t="n">
        <v>2837.13</v>
      </c>
      <c r="U117" s="13" t="n">
        <v>350</v>
      </c>
      <c r="V117" s="13" t="n">
        <v>250</v>
      </c>
      <c r="W117" s="13" t="n">
        <f aca="false">U117+V117</f>
        <v>600</v>
      </c>
    </row>
    <row r="118" customFormat="false" ht="15" hidden="false" customHeight="false" outlineLevel="0" collapsed="false">
      <c r="A118" s="14" t="s">
        <v>682</v>
      </c>
      <c r="B118" s="14" t="s">
        <v>466</v>
      </c>
      <c r="C118" s="14" t="s">
        <v>506</v>
      </c>
      <c r="D118" s="14" t="s">
        <v>180</v>
      </c>
      <c r="E118" s="15" t="n">
        <v>1950000</v>
      </c>
      <c r="F118" s="15" t="n">
        <v>34158.43</v>
      </c>
      <c r="G118" s="15" t="n">
        <v>4269.8</v>
      </c>
      <c r="H118" s="15" t="n">
        <v>4269.8</v>
      </c>
      <c r="I118" s="15" t="n">
        <f aca="false">SUM(K118:T118)</f>
        <v>25618.8</v>
      </c>
      <c r="J118" s="15" t="n">
        <f aca="false">F118-(G118+H118+I118)</f>
        <v>0.0299999999988358</v>
      </c>
      <c r="K118" s="15" t="n">
        <v>2561.88</v>
      </c>
      <c r="L118" s="15" t="n">
        <v>2561.88</v>
      </c>
      <c r="M118" s="15" t="n">
        <v>2561.88</v>
      </c>
      <c r="N118" s="15" t="n">
        <v>2561.88</v>
      </c>
      <c r="O118" s="15" t="n">
        <v>2561.88</v>
      </c>
      <c r="P118" s="15" t="n">
        <v>2561.88</v>
      </c>
      <c r="Q118" s="15" t="n">
        <v>2561.88</v>
      </c>
      <c r="R118" s="15" t="n">
        <v>2561.88</v>
      </c>
      <c r="S118" s="15" t="n">
        <v>2561.88</v>
      </c>
      <c r="T118" s="15" t="n">
        <v>2561.88</v>
      </c>
      <c r="U118" s="15" t="n">
        <v>350</v>
      </c>
      <c r="V118" s="15" t="n">
        <v>250</v>
      </c>
      <c r="W118" s="15" t="n">
        <f aca="false">U118+V118</f>
        <v>600</v>
      </c>
    </row>
    <row r="119" customFormat="false" ht="15" hidden="false" customHeight="false" outlineLevel="0" collapsed="false">
      <c r="A119" s="3" t="s">
        <v>683</v>
      </c>
      <c r="B119" s="3" t="s">
        <v>497</v>
      </c>
      <c r="C119" s="3" t="s">
        <v>684</v>
      </c>
      <c r="D119" s="3" t="s">
        <v>132</v>
      </c>
      <c r="E119" s="13" t="n">
        <v>920000</v>
      </c>
      <c r="F119" s="13" t="n">
        <v>10821.54</v>
      </c>
      <c r="G119" s="13" t="n">
        <v>1352.69</v>
      </c>
      <c r="H119" s="13" t="n">
        <v>1352.69</v>
      </c>
      <c r="I119" s="13" t="n">
        <f aca="false">SUM(K119:T119)</f>
        <v>8116.2</v>
      </c>
      <c r="J119" s="13" t="n">
        <f aca="false">F119-(G119+H119+I119)</f>
        <v>-0.0399999999990541</v>
      </c>
      <c r="K119" s="13" t="n">
        <v>811.62</v>
      </c>
      <c r="L119" s="13" t="n">
        <v>811.62</v>
      </c>
      <c r="M119" s="13" t="n">
        <v>811.62</v>
      </c>
      <c r="N119" s="13" t="n">
        <v>811.62</v>
      </c>
      <c r="O119" s="13" t="n">
        <v>811.62</v>
      </c>
      <c r="P119" s="13" t="n">
        <v>811.62</v>
      </c>
      <c r="Q119" s="13" t="n">
        <v>811.62</v>
      </c>
      <c r="R119" s="13" t="n">
        <v>811.62</v>
      </c>
      <c r="S119" s="13" t="n">
        <v>811.62</v>
      </c>
      <c r="T119" s="13" t="n">
        <v>811.62</v>
      </c>
      <c r="U119" s="13" t="n">
        <v>350</v>
      </c>
      <c r="V119" s="13" t="n">
        <v>0</v>
      </c>
      <c r="W119" s="13" t="n">
        <f aca="false">U119+V119</f>
        <v>350</v>
      </c>
    </row>
    <row r="120" customFormat="false" ht="15" hidden="false" customHeight="false" outlineLevel="0" collapsed="false">
      <c r="A120" s="14" t="s">
        <v>685</v>
      </c>
      <c r="B120" s="14" t="s">
        <v>553</v>
      </c>
      <c r="C120" s="14" t="s">
        <v>686</v>
      </c>
      <c r="D120" s="14" t="s">
        <v>93</v>
      </c>
      <c r="E120" s="15" t="n">
        <v>1390000</v>
      </c>
      <c r="F120" s="15" t="n">
        <v>17708.25</v>
      </c>
      <c r="G120" s="15" t="n">
        <v>2213.53</v>
      </c>
      <c r="H120" s="15" t="n">
        <v>2213.53</v>
      </c>
      <c r="I120" s="15" t="n">
        <f aca="false">SUM(K120:T120)</f>
        <v>13281.2</v>
      </c>
      <c r="J120" s="15" t="n">
        <f aca="false">F120-(G120+H120+I120)</f>
        <v>-0.00999999999839929</v>
      </c>
      <c r="K120" s="15" t="n">
        <v>1328.12</v>
      </c>
      <c r="L120" s="15" t="n">
        <v>1328.12</v>
      </c>
      <c r="M120" s="15" t="n">
        <v>1328.12</v>
      </c>
      <c r="N120" s="15" t="n">
        <v>1328.12</v>
      </c>
      <c r="O120" s="15" t="n">
        <v>1328.12</v>
      </c>
      <c r="P120" s="15" t="n">
        <v>1328.12</v>
      </c>
      <c r="Q120" s="15" t="n">
        <v>1328.12</v>
      </c>
      <c r="R120" s="15" t="n">
        <v>1328.12</v>
      </c>
      <c r="S120" s="15" t="n">
        <v>1328.12</v>
      </c>
      <c r="T120" s="15" t="n">
        <v>1328.12</v>
      </c>
      <c r="U120" s="15" t="n">
        <v>350</v>
      </c>
      <c r="V120" s="15" t="n">
        <v>250</v>
      </c>
      <c r="W120" s="15" t="n">
        <f aca="false">U120+V120</f>
        <v>600</v>
      </c>
    </row>
    <row r="121" customFormat="false" ht="15" hidden="false" customHeight="false" outlineLevel="0" collapsed="false">
      <c r="A121" s="3" t="s">
        <v>687</v>
      </c>
      <c r="B121" s="3" t="s">
        <v>470</v>
      </c>
      <c r="C121" s="3" t="s">
        <v>688</v>
      </c>
      <c r="D121" s="3" t="s">
        <v>233</v>
      </c>
      <c r="E121" s="13" t="n">
        <v>770000</v>
      </c>
      <c r="F121" s="13" t="n">
        <v>8876.02</v>
      </c>
      <c r="G121" s="13" t="n">
        <v>1109.5</v>
      </c>
      <c r="H121" s="13" t="n">
        <v>1109.5</v>
      </c>
      <c r="I121" s="13" t="n">
        <f aca="false">SUM(K121:T121)</f>
        <v>6657</v>
      </c>
      <c r="J121" s="13" t="n">
        <f aca="false">F121-(G121+H121+I121)</f>
        <v>0.0200000000004366</v>
      </c>
      <c r="K121" s="13" t="n">
        <v>665.7</v>
      </c>
      <c r="L121" s="13" t="n">
        <v>665.7</v>
      </c>
      <c r="M121" s="13" t="n">
        <v>665.7</v>
      </c>
      <c r="N121" s="13" t="n">
        <v>665.7</v>
      </c>
      <c r="O121" s="13" t="n">
        <v>665.7</v>
      </c>
      <c r="P121" s="13" t="n">
        <v>665.7</v>
      </c>
      <c r="Q121" s="13" t="n">
        <v>665.7</v>
      </c>
      <c r="R121" s="13" t="n">
        <v>665.7</v>
      </c>
      <c r="S121" s="13" t="n">
        <v>665.7</v>
      </c>
      <c r="T121" s="13" t="n">
        <v>665.7</v>
      </c>
      <c r="U121" s="13" t="n">
        <v>350</v>
      </c>
      <c r="V121" s="13" t="n">
        <v>0</v>
      </c>
      <c r="W121" s="13" t="n">
        <f aca="false">U121+V121</f>
        <v>350</v>
      </c>
    </row>
    <row r="122" customFormat="false" ht="15" hidden="false" customHeight="false" outlineLevel="0" collapsed="false">
      <c r="A122" s="14" t="s">
        <v>689</v>
      </c>
      <c r="B122" s="14" t="s">
        <v>468</v>
      </c>
      <c r="C122" s="14" t="s">
        <v>690</v>
      </c>
      <c r="D122" s="14" t="s">
        <v>138</v>
      </c>
      <c r="E122" s="15" t="n">
        <v>380000</v>
      </c>
      <c r="F122" s="15" t="n">
        <v>5931.04</v>
      </c>
      <c r="G122" s="15" t="n">
        <v>741.38</v>
      </c>
      <c r="H122" s="15" t="n">
        <v>741.38</v>
      </c>
      <c r="I122" s="15" t="n">
        <f aca="false">SUM(K122:T122)</f>
        <v>4448.3</v>
      </c>
      <c r="J122" s="15" t="n">
        <f aca="false">F122-(G122+H122+I122)</f>
        <v>-0.0200000000004366</v>
      </c>
      <c r="K122" s="15" t="n">
        <v>444.83</v>
      </c>
      <c r="L122" s="15" t="n">
        <v>444.83</v>
      </c>
      <c r="M122" s="15" t="n">
        <v>444.83</v>
      </c>
      <c r="N122" s="15" t="n">
        <v>444.83</v>
      </c>
      <c r="O122" s="15" t="n">
        <v>444.83</v>
      </c>
      <c r="P122" s="15" t="n">
        <v>444.83</v>
      </c>
      <c r="Q122" s="15" t="n">
        <v>444.83</v>
      </c>
      <c r="R122" s="15" t="n">
        <v>444.83</v>
      </c>
      <c r="S122" s="15" t="n">
        <v>444.83</v>
      </c>
      <c r="T122" s="15" t="n">
        <v>444.83</v>
      </c>
      <c r="U122" s="15" t="n">
        <v>350</v>
      </c>
      <c r="V122" s="15" t="n">
        <v>0</v>
      </c>
      <c r="W122" s="15" t="n">
        <f aca="false">U122+V122</f>
        <v>350</v>
      </c>
    </row>
    <row r="123" customFormat="false" ht="15" hidden="false" customHeight="false" outlineLevel="0" collapsed="false">
      <c r="A123" s="3" t="s">
        <v>691</v>
      </c>
      <c r="B123" s="3" t="s">
        <v>505</v>
      </c>
      <c r="C123" s="3" t="s">
        <v>692</v>
      </c>
      <c r="D123" s="3" t="s">
        <v>89</v>
      </c>
      <c r="E123" s="13" t="n">
        <v>920000</v>
      </c>
      <c r="F123" s="13" t="n">
        <v>9664.47</v>
      </c>
      <c r="G123" s="13" t="n">
        <v>1208.06</v>
      </c>
      <c r="H123" s="13" t="n">
        <v>1208.06</v>
      </c>
      <c r="I123" s="13" t="n">
        <f aca="false">SUM(K123:T123)</f>
        <v>7248.4</v>
      </c>
      <c r="J123" s="13" t="n">
        <f aca="false">F123-(G123+H123+I123)</f>
        <v>-0.0500000000010914</v>
      </c>
      <c r="K123" s="13" t="n">
        <v>724.84</v>
      </c>
      <c r="L123" s="13" t="n">
        <v>724.84</v>
      </c>
      <c r="M123" s="13" t="n">
        <v>724.84</v>
      </c>
      <c r="N123" s="13" t="n">
        <v>724.84</v>
      </c>
      <c r="O123" s="13" t="n">
        <v>724.84</v>
      </c>
      <c r="P123" s="13" t="n">
        <v>724.84</v>
      </c>
      <c r="Q123" s="13" t="n">
        <v>724.84</v>
      </c>
      <c r="R123" s="13" t="n">
        <v>724.84</v>
      </c>
      <c r="S123" s="13" t="n">
        <v>724.84</v>
      </c>
      <c r="T123" s="13" t="n">
        <v>724.84</v>
      </c>
      <c r="U123" s="13" t="n">
        <v>350</v>
      </c>
      <c r="V123" s="13" t="n">
        <v>0</v>
      </c>
      <c r="W123" s="13" t="n">
        <f aca="false">U123+V123</f>
        <v>350</v>
      </c>
    </row>
    <row r="124" customFormat="false" ht="15" hidden="false" customHeight="false" outlineLevel="0" collapsed="false">
      <c r="A124" s="14" t="s">
        <v>693</v>
      </c>
      <c r="B124" s="14" t="s">
        <v>468</v>
      </c>
      <c r="C124" s="14" t="s">
        <v>474</v>
      </c>
      <c r="D124" s="14" t="s">
        <v>197</v>
      </c>
      <c r="E124" s="15" t="n">
        <v>285000</v>
      </c>
      <c r="F124" s="15" t="n">
        <v>4216.19</v>
      </c>
      <c r="G124" s="15" t="n">
        <v>527.02</v>
      </c>
      <c r="H124" s="15" t="n">
        <v>527.02</v>
      </c>
      <c r="I124" s="15" t="n">
        <f aca="false">SUM(K124:T124)</f>
        <v>3162.1</v>
      </c>
      <c r="J124" s="15" t="n">
        <f aca="false">F124-(G124+H124+I124)</f>
        <v>0.0500000000001819</v>
      </c>
      <c r="K124" s="15" t="n">
        <v>316.21</v>
      </c>
      <c r="L124" s="15" t="n">
        <v>316.21</v>
      </c>
      <c r="M124" s="15" t="n">
        <v>316.21</v>
      </c>
      <c r="N124" s="15" t="n">
        <v>316.21</v>
      </c>
      <c r="O124" s="15" t="n">
        <v>316.21</v>
      </c>
      <c r="P124" s="15" t="n">
        <v>316.21</v>
      </c>
      <c r="Q124" s="15" t="n">
        <v>316.21</v>
      </c>
      <c r="R124" s="15" t="n">
        <v>316.21</v>
      </c>
      <c r="S124" s="15" t="n">
        <v>316.21</v>
      </c>
      <c r="T124" s="15" t="n">
        <v>316.21</v>
      </c>
      <c r="U124" s="15" t="n">
        <v>350</v>
      </c>
      <c r="V124" s="15" t="n">
        <v>0</v>
      </c>
      <c r="W124" s="15" t="n">
        <f aca="false">U124+V124</f>
        <v>350</v>
      </c>
    </row>
    <row r="125" customFormat="false" ht="15" hidden="false" customHeight="false" outlineLevel="0" collapsed="false">
      <c r="A125" s="3" t="s">
        <v>694</v>
      </c>
      <c r="B125" s="3" t="s">
        <v>569</v>
      </c>
      <c r="C125" s="3" t="s">
        <v>695</v>
      </c>
      <c r="D125" s="3" t="s">
        <v>163</v>
      </c>
      <c r="E125" s="13" t="n">
        <v>260000</v>
      </c>
      <c r="F125" s="13" t="n">
        <v>3599.34</v>
      </c>
      <c r="G125" s="13" t="n">
        <v>449.92</v>
      </c>
      <c r="H125" s="13" t="n">
        <v>449.92</v>
      </c>
      <c r="I125" s="13" t="n">
        <f aca="false">SUM(K125:T125)</f>
        <v>2699.5</v>
      </c>
      <c r="J125" s="13" t="n">
        <f aca="false">F125-(G125+H125+I125)</f>
        <v>0</v>
      </c>
      <c r="K125" s="13" t="n">
        <v>269.95</v>
      </c>
      <c r="L125" s="13" t="n">
        <v>269.95</v>
      </c>
      <c r="M125" s="13" t="n">
        <v>269.95</v>
      </c>
      <c r="N125" s="13" t="n">
        <v>269.95</v>
      </c>
      <c r="O125" s="13" t="n">
        <v>269.95</v>
      </c>
      <c r="P125" s="13" t="n">
        <v>269.95</v>
      </c>
      <c r="Q125" s="13" t="n">
        <v>269.95</v>
      </c>
      <c r="R125" s="13" t="n">
        <v>269.95</v>
      </c>
      <c r="S125" s="13" t="n">
        <v>269.95</v>
      </c>
      <c r="T125" s="13" t="n">
        <v>269.95</v>
      </c>
      <c r="U125" s="13" t="n">
        <v>350</v>
      </c>
      <c r="V125" s="13" t="n">
        <v>0</v>
      </c>
      <c r="W125" s="13" t="n">
        <f aca="false">U125+V125</f>
        <v>350</v>
      </c>
    </row>
    <row r="126" customFormat="false" ht="15" hidden="false" customHeight="false" outlineLevel="0" collapsed="false">
      <c r="A126" s="14" t="s">
        <v>696</v>
      </c>
      <c r="B126" s="14" t="s">
        <v>697</v>
      </c>
      <c r="C126" s="14" t="s">
        <v>487</v>
      </c>
      <c r="D126" s="14" t="s">
        <v>698</v>
      </c>
      <c r="E126" s="15" t="n">
        <v>745000</v>
      </c>
      <c r="F126" s="15" t="n">
        <v>12005.45</v>
      </c>
      <c r="G126" s="15" t="n">
        <v>1500.68</v>
      </c>
      <c r="H126" s="15" t="n">
        <v>1500.68</v>
      </c>
      <c r="I126" s="15" t="n">
        <f aca="false">SUM(K126:T126)</f>
        <v>9004.1</v>
      </c>
      <c r="J126" s="15" t="n">
        <f aca="false">F126-(G126+H126+I126)</f>
        <v>-0.0100000000002183</v>
      </c>
      <c r="K126" s="15" t="n">
        <v>900.41</v>
      </c>
      <c r="L126" s="15" t="n">
        <v>900.41</v>
      </c>
      <c r="M126" s="15" t="n">
        <v>900.41</v>
      </c>
      <c r="N126" s="15" t="n">
        <v>900.41</v>
      </c>
      <c r="O126" s="15" t="n">
        <v>900.41</v>
      </c>
      <c r="P126" s="15" t="n">
        <v>900.41</v>
      </c>
      <c r="Q126" s="15" t="n">
        <v>900.41</v>
      </c>
      <c r="R126" s="15" t="n">
        <v>900.41</v>
      </c>
      <c r="S126" s="15" t="n">
        <v>900.41</v>
      </c>
      <c r="T126" s="15" t="n">
        <v>900.41</v>
      </c>
      <c r="U126" s="15" t="n">
        <v>350</v>
      </c>
      <c r="V126" s="15" t="n">
        <v>0</v>
      </c>
      <c r="W126" s="15" t="n">
        <f aca="false">U126+V126</f>
        <v>350</v>
      </c>
    </row>
    <row r="127" customFormat="false" ht="15" hidden="false" customHeight="false" outlineLevel="0" collapsed="false">
      <c r="A127" s="3" t="s">
        <v>699</v>
      </c>
      <c r="B127" s="3" t="s">
        <v>493</v>
      </c>
      <c r="C127" s="3" t="s">
        <v>484</v>
      </c>
      <c r="D127" s="3" t="s">
        <v>230</v>
      </c>
      <c r="E127" s="13" t="n">
        <v>955000</v>
      </c>
      <c r="F127" s="13" t="n">
        <v>19537.18</v>
      </c>
      <c r="G127" s="13" t="n">
        <v>2442.15</v>
      </c>
      <c r="H127" s="13" t="n">
        <v>2442.15</v>
      </c>
      <c r="I127" s="13" t="n">
        <f aca="false">SUM(K127:T127)</f>
        <v>14652.9</v>
      </c>
      <c r="J127" s="13" t="n">
        <f aca="false">F127-(G127+H127+I127)</f>
        <v>-0.0200000000004366</v>
      </c>
      <c r="K127" s="13" t="n">
        <v>1465.29</v>
      </c>
      <c r="L127" s="13" t="n">
        <v>1465.29</v>
      </c>
      <c r="M127" s="13" t="n">
        <v>1465.29</v>
      </c>
      <c r="N127" s="13" t="n">
        <v>1465.29</v>
      </c>
      <c r="O127" s="13" t="n">
        <v>1465.29</v>
      </c>
      <c r="P127" s="13" t="n">
        <v>1465.29</v>
      </c>
      <c r="Q127" s="13" t="n">
        <v>1465.29</v>
      </c>
      <c r="R127" s="13" t="n">
        <v>1465.29</v>
      </c>
      <c r="S127" s="13" t="n">
        <v>1465.29</v>
      </c>
      <c r="T127" s="13" t="n">
        <v>1465.29</v>
      </c>
      <c r="U127" s="13" t="n">
        <v>350</v>
      </c>
      <c r="V127" s="13" t="n">
        <v>0</v>
      </c>
      <c r="W127" s="13" t="n">
        <f aca="false">U127+V127</f>
        <v>350</v>
      </c>
    </row>
    <row r="128" customFormat="false" ht="15" hidden="false" customHeight="false" outlineLevel="0" collapsed="false">
      <c r="A128" s="14" t="s">
        <v>700</v>
      </c>
      <c r="B128" s="14" t="s">
        <v>676</v>
      </c>
      <c r="C128" s="14" t="s">
        <v>649</v>
      </c>
      <c r="D128" s="14" t="s">
        <v>382</v>
      </c>
      <c r="E128" s="15" t="n">
        <v>885000</v>
      </c>
      <c r="F128" s="15" t="n">
        <v>11659.04</v>
      </c>
      <c r="G128" s="15" t="n">
        <v>1457.38</v>
      </c>
      <c r="H128" s="15" t="n">
        <v>1457.38</v>
      </c>
      <c r="I128" s="15" t="n">
        <f aca="false">SUM(K128:T128)</f>
        <v>8744.3</v>
      </c>
      <c r="J128" s="15" t="n">
        <f aca="false">F128-(G128+H128+I128)</f>
        <v>-0.0199999999986176</v>
      </c>
      <c r="K128" s="15" t="n">
        <v>874.43</v>
      </c>
      <c r="L128" s="15" t="n">
        <v>874.43</v>
      </c>
      <c r="M128" s="15" t="n">
        <v>874.43</v>
      </c>
      <c r="N128" s="15" t="n">
        <v>874.43</v>
      </c>
      <c r="O128" s="15" t="n">
        <v>874.43</v>
      </c>
      <c r="P128" s="15" t="n">
        <v>874.43</v>
      </c>
      <c r="Q128" s="15" t="n">
        <v>874.43</v>
      </c>
      <c r="R128" s="15" t="n">
        <v>874.43</v>
      </c>
      <c r="S128" s="15" t="n">
        <v>874.43</v>
      </c>
      <c r="T128" s="15" t="n">
        <v>874.43</v>
      </c>
      <c r="U128" s="15" t="n">
        <v>350</v>
      </c>
      <c r="V128" s="15" t="n">
        <v>0</v>
      </c>
      <c r="W128" s="15" t="n">
        <f aca="false">U128+V128</f>
        <v>350</v>
      </c>
    </row>
    <row r="129" customFormat="false" ht="15" hidden="false" customHeight="false" outlineLevel="0" collapsed="false">
      <c r="A129" s="3" t="s">
        <v>701</v>
      </c>
      <c r="B129" s="3" t="s">
        <v>509</v>
      </c>
      <c r="C129" s="3" t="s">
        <v>702</v>
      </c>
      <c r="D129" s="3" t="s">
        <v>132</v>
      </c>
      <c r="E129" s="13" t="n">
        <v>710000</v>
      </c>
      <c r="F129" s="13" t="n">
        <v>5524.78</v>
      </c>
      <c r="G129" s="13" t="n">
        <v>690.6</v>
      </c>
      <c r="H129" s="13" t="n">
        <v>690.6</v>
      </c>
      <c r="I129" s="13" t="n">
        <f aca="false">SUM(K129:T129)</f>
        <v>4143.6</v>
      </c>
      <c r="J129" s="13" t="n">
        <f aca="false">F129-(G129+H129+I129)</f>
        <v>-0.0200000000004366</v>
      </c>
      <c r="K129" s="13" t="n">
        <v>414.36</v>
      </c>
      <c r="L129" s="13" t="n">
        <v>414.36</v>
      </c>
      <c r="M129" s="13" t="n">
        <v>414.36</v>
      </c>
      <c r="N129" s="13" t="n">
        <v>414.36</v>
      </c>
      <c r="O129" s="13" t="n">
        <v>414.36</v>
      </c>
      <c r="P129" s="13" t="n">
        <v>414.36</v>
      </c>
      <c r="Q129" s="13" t="n">
        <v>414.36</v>
      </c>
      <c r="R129" s="13" t="n">
        <v>414.36</v>
      </c>
      <c r="S129" s="13" t="n">
        <v>414.36</v>
      </c>
      <c r="T129" s="13" t="n">
        <v>414.36</v>
      </c>
      <c r="U129" s="13" t="n">
        <v>350</v>
      </c>
      <c r="V129" s="13" t="n">
        <v>0</v>
      </c>
      <c r="W129" s="13" t="n">
        <f aca="false">U129+V129</f>
        <v>350</v>
      </c>
    </row>
    <row r="130" customFormat="false" ht="15" hidden="false" customHeight="false" outlineLevel="0" collapsed="false">
      <c r="A130" s="14" t="s">
        <v>703</v>
      </c>
      <c r="B130" s="14" t="s">
        <v>483</v>
      </c>
      <c r="C130" s="14" t="s">
        <v>704</v>
      </c>
      <c r="D130" s="14" t="s">
        <v>230</v>
      </c>
      <c r="E130" s="15" t="n">
        <v>1175000</v>
      </c>
      <c r="F130" s="15" t="n">
        <v>13916.68</v>
      </c>
      <c r="G130" s="15" t="n">
        <v>1739.59</v>
      </c>
      <c r="H130" s="15" t="n">
        <v>1739.59</v>
      </c>
      <c r="I130" s="15" t="n">
        <f aca="false">SUM(K130:T130)</f>
        <v>10437.5</v>
      </c>
      <c r="J130" s="15" t="n">
        <f aca="false">F130-(G130+H130+I130)</f>
        <v>0</v>
      </c>
      <c r="K130" s="15" t="n">
        <v>1043.75</v>
      </c>
      <c r="L130" s="15" t="n">
        <v>1043.75</v>
      </c>
      <c r="M130" s="15" t="n">
        <v>1043.75</v>
      </c>
      <c r="N130" s="15" t="n">
        <v>1043.75</v>
      </c>
      <c r="O130" s="15" t="n">
        <v>1043.75</v>
      </c>
      <c r="P130" s="15" t="n">
        <v>1043.75</v>
      </c>
      <c r="Q130" s="15" t="n">
        <v>1043.75</v>
      </c>
      <c r="R130" s="15" t="n">
        <v>1043.75</v>
      </c>
      <c r="S130" s="15" t="n">
        <v>1043.75</v>
      </c>
      <c r="T130" s="15" t="n">
        <v>1043.75</v>
      </c>
      <c r="U130" s="15" t="n">
        <v>350</v>
      </c>
      <c r="V130" s="15" t="n">
        <v>250</v>
      </c>
      <c r="W130" s="15" t="n">
        <f aca="false">U130+V130</f>
        <v>600</v>
      </c>
    </row>
    <row r="131" customFormat="false" ht="15" hidden="false" customHeight="false" outlineLevel="0" collapsed="false">
      <c r="A131" s="3" t="s">
        <v>705</v>
      </c>
      <c r="B131" s="3" t="s">
        <v>676</v>
      </c>
      <c r="C131" s="3" t="s">
        <v>706</v>
      </c>
      <c r="D131" s="3" t="s">
        <v>180</v>
      </c>
      <c r="E131" s="13" t="n">
        <v>1950000</v>
      </c>
      <c r="F131" s="13" t="n">
        <v>34158.43</v>
      </c>
      <c r="G131" s="13" t="n">
        <v>4269.8</v>
      </c>
      <c r="H131" s="13" t="n">
        <v>4269.8</v>
      </c>
      <c r="I131" s="13" t="n">
        <f aca="false">SUM(K131:T131)</f>
        <v>25618.8</v>
      </c>
      <c r="J131" s="13" t="n">
        <f aca="false">F131-(G131+H131+I131)</f>
        <v>0.0299999999988358</v>
      </c>
      <c r="K131" s="13" t="n">
        <v>2561.88</v>
      </c>
      <c r="L131" s="13" t="n">
        <v>2561.88</v>
      </c>
      <c r="M131" s="13" t="n">
        <v>2561.88</v>
      </c>
      <c r="N131" s="13" t="n">
        <v>2561.88</v>
      </c>
      <c r="O131" s="13" t="n">
        <v>2561.88</v>
      </c>
      <c r="P131" s="13" t="n">
        <v>2561.88</v>
      </c>
      <c r="Q131" s="13" t="n">
        <v>2561.88</v>
      </c>
      <c r="R131" s="13" t="n">
        <v>2561.88</v>
      </c>
      <c r="S131" s="13" t="n">
        <v>2561.88</v>
      </c>
      <c r="T131" s="13" t="n">
        <v>2561.88</v>
      </c>
      <c r="U131" s="13" t="n">
        <v>350</v>
      </c>
      <c r="V131" s="13" t="n">
        <v>250</v>
      </c>
      <c r="W131" s="13" t="n">
        <f aca="false">U131+V131</f>
        <v>600</v>
      </c>
    </row>
    <row r="132" customFormat="false" ht="15" hidden="false" customHeight="false" outlineLevel="0" collapsed="false">
      <c r="A132" s="14" t="s">
        <v>707</v>
      </c>
      <c r="B132" s="14" t="s">
        <v>549</v>
      </c>
      <c r="C132" s="14" t="s">
        <v>708</v>
      </c>
      <c r="D132" s="14" t="s">
        <v>93</v>
      </c>
      <c r="E132" s="15" t="n">
        <v>770000</v>
      </c>
      <c r="F132" s="15" t="n">
        <v>16943.86</v>
      </c>
      <c r="G132" s="15" t="n">
        <v>2117.98</v>
      </c>
      <c r="H132" s="15" t="n">
        <v>2117.98</v>
      </c>
      <c r="I132" s="15" t="n">
        <f aca="false">SUM(K132:T132)</f>
        <v>12707.9</v>
      </c>
      <c r="J132" s="15" t="n">
        <f aca="false">F132-(G132+H132+I132)</f>
        <v>0</v>
      </c>
      <c r="K132" s="15" t="n">
        <v>1270.79</v>
      </c>
      <c r="L132" s="15" t="n">
        <v>1270.79</v>
      </c>
      <c r="M132" s="15" t="n">
        <v>1270.79</v>
      </c>
      <c r="N132" s="15" t="n">
        <v>1270.79</v>
      </c>
      <c r="O132" s="15" t="n">
        <v>1270.79</v>
      </c>
      <c r="P132" s="15" t="n">
        <v>1270.79</v>
      </c>
      <c r="Q132" s="15" t="n">
        <v>1270.79</v>
      </c>
      <c r="R132" s="15" t="n">
        <v>1270.79</v>
      </c>
      <c r="S132" s="15" t="n">
        <v>1270.79</v>
      </c>
      <c r="T132" s="15" t="n">
        <v>1270.79</v>
      </c>
      <c r="U132" s="15" t="n">
        <v>350</v>
      </c>
      <c r="V132" s="15" t="n">
        <v>0</v>
      </c>
      <c r="W132" s="15" t="n">
        <f aca="false">U132+V132</f>
        <v>350</v>
      </c>
    </row>
    <row r="133" customFormat="false" ht="15" hidden="false" customHeight="false" outlineLevel="0" collapsed="false">
      <c r="A133" s="3" t="s">
        <v>709</v>
      </c>
      <c r="B133" s="3" t="s">
        <v>470</v>
      </c>
      <c r="C133" s="3" t="s">
        <v>710</v>
      </c>
      <c r="D133" s="3" t="s">
        <v>230</v>
      </c>
      <c r="E133" s="13" t="n">
        <v>680000</v>
      </c>
      <c r="F133" s="13" t="n">
        <v>9518.25</v>
      </c>
      <c r="G133" s="13" t="n">
        <v>1189.78</v>
      </c>
      <c r="H133" s="13" t="n">
        <v>1189.78</v>
      </c>
      <c r="I133" s="13" t="n">
        <f aca="false">SUM(K133:T133)</f>
        <v>7138.7</v>
      </c>
      <c r="J133" s="13" t="n">
        <f aca="false">F133-(G133+H133+I133)</f>
        <v>-0.0100000000002183</v>
      </c>
      <c r="K133" s="13" t="n">
        <v>713.87</v>
      </c>
      <c r="L133" s="13" t="n">
        <v>713.87</v>
      </c>
      <c r="M133" s="13" t="n">
        <v>713.87</v>
      </c>
      <c r="N133" s="13" t="n">
        <v>713.87</v>
      </c>
      <c r="O133" s="13" t="n">
        <v>713.87</v>
      </c>
      <c r="P133" s="13" t="n">
        <v>713.87</v>
      </c>
      <c r="Q133" s="13" t="n">
        <v>713.87</v>
      </c>
      <c r="R133" s="13" t="n">
        <v>713.87</v>
      </c>
      <c r="S133" s="13" t="n">
        <v>713.87</v>
      </c>
      <c r="T133" s="13" t="n">
        <v>713.87</v>
      </c>
      <c r="U133" s="13" t="n">
        <v>350</v>
      </c>
      <c r="V133" s="13" t="n">
        <v>0</v>
      </c>
      <c r="W133" s="13" t="n">
        <f aca="false">U133+V133</f>
        <v>350</v>
      </c>
    </row>
    <row r="134" customFormat="false" ht="15" hidden="false" customHeight="false" outlineLevel="0" collapsed="false">
      <c r="A134" s="14" t="s">
        <v>711</v>
      </c>
      <c r="B134" s="14" t="s">
        <v>493</v>
      </c>
      <c r="C134" s="14" t="s">
        <v>679</v>
      </c>
      <c r="D134" s="14" t="s">
        <v>85</v>
      </c>
      <c r="E134" s="15" t="n">
        <v>1200000</v>
      </c>
      <c r="F134" s="15" t="n">
        <v>24147.61</v>
      </c>
      <c r="G134" s="15" t="n">
        <v>3018.45</v>
      </c>
      <c r="H134" s="15" t="n">
        <v>3018.45</v>
      </c>
      <c r="I134" s="15" t="n">
        <f aca="false">SUM(K134:T134)</f>
        <v>18110.7</v>
      </c>
      <c r="J134" s="15" t="n">
        <f aca="false">F134-(G134+H134+I134)</f>
        <v>0.0100000000020373</v>
      </c>
      <c r="K134" s="15" t="n">
        <v>1811.07</v>
      </c>
      <c r="L134" s="15" t="n">
        <v>1811.07</v>
      </c>
      <c r="M134" s="15" t="n">
        <v>1811.07</v>
      </c>
      <c r="N134" s="15" t="n">
        <v>1811.07</v>
      </c>
      <c r="O134" s="15" t="n">
        <v>1811.07</v>
      </c>
      <c r="P134" s="15" t="n">
        <v>1811.07</v>
      </c>
      <c r="Q134" s="15" t="n">
        <v>1811.07</v>
      </c>
      <c r="R134" s="15" t="n">
        <v>1811.07</v>
      </c>
      <c r="S134" s="15" t="n">
        <v>1811.07</v>
      </c>
      <c r="T134" s="15" t="n">
        <v>1811.07</v>
      </c>
      <c r="U134" s="15" t="n">
        <v>350</v>
      </c>
      <c r="V134" s="15" t="n">
        <v>250</v>
      </c>
      <c r="W134" s="15" t="n">
        <f aca="false">U134+V134</f>
        <v>600</v>
      </c>
    </row>
    <row r="135" customFormat="false" ht="15" hidden="false" customHeight="false" outlineLevel="0" collapsed="false">
      <c r="A135" s="3" t="s">
        <v>712</v>
      </c>
      <c r="B135" s="3" t="s">
        <v>483</v>
      </c>
      <c r="C135" s="3" t="s">
        <v>713</v>
      </c>
      <c r="D135" s="3" t="s">
        <v>121</v>
      </c>
      <c r="E135" s="13" t="n">
        <v>790000</v>
      </c>
      <c r="F135" s="13" t="n">
        <v>11336.74</v>
      </c>
      <c r="G135" s="13" t="n">
        <v>1417.09</v>
      </c>
      <c r="H135" s="13" t="n">
        <v>1417.09</v>
      </c>
      <c r="I135" s="13" t="n">
        <f aca="false">SUM(K135:T135)</f>
        <v>8502.6</v>
      </c>
      <c r="J135" s="13" t="n">
        <f aca="false">F135-(G135+H135+I135)</f>
        <v>-0.0400000000008731</v>
      </c>
      <c r="K135" s="13" t="n">
        <v>850.26</v>
      </c>
      <c r="L135" s="13" t="n">
        <v>850.26</v>
      </c>
      <c r="M135" s="13" t="n">
        <v>850.26</v>
      </c>
      <c r="N135" s="13" t="n">
        <v>850.26</v>
      </c>
      <c r="O135" s="13" t="n">
        <v>850.26</v>
      </c>
      <c r="P135" s="13" t="n">
        <v>850.26</v>
      </c>
      <c r="Q135" s="13" t="n">
        <v>850.26</v>
      </c>
      <c r="R135" s="13" t="n">
        <v>850.26</v>
      </c>
      <c r="S135" s="13" t="n">
        <v>850.26</v>
      </c>
      <c r="T135" s="13" t="n">
        <v>850.26</v>
      </c>
      <c r="U135" s="13" t="n">
        <v>350</v>
      </c>
      <c r="V135" s="13" t="n">
        <v>0</v>
      </c>
      <c r="W135" s="13" t="n">
        <f aca="false">U135+V135</f>
        <v>350</v>
      </c>
    </row>
    <row r="136" customFormat="false" ht="15" hidden="false" customHeight="false" outlineLevel="0" collapsed="false">
      <c r="A136" s="14" t="s">
        <v>714</v>
      </c>
      <c r="B136" s="14" t="s">
        <v>479</v>
      </c>
      <c r="C136" s="14" t="s">
        <v>715</v>
      </c>
      <c r="D136" s="14" t="s">
        <v>430</v>
      </c>
      <c r="E136" s="15" t="n">
        <v>115000</v>
      </c>
      <c r="F136" s="15" t="n">
        <v>1895.43</v>
      </c>
      <c r="G136" s="15" t="n">
        <v>236.93</v>
      </c>
      <c r="H136" s="15" t="n">
        <v>236.93</v>
      </c>
      <c r="I136" s="15" t="n">
        <f aca="false">SUM(K136:T136)</f>
        <v>1421.6</v>
      </c>
      <c r="J136" s="15" t="n">
        <f aca="false">F136-(G136+H136+I136)</f>
        <v>-0.0299999999999727</v>
      </c>
      <c r="K136" s="15" t="n">
        <v>142.16</v>
      </c>
      <c r="L136" s="15" t="n">
        <v>142.16</v>
      </c>
      <c r="M136" s="15" t="n">
        <v>142.16</v>
      </c>
      <c r="N136" s="15" t="n">
        <v>142.16</v>
      </c>
      <c r="O136" s="15" t="n">
        <v>142.16</v>
      </c>
      <c r="P136" s="15" t="n">
        <v>142.16</v>
      </c>
      <c r="Q136" s="15" t="n">
        <v>142.16</v>
      </c>
      <c r="R136" s="15" t="n">
        <v>142.16</v>
      </c>
      <c r="S136" s="15" t="n">
        <v>142.16</v>
      </c>
      <c r="T136" s="15" t="n">
        <v>142.16</v>
      </c>
      <c r="U136" s="15" t="n">
        <v>350</v>
      </c>
      <c r="V136" s="15" t="n">
        <v>0</v>
      </c>
      <c r="W136" s="15" t="n">
        <f aca="false">U136+V136</f>
        <v>350</v>
      </c>
    </row>
    <row r="137" customFormat="false" ht="15" hidden="false" customHeight="false" outlineLevel="0" collapsed="false">
      <c r="A137" s="3" t="s">
        <v>716</v>
      </c>
      <c r="B137" s="3" t="s">
        <v>464</v>
      </c>
      <c r="C137" s="3" t="s">
        <v>717</v>
      </c>
      <c r="D137" s="3" t="s">
        <v>112</v>
      </c>
      <c r="E137" s="13" t="n">
        <v>640000</v>
      </c>
      <c r="F137" s="13" t="n">
        <v>4731.08</v>
      </c>
      <c r="G137" s="13" t="n">
        <v>591.38</v>
      </c>
      <c r="H137" s="13" t="n">
        <v>591.38</v>
      </c>
      <c r="I137" s="13" t="n">
        <f aca="false">SUM(K137:T137)</f>
        <v>3548.3</v>
      </c>
      <c r="J137" s="13" t="n">
        <f aca="false">F137-(G137+H137+I137)</f>
        <v>0.0200000000004366</v>
      </c>
      <c r="K137" s="13" t="n">
        <v>354.83</v>
      </c>
      <c r="L137" s="13" t="n">
        <v>354.83</v>
      </c>
      <c r="M137" s="13" t="n">
        <v>354.83</v>
      </c>
      <c r="N137" s="13" t="n">
        <v>354.83</v>
      </c>
      <c r="O137" s="13" t="n">
        <v>354.83</v>
      </c>
      <c r="P137" s="13" t="n">
        <v>354.83</v>
      </c>
      <c r="Q137" s="13" t="n">
        <v>354.83</v>
      </c>
      <c r="R137" s="13" t="n">
        <v>354.83</v>
      </c>
      <c r="S137" s="13" t="n">
        <v>354.83</v>
      </c>
      <c r="T137" s="13" t="n">
        <v>354.83</v>
      </c>
      <c r="U137" s="13" t="n">
        <v>350</v>
      </c>
      <c r="V137" s="13" t="n">
        <v>0</v>
      </c>
      <c r="W137" s="13" t="n">
        <f aca="false">U137+V137</f>
        <v>350</v>
      </c>
    </row>
    <row r="138" customFormat="false" ht="15" hidden="false" customHeight="false" outlineLevel="0" collapsed="false">
      <c r="A138" s="14" t="s">
        <v>718</v>
      </c>
      <c r="B138" s="14" t="s">
        <v>540</v>
      </c>
      <c r="C138" s="14" t="s">
        <v>719</v>
      </c>
      <c r="D138" s="14" t="s">
        <v>233</v>
      </c>
      <c r="E138" s="15" t="n">
        <v>535000</v>
      </c>
      <c r="F138" s="15" t="n">
        <v>4079.77</v>
      </c>
      <c r="G138" s="15" t="n">
        <v>509.97</v>
      </c>
      <c r="H138" s="15" t="n">
        <v>509.97</v>
      </c>
      <c r="I138" s="15" t="n">
        <f aca="false">SUM(K138:T138)</f>
        <v>3059.8</v>
      </c>
      <c r="J138" s="15" t="n">
        <f aca="false">F138-(G138+H138+I138)</f>
        <v>0.0299999999997453</v>
      </c>
      <c r="K138" s="15" t="n">
        <v>305.98</v>
      </c>
      <c r="L138" s="15" t="n">
        <v>305.98</v>
      </c>
      <c r="M138" s="15" t="n">
        <v>305.98</v>
      </c>
      <c r="N138" s="15" t="n">
        <v>305.98</v>
      </c>
      <c r="O138" s="15" t="n">
        <v>305.98</v>
      </c>
      <c r="P138" s="15" t="n">
        <v>305.98</v>
      </c>
      <c r="Q138" s="15" t="n">
        <v>305.98</v>
      </c>
      <c r="R138" s="15" t="n">
        <v>305.98</v>
      </c>
      <c r="S138" s="15" t="n">
        <v>305.98</v>
      </c>
      <c r="T138" s="15" t="n">
        <v>305.98</v>
      </c>
      <c r="U138" s="15" t="n">
        <v>350</v>
      </c>
      <c r="V138" s="15" t="n">
        <v>0</v>
      </c>
      <c r="W138" s="15" t="n">
        <f aca="false">U138+V138</f>
        <v>350</v>
      </c>
    </row>
    <row r="139" customFormat="false" ht="15" hidden="false" customHeight="false" outlineLevel="0" collapsed="false">
      <c r="A139" s="3" t="s">
        <v>720</v>
      </c>
      <c r="B139" s="3" t="s">
        <v>486</v>
      </c>
      <c r="C139" s="3" t="s">
        <v>358</v>
      </c>
      <c r="D139" s="3" t="s">
        <v>189</v>
      </c>
      <c r="E139" s="13" t="n">
        <v>225000</v>
      </c>
      <c r="F139" s="13" t="n">
        <v>4120.51</v>
      </c>
      <c r="G139" s="13" t="n">
        <v>515.06</v>
      </c>
      <c r="H139" s="13" t="n">
        <v>515.06</v>
      </c>
      <c r="I139" s="13" t="n">
        <f aca="false">SUM(K139:T139)</f>
        <v>3090.4</v>
      </c>
      <c r="J139" s="13" t="n">
        <f aca="false">F139-(G139+H139+I139)</f>
        <v>-0.0100000000002183</v>
      </c>
      <c r="K139" s="13" t="n">
        <v>309.04</v>
      </c>
      <c r="L139" s="13" t="n">
        <v>309.04</v>
      </c>
      <c r="M139" s="13" t="n">
        <v>309.04</v>
      </c>
      <c r="N139" s="13" t="n">
        <v>309.04</v>
      </c>
      <c r="O139" s="13" t="n">
        <v>309.04</v>
      </c>
      <c r="P139" s="13" t="n">
        <v>309.04</v>
      </c>
      <c r="Q139" s="13" t="n">
        <v>309.04</v>
      </c>
      <c r="R139" s="13" t="n">
        <v>309.04</v>
      </c>
      <c r="S139" s="13" t="n">
        <v>309.04</v>
      </c>
      <c r="T139" s="13" t="n">
        <v>309.04</v>
      </c>
      <c r="U139" s="13" t="n">
        <v>350</v>
      </c>
      <c r="V139" s="13" t="n">
        <v>0</v>
      </c>
      <c r="W139" s="13" t="n">
        <f aca="false">U139+V139</f>
        <v>350</v>
      </c>
    </row>
    <row r="140" customFormat="false" ht="15" hidden="false" customHeight="false" outlineLevel="0" collapsed="false">
      <c r="A140" s="14" t="s">
        <v>721</v>
      </c>
      <c r="B140" s="14" t="s">
        <v>518</v>
      </c>
      <c r="C140" s="14" t="s">
        <v>722</v>
      </c>
      <c r="D140" s="14" t="s">
        <v>203</v>
      </c>
      <c r="E140" s="15" t="n">
        <v>1590000</v>
      </c>
      <c r="F140" s="15" t="n">
        <v>12464.46</v>
      </c>
      <c r="G140" s="15" t="n">
        <v>1558.06</v>
      </c>
      <c r="H140" s="15" t="n">
        <v>1558.06</v>
      </c>
      <c r="I140" s="15" t="n">
        <f aca="false">SUM(K140:T140)</f>
        <v>9348.3</v>
      </c>
      <c r="J140" s="15" t="n">
        <f aca="false">F140-(G140+H140+I140)</f>
        <v>0.0399999999972351</v>
      </c>
      <c r="K140" s="15" t="n">
        <v>934.83</v>
      </c>
      <c r="L140" s="15" t="n">
        <v>934.83</v>
      </c>
      <c r="M140" s="15" t="n">
        <v>934.83</v>
      </c>
      <c r="N140" s="15" t="n">
        <v>934.83</v>
      </c>
      <c r="O140" s="15" t="n">
        <v>934.83</v>
      </c>
      <c r="P140" s="15" t="n">
        <v>934.83</v>
      </c>
      <c r="Q140" s="15" t="n">
        <v>934.83</v>
      </c>
      <c r="R140" s="15" t="n">
        <v>934.83</v>
      </c>
      <c r="S140" s="15" t="n">
        <v>934.83</v>
      </c>
      <c r="T140" s="15" t="n">
        <v>934.83</v>
      </c>
      <c r="U140" s="15" t="n">
        <v>350</v>
      </c>
      <c r="V140" s="15" t="n">
        <v>250</v>
      </c>
      <c r="W140" s="15" t="n">
        <f aca="false">U140+V140</f>
        <v>600</v>
      </c>
    </row>
    <row r="141" customFormat="false" ht="15" hidden="false" customHeight="false" outlineLevel="0" collapsed="false">
      <c r="A141" s="3" t="s">
        <v>723</v>
      </c>
      <c r="B141" s="3" t="s">
        <v>631</v>
      </c>
      <c r="C141" s="3" t="s">
        <v>559</v>
      </c>
      <c r="D141" s="3" t="s">
        <v>246</v>
      </c>
      <c r="E141" s="13" t="n">
        <v>1010000</v>
      </c>
      <c r="F141" s="13" t="n">
        <v>12062.95</v>
      </c>
      <c r="G141" s="13" t="n">
        <v>1507.87</v>
      </c>
      <c r="H141" s="13" t="n">
        <v>1507.87</v>
      </c>
      <c r="I141" s="13" t="n">
        <f aca="false">SUM(K141:T141)</f>
        <v>9047.2</v>
      </c>
      <c r="J141" s="13" t="n">
        <f aca="false">F141-(G141+H141+I141)</f>
        <v>0.0100000000002183</v>
      </c>
      <c r="K141" s="13" t="n">
        <v>904.72</v>
      </c>
      <c r="L141" s="13" t="n">
        <v>904.72</v>
      </c>
      <c r="M141" s="13" t="n">
        <v>904.72</v>
      </c>
      <c r="N141" s="13" t="n">
        <v>904.72</v>
      </c>
      <c r="O141" s="13" t="n">
        <v>904.72</v>
      </c>
      <c r="P141" s="13" t="n">
        <v>904.72</v>
      </c>
      <c r="Q141" s="13" t="n">
        <v>904.72</v>
      </c>
      <c r="R141" s="13" t="n">
        <v>904.72</v>
      </c>
      <c r="S141" s="13" t="n">
        <v>904.72</v>
      </c>
      <c r="T141" s="13" t="n">
        <v>904.72</v>
      </c>
      <c r="U141" s="13" t="n">
        <v>350</v>
      </c>
      <c r="V141" s="13" t="n">
        <v>250</v>
      </c>
      <c r="W141" s="13" t="n">
        <f aca="false">U141+V141</f>
        <v>600</v>
      </c>
    </row>
    <row r="142" customFormat="false" ht="15" hidden="false" customHeight="false" outlineLevel="0" collapsed="false">
      <c r="A142" s="14" t="s">
        <v>724</v>
      </c>
      <c r="B142" s="14" t="s">
        <v>473</v>
      </c>
      <c r="C142" s="14" t="s">
        <v>725</v>
      </c>
      <c r="D142" s="14" t="s">
        <v>338</v>
      </c>
      <c r="E142" s="15" t="n">
        <v>1230000</v>
      </c>
      <c r="F142" s="15" t="n">
        <v>15180.2</v>
      </c>
      <c r="G142" s="15" t="n">
        <v>1897.53</v>
      </c>
      <c r="H142" s="15" t="n">
        <v>1897.53</v>
      </c>
      <c r="I142" s="15" t="n">
        <f aca="false">SUM(K142:T142)</f>
        <v>11385.2</v>
      </c>
      <c r="J142" s="15" t="n">
        <f aca="false">F142-(G142+H142+I142)</f>
        <v>-0.0599999999994907</v>
      </c>
      <c r="K142" s="15" t="n">
        <v>1138.52</v>
      </c>
      <c r="L142" s="15" t="n">
        <v>1138.52</v>
      </c>
      <c r="M142" s="15" t="n">
        <v>1138.52</v>
      </c>
      <c r="N142" s="15" t="n">
        <v>1138.52</v>
      </c>
      <c r="O142" s="15" t="n">
        <v>1138.52</v>
      </c>
      <c r="P142" s="15" t="n">
        <v>1138.52</v>
      </c>
      <c r="Q142" s="15" t="n">
        <v>1138.52</v>
      </c>
      <c r="R142" s="15" t="n">
        <v>1138.52</v>
      </c>
      <c r="S142" s="15" t="n">
        <v>1138.52</v>
      </c>
      <c r="T142" s="15" t="n">
        <v>1138.52</v>
      </c>
      <c r="U142" s="15" t="n">
        <v>350</v>
      </c>
      <c r="V142" s="15" t="n">
        <v>250</v>
      </c>
      <c r="W142" s="15" t="n">
        <f aca="false">U142+V142</f>
        <v>600</v>
      </c>
    </row>
    <row r="143" customFormat="false" ht="15" hidden="false" customHeight="false" outlineLevel="0" collapsed="false">
      <c r="A143" s="3" t="s">
        <v>726</v>
      </c>
      <c r="B143" s="3" t="s">
        <v>596</v>
      </c>
      <c r="C143" s="3" t="s">
        <v>727</v>
      </c>
      <c r="D143" s="3" t="s">
        <v>89</v>
      </c>
      <c r="E143" s="13" t="n">
        <v>385000</v>
      </c>
      <c r="F143" s="13" t="n">
        <v>7054.13</v>
      </c>
      <c r="G143" s="13" t="n">
        <v>881.77</v>
      </c>
      <c r="H143" s="13" t="n">
        <v>881.77</v>
      </c>
      <c r="I143" s="13" t="n">
        <f aca="false">SUM(K143:T143)</f>
        <v>5290.6</v>
      </c>
      <c r="J143" s="13" t="n">
        <f aca="false">F143-(G143+H143+I143)</f>
        <v>-0.00999999999839929</v>
      </c>
      <c r="K143" s="13" t="n">
        <v>529.06</v>
      </c>
      <c r="L143" s="13" t="n">
        <v>529.06</v>
      </c>
      <c r="M143" s="13" t="n">
        <v>529.06</v>
      </c>
      <c r="N143" s="13" t="n">
        <v>529.06</v>
      </c>
      <c r="O143" s="13" t="n">
        <v>529.06</v>
      </c>
      <c r="P143" s="13" t="n">
        <v>529.06</v>
      </c>
      <c r="Q143" s="13" t="n">
        <v>529.06</v>
      </c>
      <c r="R143" s="13" t="n">
        <v>529.06</v>
      </c>
      <c r="S143" s="13" t="n">
        <v>529.06</v>
      </c>
      <c r="T143" s="13" t="n">
        <v>529.06</v>
      </c>
      <c r="U143" s="13" t="n">
        <v>350</v>
      </c>
      <c r="V143" s="13" t="n">
        <v>0</v>
      </c>
      <c r="W143" s="13" t="n">
        <f aca="false">U143+V143</f>
        <v>350</v>
      </c>
    </row>
    <row r="144" customFormat="false" ht="15" hidden="false" customHeight="false" outlineLevel="0" collapsed="false">
      <c r="A144" s="14" t="s">
        <v>728</v>
      </c>
      <c r="B144" s="14" t="s">
        <v>483</v>
      </c>
      <c r="C144" s="14" t="s">
        <v>349</v>
      </c>
      <c r="D144" s="14" t="s">
        <v>163</v>
      </c>
      <c r="E144" s="15" t="n">
        <v>455000</v>
      </c>
      <c r="F144" s="15" t="n">
        <v>9658.22</v>
      </c>
      <c r="G144" s="15" t="n">
        <v>1207.28</v>
      </c>
      <c r="H144" s="15" t="n">
        <v>1207.28</v>
      </c>
      <c r="I144" s="15" t="n">
        <f aca="false">SUM(K144:T144)</f>
        <v>7243.7</v>
      </c>
      <c r="J144" s="15" t="n">
        <f aca="false">F144-(G144+H144+I144)</f>
        <v>-0.0400000000008731</v>
      </c>
      <c r="K144" s="15" t="n">
        <v>724.37</v>
      </c>
      <c r="L144" s="15" t="n">
        <v>724.37</v>
      </c>
      <c r="M144" s="15" t="n">
        <v>724.37</v>
      </c>
      <c r="N144" s="15" t="n">
        <v>724.37</v>
      </c>
      <c r="O144" s="15" t="n">
        <v>724.37</v>
      </c>
      <c r="P144" s="15" t="n">
        <v>724.37</v>
      </c>
      <c r="Q144" s="15" t="n">
        <v>724.37</v>
      </c>
      <c r="R144" s="15" t="n">
        <v>724.37</v>
      </c>
      <c r="S144" s="15" t="n">
        <v>724.37</v>
      </c>
      <c r="T144" s="15" t="n">
        <v>724.37</v>
      </c>
      <c r="U144" s="15" t="n">
        <v>350</v>
      </c>
      <c r="V144" s="15" t="n">
        <v>0</v>
      </c>
      <c r="W144" s="15" t="n">
        <f aca="false">U144+V144</f>
        <v>350</v>
      </c>
    </row>
    <row r="145" customFormat="false" ht="15" hidden="false" customHeight="false" outlineLevel="0" collapsed="false">
      <c r="A145" s="3" t="s">
        <v>729</v>
      </c>
      <c r="B145" s="3" t="s">
        <v>540</v>
      </c>
      <c r="C145" s="3" t="s">
        <v>730</v>
      </c>
      <c r="D145" s="3" t="s">
        <v>222</v>
      </c>
      <c r="E145" s="13" t="n">
        <v>980000</v>
      </c>
      <c r="F145" s="13" t="n">
        <v>12680.02</v>
      </c>
      <c r="G145" s="13" t="n">
        <v>1585</v>
      </c>
      <c r="H145" s="13" t="n">
        <v>1585</v>
      </c>
      <c r="I145" s="13" t="n">
        <f aca="false">SUM(K145:T145)</f>
        <v>9510</v>
      </c>
      <c r="J145" s="13" t="n">
        <f aca="false">F145-(G145+H145+I145)</f>
        <v>0.0200000000004366</v>
      </c>
      <c r="K145" s="13" t="n">
        <v>951</v>
      </c>
      <c r="L145" s="13" t="n">
        <v>951</v>
      </c>
      <c r="M145" s="13" t="n">
        <v>951</v>
      </c>
      <c r="N145" s="13" t="n">
        <v>951</v>
      </c>
      <c r="O145" s="13" t="n">
        <v>951</v>
      </c>
      <c r="P145" s="13" t="n">
        <v>951</v>
      </c>
      <c r="Q145" s="13" t="n">
        <v>951</v>
      </c>
      <c r="R145" s="13" t="n">
        <v>951</v>
      </c>
      <c r="S145" s="13" t="n">
        <v>951</v>
      </c>
      <c r="T145" s="13" t="n">
        <v>951</v>
      </c>
      <c r="U145" s="13" t="n">
        <v>350</v>
      </c>
      <c r="V145" s="13" t="n">
        <v>0</v>
      </c>
      <c r="W145" s="13" t="n">
        <f aca="false">U145+V145</f>
        <v>350</v>
      </c>
    </row>
    <row r="146" customFormat="false" ht="15" hidden="false" customHeight="false" outlineLevel="0" collapsed="false">
      <c r="A146" s="14" t="s">
        <v>731</v>
      </c>
      <c r="B146" s="14" t="s">
        <v>631</v>
      </c>
      <c r="C146" s="14" t="s">
        <v>695</v>
      </c>
      <c r="D146" s="14" t="s">
        <v>153</v>
      </c>
      <c r="E146" s="15" t="n">
        <v>835000</v>
      </c>
      <c r="F146" s="15" t="n">
        <v>22249.99</v>
      </c>
      <c r="G146" s="15" t="n">
        <v>2781.25</v>
      </c>
      <c r="H146" s="15" t="n">
        <v>2781.25</v>
      </c>
      <c r="I146" s="15" t="n">
        <f aca="false">SUM(K146:T146)</f>
        <v>16687.5</v>
      </c>
      <c r="J146" s="15" t="n">
        <f aca="false">F146-(G146+H146+I146)</f>
        <v>-0.00999999999839929</v>
      </c>
      <c r="K146" s="15" t="n">
        <v>1668.75</v>
      </c>
      <c r="L146" s="15" t="n">
        <v>1668.75</v>
      </c>
      <c r="M146" s="15" t="n">
        <v>1668.75</v>
      </c>
      <c r="N146" s="15" t="n">
        <v>1668.75</v>
      </c>
      <c r="O146" s="15" t="n">
        <v>1668.75</v>
      </c>
      <c r="P146" s="15" t="n">
        <v>1668.75</v>
      </c>
      <c r="Q146" s="15" t="n">
        <v>1668.75</v>
      </c>
      <c r="R146" s="15" t="n">
        <v>1668.75</v>
      </c>
      <c r="S146" s="15" t="n">
        <v>1668.75</v>
      </c>
      <c r="T146" s="15" t="n">
        <v>1668.75</v>
      </c>
      <c r="U146" s="15" t="n">
        <v>350</v>
      </c>
      <c r="V146" s="15" t="n">
        <v>0</v>
      </c>
      <c r="W146" s="15" t="n">
        <f aca="false">U146+V146</f>
        <v>350</v>
      </c>
    </row>
    <row r="147" customFormat="false" ht="15" hidden="false" customHeight="false" outlineLevel="0" collapsed="false">
      <c r="A147" s="3" t="s">
        <v>732</v>
      </c>
      <c r="B147" s="3" t="s">
        <v>466</v>
      </c>
      <c r="C147" s="3" t="s">
        <v>653</v>
      </c>
      <c r="D147" s="3" t="s">
        <v>279</v>
      </c>
      <c r="E147" s="13" t="n">
        <v>510000</v>
      </c>
      <c r="F147" s="13" t="n">
        <v>5459</v>
      </c>
      <c r="G147" s="13" t="n">
        <v>682.38</v>
      </c>
      <c r="H147" s="13" t="n">
        <v>682.38</v>
      </c>
      <c r="I147" s="13" t="n">
        <f aca="false">SUM(K147:T147)</f>
        <v>4094.3</v>
      </c>
      <c r="J147" s="13" t="n">
        <f aca="false">F147-(G147+H147+I147)</f>
        <v>-0.0599999999994907</v>
      </c>
      <c r="K147" s="13" t="n">
        <v>409.43</v>
      </c>
      <c r="L147" s="13" t="n">
        <v>409.43</v>
      </c>
      <c r="M147" s="13" t="n">
        <v>409.43</v>
      </c>
      <c r="N147" s="13" t="n">
        <v>409.43</v>
      </c>
      <c r="O147" s="13" t="n">
        <v>409.43</v>
      </c>
      <c r="P147" s="13" t="n">
        <v>409.43</v>
      </c>
      <c r="Q147" s="13" t="n">
        <v>409.43</v>
      </c>
      <c r="R147" s="13" t="n">
        <v>409.43</v>
      </c>
      <c r="S147" s="13" t="n">
        <v>409.43</v>
      </c>
      <c r="T147" s="13" t="n">
        <v>409.43</v>
      </c>
      <c r="U147" s="13" t="n">
        <v>350</v>
      </c>
      <c r="V147" s="13" t="n">
        <v>0</v>
      </c>
      <c r="W147" s="13" t="n">
        <f aca="false">U147+V147</f>
        <v>350</v>
      </c>
    </row>
    <row r="148" customFormat="false" ht="15" hidden="false" customHeight="false" outlineLevel="0" collapsed="false">
      <c r="A148" s="14" t="s">
        <v>733</v>
      </c>
      <c r="B148" s="14" t="s">
        <v>470</v>
      </c>
      <c r="C148" s="14" t="s">
        <v>410</v>
      </c>
      <c r="D148" s="14" t="s">
        <v>157</v>
      </c>
      <c r="E148" s="15" t="n">
        <v>580000</v>
      </c>
      <c r="F148" s="15" t="n">
        <v>9687.63</v>
      </c>
      <c r="G148" s="15" t="n">
        <v>1210.95</v>
      </c>
      <c r="H148" s="15" t="n">
        <v>1210.95</v>
      </c>
      <c r="I148" s="15" t="n">
        <f aca="false">SUM(K148:T148)</f>
        <v>7265.7</v>
      </c>
      <c r="J148" s="15" t="n">
        <f aca="false">F148-(G148+H148+I148)</f>
        <v>0.0299999999988358</v>
      </c>
      <c r="K148" s="15" t="n">
        <v>726.57</v>
      </c>
      <c r="L148" s="15" t="n">
        <v>726.57</v>
      </c>
      <c r="M148" s="15" t="n">
        <v>726.57</v>
      </c>
      <c r="N148" s="15" t="n">
        <v>726.57</v>
      </c>
      <c r="O148" s="15" t="n">
        <v>726.57</v>
      </c>
      <c r="P148" s="15" t="n">
        <v>726.57</v>
      </c>
      <c r="Q148" s="15" t="n">
        <v>726.57</v>
      </c>
      <c r="R148" s="15" t="n">
        <v>726.57</v>
      </c>
      <c r="S148" s="15" t="n">
        <v>726.57</v>
      </c>
      <c r="T148" s="15" t="n">
        <v>726.57</v>
      </c>
      <c r="U148" s="15" t="n">
        <v>350</v>
      </c>
      <c r="V148" s="15" t="n">
        <v>0</v>
      </c>
      <c r="W148" s="15" t="n">
        <f aca="false">U148+V148</f>
        <v>350</v>
      </c>
    </row>
    <row r="149" customFormat="false" ht="15" hidden="false" customHeight="false" outlineLevel="0" collapsed="false">
      <c r="A149" s="8" t="s">
        <v>459</v>
      </c>
      <c r="E149" s="9" t="n">
        <f aca="false">SUM(E5:E148)</f>
        <v>100045000</v>
      </c>
      <c r="F149" s="9" t="n">
        <f aca="false">SUM(F5:F148)</f>
        <v>1503226.64</v>
      </c>
      <c r="G149" s="9" t="n">
        <f aca="false">SUM(G5:G148)</f>
        <v>187903.29</v>
      </c>
      <c r="H149" s="9" t="n">
        <f aca="false">SUM(H5:H148)</f>
        <v>187903.29</v>
      </c>
      <c r="I149" s="9" t="n">
        <f aca="false">SUM(I5:I148)</f>
        <v>1127420.1</v>
      </c>
      <c r="J149" s="9" t="n">
        <f aca="false">SUM(J5:J148)</f>
        <v>-0.0400000000063301</v>
      </c>
      <c r="K149" s="9" t="n">
        <f aca="false">SUM(K5:K148)</f>
        <v>112742.01</v>
      </c>
      <c r="L149" s="9" t="n">
        <f aca="false">SUM(L5:L148)</f>
        <v>112742.01</v>
      </c>
      <c r="M149" s="9" t="n">
        <f aca="false">SUM(M5:M148)</f>
        <v>112742.01</v>
      </c>
      <c r="N149" s="9" t="n">
        <f aca="false">SUM(N5:N148)</f>
        <v>112742.01</v>
      </c>
      <c r="O149" s="9" t="n">
        <f aca="false">SUM(O5:O148)</f>
        <v>112742.01</v>
      </c>
      <c r="P149" s="9" t="n">
        <f aca="false">SUM(P5:P148)</f>
        <v>112742.01</v>
      </c>
      <c r="Q149" s="9" t="n">
        <f aca="false">SUM(Q5:Q148)</f>
        <v>112742.01</v>
      </c>
      <c r="R149" s="9" t="n">
        <f aca="false">SUM(R5:R148)</f>
        <v>112742.01</v>
      </c>
      <c r="S149" s="9" t="n">
        <f aca="false">SUM(S5:S148)</f>
        <v>112742.01</v>
      </c>
      <c r="T149" s="9" t="n">
        <f aca="false">SUM(T5:T148)</f>
        <v>112742.01</v>
      </c>
      <c r="U149" s="9" t="n">
        <f aca="false">SUM(U5:U148)</f>
        <v>50400</v>
      </c>
      <c r="V149" s="9" t="n">
        <f aca="false">SUM(V5:V148)</f>
        <v>6500</v>
      </c>
      <c r="W149" s="9" t="n">
        <f aca="false">SUM(W5:W148)</f>
        <v>56900</v>
      </c>
    </row>
    <row r="150" customFormat="false" ht="15" hidden="false" customHeight="false" outlineLevel="0" collapsed="false">
      <c r="A150" s="4" t="s">
        <v>460</v>
      </c>
      <c r="F150" s="16" t="n">
        <f aca="false">F149-(G149+H149+I149+J149)</f>
        <v>0</v>
      </c>
    </row>
    <row r="151" customFormat="false" ht="15" hidden="false" customHeight="false" outlineLevel="0" collapsed="false">
      <c r="A151" s="4" t="s">
        <v>461</v>
      </c>
      <c r="I151" s="16" t="n">
        <f aca="false">I149-SUM(K149:T149)</f>
        <v>0</v>
      </c>
    </row>
  </sheetData>
  <autoFilter ref="A4:W1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21" min="11" style="0" width="11"/>
    <col collapsed="false" customWidth="true" hidden="false" outlineLevel="0" max="22" min="22" style="0" width="13"/>
    <col collapsed="false" customWidth="true" hidden="false" outlineLevel="0" max="23" min="23" style="0" width="11"/>
  </cols>
  <sheetData>
    <row r="1" customFormat="false" ht="17.35" hidden="false" customHeight="false" outlineLevel="0" collapsed="false">
      <c r="A1" s="1" t="s">
        <v>734</v>
      </c>
    </row>
    <row r="2" customFormat="false" ht="15" hidden="false" customHeight="false" outlineLevel="0" collapsed="false">
      <c r="A2" s="4" t="s">
        <v>60</v>
      </c>
    </row>
    <row r="4" customFormat="false" ht="15" hidden="false" customHeight="false" outlineLevel="0" collapsed="false">
      <c r="A4" s="5" t="s">
        <v>61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15</v>
      </c>
      <c r="G4" s="5" t="s">
        <v>16</v>
      </c>
      <c r="H4" s="5" t="s">
        <v>17</v>
      </c>
      <c r="I4" s="5" t="s">
        <v>18</v>
      </c>
      <c r="J4" s="5" t="s">
        <v>19</v>
      </c>
      <c r="K4" s="5" t="s">
        <v>20</v>
      </c>
      <c r="L4" s="5" t="s">
        <v>21</v>
      </c>
      <c r="M4" s="5" t="s">
        <v>22</v>
      </c>
      <c r="N4" s="5" t="s">
        <v>23</v>
      </c>
      <c r="O4" s="5" t="s">
        <v>24</v>
      </c>
      <c r="P4" s="5" t="s">
        <v>25</v>
      </c>
      <c r="Q4" s="5" t="s">
        <v>26</v>
      </c>
      <c r="R4" s="5" t="s">
        <v>27</v>
      </c>
      <c r="S4" s="5" t="s">
        <v>28</v>
      </c>
      <c r="T4" s="5" t="s">
        <v>29</v>
      </c>
      <c r="U4" s="5" t="s">
        <v>30</v>
      </c>
      <c r="V4" s="5" t="s">
        <v>31</v>
      </c>
      <c r="W4" s="5" t="s">
        <v>32</v>
      </c>
    </row>
    <row r="5" customFormat="false" ht="15" hidden="false" customHeight="false" outlineLevel="0" collapsed="false">
      <c r="A5" s="3" t="s">
        <v>735</v>
      </c>
      <c r="B5" s="3" t="s">
        <v>736</v>
      </c>
      <c r="C5" s="3" t="s">
        <v>737</v>
      </c>
      <c r="D5" s="3" t="s">
        <v>109</v>
      </c>
      <c r="E5" s="13" t="n">
        <v>830000</v>
      </c>
      <c r="F5" s="13" t="n">
        <v>12330.89</v>
      </c>
      <c r="G5" s="13" t="n">
        <v>1541.36</v>
      </c>
      <c r="H5" s="13" t="n">
        <v>1541.36</v>
      </c>
      <c r="I5" s="13" t="n">
        <f aca="false">SUM(K5:T5)</f>
        <v>9248.2</v>
      </c>
      <c r="J5" s="13" t="n">
        <f aca="false">F5-(G5+H5+I5)</f>
        <v>-0.0300000000006548</v>
      </c>
      <c r="K5" s="13" t="n">
        <v>924.82</v>
      </c>
      <c r="L5" s="13" t="n">
        <v>924.82</v>
      </c>
      <c r="M5" s="13" t="n">
        <v>924.82</v>
      </c>
      <c r="N5" s="13" t="n">
        <v>924.82</v>
      </c>
      <c r="O5" s="13" t="n">
        <v>924.82</v>
      </c>
      <c r="P5" s="13" t="n">
        <v>924.82</v>
      </c>
      <c r="Q5" s="13" t="n">
        <v>924.82</v>
      </c>
      <c r="R5" s="13" t="n">
        <v>924.82</v>
      </c>
      <c r="S5" s="13" t="n">
        <v>924.82</v>
      </c>
      <c r="T5" s="13" t="n">
        <v>924.82</v>
      </c>
      <c r="U5" s="13" t="n">
        <v>350</v>
      </c>
      <c r="V5" s="13" t="n">
        <v>0</v>
      </c>
      <c r="W5" s="13" t="n">
        <f aca="false">U5+V5</f>
        <v>350</v>
      </c>
    </row>
    <row r="6" customFormat="false" ht="15" hidden="false" customHeight="false" outlineLevel="0" collapsed="false">
      <c r="A6" s="14" t="s">
        <v>738</v>
      </c>
      <c r="B6" s="14" t="s">
        <v>739</v>
      </c>
      <c r="C6" s="14" t="s">
        <v>192</v>
      </c>
      <c r="D6" s="14" t="s">
        <v>102</v>
      </c>
      <c r="E6" s="15" t="n">
        <v>195000</v>
      </c>
      <c r="F6" s="15" t="n">
        <v>3772.36</v>
      </c>
      <c r="G6" s="15" t="n">
        <v>471.55</v>
      </c>
      <c r="H6" s="15" t="n">
        <v>471.55</v>
      </c>
      <c r="I6" s="15" t="n">
        <f aca="false">SUM(K6:T6)</f>
        <v>2829.3</v>
      </c>
      <c r="J6" s="15" t="n">
        <f aca="false">F6-(G6+H6+I6)</f>
        <v>-0.0399999999995089</v>
      </c>
      <c r="K6" s="15" t="n">
        <v>282.93</v>
      </c>
      <c r="L6" s="15" t="n">
        <v>282.93</v>
      </c>
      <c r="M6" s="15" t="n">
        <v>282.93</v>
      </c>
      <c r="N6" s="15" t="n">
        <v>282.93</v>
      </c>
      <c r="O6" s="15" t="n">
        <v>282.93</v>
      </c>
      <c r="P6" s="15" t="n">
        <v>282.93</v>
      </c>
      <c r="Q6" s="15" t="n">
        <v>282.93</v>
      </c>
      <c r="R6" s="15" t="n">
        <v>282.93</v>
      </c>
      <c r="S6" s="15" t="n">
        <v>282.93</v>
      </c>
      <c r="T6" s="15" t="n">
        <v>282.93</v>
      </c>
      <c r="U6" s="15" t="n">
        <v>350</v>
      </c>
      <c r="V6" s="15" t="n">
        <v>0</v>
      </c>
      <c r="W6" s="15" t="n">
        <f aca="false">U6+V6</f>
        <v>350</v>
      </c>
    </row>
    <row r="7" customFormat="false" ht="15" hidden="false" customHeight="false" outlineLevel="0" collapsed="false">
      <c r="A7" s="3" t="s">
        <v>740</v>
      </c>
      <c r="B7" s="3" t="s">
        <v>741</v>
      </c>
      <c r="C7" s="3" t="s">
        <v>742</v>
      </c>
      <c r="D7" s="3" t="s">
        <v>180</v>
      </c>
      <c r="E7" s="13" t="n">
        <v>715000</v>
      </c>
      <c r="F7" s="13" t="n">
        <v>10282.47</v>
      </c>
      <c r="G7" s="13" t="n">
        <v>1285.31</v>
      </c>
      <c r="H7" s="13" t="n">
        <v>1285.31</v>
      </c>
      <c r="I7" s="13" t="n">
        <f aca="false">SUM(K7:T7)</f>
        <v>7711.9</v>
      </c>
      <c r="J7" s="13" t="n">
        <f aca="false">F7-(G7+H7+I7)</f>
        <v>-0.0500000000010914</v>
      </c>
      <c r="K7" s="13" t="n">
        <v>771.19</v>
      </c>
      <c r="L7" s="13" t="n">
        <v>771.19</v>
      </c>
      <c r="M7" s="13" t="n">
        <v>771.19</v>
      </c>
      <c r="N7" s="13" t="n">
        <v>771.19</v>
      </c>
      <c r="O7" s="13" t="n">
        <v>771.19</v>
      </c>
      <c r="P7" s="13" t="n">
        <v>771.19</v>
      </c>
      <c r="Q7" s="13" t="n">
        <v>771.19</v>
      </c>
      <c r="R7" s="13" t="n">
        <v>771.19</v>
      </c>
      <c r="S7" s="13" t="n">
        <v>771.19</v>
      </c>
      <c r="T7" s="13" t="n">
        <v>771.19</v>
      </c>
      <c r="U7" s="13" t="n">
        <v>350</v>
      </c>
      <c r="V7" s="13" t="n">
        <v>0</v>
      </c>
      <c r="W7" s="13" t="n">
        <f aca="false">U7+V7</f>
        <v>350</v>
      </c>
    </row>
    <row r="8" customFormat="false" ht="15" hidden="false" customHeight="false" outlineLevel="0" collapsed="false">
      <c r="A8" s="14" t="s">
        <v>743</v>
      </c>
      <c r="B8" s="14" t="s">
        <v>744</v>
      </c>
      <c r="C8" s="14" t="s">
        <v>535</v>
      </c>
      <c r="D8" s="14" t="s">
        <v>325</v>
      </c>
      <c r="E8" s="15" t="n">
        <v>515000</v>
      </c>
      <c r="F8" s="15" t="n">
        <v>8446.8</v>
      </c>
      <c r="G8" s="15" t="n">
        <v>1055.85</v>
      </c>
      <c r="H8" s="15" t="n">
        <v>1055.85</v>
      </c>
      <c r="I8" s="15" t="n">
        <f aca="false">SUM(K8:T8)</f>
        <v>6335.1</v>
      </c>
      <c r="J8" s="15" t="n">
        <f aca="false">F8-(G8+H8+I8)</f>
        <v>0</v>
      </c>
      <c r="K8" s="15" t="n">
        <v>633.51</v>
      </c>
      <c r="L8" s="15" t="n">
        <v>633.51</v>
      </c>
      <c r="M8" s="15" t="n">
        <v>633.51</v>
      </c>
      <c r="N8" s="15" t="n">
        <v>633.51</v>
      </c>
      <c r="O8" s="15" t="n">
        <v>633.51</v>
      </c>
      <c r="P8" s="15" t="n">
        <v>633.51</v>
      </c>
      <c r="Q8" s="15" t="n">
        <v>633.51</v>
      </c>
      <c r="R8" s="15" t="n">
        <v>633.51</v>
      </c>
      <c r="S8" s="15" t="n">
        <v>633.51</v>
      </c>
      <c r="T8" s="15" t="n">
        <v>633.51</v>
      </c>
      <c r="U8" s="15" t="n">
        <v>350</v>
      </c>
      <c r="V8" s="15" t="n">
        <v>0</v>
      </c>
      <c r="W8" s="15" t="n">
        <f aca="false">U8+V8</f>
        <v>350</v>
      </c>
    </row>
    <row r="9" customFormat="false" ht="15" hidden="false" customHeight="false" outlineLevel="0" collapsed="false">
      <c r="A9" s="3" t="s">
        <v>745</v>
      </c>
      <c r="B9" s="3" t="s">
        <v>746</v>
      </c>
      <c r="C9" s="3" t="s">
        <v>381</v>
      </c>
      <c r="D9" s="3" t="s">
        <v>89</v>
      </c>
      <c r="E9" s="13" t="n">
        <v>1150000</v>
      </c>
      <c r="F9" s="13" t="n">
        <v>22709.85</v>
      </c>
      <c r="G9" s="13" t="n">
        <v>2838.73</v>
      </c>
      <c r="H9" s="13" t="n">
        <v>2838.73</v>
      </c>
      <c r="I9" s="13" t="n">
        <f aca="false">SUM(K9:T9)</f>
        <v>17032.4</v>
      </c>
      <c r="J9" s="13" t="n">
        <f aca="false">F9-(G9+H9+I9)</f>
        <v>-0.0100000000020373</v>
      </c>
      <c r="K9" s="13" t="n">
        <v>1703.24</v>
      </c>
      <c r="L9" s="13" t="n">
        <v>1703.24</v>
      </c>
      <c r="M9" s="13" t="n">
        <v>1703.24</v>
      </c>
      <c r="N9" s="13" t="n">
        <v>1703.24</v>
      </c>
      <c r="O9" s="13" t="n">
        <v>1703.24</v>
      </c>
      <c r="P9" s="13" t="n">
        <v>1703.24</v>
      </c>
      <c r="Q9" s="13" t="n">
        <v>1703.24</v>
      </c>
      <c r="R9" s="13" t="n">
        <v>1703.24</v>
      </c>
      <c r="S9" s="13" t="n">
        <v>1703.24</v>
      </c>
      <c r="T9" s="13" t="n">
        <v>1703.24</v>
      </c>
      <c r="U9" s="13" t="n">
        <v>350</v>
      </c>
      <c r="V9" s="13" t="n">
        <v>250</v>
      </c>
      <c r="W9" s="13" t="n">
        <f aca="false">U9+V9</f>
        <v>600</v>
      </c>
    </row>
    <row r="10" customFormat="false" ht="15" hidden="false" customHeight="false" outlineLevel="0" collapsed="false">
      <c r="A10" s="14" t="s">
        <v>747</v>
      </c>
      <c r="B10" s="14" t="s">
        <v>748</v>
      </c>
      <c r="C10" s="14" t="s">
        <v>749</v>
      </c>
      <c r="D10" s="14" t="s">
        <v>157</v>
      </c>
      <c r="E10" s="15" t="n">
        <v>740000</v>
      </c>
      <c r="F10" s="15" t="n">
        <v>8261.93</v>
      </c>
      <c r="G10" s="15" t="n">
        <v>1032.74</v>
      </c>
      <c r="H10" s="15" t="n">
        <v>1032.74</v>
      </c>
      <c r="I10" s="15" t="n">
        <f aca="false">SUM(K10:T10)</f>
        <v>6196.4</v>
      </c>
      <c r="J10" s="15" t="n">
        <f aca="false">F10-(G10+H10+I10)</f>
        <v>0.0499999999992724</v>
      </c>
      <c r="K10" s="15" t="n">
        <v>619.64</v>
      </c>
      <c r="L10" s="15" t="n">
        <v>619.64</v>
      </c>
      <c r="M10" s="15" t="n">
        <v>619.64</v>
      </c>
      <c r="N10" s="15" t="n">
        <v>619.64</v>
      </c>
      <c r="O10" s="15" t="n">
        <v>619.64</v>
      </c>
      <c r="P10" s="15" t="n">
        <v>619.64</v>
      </c>
      <c r="Q10" s="15" t="n">
        <v>619.64</v>
      </c>
      <c r="R10" s="15" t="n">
        <v>619.64</v>
      </c>
      <c r="S10" s="15" t="n">
        <v>619.64</v>
      </c>
      <c r="T10" s="15" t="n">
        <v>619.64</v>
      </c>
      <c r="U10" s="15" t="n">
        <v>350</v>
      </c>
      <c r="V10" s="15" t="n">
        <v>0</v>
      </c>
      <c r="W10" s="15" t="n">
        <f aca="false">U10+V10</f>
        <v>350</v>
      </c>
    </row>
    <row r="11" customFormat="false" ht="15" hidden="false" customHeight="false" outlineLevel="0" collapsed="false">
      <c r="A11" s="3" t="s">
        <v>750</v>
      </c>
      <c r="B11" s="3" t="s">
        <v>751</v>
      </c>
      <c r="C11" s="3" t="s">
        <v>303</v>
      </c>
      <c r="D11" s="3" t="s">
        <v>132</v>
      </c>
      <c r="E11" s="13" t="n">
        <v>335000</v>
      </c>
      <c r="F11" s="13" t="n">
        <v>4594.09</v>
      </c>
      <c r="G11" s="13" t="n">
        <v>574.26</v>
      </c>
      <c r="H11" s="13" t="n">
        <v>574.26</v>
      </c>
      <c r="I11" s="13" t="n">
        <f aca="false">SUM(K11:T11)</f>
        <v>3445.6</v>
      </c>
      <c r="J11" s="13" t="n">
        <f aca="false">F11-(G11+H11+I11)</f>
        <v>-0.0299999999997453</v>
      </c>
      <c r="K11" s="13" t="n">
        <v>344.56</v>
      </c>
      <c r="L11" s="13" t="n">
        <v>344.56</v>
      </c>
      <c r="M11" s="13" t="n">
        <v>344.56</v>
      </c>
      <c r="N11" s="13" t="n">
        <v>344.56</v>
      </c>
      <c r="O11" s="13" t="n">
        <v>344.56</v>
      </c>
      <c r="P11" s="13" t="n">
        <v>344.56</v>
      </c>
      <c r="Q11" s="13" t="n">
        <v>344.56</v>
      </c>
      <c r="R11" s="13" t="n">
        <v>344.56</v>
      </c>
      <c r="S11" s="13" t="n">
        <v>344.56</v>
      </c>
      <c r="T11" s="13" t="n">
        <v>344.56</v>
      </c>
      <c r="U11" s="13" t="n">
        <v>350</v>
      </c>
      <c r="V11" s="13" t="n">
        <v>0</v>
      </c>
      <c r="W11" s="13" t="n">
        <f aca="false">U11+V11</f>
        <v>350</v>
      </c>
    </row>
    <row r="12" customFormat="false" ht="15" hidden="false" customHeight="false" outlineLevel="0" collapsed="false">
      <c r="A12" s="14" t="s">
        <v>752</v>
      </c>
      <c r="B12" s="14" t="s">
        <v>753</v>
      </c>
      <c r="C12" s="14" t="s">
        <v>423</v>
      </c>
      <c r="D12" s="14" t="s">
        <v>203</v>
      </c>
      <c r="E12" s="15" t="n">
        <v>825000</v>
      </c>
      <c r="F12" s="15" t="n">
        <v>11178.02</v>
      </c>
      <c r="G12" s="15" t="n">
        <v>1397.25</v>
      </c>
      <c r="H12" s="15" t="n">
        <v>1397.25</v>
      </c>
      <c r="I12" s="15" t="n">
        <f aca="false">SUM(K12:T12)</f>
        <v>8383.5</v>
      </c>
      <c r="J12" s="15" t="n">
        <f aca="false">F12-(G12+H12+I12)</f>
        <v>0.0200000000004366</v>
      </c>
      <c r="K12" s="15" t="n">
        <v>838.35</v>
      </c>
      <c r="L12" s="15" t="n">
        <v>838.35</v>
      </c>
      <c r="M12" s="15" t="n">
        <v>838.35</v>
      </c>
      <c r="N12" s="15" t="n">
        <v>838.35</v>
      </c>
      <c r="O12" s="15" t="n">
        <v>838.35</v>
      </c>
      <c r="P12" s="15" t="n">
        <v>838.35</v>
      </c>
      <c r="Q12" s="15" t="n">
        <v>838.35</v>
      </c>
      <c r="R12" s="15" t="n">
        <v>838.35</v>
      </c>
      <c r="S12" s="15" t="n">
        <v>838.35</v>
      </c>
      <c r="T12" s="15" t="n">
        <v>838.35</v>
      </c>
      <c r="U12" s="15" t="n">
        <v>350</v>
      </c>
      <c r="V12" s="15" t="n">
        <v>0</v>
      </c>
      <c r="W12" s="15" t="n">
        <f aca="false">U12+V12</f>
        <v>350</v>
      </c>
    </row>
    <row r="13" customFormat="false" ht="15" hidden="false" customHeight="false" outlineLevel="0" collapsed="false">
      <c r="A13" s="3" t="s">
        <v>754</v>
      </c>
      <c r="B13" s="3" t="s">
        <v>746</v>
      </c>
      <c r="C13" s="3" t="s">
        <v>755</v>
      </c>
      <c r="D13" s="3" t="s">
        <v>138</v>
      </c>
      <c r="E13" s="13" t="n">
        <v>105000</v>
      </c>
      <c r="F13" s="13" t="n">
        <v>2031.27</v>
      </c>
      <c r="G13" s="13" t="n">
        <v>253.91</v>
      </c>
      <c r="H13" s="13" t="n">
        <v>253.91</v>
      </c>
      <c r="I13" s="13" t="n">
        <f aca="false">SUM(K13:T13)</f>
        <v>1523.5</v>
      </c>
      <c r="J13" s="13" t="n">
        <f aca="false">F13-(G13+H13+I13)</f>
        <v>-0.0499999999997272</v>
      </c>
      <c r="K13" s="13" t="n">
        <v>152.35</v>
      </c>
      <c r="L13" s="13" t="n">
        <v>152.35</v>
      </c>
      <c r="M13" s="13" t="n">
        <v>152.35</v>
      </c>
      <c r="N13" s="13" t="n">
        <v>152.35</v>
      </c>
      <c r="O13" s="13" t="n">
        <v>152.35</v>
      </c>
      <c r="P13" s="13" t="n">
        <v>152.35</v>
      </c>
      <c r="Q13" s="13" t="n">
        <v>152.35</v>
      </c>
      <c r="R13" s="13" t="n">
        <v>152.35</v>
      </c>
      <c r="S13" s="13" t="n">
        <v>152.35</v>
      </c>
      <c r="T13" s="13" t="n">
        <v>152.35</v>
      </c>
      <c r="U13" s="13" t="n">
        <v>350</v>
      </c>
      <c r="V13" s="13" t="n">
        <v>0</v>
      </c>
      <c r="W13" s="13" t="n">
        <f aca="false">U13+V13</f>
        <v>350</v>
      </c>
    </row>
    <row r="14" customFormat="false" ht="15" hidden="false" customHeight="false" outlineLevel="0" collapsed="false">
      <c r="A14" s="14" t="s">
        <v>756</v>
      </c>
      <c r="B14" s="14" t="s">
        <v>757</v>
      </c>
      <c r="C14" s="14" t="s">
        <v>758</v>
      </c>
      <c r="D14" s="14" t="s">
        <v>115</v>
      </c>
      <c r="E14" s="15" t="n">
        <v>610000</v>
      </c>
      <c r="F14" s="15" t="n">
        <v>13986.86</v>
      </c>
      <c r="G14" s="15" t="n">
        <v>1748.36</v>
      </c>
      <c r="H14" s="15" t="n">
        <v>1748.36</v>
      </c>
      <c r="I14" s="15" t="n">
        <f aca="false">SUM(K14:T14)</f>
        <v>10490.1</v>
      </c>
      <c r="J14" s="15" t="n">
        <f aca="false">F14-(G14+H14+I14)</f>
        <v>0.0400000000008731</v>
      </c>
      <c r="K14" s="15" t="n">
        <v>1049.01</v>
      </c>
      <c r="L14" s="15" t="n">
        <v>1049.01</v>
      </c>
      <c r="M14" s="15" t="n">
        <v>1049.01</v>
      </c>
      <c r="N14" s="15" t="n">
        <v>1049.01</v>
      </c>
      <c r="O14" s="15" t="n">
        <v>1049.01</v>
      </c>
      <c r="P14" s="15" t="n">
        <v>1049.01</v>
      </c>
      <c r="Q14" s="15" t="n">
        <v>1049.01</v>
      </c>
      <c r="R14" s="15" t="n">
        <v>1049.01</v>
      </c>
      <c r="S14" s="15" t="n">
        <v>1049.01</v>
      </c>
      <c r="T14" s="15" t="n">
        <v>1049.01</v>
      </c>
      <c r="U14" s="15" t="n">
        <v>350</v>
      </c>
      <c r="V14" s="15" t="n">
        <v>0</v>
      </c>
      <c r="W14" s="15" t="n">
        <f aca="false">U14+V14</f>
        <v>350</v>
      </c>
    </row>
    <row r="15" customFormat="false" ht="15" hidden="false" customHeight="false" outlineLevel="0" collapsed="false">
      <c r="A15" s="3" t="s">
        <v>759</v>
      </c>
      <c r="B15" s="3" t="s">
        <v>760</v>
      </c>
      <c r="C15" s="3" t="s">
        <v>761</v>
      </c>
      <c r="D15" s="3" t="s">
        <v>189</v>
      </c>
      <c r="E15" s="13" t="n">
        <v>965000</v>
      </c>
      <c r="F15" s="13" t="n">
        <v>8346.05</v>
      </c>
      <c r="G15" s="13" t="n">
        <v>1043.26</v>
      </c>
      <c r="H15" s="13" t="n">
        <v>1043.26</v>
      </c>
      <c r="I15" s="13" t="n">
        <f aca="false">SUM(K15:T15)</f>
        <v>6259.5</v>
      </c>
      <c r="J15" s="13" t="n">
        <f aca="false">F15-(G15+H15+I15)</f>
        <v>0.0299999999988358</v>
      </c>
      <c r="K15" s="13" t="n">
        <v>625.95</v>
      </c>
      <c r="L15" s="13" t="n">
        <v>625.95</v>
      </c>
      <c r="M15" s="13" t="n">
        <v>625.95</v>
      </c>
      <c r="N15" s="13" t="n">
        <v>625.95</v>
      </c>
      <c r="O15" s="13" t="n">
        <v>625.95</v>
      </c>
      <c r="P15" s="13" t="n">
        <v>625.95</v>
      </c>
      <c r="Q15" s="13" t="n">
        <v>625.95</v>
      </c>
      <c r="R15" s="13" t="n">
        <v>625.95</v>
      </c>
      <c r="S15" s="13" t="n">
        <v>625.95</v>
      </c>
      <c r="T15" s="13" t="n">
        <v>625.95</v>
      </c>
      <c r="U15" s="13" t="n">
        <v>350</v>
      </c>
      <c r="V15" s="13" t="n">
        <v>0</v>
      </c>
      <c r="W15" s="13" t="n">
        <f aca="false">U15+V15</f>
        <v>350</v>
      </c>
    </row>
    <row r="16" customFormat="false" ht="15" hidden="false" customHeight="false" outlineLevel="0" collapsed="false">
      <c r="A16" s="14" t="s">
        <v>762</v>
      </c>
      <c r="B16" s="14" t="s">
        <v>763</v>
      </c>
      <c r="C16" s="14" t="s">
        <v>764</v>
      </c>
      <c r="D16" s="14" t="s">
        <v>138</v>
      </c>
      <c r="E16" s="15" t="n">
        <v>530000</v>
      </c>
      <c r="F16" s="15" t="n">
        <v>7244.02</v>
      </c>
      <c r="G16" s="15" t="n">
        <v>905.5</v>
      </c>
      <c r="H16" s="15" t="n">
        <v>905.5</v>
      </c>
      <c r="I16" s="15" t="n">
        <f aca="false">SUM(K16:T16)</f>
        <v>5433</v>
      </c>
      <c r="J16" s="15" t="n">
        <f aca="false">F16-(G16+H16+I16)</f>
        <v>0.0200000000004366</v>
      </c>
      <c r="K16" s="15" t="n">
        <v>543.3</v>
      </c>
      <c r="L16" s="15" t="n">
        <v>543.3</v>
      </c>
      <c r="M16" s="15" t="n">
        <v>543.3</v>
      </c>
      <c r="N16" s="15" t="n">
        <v>543.3</v>
      </c>
      <c r="O16" s="15" t="n">
        <v>543.3</v>
      </c>
      <c r="P16" s="15" t="n">
        <v>543.3</v>
      </c>
      <c r="Q16" s="15" t="n">
        <v>543.3</v>
      </c>
      <c r="R16" s="15" t="n">
        <v>543.3</v>
      </c>
      <c r="S16" s="15" t="n">
        <v>543.3</v>
      </c>
      <c r="T16" s="15" t="n">
        <v>543.3</v>
      </c>
      <c r="U16" s="15" t="n">
        <v>350</v>
      </c>
      <c r="V16" s="15" t="n">
        <v>0</v>
      </c>
      <c r="W16" s="15" t="n">
        <f aca="false">U16+V16</f>
        <v>350</v>
      </c>
    </row>
    <row r="17" customFormat="false" ht="15" hidden="false" customHeight="false" outlineLevel="0" collapsed="false">
      <c r="A17" s="3" t="s">
        <v>765</v>
      </c>
      <c r="B17" s="3" t="s">
        <v>766</v>
      </c>
      <c r="C17" s="3" t="s">
        <v>80</v>
      </c>
      <c r="D17" s="3" t="s">
        <v>115</v>
      </c>
      <c r="E17" s="13" t="n">
        <v>570000</v>
      </c>
      <c r="F17" s="13" t="n">
        <v>8942.42</v>
      </c>
      <c r="G17" s="13" t="n">
        <v>1117.8</v>
      </c>
      <c r="H17" s="13" t="n">
        <v>1117.8</v>
      </c>
      <c r="I17" s="13" t="n">
        <f aca="false">SUM(K17:T17)</f>
        <v>6706.8</v>
      </c>
      <c r="J17" s="13" t="n">
        <f aca="false">F17-(G17+H17+I17)</f>
        <v>0.0200000000004366</v>
      </c>
      <c r="K17" s="13" t="n">
        <v>670.68</v>
      </c>
      <c r="L17" s="13" t="n">
        <v>670.68</v>
      </c>
      <c r="M17" s="13" t="n">
        <v>670.68</v>
      </c>
      <c r="N17" s="13" t="n">
        <v>670.68</v>
      </c>
      <c r="O17" s="13" t="n">
        <v>670.68</v>
      </c>
      <c r="P17" s="13" t="n">
        <v>670.68</v>
      </c>
      <c r="Q17" s="13" t="n">
        <v>670.68</v>
      </c>
      <c r="R17" s="13" t="n">
        <v>670.68</v>
      </c>
      <c r="S17" s="13" t="n">
        <v>670.68</v>
      </c>
      <c r="T17" s="13" t="n">
        <v>670.68</v>
      </c>
      <c r="U17" s="13" t="n">
        <v>350</v>
      </c>
      <c r="V17" s="13" t="n">
        <v>0</v>
      </c>
      <c r="W17" s="13" t="n">
        <f aca="false">U17+V17</f>
        <v>350</v>
      </c>
    </row>
    <row r="18" customFormat="false" ht="15" hidden="false" customHeight="false" outlineLevel="0" collapsed="false">
      <c r="A18" s="14" t="s">
        <v>767</v>
      </c>
      <c r="B18" s="14" t="s">
        <v>768</v>
      </c>
      <c r="C18" s="14" t="s">
        <v>769</v>
      </c>
      <c r="D18" s="14" t="s">
        <v>99</v>
      </c>
      <c r="E18" s="15" t="n">
        <v>1200000</v>
      </c>
      <c r="F18" s="15" t="n">
        <v>20291.86</v>
      </c>
      <c r="G18" s="15" t="n">
        <v>2536.48</v>
      </c>
      <c r="H18" s="15" t="n">
        <v>2536.48</v>
      </c>
      <c r="I18" s="15" t="n">
        <f aca="false">SUM(K18:T18)</f>
        <v>15218.9</v>
      </c>
      <c r="J18" s="15" t="n">
        <f aca="false">F18-(G18+H18+I18)</f>
        <v>0</v>
      </c>
      <c r="K18" s="15" t="n">
        <v>1521.89</v>
      </c>
      <c r="L18" s="15" t="n">
        <v>1521.89</v>
      </c>
      <c r="M18" s="15" t="n">
        <v>1521.89</v>
      </c>
      <c r="N18" s="15" t="n">
        <v>1521.89</v>
      </c>
      <c r="O18" s="15" t="n">
        <v>1521.89</v>
      </c>
      <c r="P18" s="15" t="n">
        <v>1521.89</v>
      </c>
      <c r="Q18" s="15" t="n">
        <v>1521.89</v>
      </c>
      <c r="R18" s="15" t="n">
        <v>1521.89</v>
      </c>
      <c r="S18" s="15" t="n">
        <v>1521.89</v>
      </c>
      <c r="T18" s="15" t="n">
        <v>1521.89</v>
      </c>
      <c r="U18" s="15" t="n">
        <v>350</v>
      </c>
      <c r="V18" s="15" t="n">
        <v>250</v>
      </c>
      <c r="W18" s="15" t="n">
        <f aca="false">U18+V18</f>
        <v>600</v>
      </c>
    </row>
    <row r="19" customFormat="false" ht="15" hidden="false" customHeight="false" outlineLevel="0" collapsed="false">
      <c r="A19" s="3" t="s">
        <v>770</v>
      </c>
      <c r="B19" s="3" t="s">
        <v>771</v>
      </c>
      <c r="C19" s="3" t="s">
        <v>666</v>
      </c>
      <c r="D19" s="3" t="s">
        <v>180</v>
      </c>
      <c r="E19" s="13" t="n">
        <v>1950000</v>
      </c>
      <c r="F19" s="13" t="n">
        <v>34514.58</v>
      </c>
      <c r="G19" s="13" t="n">
        <v>4314.32</v>
      </c>
      <c r="H19" s="13" t="n">
        <v>4314.32</v>
      </c>
      <c r="I19" s="13" t="n">
        <f aca="false">SUM(K19:T19)</f>
        <v>25885.9</v>
      </c>
      <c r="J19" s="13" t="n">
        <f aca="false">F19-(G19+H19+I19)</f>
        <v>0.0400000000008731</v>
      </c>
      <c r="K19" s="13" t="n">
        <v>2588.59</v>
      </c>
      <c r="L19" s="13" t="n">
        <v>2588.59</v>
      </c>
      <c r="M19" s="13" t="n">
        <v>2588.59</v>
      </c>
      <c r="N19" s="13" t="n">
        <v>2588.59</v>
      </c>
      <c r="O19" s="13" t="n">
        <v>2588.59</v>
      </c>
      <c r="P19" s="13" t="n">
        <v>2588.59</v>
      </c>
      <c r="Q19" s="13" t="n">
        <v>2588.59</v>
      </c>
      <c r="R19" s="13" t="n">
        <v>2588.59</v>
      </c>
      <c r="S19" s="13" t="n">
        <v>2588.59</v>
      </c>
      <c r="T19" s="13" t="n">
        <v>2588.59</v>
      </c>
      <c r="U19" s="13" t="n">
        <v>350</v>
      </c>
      <c r="V19" s="13" t="n">
        <v>250</v>
      </c>
      <c r="W19" s="13" t="n">
        <f aca="false">U19+V19</f>
        <v>600</v>
      </c>
    </row>
    <row r="20" customFormat="false" ht="15" hidden="false" customHeight="false" outlineLevel="0" collapsed="false">
      <c r="A20" s="14" t="s">
        <v>772</v>
      </c>
      <c r="B20" s="14" t="s">
        <v>746</v>
      </c>
      <c r="C20" s="14" t="s">
        <v>773</v>
      </c>
      <c r="D20" s="14" t="s">
        <v>430</v>
      </c>
      <c r="E20" s="15" t="n">
        <v>185000</v>
      </c>
      <c r="F20" s="15" t="n">
        <v>3080.97</v>
      </c>
      <c r="G20" s="15" t="n">
        <v>385.12</v>
      </c>
      <c r="H20" s="15" t="n">
        <v>385.12</v>
      </c>
      <c r="I20" s="15" t="n">
        <f aca="false">SUM(K20:T20)</f>
        <v>2310.7</v>
      </c>
      <c r="J20" s="15" t="n">
        <f aca="false">F20-(G20+H20+I20)</f>
        <v>0.0299999999992906</v>
      </c>
      <c r="K20" s="15" t="n">
        <v>231.07</v>
      </c>
      <c r="L20" s="15" t="n">
        <v>231.07</v>
      </c>
      <c r="M20" s="15" t="n">
        <v>231.07</v>
      </c>
      <c r="N20" s="15" t="n">
        <v>231.07</v>
      </c>
      <c r="O20" s="15" t="n">
        <v>231.07</v>
      </c>
      <c r="P20" s="15" t="n">
        <v>231.07</v>
      </c>
      <c r="Q20" s="15" t="n">
        <v>231.07</v>
      </c>
      <c r="R20" s="15" t="n">
        <v>231.07</v>
      </c>
      <c r="S20" s="15" t="n">
        <v>231.07</v>
      </c>
      <c r="T20" s="15" t="n">
        <v>231.07</v>
      </c>
      <c r="U20" s="15" t="n">
        <v>350</v>
      </c>
      <c r="V20" s="15" t="n">
        <v>0</v>
      </c>
      <c r="W20" s="15" t="n">
        <f aca="false">U20+V20</f>
        <v>350</v>
      </c>
    </row>
    <row r="21" customFormat="false" ht="15" hidden="false" customHeight="false" outlineLevel="0" collapsed="false">
      <c r="A21" s="3" t="s">
        <v>774</v>
      </c>
      <c r="B21" s="3" t="s">
        <v>766</v>
      </c>
      <c r="C21" s="3" t="s">
        <v>775</v>
      </c>
      <c r="D21" s="3" t="s">
        <v>118</v>
      </c>
      <c r="E21" s="13" t="n">
        <v>455000</v>
      </c>
      <c r="F21" s="13" t="n">
        <v>11768.12</v>
      </c>
      <c r="G21" s="13" t="n">
        <v>1471.02</v>
      </c>
      <c r="H21" s="13" t="n">
        <v>1471.02</v>
      </c>
      <c r="I21" s="13" t="n">
        <f aca="false">SUM(K21:T21)</f>
        <v>8826.1</v>
      </c>
      <c r="J21" s="13" t="n">
        <f aca="false">F21-(G21+H21+I21)</f>
        <v>-0.0199999999986176</v>
      </c>
      <c r="K21" s="13" t="n">
        <v>882.61</v>
      </c>
      <c r="L21" s="13" t="n">
        <v>882.61</v>
      </c>
      <c r="M21" s="13" t="n">
        <v>882.61</v>
      </c>
      <c r="N21" s="13" t="n">
        <v>882.61</v>
      </c>
      <c r="O21" s="13" t="n">
        <v>882.61</v>
      </c>
      <c r="P21" s="13" t="n">
        <v>882.61</v>
      </c>
      <c r="Q21" s="13" t="n">
        <v>882.61</v>
      </c>
      <c r="R21" s="13" t="n">
        <v>882.61</v>
      </c>
      <c r="S21" s="13" t="n">
        <v>882.61</v>
      </c>
      <c r="T21" s="13" t="n">
        <v>882.61</v>
      </c>
      <c r="U21" s="13" t="n">
        <v>350</v>
      </c>
      <c r="V21" s="13" t="n">
        <v>0</v>
      </c>
      <c r="W21" s="13" t="n">
        <f aca="false">U21+V21</f>
        <v>350</v>
      </c>
    </row>
    <row r="22" customFormat="false" ht="15" hidden="false" customHeight="false" outlineLevel="0" collapsed="false">
      <c r="A22" s="14" t="s">
        <v>776</v>
      </c>
      <c r="B22" s="14" t="s">
        <v>739</v>
      </c>
      <c r="C22" s="14" t="s">
        <v>777</v>
      </c>
      <c r="D22" s="14" t="s">
        <v>193</v>
      </c>
      <c r="E22" s="15" t="n">
        <v>435000</v>
      </c>
      <c r="F22" s="15" t="n">
        <v>8749.33</v>
      </c>
      <c r="G22" s="15" t="n">
        <v>1093.67</v>
      </c>
      <c r="H22" s="15" t="n">
        <v>1093.67</v>
      </c>
      <c r="I22" s="15" t="n">
        <f aca="false">SUM(K22:T22)</f>
        <v>6562</v>
      </c>
      <c r="J22" s="15" t="n">
        <f aca="false">F22-(G22+H22+I22)</f>
        <v>-0.0100000000002183</v>
      </c>
      <c r="K22" s="15" t="n">
        <v>656.2</v>
      </c>
      <c r="L22" s="15" t="n">
        <v>656.2</v>
      </c>
      <c r="M22" s="15" t="n">
        <v>656.2</v>
      </c>
      <c r="N22" s="15" t="n">
        <v>656.2</v>
      </c>
      <c r="O22" s="15" t="n">
        <v>656.2</v>
      </c>
      <c r="P22" s="15" t="n">
        <v>656.2</v>
      </c>
      <c r="Q22" s="15" t="n">
        <v>656.2</v>
      </c>
      <c r="R22" s="15" t="n">
        <v>656.2</v>
      </c>
      <c r="S22" s="15" t="n">
        <v>656.2</v>
      </c>
      <c r="T22" s="15" t="n">
        <v>656.2</v>
      </c>
      <c r="U22" s="15" t="n">
        <v>350</v>
      </c>
      <c r="V22" s="15" t="n">
        <v>0</v>
      </c>
      <c r="W22" s="15" t="n">
        <f aca="false">U22+V22</f>
        <v>350</v>
      </c>
    </row>
    <row r="23" customFormat="false" ht="15" hidden="false" customHeight="false" outlineLevel="0" collapsed="false">
      <c r="A23" s="3" t="s">
        <v>778</v>
      </c>
      <c r="B23" s="3" t="s">
        <v>779</v>
      </c>
      <c r="C23" s="3" t="s">
        <v>632</v>
      </c>
      <c r="D23" s="3" t="s">
        <v>163</v>
      </c>
      <c r="E23" s="13" t="n">
        <v>550000</v>
      </c>
      <c r="F23" s="13" t="n">
        <v>9744.94</v>
      </c>
      <c r="G23" s="13" t="n">
        <v>1218.12</v>
      </c>
      <c r="H23" s="13" t="n">
        <v>1218.12</v>
      </c>
      <c r="I23" s="13" t="n">
        <f aca="false">SUM(K23:T23)</f>
        <v>7308.7</v>
      </c>
      <c r="J23" s="13" t="n">
        <f aca="false">F23-(G23+H23+I23)</f>
        <v>0</v>
      </c>
      <c r="K23" s="13" t="n">
        <v>730.87</v>
      </c>
      <c r="L23" s="13" t="n">
        <v>730.87</v>
      </c>
      <c r="M23" s="13" t="n">
        <v>730.87</v>
      </c>
      <c r="N23" s="13" t="n">
        <v>730.87</v>
      </c>
      <c r="O23" s="13" t="n">
        <v>730.87</v>
      </c>
      <c r="P23" s="13" t="n">
        <v>730.87</v>
      </c>
      <c r="Q23" s="13" t="n">
        <v>730.87</v>
      </c>
      <c r="R23" s="13" t="n">
        <v>730.87</v>
      </c>
      <c r="S23" s="13" t="n">
        <v>730.87</v>
      </c>
      <c r="T23" s="13" t="n">
        <v>730.87</v>
      </c>
      <c r="U23" s="13" t="n">
        <v>350</v>
      </c>
      <c r="V23" s="13" t="n">
        <v>0</v>
      </c>
      <c r="W23" s="13" t="n">
        <f aca="false">U23+V23</f>
        <v>350</v>
      </c>
    </row>
    <row r="24" customFormat="false" ht="15" hidden="false" customHeight="false" outlineLevel="0" collapsed="false">
      <c r="A24" s="14" t="s">
        <v>780</v>
      </c>
      <c r="B24" s="14" t="s">
        <v>739</v>
      </c>
      <c r="C24" s="14" t="s">
        <v>781</v>
      </c>
      <c r="D24" s="14" t="s">
        <v>325</v>
      </c>
      <c r="E24" s="15" t="n">
        <v>1190000</v>
      </c>
      <c r="F24" s="15" t="n">
        <v>16515.11</v>
      </c>
      <c r="G24" s="15" t="n">
        <v>2064.39</v>
      </c>
      <c r="H24" s="15" t="n">
        <v>2064.39</v>
      </c>
      <c r="I24" s="15" t="n">
        <f aca="false">SUM(K24:T24)</f>
        <v>12386.3</v>
      </c>
      <c r="J24" s="15" t="n">
        <f aca="false">F24-(G24+H24+I24)</f>
        <v>0.0299999999988358</v>
      </c>
      <c r="K24" s="15" t="n">
        <v>1238.63</v>
      </c>
      <c r="L24" s="15" t="n">
        <v>1238.63</v>
      </c>
      <c r="M24" s="15" t="n">
        <v>1238.63</v>
      </c>
      <c r="N24" s="15" t="n">
        <v>1238.63</v>
      </c>
      <c r="O24" s="15" t="n">
        <v>1238.63</v>
      </c>
      <c r="P24" s="15" t="n">
        <v>1238.63</v>
      </c>
      <c r="Q24" s="15" t="n">
        <v>1238.63</v>
      </c>
      <c r="R24" s="15" t="n">
        <v>1238.63</v>
      </c>
      <c r="S24" s="15" t="n">
        <v>1238.63</v>
      </c>
      <c r="T24" s="15" t="n">
        <v>1238.63</v>
      </c>
      <c r="U24" s="15" t="n">
        <v>350</v>
      </c>
      <c r="V24" s="15" t="n">
        <v>250</v>
      </c>
      <c r="W24" s="15" t="n">
        <f aca="false">U24+V24</f>
        <v>600</v>
      </c>
    </row>
    <row r="25" customFormat="false" ht="15" hidden="false" customHeight="false" outlineLevel="0" collapsed="false">
      <c r="A25" s="3" t="s">
        <v>782</v>
      </c>
      <c r="B25" s="3" t="s">
        <v>739</v>
      </c>
      <c r="C25" s="3" t="s">
        <v>354</v>
      </c>
      <c r="D25" s="3" t="s">
        <v>138</v>
      </c>
      <c r="E25" s="13" t="n">
        <v>605000</v>
      </c>
      <c r="F25" s="13" t="n">
        <v>8269.12</v>
      </c>
      <c r="G25" s="13" t="n">
        <v>1033.64</v>
      </c>
      <c r="H25" s="13" t="n">
        <v>1033.64</v>
      </c>
      <c r="I25" s="13" t="n">
        <f aca="false">SUM(K25:T25)</f>
        <v>6201.8</v>
      </c>
      <c r="J25" s="13" t="n">
        <f aca="false">F25-(G25+H25+I25)</f>
        <v>0.0400000000008731</v>
      </c>
      <c r="K25" s="13" t="n">
        <v>620.18</v>
      </c>
      <c r="L25" s="13" t="n">
        <v>620.18</v>
      </c>
      <c r="M25" s="13" t="n">
        <v>620.18</v>
      </c>
      <c r="N25" s="13" t="n">
        <v>620.18</v>
      </c>
      <c r="O25" s="13" t="n">
        <v>620.18</v>
      </c>
      <c r="P25" s="13" t="n">
        <v>620.18</v>
      </c>
      <c r="Q25" s="13" t="n">
        <v>620.18</v>
      </c>
      <c r="R25" s="13" t="n">
        <v>620.18</v>
      </c>
      <c r="S25" s="13" t="n">
        <v>620.18</v>
      </c>
      <c r="T25" s="13" t="n">
        <v>620.18</v>
      </c>
      <c r="U25" s="13" t="n">
        <v>350</v>
      </c>
      <c r="V25" s="13" t="n">
        <v>0</v>
      </c>
      <c r="W25" s="13" t="n">
        <f aca="false">U25+V25</f>
        <v>350</v>
      </c>
    </row>
    <row r="26" customFormat="false" ht="15" hidden="false" customHeight="false" outlineLevel="0" collapsed="false">
      <c r="A26" s="14" t="s">
        <v>783</v>
      </c>
      <c r="B26" s="14" t="s">
        <v>741</v>
      </c>
      <c r="C26" s="14" t="s">
        <v>784</v>
      </c>
      <c r="D26" s="14" t="s">
        <v>448</v>
      </c>
      <c r="E26" s="15" t="n">
        <v>685000</v>
      </c>
      <c r="F26" s="15" t="n">
        <v>8629.84</v>
      </c>
      <c r="G26" s="15" t="n">
        <v>1078.73</v>
      </c>
      <c r="H26" s="15" t="n">
        <v>1078.73</v>
      </c>
      <c r="I26" s="15" t="n">
        <f aca="false">SUM(K26:T26)</f>
        <v>6472.4</v>
      </c>
      <c r="J26" s="15" t="n">
        <f aca="false">F26-(G26+H26+I26)</f>
        <v>-0.0200000000004366</v>
      </c>
      <c r="K26" s="15" t="n">
        <v>647.24</v>
      </c>
      <c r="L26" s="15" t="n">
        <v>647.24</v>
      </c>
      <c r="M26" s="15" t="n">
        <v>647.24</v>
      </c>
      <c r="N26" s="15" t="n">
        <v>647.24</v>
      </c>
      <c r="O26" s="15" t="n">
        <v>647.24</v>
      </c>
      <c r="P26" s="15" t="n">
        <v>647.24</v>
      </c>
      <c r="Q26" s="15" t="n">
        <v>647.24</v>
      </c>
      <c r="R26" s="15" t="n">
        <v>647.24</v>
      </c>
      <c r="S26" s="15" t="n">
        <v>647.24</v>
      </c>
      <c r="T26" s="15" t="n">
        <v>647.24</v>
      </c>
      <c r="U26" s="15" t="n">
        <v>350</v>
      </c>
      <c r="V26" s="15" t="n">
        <v>0</v>
      </c>
      <c r="W26" s="15" t="n">
        <f aca="false">U26+V26</f>
        <v>350</v>
      </c>
    </row>
    <row r="27" customFormat="false" ht="15" hidden="false" customHeight="false" outlineLevel="0" collapsed="false">
      <c r="A27" s="3" t="s">
        <v>785</v>
      </c>
      <c r="B27" s="3" t="s">
        <v>786</v>
      </c>
      <c r="C27" s="3" t="s">
        <v>84</v>
      </c>
      <c r="D27" s="3" t="s">
        <v>138</v>
      </c>
      <c r="E27" s="13" t="n">
        <v>1840000</v>
      </c>
      <c r="F27" s="13" t="n">
        <v>30952.69</v>
      </c>
      <c r="G27" s="13" t="n">
        <v>3869.09</v>
      </c>
      <c r="H27" s="13" t="n">
        <v>3869.09</v>
      </c>
      <c r="I27" s="13" t="n">
        <f aca="false">SUM(K27:T27)</f>
        <v>23214.5</v>
      </c>
      <c r="J27" s="13" t="n">
        <f aca="false">F27-(G27+H27+I27)</f>
        <v>0.00999999999839929</v>
      </c>
      <c r="K27" s="13" t="n">
        <v>2321.45</v>
      </c>
      <c r="L27" s="13" t="n">
        <v>2321.45</v>
      </c>
      <c r="M27" s="13" t="n">
        <v>2321.45</v>
      </c>
      <c r="N27" s="13" t="n">
        <v>2321.45</v>
      </c>
      <c r="O27" s="13" t="n">
        <v>2321.45</v>
      </c>
      <c r="P27" s="13" t="n">
        <v>2321.45</v>
      </c>
      <c r="Q27" s="13" t="n">
        <v>2321.45</v>
      </c>
      <c r="R27" s="13" t="n">
        <v>2321.45</v>
      </c>
      <c r="S27" s="13" t="n">
        <v>2321.45</v>
      </c>
      <c r="T27" s="13" t="n">
        <v>2321.45</v>
      </c>
      <c r="U27" s="13" t="n">
        <v>350</v>
      </c>
      <c r="V27" s="13" t="n">
        <v>250</v>
      </c>
      <c r="W27" s="13" t="n">
        <f aca="false">U27+V27</f>
        <v>600</v>
      </c>
    </row>
    <row r="28" customFormat="false" ht="15" hidden="false" customHeight="false" outlineLevel="0" collapsed="false">
      <c r="A28" s="14" t="s">
        <v>787</v>
      </c>
      <c r="B28" s="14" t="s">
        <v>741</v>
      </c>
      <c r="C28" s="14" t="s">
        <v>788</v>
      </c>
      <c r="D28" s="14" t="s">
        <v>312</v>
      </c>
      <c r="E28" s="15" t="n">
        <v>440000</v>
      </c>
      <c r="F28" s="15" t="n">
        <v>6697.76</v>
      </c>
      <c r="G28" s="15" t="n">
        <v>837.22</v>
      </c>
      <c r="H28" s="15" t="n">
        <v>837.22</v>
      </c>
      <c r="I28" s="15" t="n">
        <f aca="false">SUM(K28:T28)</f>
        <v>5023.3</v>
      </c>
      <c r="J28" s="15" t="n">
        <f aca="false">F28-(G28+H28+I28)</f>
        <v>0.0200000000004366</v>
      </c>
      <c r="K28" s="15" t="n">
        <v>502.33</v>
      </c>
      <c r="L28" s="15" t="n">
        <v>502.33</v>
      </c>
      <c r="M28" s="15" t="n">
        <v>502.33</v>
      </c>
      <c r="N28" s="15" t="n">
        <v>502.33</v>
      </c>
      <c r="O28" s="15" t="n">
        <v>502.33</v>
      </c>
      <c r="P28" s="15" t="n">
        <v>502.33</v>
      </c>
      <c r="Q28" s="15" t="n">
        <v>502.33</v>
      </c>
      <c r="R28" s="15" t="n">
        <v>502.33</v>
      </c>
      <c r="S28" s="15" t="n">
        <v>502.33</v>
      </c>
      <c r="T28" s="15" t="n">
        <v>502.33</v>
      </c>
      <c r="U28" s="15" t="n">
        <v>350</v>
      </c>
      <c r="V28" s="15" t="n">
        <v>0</v>
      </c>
      <c r="W28" s="15" t="n">
        <f aca="false">U28+V28</f>
        <v>350</v>
      </c>
    </row>
    <row r="29" customFormat="false" ht="15" hidden="false" customHeight="false" outlineLevel="0" collapsed="false">
      <c r="A29" s="3" t="s">
        <v>789</v>
      </c>
      <c r="B29" s="3" t="s">
        <v>766</v>
      </c>
      <c r="C29" s="3" t="s">
        <v>790</v>
      </c>
      <c r="D29" s="3" t="s">
        <v>279</v>
      </c>
      <c r="E29" s="13" t="n">
        <v>415000</v>
      </c>
      <c r="F29" s="13" t="n">
        <v>5178.97</v>
      </c>
      <c r="G29" s="13" t="n">
        <v>647.37</v>
      </c>
      <c r="H29" s="13" t="n">
        <v>647.37</v>
      </c>
      <c r="I29" s="13" t="n">
        <f aca="false">SUM(K29:T29)</f>
        <v>3884.2</v>
      </c>
      <c r="J29" s="13" t="n">
        <f aca="false">F29-(G29+H29+I29)</f>
        <v>0.0299999999997453</v>
      </c>
      <c r="K29" s="13" t="n">
        <v>388.42</v>
      </c>
      <c r="L29" s="13" t="n">
        <v>388.42</v>
      </c>
      <c r="M29" s="13" t="n">
        <v>388.42</v>
      </c>
      <c r="N29" s="13" t="n">
        <v>388.42</v>
      </c>
      <c r="O29" s="13" t="n">
        <v>388.42</v>
      </c>
      <c r="P29" s="13" t="n">
        <v>388.42</v>
      </c>
      <c r="Q29" s="13" t="n">
        <v>388.42</v>
      </c>
      <c r="R29" s="13" t="n">
        <v>388.42</v>
      </c>
      <c r="S29" s="13" t="n">
        <v>388.42</v>
      </c>
      <c r="T29" s="13" t="n">
        <v>388.42</v>
      </c>
      <c r="U29" s="13" t="n">
        <v>350</v>
      </c>
      <c r="V29" s="13" t="n">
        <v>0</v>
      </c>
      <c r="W29" s="13" t="n">
        <f aca="false">U29+V29</f>
        <v>350</v>
      </c>
    </row>
    <row r="30" customFormat="false" ht="15" hidden="false" customHeight="false" outlineLevel="0" collapsed="false">
      <c r="A30" s="14" t="s">
        <v>791</v>
      </c>
      <c r="B30" s="14" t="s">
        <v>792</v>
      </c>
      <c r="C30" s="14" t="s">
        <v>793</v>
      </c>
      <c r="D30" s="14" t="s">
        <v>157</v>
      </c>
      <c r="E30" s="15" t="n">
        <v>730000</v>
      </c>
      <c r="F30" s="15" t="n">
        <v>8150.28</v>
      </c>
      <c r="G30" s="15" t="n">
        <v>1018.78</v>
      </c>
      <c r="H30" s="15" t="n">
        <v>1018.78</v>
      </c>
      <c r="I30" s="15" t="n">
        <f aca="false">SUM(K30:T30)</f>
        <v>6112.7</v>
      </c>
      <c r="J30" s="15" t="n">
        <f aca="false">F30-(G30+H30+I30)</f>
        <v>0.0199999999995271</v>
      </c>
      <c r="K30" s="15" t="n">
        <v>611.27</v>
      </c>
      <c r="L30" s="15" t="n">
        <v>611.27</v>
      </c>
      <c r="M30" s="15" t="n">
        <v>611.27</v>
      </c>
      <c r="N30" s="15" t="n">
        <v>611.27</v>
      </c>
      <c r="O30" s="15" t="n">
        <v>611.27</v>
      </c>
      <c r="P30" s="15" t="n">
        <v>611.27</v>
      </c>
      <c r="Q30" s="15" t="n">
        <v>611.27</v>
      </c>
      <c r="R30" s="15" t="n">
        <v>611.27</v>
      </c>
      <c r="S30" s="15" t="n">
        <v>611.27</v>
      </c>
      <c r="T30" s="15" t="n">
        <v>611.27</v>
      </c>
      <c r="U30" s="15" t="n">
        <v>350</v>
      </c>
      <c r="V30" s="15" t="n">
        <v>0</v>
      </c>
      <c r="W30" s="15" t="n">
        <f aca="false">U30+V30</f>
        <v>350</v>
      </c>
    </row>
    <row r="31" customFormat="false" ht="15" hidden="false" customHeight="false" outlineLevel="0" collapsed="false">
      <c r="A31" s="3" t="s">
        <v>794</v>
      </c>
      <c r="B31" s="3" t="s">
        <v>795</v>
      </c>
      <c r="C31" s="3" t="s">
        <v>594</v>
      </c>
      <c r="D31" s="3" t="s">
        <v>138</v>
      </c>
      <c r="E31" s="13" t="n">
        <v>265000</v>
      </c>
      <c r="F31" s="13" t="n">
        <v>6408.17</v>
      </c>
      <c r="G31" s="13" t="n">
        <v>801.02</v>
      </c>
      <c r="H31" s="13" t="n">
        <v>801.02</v>
      </c>
      <c r="I31" s="13" t="n">
        <f aca="false">SUM(K31:T31)</f>
        <v>4806.1</v>
      </c>
      <c r="J31" s="13" t="n">
        <f aca="false">F31-(G31+H31+I31)</f>
        <v>0.0300000000006548</v>
      </c>
      <c r="K31" s="13" t="n">
        <v>480.61</v>
      </c>
      <c r="L31" s="13" t="n">
        <v>480.61</v>
      </c>
      <c r="M31" s="13" t="n">
        <v>480.61</v>
      </c>
      <c r="N31" s="13" t="n">
        <v>480.61</v>
      </c>
      <c r="O31" s="13" t="n">
        <v>480.61</v>
      </c>
      <c r="P31" s="13" t="n">
        <v>480.61</v>
      </c>
      <c r="Q31" s="13" t="n">
        <v>480.61</v>
      </c>
      <c r="R31" s="13" t="n">
        <v>480.61</v>
      </c>
      <c r="S31" s="13" t="n">
        <v>480.61</v>
      </c>
      <c r="T31" s="13" t="n">
        <v>480.61</v>
      </c>
      <c r="U31" s="13" t="n">
        <v>350</v>
      </c>
      <c r="V31" s="13" t="n">
        <v>0</v>
      </c>
      <c r="W31" s="13" t="n">
        <f aca="false">U31+V31</f>
        <v>350</v>
      </c>
    </row>
    <row r="32" customFormat="false" ht="15" hidden="false" customHeight="false" outlineLevel="0" collapsed="false">
      <c r="A32" s="14" t="s">
        <v>796</v>
      </c>
      <c r="B32" s="14" t="s">
        <v>795</v>
      </c>
      <c r="C32" s="14" t="s">
        <v>797</v>
      </c>
      <c r="D32" s="14" t="s">
        <v>185</v>
      </c>
      <c r="E32" s="15" t="n">
        <v>735000</v>
      </c>
      <c r="F32" s="15" t="n">
        <v>8822.97</v>
      </c>
      <c r="G32" s="15" t="n">
        <v>1102.87</v>
      </c>
      <c r="H32" s="15" t="n">
        <v>1102.87</v>
      </c>
      <c r="I32" s="15" t="n">
        <f aca="false">SUM(K32:T32)</f>
        <v>6617.2</v>
      </c>
      <c r="J32" s="15" t="n">
        <f aca="false">F32-(G32+H32+I32)</f>
        <v>0.0299999999988358</v>
      </c>
      <c r="K32" s="15" t="n">
        <v>661.72</v>
      </c>
      <c r="L32" s="15" t="n">
        <v>661.72</v>
      </c>
      <c r="M32" s="15" t="n">
        <v>661.72</v>
      </c>
      <c r="N32" s="15" t="n">
        <v>661.72</v>
      </c>
      <c r="O32" s="15" t="n">
        <v>661.72</v>
      </c>
      <c r="P32" s="15" t="n">
        <v>661.72</v>
      </c>
      <c r="Q32" s="15" t="n">
        <v>661.72</v>
      </c>
      <c r="R32" s="15" t="n">
        <v>661.72</v>
      </c>
      <c r="S32" s="15" t="n">
        <v>661.72</v>
      </c>
      <c r="T32" s="15" t="n">
        <v>661.72</v>
      </c>
      <c r="U32" s="15" t="n">
        <v>350</v>
      </c>
      <c r="V32" s="15" t="n">
        <v>0</v>
      </c>
      <c r="W32" s="15" t="n">
        <f aca="false">U32+V32</f>
        <v>350</v>
      </c>
    </row>
    <row r="33" customFormat="false" ht="15" hidden="false" customHeight="false" outlineLevel="0" collapsed="false">
      <c r="A33" s="3" t="s">
        <v>798</v>
      </c>
      <c r="B33" s="3" t="s">
        <v>792</v>
      </c>
      <c r="C33" s="3" t="s">
        <v>108</v>
      </c>
      <c r="D33" s="3" t="s">
        <v>251</v>
      </c>
      <c r="E33" s="13" t="n">
        <v>295000</v>
      </c>
      <c r="F33" s="13" t="n">
        <v>4531</v>
      </c>
      <c r="G33" s="13" t="n">
        <v>566.38</v>
      </c>
      <c r="H33" s="13" t="n">
        <v>566.38</v>
      </c>
      <c r="I33" s="13" t="n">
        <f aca="false">SUM(K33:T33)</f>
        <v>3398.2</v>
      </c>
      <c r="J33" s="13" t="n">
        <f aca="false">F33-(G33+H33+I33)</f>
        <v>0.0399999999999636</v>
      </c>
      <c r="K33" s="13" t="n">
        <v>339.82</v>
      </c>
      <c r="L33" s="13" t="n">
        <v>339.82</v>
      </c>
      <c r="M33" s="13" t="n">
        <v>339.82</v>
      </c>
      <c r="N33" s="13" t="n">
        <v>339.82</v>
      </c>
      <c r="O33" s="13" t="n">
        <v>339.82</v>
      </c>
      <c r="P33" s="13" t="n">
        <v>339.82</v>
      </c>
      <c r="Q33" s="13" t="n">
        <v>339.82</v>
      </c>
      <c r="R33" s="13" t="n">
        <v>339.82</v>
      </c>
      <c r="S33" s="13" t="n">
        <v>339.82</v>
      </c>
      <c r="T33" s="13" t="n">
        <v>339.82</v>
      </c>
      <c r="U33" s="13" t="n">
        <v>350</v>
      </c>
      <c r="V33" s="13" t="n">
        <v>0</v>
      </c>
      <c r="W33" s="13" t="n">
        <f aca="false">U33+V33</f>
        <v>350</v>
      </c>
    </row>
    <row r="34" customFormat="false" ht="15" hidden="false" customHeight="false" outlineLevel="0" collapsed="false">
      <c r="A34" s="14" t="s">
        <v>799</v>
      </c>
      <c r="B34" s="14" t="s">
        <v>800</v>
      </c>
      <c r="C34" s="14" t="s">
        <v>801</v>
      </c>
      <c r="D34" s="14" t="s">
        <v>81</v>
      </c>
      <c r="E34" s="15" t="n">
        <v>455000</v>
      </c>
      <c r="F34" s="15" t="n">
        <v>7986.85</v>
      </c>
      <c r="G34" s="15" t="n">
        <v>998.36</v>
      </c>
      <c r="H34" s="15" t="n">
        <v>998.36</v>
      </c>
      <c r="I34" s="15" t="n">
        <f aca="false">SUM(K34:T34)</f>
        <v>5990.1</v>
      </c>
      <c r="J34" s="15" t="n">
        <f aca="false">F34-(G34+H34+I34)</f>
        <v>0.0299999999997453</v>
      </c>
      <c r="K34" s="15" t="n">
        <v>599.01</v>
      </c>
      <c r="L34" s="15" t="n">
        <v>599.01</v>
      </c>
      <c r="M34" s="15" t="n">
        <v>599.01</v>
      </c>
      <c r="N34" s="15" t="n">
        <v>599.01</v>
      </c>
      <c r="O34" s="15" t="n">
        <v>599.01</v>
      </c>
      <c r="P34" s="15" t="n">
        <v>599.01</v>
      </c>
      <c r="Q34" s="15" t="n">
        <v>599.01</v>
      </c>
      <c r="R34" s="15" t="n">
        <v>599.01</v>
      </c>
      <c r="S34" s="15" t="n">
        <v>599.01</v>
      </c>
      <c r="T34" s="15" t="n">
        <v>599.01</v>
      </c>
      <c r="U34" s="15" t="n">
        <v>350</v>
      </c>
      <c r="V34" s="15" t="n">
        <v>0</v>
      </c>
      <c r="W34" s="15" t="n">
        <f aca="false">U34+V34</f>
        <v>350</v>
      </c>
    </row>
    <row r="35" customFormat="false" ht="15" hidden="false" customHeight="false" outlineLevel="0" collapsed="false">
      <c r="A35" s="3" t="s">
        <v>802</v>
      </c>
      <c r="B35" s="3" t="s">
        <v>803</v>
      </c>
      <c r="C35" s="3" t="s">
        <v>120</v>
      </c>
      <c r="D35" s="3" t="s">
        <v>208</v>
      </c>
      <c r="E35" s="13" t="n">
        <v>430000</v>
      </c>
      <c r="F35" s="13" t="n">
        <v>11754.46</v>
      </c>
      <c r="G35" s="13" t="n">
        <v>1469.31</v>
      </c>
      <c r="H35" s="13" t="n">
        <v>1469.31</v>
      </c>
      <c r="I35" s="13" t="n">
        <f aca="false">SUM(K35:T35)</f>
        <v>8815.8</v>
      </c>
      <c r="J35" s="13" t="n">
        <f aca="false">F35-(G35+H35+I35)</f>
        <v>0.0399999999972351</v>
      </c>
      <c r="K35" s="13" t="n">
        <v>881.58</v>
      </c>
      <c r="L35" s="13" t="n">
        <v>881.58</v>
      </c>
      <c r="M35" s="13" t="n">
        <v>881.58</v>
      </c>
      <c r="N35" s="13" t="n">
        <v>881.58</v>
      </c>
      <c r="O35" s="13" t="n">
        <v>881.58</v>
      </c>
      <c r="P35" s="13" t="n">
        <v>881.58</v>
      </c>
      <c r="Q35" s="13" t="n">
        <v>881.58</v>
      </c>
      <c r="R35" s="13" t="n">
        <v>881.58</v>
      </c>
      <c r="S35" s="13" t="n">
        <v>881.58</v>
      </c>
      <c r="T35" s="13" t="n">
        <v>881.58</v>
      </c>
      <c r="U35" s="13" t="n">
        <v>350</v>
      </c>
      <c r="V35" s="13" t="n">
        <v>0</v>
      </c>
      <c r="W35" s="13" t="n">
        <f aca="false">U35+V35</f>
        <v>350</v>
      </c>
    </row>
    <row r="36" customFormat="false" ht="15" hidden="false" customHeight="false" outlineLevel="0" collapsed="false">
      <c r="A36" s="14" t="s">
        <v>804</v>
      </c>
      <c r="B36" s="14" t="s">
        <v>771</v>
      </c>
      <c r="C36" s="14" t="s">
        <v>805</v>
      </c>
      <c r="D36" s="14" t="s">
        <v>77</v>
      </c>
      <c r="E36" s="15" t="n">
        <v>915000</v>
      </c>
      <c r="F36" s="15" t="n">
        <v>20185.58</v>
      </c>
      <c r="G36" s="15" t="n">
        <v>2523.2</v>
      </c>
      <c r="H36" s="15" t="n">
        <v>2523.2</v>
      </c>
      <c r="I36" s="15" t="n">
        <f aca="false">SUM(K36:T36)</f>
        <v>15139.2</v>
      </c>
      <c r="J36" s="15" t="n">
        <f aca="false">F36-(G36+H36+I36)</f>
        <v>-0.0199999999967986</v>
      </c>
      <c r="K36" s="15" t="n">
        <v>1513.92</v>
      </c>
      <c r="L36" s="15" t="n">
        <v>1513.92</v>
      </c>
      <c r="M36" s="15" t="n">
        <v>1513.92</v>
      </c>
      <c r="N36" s="15" t="n">
        <v>1513.92</v>
      </c>
      <c r="O36" s="15" t="n">
        <v>1513.92</v>
      </c>
      <c r="P36" s="15" t="n">
        <v>1513.92</v>
      </c>
      <c r="Q36" s="15" t="n">
        <v>1513.92</v>
      </c>
      <c r="R36" s="15" t="n">
        <v>1513.92</v>
      </c>
      <c r="S36" s="15" t="n">
        <v>1513.92</v>
      </c>
      <c r="T36" s="15" t="n">
        <v>1513.92</v>
      </c>
      <c r="U36" s="15" t="n">
        <v>350</v>
      </c>
      <c r="V36" s="15" t="n">
        <v>0</v>
      </c>
      <c r="W36" s="15" t="n">
        <f aca="false">U36+V36</f>
        <v>350</v>
      </c>
    </row>
    <row r="37" customFormat="false" ht="15" hidden="false" customHeight="false" outlineLevel="0" collapsed="false">
      <c r="A37" s="3" t="s">
        <v>806</v>
      </c>
      <c r="B37" s="3" t="s">
        <v>795</v>
      </c>
      <c r="C37" s="3" t="s">
        <v>276</v>
      </c>
      <c r="D37" s="3" t="s">
        <v>233</v>
      </c>
      <c r="E37" s="13" t="n">
        <v>825000</v>
      </c>
      <c r="F37" s="13" t="n">
        <v>14044.18</v>
      </c>
      <c r="G37" s="13" t="n">
        <v>1755.52</v>
      </c>
      <c r="H37" s="13" t="n">
        <v>1755.52</v>
      </c>
      <c r="I37" s="13" t="n">
        <f aca="false">SUM(K37:T37)</f>
        <v>10533.1</v>
      </c>
      <c r="J37" s="13" t="n">
        <f aca="false">F37-(G37+H37+I37)</f>
        <v>0.0400000000008731</v>
      </c>
      <c r="K37" s="13" t="n">
        <v>1053.31</v>
      </c>
      <c r="L37" s="13" t="n">
        <v>1053.31</v>
      </c>
      <c r="M37" s="13" t="n">
        <v>1053.31</v>
      </c>
      <c r="N37" s="13" t="n">
        <v>1053.31</v>
      </c>
      <c r="O37" s="13" t="n">
        <v>1053.31</v>
      </c>
      <c r="P37" s="13" t="n">
        <v>1053.31</v>
      </c>
      <c r="Q37" s="13" t="n">
        <v>1053.31</v>
      </c>
      <c r="R37" s="13" t="n">
        <v>1053.31</v>
      </c>
      <c r="S37" s="13" t="n">
        <v>1053.31</v>
      </c>
      <c r="T37" s="13" t="n">
        <v>1053.31</v>
      </c>
      <c r="U37" s="13" t="n">
        <v>350</v>
      </c>
      <c r="V37" s="13" t="n">
        <v>0</v>
      </c>
      <c r="W37" s="13" t="n">
        <f aca="false">U37+V37</f>
        <v>350</v>
      </c>
    </row>
    <row r="38" customFormat="false" ht="15" hidden="false" customHeight="false" outlineLevel="0" collapsed="false">
      <c r="A38" s="14" t="s">
        <v>807</v>
      </c>
      <c r="B38" s="14" t="s">
        <v>808</v>
      </c>
      <c r="C38" s="14" t="s">
        <v>278</v>
      </c>
      <c r="D38" s="14" t="s">
        <v>312</v>
      </c>
      <c r="E38" s="15" t="n">
        <v>470000</v>
      </c>
      <c r="F38" s="15" t="n">
        <v>7154.43</v>
      </c>
      <c r="G38" s="15" t="n">
        <v>894.3</v>
      </c>
      <c r="H38" s="15" t="n">
        <v>894.3</v>
      </c>
      <c r="I38" s="15" t="n">
        <f aca="false">SUM(K38:T38)</f>
        <v>5365.8</v>
      </c>
      <c r="J38" s="15" t="n">
        <f aca="false">F38-(G38+H38+I38)</f>
        <v>0.0300000000006548</v>
      </c>
      <c r="K38" s="15" t="n">
        <v>536.58</v>
      </c>
      <c r="L38" s="15" t="n">
        <v>536.58</v>
      </c>
      <c r="M38" s="15" t="n">
        <v>536.58</v>
      </c>
      <c r="N38" s="15" t="n">
        <v>536.58</v>
      </c>
      <c r="O38" s="15" t="n">
        <v>536.58</v>
      </c>
      <c r="P38" s="15" t="n">
        <v>536.58</v>
      </c>
      <c r="Q38" s="15" t="n">
        <v>536.58</v>
      </c>
      <c r="R38" s="15" t="n">
        <v>536.58</v>
      </c>
      <c r="S38" s="15" t="n">
        <v>536.58</v>
      </c>
      <c r="T38" s="15" t="n">
        <v>536.58</v>
      </c>
      <c r="U38" s="15" t="n">
        <v>350</v>
      </c>
      <c r="V38" s="15" t="n">
        <v>0</v>
      </c>
      <c r="W38" s="15" t="n">
        <f aca="false">U38+V38</f>
        <v>350</v>
      </c>
    </row>
    <row r="39" customFormat="false" ht="15" hidden="false" customHeight="false" outlineLevel="0" collapsed="false">
      <c r="A39" s="3" t="s">
        <v>809</v>
      </c>
      <c r="B39" s="3" t="s">
        <v>766</v>
      </c>
      <c r="C39" s="3" t="s">
        <v>810</v>
      </c>
      <c r="D39" s="3" t="s">
        <v>203</v>
      </c>
      <c r="E39" s="13" t="n">
        <v>765000</v>
      </c>
      <c r="F39" s="13" t="n">
        <v>10365.08</v>
      </c>
      <c r="G39" s="13" t="n">
        <v>1295.63</v>
      </c>
      <c r="H39" s="13" t="n">
        <v>1295.63</v>
      </c>
      <c r="I39" s="13" t="n">
        <f aca="false">SUM(K39:T39)</f>
        <v>7773.8</v>
      </c>
      <c r="J39" s="13" t="n">
        <f aca="false">F39-(G39+H39+I39)</f>
        <v>0.0199999999986176</v>
      </c>
      <c r="K39" s="13" t="n">
        <v>777.38</v>
      </c>
      <c r="L39" s="13" t="n">
        <v>777.38</v>
      </c>
      <c r="M39" s="13" t="n">
        <v>777.38</v>
      </c>
      <c r="N39" s="13" t="n">
        <v>777.38</v>
      </c>
      <c r="O39" s="13" t="n">
        <v>777.38</v>
      </c>
      <c r="P39" s="13" t="n">
        <v>777.38</v>
      </c>
      <c r="Q39" s="13" t="n">
        <v>777.38</v>
      </c>
      <c r="R39" s="13" t="n">
        <v>777.38</v>
      </c>
      <c r="S39" s="13" t="n">
        <v>777.38</v>
      </c>
      <c r="T39" s="13" t="n">
        <v>777.38</v>
      </c>
      <c r="U39" s="13" t="n">
        <v>350</v>
      </c>
      <c r="V39" s="13" t="n">
        <v>0</v>
      </c>
      <c r="W39" s="13" t="n">
        <f aca="false">U39+V39</f>
        <v>350</v>
      </c>
    </row>
    <row r="40" customFormat="false" ht="15" hidden="false" customHeight="false" outlineLevel="0" collapsed="false">
      <c r="A40" s="14" t="s">
        <v>811</v>
      </c>
      <c r="B40" s="14" t="s">
        <v>753</v>
      </c>
      <c r="C40" s="14" t="s">
        <v>450</v>
      </c>
      <c r="D40" s="14" t="s">
        <v>93</v>
      </c>
      <c r="E40" s="15" t="n">
        <v>1575000</v>
      </c>
      <c r="F40" s="15" t="n">
        <v>29489.9</v>
      </c>
      <c r="G40" s="15" t="n">
        <v>3686.24</v>
      </c>
      <c r="H40" s="15" t="n">
        <v>3686.24</v>
      </c>
      <c r="I40" s="15" t="n">
        <f aca="false">SUM(K40:T40)</f>
        <v>22117.4</v>
      </c>
      <c r="J40" s="15" t="n">
        <f aca="false">F40-(G40+H40+I40)</f>
        <v>0.0200000000077125</v>
      </c>
      <c r="K40" s="15" t="n">
        <v>2211.74</v>
      </c>
      <c r="L40" s="15" t="n">
        <v>2211.74</v>
      </c>
      <c r="M40" s="15" t="n">
        <v>2211.74</v>
      </c>
      <c r="N40" s="15" t="n">
        <v>2211.74</v>
      </c>
      <c r="O40" s="15" t="n">
        <v>2211.74</v>
      </c>
      <c r="P40" s="15" t="n">
        <v>2211.74</v>
      </c>
      <c r="Q40" s="15" t="n">
        <v>2211.74</v>
      </c>
      <c r="R40" s="15" t="n">
        <v>2211.74</v>
      </c>
      <c r="S40" s="15" t="n">
        <v>2211.74</v>
      </c>
      <c r="T40" s="15" t="n">
        <v>2211.74</v>
      </c>
      <c r="U40" s="15" t="n">
        <v>350</v>
      </c>
      <c r="V40" s="15" t="n">
        <v>250</v>
      </c>
      <c r="W40" s="15" t="n">
        <f aca="false">U40+V40</f>
        <v>600</v>
      </c>
    </row>
    <row r="41" customFormat="false" ht="15" hidden="false" customHeight="false" outlineLevel="0" collapsed="false">
      <c r="A41" s="3" t="s">
        <v>812</v>
      </c>
      <c r="B41" s="3" t="s">
        <v>739</v>
      </c>
      <c r="C41" s="3" t="s">
        <v>813</v>
      </c>
      <c r="D41" s="3" t="s">
        <v>89</v>
      </c>
      <c r="E41" s="13" t="n">
        <v>410000</v>
      </c>
      <c r="F41" s="13" t="n">
        <v>11638.8</v>
      </c>
      <c r="G41" s="13" t="n">
        <v>1454.85</v>
      </c>
      <c r="H41" s="13" t="n">
        <v>1454.85</v>
      </c>
      <c r="I41" s="13" t="n">
        <f aca="false">SUM(K41:T41)</f>
        <v>8729.1</v>
      </c>
      <c r="J41" s="13" t="n">
        <f aca="false">F41-(G41+H41+I41)</f>
        <v>0</v>
      </c>
      <c r="K41" s="13" t="n">
        <v>872.91</v>
      </c>
      <c r="L41" s="13" t="n">
        <v>872.91</v>
      </c>
      <c r="M41" s="13" t="n">
        <v>872.91</v>
      </c>
      <c r="N41" s="13" t="n">
        <v>872.91</v>
      </c>
      <c r="O41" s="13" t="n">
        <v>872.91</v>
      </c>
      <c r="P41" s="13" t="n">
        <v>872.91</v>
      </c>
      <c r="Q41" s="13" t="n">
        <v>872.91</v>
      </c>
      <c r="R41" s="13" t="n">
        <v>872.91</v>
      </c>
      <c r="S41" s="13" t="n">
        <v>872.91</v>
      </c>
      <c r="T41" s="13" t="n">
        <v>872.91</v>
      </c>
      <c r="U41" s="13" t="n">
        <v>350</v>
      </c>
      <c r="V41" s="13" t="n">
        <v>0</v>
      </c>
      <c r="W41" s="13" t="n">
        <f aca="false">U41+V41</f>
        <v>350</v>
      </c>
    </row>
    <row r="42" customFormat="false" ht="15" hidden="false" customHeight="false" outlineLevel="0" collapsed="false">
      <c r="A42" s="14" t="s">
        <v>814</v>
      </c>
      <c r="B42" s="14" t="s">
        <v>795</v>
      </c>
      <c r="C42" s="14" t="s">
        <v>124</v>
      </c>
      <c r="D42" s="14" t="s">
        <v>208</v>
      </c>
      <c r="E42" s="15" t="n">
        <v>455000</v>
      </c>
      <c r="F42" s="15" t="n">
        <v>12437.85</v>
      </c>
      <c r="G42" s="15" t="n">
        <v>1554.73</v>
      </c>
      <c r="H42" s="15" t="n">
        <v>1554.73</v>
      </c>
      <c r="I42" s="15" t="n">
        <f aca="false">SUM(K42:T42)</f>
        <v>9328.4</v>
      </c>
      <c r="J42" s="15" t="n">
        <f aca="false">F42-(G42+H42+I42)</f>
        <v>-0.0100000000002183</v>
      </c>
      <c r="K42" s="15" t="n">
        <v>932.84</v>
      </c>
      <c r="L42" s="15" t="n">
        <v>932.84</v>
      </c>
      <c r="M42" s="15" t="n">
        <v>932.84</v>
      </c>
      <c r="N42" s="15" t="n">
        <v>932.84</v>
      </c>
      <c r="O42" s="15" t="n">
        <v>932.84</v>
      </c>
      <c r="P42" s="15" t="n">
        <v>932.84</v>
      </c>
      <c r="Q42" s="15" t="n">
        <v>932.84</v>
      </c>
      <c r="R42" s="15" t="n">
        <v>932.84</v>
      </c>
      <c r="S42" s="15" t="n">
        <v>932.84</v>
      </c>
      <c r="T42" s="15" t="n">
        <v>932.84</v>
      </c>
      <c r="U42" s="15" t="n">
        <v>350</v>
      </c>
      <c r="V42" s="15" t="n">
        <v>0</v>
      </c>
      <c r="W42" s="15" t="n">
        <f aca="false">U42+V42</f>
        <v>350</v>
      </c>
    </row>
    <row r="43" customFormat="false" ht="15" hidden="false" customHeight="false" outlineLevel="0" collapsed="false">
      <c r="A43" s="3" t="s">
        <v>815</v>
      </c>
      <c r="B43" s="3" t="s">
        <v>816</v>
      </c>
      <c r="C43" s="3" t="s">
        <v>817</v>
      </c>
      <c r="D43" s="3" t="s">
        <v>73</v>
      </c>
      <c r="E43" s="13" t="n">
        <v>730000</v>
      </c>
      <c r="F43" s="13" t="n">
        <v>12181.36</v>
      </c>
      <c r="G43" s="13" t="n">
        <v>1522.67</v>
      </c>
      <c r="H43" s="13" t="n">
        <v>1522.67</v>
      </c>
      <c r="I43" s="13" t="n">
        <f aca="false">SUM(K43:T43)</f>
        <v>9136</v>
      </c>
      <c r="J43" s="13" t="n">
        <f aca="false">F43-(G43+H43+I43)</f>
        <v>0.0200000000004366</v>
      </c>
      <c r="K43" s="13" t="n">
        <v>913.6</v>
      </c>
      <c r="L43" s="13" t="n">
        <v>913.6</v>
      </c>
      <c r="M43" s="13" t="n">
        <v>913.6</v>
      </c>
      <c r="N43" s="13" t="n">
        <v>913.6</v>
      </c>
      <c r="O43" s="13" t="n">
        <v>913.6</v>
      </c>
      <c r="P43" s="13" t="n">
        <v>913.6</v>
      </c>
      <c r="Q43" s="13" t="n">
        <v>913.6</v>
      </c>
      <c r="R43" s="13" t="n">
        <v>913.6</v>
      </c>
      <c r="S43" s="13" t="n">
        <v>913.6</v>
      </c>
      <c r="T43" s="13" t="n">
        <v>913.6</v>
      </c>
      <c r="U43" s="13" t="n">
        <v>350</v>
      </c>
      <c r="V43" s="13" t="n">
        <v>0</v>
      </c>
      <c r="W43" s="13" t="n">
        <f aca="false">U43+V43</f>
        <v>350</v>
      </c>
    </row>
    <row r="44" customFormat="false" ht="15" hidden="false" customHeight="false" outlineLevel="0" collapsed="false">
      <c r="A44" s="14" t="s">
        <v>818</v>
      </c>
      <c r="B44" s="14" t="s">
        <v>739</v>
      </c>
      <c r="C44" s="14" t="s">
        <v>819</v>
      </c>
      <c r="D44" s="14" t="s">
        <v>89</v>
      </c>
      <c r="E44" s="15" t="n">
        <v>430000</v>
      </c>
      <c r="F44" s="15" t="n">
        <v>7960.79</v>
      </c>
      <c r="G44" s="15" t="n">
        <v>995.1</v>
      </c>
      <c r="H44" s="15" t="n">
        <v>995.1</v>
      </c>
      <c r="I44" s="15" t="n">
        <f aca="false">SUM(K44:T44)</f>
        <v>5970.6</v>
      </c>
      <c r="J44" s="15" t="n">
        <f aca="false">F44-(G44+H44+I44)</f>
        <v>-0.00999999999839929</v>
      </c>
      <c r="K44" s="15" t="n">
        <v>597.06</v>
      </c>
      <c r="L44" s="15" t="n">
        <v>597.06</v>
      </c>
      <c r="M44" s="15" t="n">
        <v>597.06</v>
      </c>
      <c r="N44" s="15" t="n">
        <v>597.06</v>
      </c>
      <c r="O44" s="15" t="n">
        <v>597.06</v>
      </c>
      <c r="P44" s="15" t="n">
        <v>597.06</v>
      </c>
      <c r="Q44" s="15" t="n">
        <v>597.06</v>
      </c>
      <c r="R44" s="15" t="n">
        <v>597.06</v>
      </c>
      <c r="S44" s="15" t="n">
        <v>597.06</v>
      </c>
      <c r="T44" s="15" t="n">
        <v>597.06</v>
      </c>
      <c r="U44" s="15" t="n">
        <v>350</v>
      </c>
      <c r="V44" s="15" t="n">
        <v>0</v>
      </c>
      <c r="W44" s="15" t="n">
        <f aca="false">U44+V44</f>
        <v>350</v>
      </c>
    </row>
    <row r="45" customFormat="false" ht="15" hidden="false" customHeight="false" outlineLevel="0" collapsed="false">
      <c r="A45" s="3" t="s">
        <v>820</v>
      </c>
      <c r="B45" s="3" t="s">
        <v>821</v>
      </c>
      <c r="C45" s="3" t="s">
        <v>822</v>
      </c>
      <c r="D45" s="3" t="s">
        <v>382</v>
      </c>
      <c r="E45" s="13" t="n">
        <v>325000</v>
      </c>
      <c r="F45" s="13" t="n">
        <v>4991.78</v>
      </c>
      <c r="G45" s="13" t="n">
        <v>623.97</v>
      </c>
      <c r="H45" s="13" t="n">
        <v>623.97</v>
      </c>
      <c r="I45" s="13" t="n">
        <f aca="false">SUM(K45:T45)</f>
        <v>3743.8</v>
      </c>
      <c r="J45" s="13" t="n">
        <f aca="false">F45-(G45+H45+I45)</f>
        <v>0.0399999999999636</v>
      </c>
      <c r="K45" s="13" t="n">
        <v>374.38</v>
      </c>
      <c r="L45" s="13" t="n">
        <v>374.38</v>
      </c>
      <c r="M45" s="13" t="n">
        <v>374.38</v>
      </c>
      <c r="N45" s="13" t="n">
        <v>374.38</v>
      </c>
      <c r="O45" s="13" t="n">
        <v>374.38</v>
      </c>
      <c r="P45" s="13" t="n">
        <v>374.38</v>
      </c>
      <c r="Q45" s="13" t="n">
        <v>374.38</v>
      </c>
      <c r="R45" s="13" t="n">
        <v>374.38</v>
      </c>
      <c r="S45" s="13" t="n">
        <v>374.38</v>
      </c>
      <c r="T45" s="13" t="n">
        <v>374.38</v>
      </c>
      <c r="U45" s="13" t="n">
        <v>350</v>
      </c>
      <c r="V45" s="13" t="n">
        <v>0</v>
      </c>
      <c r="W45" s="13" t="n">
        <f aca="false">U45+V45</f>
        <v>350</v>
      </c>
    </row>
    <row r="46" customFormat="false" ht="15" hidden="false" customHeight="false" outlineLevel="0" collapsed="false">
      <c r="A46" s="14" t="s">
        <v>823</v>
      </c>
      <c r="B46" s="14" t="s">
        <v>768</v>
      </c>
      <c r="C46" s="14" t="s">
        <v>211</v>
      </c>
      <c r="D46" s="14" t="s">
        <v>89</v>
      </c>
      <c r="E46" s="15" t="n">
        <v>395000</v>
      </c>
      <c r="F46" s="15" t="n">
        <v>7312.82</v>
      </c>
      <c r="G46" s="15" t="n">
        <v>914.1</v>
      </c>
      <c r="H46" s="15" t="n">
        <v>914.1</v>
      </c>
      <c r="I46" s="15" t="n">
        <f aca="false">SUM(K46:T46)</f>
        <v>5484.6</v>
      </c>
      <c r="J46" s="15" t="n">
        <f aca="false">F46-(G46+H46+I46)</f>
        <v>0.0199999999995271</v>
      </c>
      <c r="K46" s="15" t="n">
        <v>548.46</v>
      </c>
      <c r="L46" s="15" t="n">
        <v>548.46</v>
      </c>
      <c r="M46" s="15" t="n">
        <v>548.46</v>
      </c>
      <c r="N46" s="15" t="n">
        <v>548.46</v>
      </c>
      <c r="O46" s="15" t="n">
        <v>548.46</v>
      </c>
      <c r="P46" s="15" t="n">
        <v>548.46</v>
      </c>
      <c r="Q46" s="15" t="n">
        <v>548.46</v>
      </c>
      <c r="R46" s="15" t="n">
        <v>548.46</v>
      </c>
      <c r="S46" s="15" t="n">
        <v>548.46</v>
      </c>
      <c r="T46" s="15" t="n">
        <v>548.46</v>
      </c>
      <c r="U46" s="15" t="n">
        <v>350</v>
      </c>
      <c r="V46" s="15" t="n">
        <v>0</v>
      </c>
      <c r="W46" s="15" t="n">
        <f aca="false">U46+V46</f>
        <v>350</v>
      </c>
    </row>
    <row r="47" customFormat="false" ht="15" hidden="false" customHeight="false" outlineLevel="0" collapsed="false">
      <c r="A47" s="3" t="s">
        <v>824</v>
      </c>
      <c r="B47" s="3" t="s">
        <v>736</v>
      </c>
      <c r="C47" s="3" t="s">
        <v>217</v>
      </c>
      <c r="D47" s="3" t="s">
        <v>251</v>
      </c>
      <c r="E47" s="13" t="n">
        <v>950000</v>
      </c>
      <c r="F47" s="13" t="n">
        <v>18482.38</v>
      </c>
      <c r="G47" s="13" t="n">
        <v>2310.3</v>
      </c>
      <c r="H47" s="13" t="n">
        <v>2310.3</v>
      </c>
      <c r="I47" s="13" t="n">
        <f aca="false">SUM(K47:T47)</f>
        <v>13861.8</v>
      </c>
      <c r="J47" s="13" t="n">
        <f aca="false">F47-(G47+H47+I47)</f>
        <v>-0.0200000000004366</v>
      </c>
      <c r="K47" s="13" t="n">
        <v>1386.18</v>
      </c>
      <c r="L47" s="13" t="n">
        <v>1386.18</v>
      </c>
      <c r="M47" s="13" t="n">
        <v>1386.18</v>
      </c>
      <c r="N47" s="13" t="n">
        <v>1386.18</v>
      </c>
      <c r="O47" s="13" t="n">
        <v>1386.18</v>
      </c>
      <c r="P47" s="13" t="n">
        <v>1386.18</v>
      </c>
      <c r="Q47" s="13" t="n">
        <v>1386.18</v>
      </c>
      <c r="R47" s="13" t="n">
        <v>1386.18</v>
      </c>
      <c r="S47" s="13" t="n">
        <v>1386.18</v>
      </c>
      <c r="T47" s="13" t="n">
        <v>1386.18</v>
      </c>
      <c r="U47" s="13" t="n">
        <v>350</v>
      </c>
      <c r="V47" s="13" t="n">
        <v>0</v>
      </c>
      <c r="W47" s="13" t="n">
        <f aca="false">U47+V47</f>
        <v>350</v>
      </c>
    </row>
    <row r="48" customFormat="false" ht="15" hidden="false" customHeight="false" outlineLevel="0" collapsed="false">
      <c r="A48" s="14" t="s">
        <v>825</v>
      </c>
      <c r="B48" s="14" t="s">
        <v>826</v>
      </c>
      <c r="C48" s="14" t="s">
        <v>827</v>
      </c>
      <c r="D48" s="14" t="s">
        <v>157</v>
      </c>
      <c r="E48" s="15" t="n">
        <v>795000</v>
      </c>
      <c r="F48" s="15" t="n">
        <v>8875.99</v>
      </c>
      <c r="G48" s="15" t="n">
        <v>1109.5</v>
      </c>
      <c r="H48" s="15" t="n">
        <v>1109.5</v>
      </c>
      <c r="I48" s="15" t="n">
        <f aca="false">SUM(K48:T48)</f>
        <v>6657</v>
      </c>
      <c r="J48" s="15" t="n">
        <f aca="false">F48-(G48+H48+I48)</f>
        <v>-0.0100000000002183</v>
      </c>
      <c r="K48" s="15" t="n">
        <v>665.7</v>
      </c>
      <c r="L48" s="15" t="n">
        <v>665.7</v>
      </c>
      <c r="M48" s="15" t="n">
        <v>665.7</v>
      </c>
      <c r="N48" s="15" t="n">
        <v>665.7</v>
      </c>
      <c r="O48" s="15" t="n">
        <v>665.7</v>
      </c>
      <c r="P48" s="15" t="n">
        <v>665.7</v>
      </c>
      <c r="Q48" s="15" t="n">
        <v>665.7</v>
      </c>
      <c r="R48" s="15" t="n">
        <v>665.7</v>
      </c>
      <c r="S48" s="15" t="n">
        <v>665.7</v>
      </c>
      <c r="T48" s="15" t="n">
        <v>665.7</v>
      </c>
      <c r="U48" s="15" t="n">
        <v>350</v>
      </c>
      <c r="V48" s="15" t="n">
        <v>0</v>
      </c>
      <c r="W48" s="15" t="n">
        <f aca="false">U48+V48</f>
        <v>350</v>
      </c>
    </row>
    <row r="49" customFormat="false" ht="15" hidden="false" customHeight="false" outlineLevel="0" collapsed="false">
      <c r="A49" s="3" t="s">
        <v>828</v>
      </c>
      <c r="B49" s="3" t="s">
        <v>816</v>
      </c>
      <c r="C49" s="3" t="s">
        <v>829</v>
      </c>
      <c r="D49" s="3" t="s">
        <v>109</v>
      </c>
      <c r="E49" s="13" t="n">
        <v>765000</v>
      </c>
      <c r="F49" s="13" t="n">
        <v>16610.69</v>
      </c>
      <c r="G49" s="13" t="n">
        <v>2076.34</v>
      </c>
      <c r="H49" s="13" t="n">
        <v>2076.34</v>
      </c>
      <c r="I49" s="13" t="n">
        <f aca="false">SUM(K49:T49)</f>
        <v>12458</v>
      </c>
      <c r="J49" s="13" t="n">
        <f aca="false">F49-(G49+H49+I49)</f>
        <v>0.00999999999839929</v>
      </c>
      <c r="K49" s="13" t="n">
        <v>1245.8</v>
      </c>
      <c r="L49" s="13" t="n">
        <v>1245.8</v>
      </c>
      <c r="M49" s="13" t="n">
        <v>1245.8</v>
      </c>
      <c r="N49" s="13" t="n">
        <v>1245.8</v>
      </c>
      <c r="O49" s="13" t="n">
        <v>1245.8</v>
      </c>
      <c r="P49" s="13" t="n">
        <v>1245.8</v>
      </c>
      <c r="Q49" s="13" t="n">
        <v>1245.8</v>
      </c>
      <c r="R49" s="13" t="n">
        <v>1245.8</v>
      </c>
      <c r="S49" s="13" t="n">
        <v>1245.8</v>
      </c>
      <c r="T49" s="13" t="n">
        <v>1245.8</v>
      </c>
      <c r="U49" s="13" t="n">
        <v>350</v>
      </c>
      <c r="V49" s="13" t="n">
        <v>0</v>
      </c>
      <c r="W49" s="13" t="n">
        <f aca="false">U49+V49</f>
        <v>350</v>
      </c>
    </row>
    <row r="50" customFormat="false" ht="15" hidden="false" customHeight="false" outlineLevel="0" collapsed="false">
      <c r="A50" s="14" t="s">
        <v>830</v>
      </c>
      <c r="B50" s="14" t="s">
        <v>739</v>
      </c>
      <c r="C50" s="14" t="s">
        <v>831</v>
      </c>
      <c r="D50" s="14" t="s">
        <v>406</v>
      </c>
      <c r="E50" s="15" t="n">
        <v>790000</v>
      </c>
      <c r="F50" s="15" t="n">
        <v>10478.46</v>
      </c>
      <c r="G50" s="15" t="n">
        <v>1309.81</v>
      </c>
      <c r="H50" s="15" t="n">
        <v>1309.81</v>
      </c>
      <c r="I50" s="15" t="n">
        <f aca="false">SUM(K50:T50)</f>
        <v>7858.8</v>
      </c>
      <c r="J50" s="15" t="n">
        <f aca="false">F50-(G50+H50+I50)</f>
        <v>0.0399999999990541</v>
      </c>
      <c r="K50" s="15" t="n">
        <v>785.88</v>
      </c>
      <c r="L50" s="15" t="n">
        <v>785.88</v>
      </c>
      <c r="M50" s="15" t="n">
        <v>785.88</v>
      </c>
      <c r="N50" s="15" t="n">
        <v>785.88</v>
      </c>
      <c r="O50" s="15" t="n">
        <v>785.88</v>
      </c>
      <c r="P50" s="15" t="n">
        <v>785.88</v>
      </c>
      <c r="Q50" s="15" t="n">
        <v>785.88</v>
      </c>
      <c r="R50" s="15" t="n">
        <v>785.88</v>
      </c>
      <c r="S50" s="15" t="n">
        <v>785.88</v>
      </c>
      <c r="T50" s="15" t="n">
        <v>785.88</v>
      </c>
      <c r="U50" s="15" t="n">
        <v>350</v>
      </c>
      <c r="V50" s="15" t="n">
        <v>0</v>
      </c>
      <c r="W50" s="15" t="n">
        <f aca="false">U50+V50</f>
        <v>350</v>
      </c>
    </row>
    <row r="51" customFormat="false" ht="15" hidden="false" customHeight="false" outlineLevel="0" collapsed="false">
      <c r="A51" s="3" t="s">
        <v>832</v>
      </c>
      <c r="B51" s="3" t="s">
        <v>826</v>
      </c>
      <c r="C51" s="3" t="s">
        <v>822</v>
      </c>
      <c r="D51" s="3" t="s">
        <v>93</v>
      </c>
      <c r="E51" s="13" t="n">
        <v>1950000</v>
      </c>
      <c r="F51" s="13" t="n">
        <v>36511.3</v>
      </c>
      <c r="G51" s="13" t="n">
        <v>4563.91</v>
      </c>
      <c r="H51" s="13" t="n">
        <v>4563.91</v>
      </c>
      <c r="I51" s="13" t="n">
        <f aca="false">SUM(K51:T51)</f>
        <v>27383.5</v>
      </c>
      <c r="J51" s="13" t="n">
        <f aca="false">F51-(G51+H51+I51)</f>
        <v>-0.0199999999895226</v>
      </c>
      <c r="K51" s="13" t="n">
        <v>2738.35</v>
      </c>
      <c r="L51" s="13" t="n">
        <v>2738.35</v>
      </c>
      <c r="M51" s="13" t="n">
        <v>2738.35</v>
      </c>
      <c r="N51" s="13" t="n">
        <v>2738.35</v>
      </c>
      <c r="O51" s="13" t="n">
        <v>2738.35</v>
      </c>
      <c r="P51" s="13" t="n">
        <v>2738.35</v>
      </c>
      <c r="Q51" s="13" t="n">
        <v>2738.35</v>
      </c>
      <c r="R51" s="13" t="n">
        <v>2738.35</v>
      </c>
      <c r="S51" s="13" t="n">
        <v>2738.35</v>
      </c>
      <c r="T51" s="13" t="n">
        <v>2738.35</v>
      </c>
      <c r="U51" s="13" t="n">
        <v>350</v>
      </c>
      <c r="V51" s="13" t="n">
        <v>250</v>
      </c>
      <c r="W51" s="13" t="n">
        <f aca="false">U51+V51</f>
        <v>600</v>
      </c>
    </row>
    <row r="52" customFormat="false" ht="15" hidden="false" customHeight="false" outlineLevel="0" collapsed="false">
      <c r="A52" s="14" t="s">
        <v>833</v>
      </c>
      <c r="B52" s="14" t="s">
        <v>834</v>
      </c>
      <c r="C52" s="14" t="s">
        <v>835</v>
      </c>
      <c r="D52" s="14" t="s">
        <v>222</v>
      </c>
      <c r="E52" s="15" t="n">
        <v>325000</v>
      </c>
      <c r="F52" s="15" t="n">
        <v>4902.64</v>
      </c>
      <c r="G52" s="15" t="n">
        <v>612.83</v>
      </c>
      <c r="H52" s="15" t="n">
        <v>612.83</v>
      </c>
      <c r="I52" s="15" t="n">
        <f aca="false">SUM(K52:T52)</f>
        <v>3677</v>
      </c>
      <c r="J52" s="15" t="n">
        <f aca="false">F52-(G52+H52+I52)</f>
        <v>-0.0199999999995271</v>
      </c>
      <c r="K52" s="15" t="n">
        <v>367.7</v>
      </c>
      <c r="L52" s="15" t="n">
        <v>367.7</v>
      </c>
      <c r="M52" s="15" t="n">
        <v>367.7</v>
      </c>
      <c r="N52" s="15" t="n">
        <v>367.7</v>
      </c>
      <c r="O52" s="15" t="n">
        <v>367.7</v>
      </c>
      <c r="P52" s="15" t="n">
        <v>367.7</v>
      </c>
      <c r="Q52" s="15" t="n">
        <v>367.7</v>
      </c>
      <c r="R52" s="15" t="n">
        <v>367.7</v>
      </c>
      <c r="S52" s="15" t="n">
        <v>367.7</v>
      </c>
      <c r="T52" s="15" t="n">
        <v>367.7</v>
      </c>
      <c r="U52" s="15" t="n">
        <v>350</v>
      </c>
      <c r="V52" s="15" t="n">
        <v>0</v>
      </c>
      <c r="W52" s="15" t="n">
        <f aca="false">U52+V52</f>
        <v>350</v>
      </c>
    </row>
    <row r="53" customFormat="false" ht="15" hidden="false" customHeight="false" outlineLevel="0" collapsed="false">
      <c r="A53" s="3" t="s">
        <v>836</v>
      </c>
      <c r="B53" s="3" t="s">
        <v>786</v>
      </c>
      <c r="C53" s="3" t="s">
        <v>176</v>
      </c>
      <c r="D53" s="3" t="s">
        <v>93</v>
      </c>
      <c r="E53" s="13" t="n">
        <v>250000</v>
      </c>
      <c r="F53" s="13" t="n">
        <v>6728.85</v>
      </c>
      <c r="G53" s="13" t="n">
        <v>841.11</v>
      </c>
      <c r="H53" s="13" t="n">
        <v>841.11</v>
      </c>
      <c r="I53" s="13" t="n">
        <f aca="false">SUM(K53:T53)</f>
        <v>5046.6</v>
      </c>
      <c r="J53" s="13" t="n">
        <f aca="false">F53-(G53+H53+I53)</f>
        <v>0.0299999999997453</v>
      </c>
      <c r="K53" s="13" t="n">
        <v>504.66</v>
      </c>
      <c r="L53" s="13" t="n">
        <v>504.66</v>
      </c>
      <c r="M53" s="13" t="n">
        <v>504.66</v>
      </c>
      <c r="N53" s="13" t="n">
        <v>504.66</v>
      </c>
      <c r="O53" s="13" t="n">
        <v>504.66</v>
      </c>
      <c r="P53" s="13" t="n">
        <v>504.66</v>
      </c>
      <c r="Q53" s="13" t="n">
        <v>504.66</v>
      </c>
      <c r="R53" s="13" t="n">
        <v>504.66</v>
      </c>
      <c r="S53" s="13" t="n">
        <v>504.66</v>
      </c>
      <c r="T53" s="13" t="n">
        <v>504.66</v>
      </c>
      <c r="U53" s="13" t="n">
        <v>350</v>
      </c>
      <c r="V53" s="13" t="n">
        <v>0</v>
      </c>
      <c r="W53" s="13" t="n">
        <f aca="false">U53+V53</f>
        <v>350</v>
      </c>
    </row>
    <row r="54" customFormat="false" ht="15" hidden="false" customHeight="false" outlineLevel="0" collapsed="false">
      <c r="A54" s="14" t="s">
        <v>837</v>
      </c>
      <c r="B54" s="14" t="s">
        <v>816</v>
      </c>
      <c r="C54" s="14" t="s">
        <v>838</v>
      </c>
      <c r="D54" s="14" t="s">
        <v>698</v>
      </c>
      <c r="E54" s="15" t="n">
        <v>845000</v>
      </c>
      <c r="F54" s="15" t="n">
        <v>20109.14</v>
      </c>
      <c r="G54" s="15" t="n">
        <v>2513.64</v>
      </c>
      <c r="H54" s="15" t="n">
        <v>2513.64</v>
      </c>
      <c r="I54" s="15" t="n">
        <f aca="false">SUM(K54:T54)</f>
        <v>15081.9</v>
      </c>
      <c r="J54" s="15" t="n">
        <f aca="false">F54-(G54+H54+I54)</f>
        <v>-0.0400000000008731</v>
      </c>
      <c r="K54" s="15" t="n">
        <v>1508.19</v>
      </c>
      <c r="L54" s="15" t="n">
        <v>1508.19</v>
      </c>
      <c r="M54" s="15" t="n">
        <v>1508.19</v>
      </c>
      <c r="N54" s="15" t="n">
        <v>1508.19</v>
      </c>
      <c r="O54" s="15" t="n">
        <v>1508.19</v>
      </c>
      <c r="P54" s="15" t="n">
        <v>1508.19</v>
      </c>
      <c r="Q54" s="15" t="n">
        <v>1508.19</v>
      </c>
      <c r="R54" s="15" t="n">
        <v>1508.19</v>
      </c>
      <c r="S54" s="15" t="n">
        <v>1508.19</v>
      </c>
      <c r="T54" s="15" t="n">
        <v>1508.19</v>
      </c>
      <c r="U54" s="15" t="n">
        <v>350</v>
      </c>
      <c r="V54" s="15" t="n">
        <v>0</v>
      </c>
      <c r="W54" s="15" t="n">
        <f aca="false">U54+V54</f>
        <v>350</v>
      </c>
    </row>
    <row r="55" customFormat="false" ht="15" hidden="false" customHeight="false" outlineLevel="0" collapsed="false">
      <c r="A55" s="3" t="s">
        <v>839</v>
      </c>
      <c r="B55" s="3" t="s">
        <v>736</v>
      </c>
      <c r="C55" s="3" t="s">
        <v>706</v>
      </c>
      <c r="D55" s="3" t="s">
        <v>328</v>
      </c>
      <c r="E55" s="13" t="n">
        <v>595000</v>
      </c>
      <c r="F55" s="13" t="n">
        <v>13436.2</v>
      </c>
      <c r="G55" s="13" t="n">
        <v>1679.53</v>
      </c>
      <c r="H55" s="13" t="n">
        <v>1679.53</v>
      </c>
      <c r="I55" s="13" t="n">
        <f aca="false">SUM(K55:T55)</f>
        <v>10077.2</v>
      </c>
      <c r="J55" s="13" t="n">
        <f aca="false">F55-(G55+H55+I55)</f>
        <v>-0.0599999999976717</v>
      </c>
      <c r="K55" s="13" t="n">
        <v>1007.72</v>
      </c>
      <c r="L55" s="13" t="n">
        <v>1007.72</v>
      </c>
      <c r="M55" s="13" t="n">
        <v>1007.72</v>
      </c>
      <c r="N55" s="13" t="n">
        <v>1007.72</v>
      </c>
      <c r="O55" s="13" t="n">
        <v>1007.72</v>
      </c>
      <c r="P55" s="13" t="n">
        <v>1007.72</v>
      </c>
      <c r="Q55" s="13" t="n">
        <v>1007.72</v>
      </c>
      <c r="R55" s="13" t="n">
        <v>1007.72</v>
      </c>
      <c r="S55" s="13" t="n">
        <v>1007.72</v>
      </c>
      <c r="T55" s="13" t="n">
        <v>1007.72</v>
      </c>
      <c r="U55" s="13" t="n">
        <v>350</v>
      </c>
      <c r="V55" s="13" t="n">
        <v>0</v>
      </c>
      <c r="W55" s="13" t="n">
        <f aca="false">U55+V55</f>
        <v>350</v>
      </c>
    </row>
    <row r="56" customFormat="false" ht="15" hidden="false" customHeight="false" outlineLevel="0" collapsed="false">
      <c r="A56" s="14" t="s">
        <v>840</v>
      </c>
      <c r="B56" s="14" t="s">
        <v>753</v>
      </c>
      <c r="C56" s="14" t="s">
        <v>516</v>
      </c>
      <c r="D56" s="14" t="s">
        <v>193</v>
      </c>
      <c r="E56" s="15" t="n">
        <v>555000</v>
      </c>
      <c r="F56" s="15" t="n">
        <v>5454.62</v>
      </c>
      <c r="G56" s="15" t="n">
        <v>681.83</v>
      </c>
      <c r="H56" s="15" t="n">
        <v>681.83</v>
      </c>
      <c r="I56" s="15" t="n">
        <f aca="false">SUM(K56:T56)</f>
        <v>4091</v>
      </c>
      <c r="J56" s="15" t="n">
        <f aca="false">F56-(G56+H56+I56)</f>
        <v>-0.0399999999999636</v>
      </c>
      <c r="K56" s="15" t="n">
        <v>409.1</v>
      </c>
      <c r="L56" s="15" t="n">
        <v>409.1</v>
      </c>
      <c r="M56" s="15" t="n">
        <v>409.1</v>
      </c>
      <c r="N56" s="15" t="n">
        <v>409.1</v>
      </c>
      <c r="O56" s="15" t="n">
        <v>409.1</v>
      </c>
      <c r="P56" s="15" t="n">
        <v>409.1</v>
      </c>
      <c r="Q56" s="15" t="n">
        <v>409.1</v>
      </c>
      <c r="R56" s="15" t="n">
        <v>409.1</v>
      </c>
      <c r="S56" s="15" t="n">
        <v>409.1</v>
      </c>
      <c r="T56" s="15" t="n">
        <v>409.1</v>
      </c>
      <c r="U56" s="15" t="n">
        <v>350</v>
      </c>
      <c r="V56" s="15" t="n">
        <v>0</v>
      </c>
      <c r="W56" s="15" t="n">
        <f aca="false">U56+V56</f>
        <v>350</v>
      </c>
    </row>
    <row r="57" customFormat="false" ht="15" hidden="false" customHeight="false" outlineLevel="0" collapsed="false">
      <c r="A57" s="3" t="s">
        <v>841</v>
      </c>
      <c r="B57" s="3" t="s">
        <v>748</v>
      </c>
      <c r="C57" s="3" t="s">
        <v>684</v>
      </c>
      <c r="D57" s="3" t="s">
        <v>222</v>
      </c>
      <c r="E57" s="13" t="n">
        <v>630000</v>
      </c>
      <c r="F57" s="13" t="n">
        <v>4815.15</v>
      </c>
      <c r="G57" s="13" t="n">
        <v>601.89</v>
      </c>
      <c r="H57" s="13" t="n">
        <v>601.89</v>
      </c>
      <c r="I57" s="13" t="n">
        <f aca="false">SUM(K57:T57)</f>
        <v>3611.4</v>
      </c>
      <c r="J57" s="13" t="n">
        <f aca="false">F57-(G57+H57+I57)</f>
        <v>-0.0299999999997453</v>
      </c>
      <c r="K57" s="13" t="n">
        <v>361.14</v>
      </c>
      <c r="L57" s="13" t="n">
        <v>361.14</v>
      </c>
      <c r="M57" s="13" t="n">
        <v>361.14</v>
      </c>
      <c r="N57" s="13" t="n">
        <v>361.14</v>
      </c>
      <c r="O57" s="13" t="n">
        <v>361.14</v>
      </c>
      <c r="P57" s="13" t="n">
        <v>361.14</v>
      </c>
      <c r="Q57" s="13" t="n">
        <v>361.14</v>
      </c>
      <c r="R57" s="13" t="n">
        <v>361.14</v>
      </c>
      <c r="S57" s="13" t="n">
        <v>361.14</v>
      </c>
      <c r="T57" s="13" t="n">
        <v>361.14</v>
      </c>
      <c r="U57" s="13" t="n">
        <v>350</v>
      </c>
      <c r="V57" s="13" t="n">
        <v>0</v>
      </c>
      <c r="W57" s="13" t="n">
        <f aca="false">U57+V57</f>
        <v>350</v>
      </c>
    </row>
    <row r="58" customFormat="false" ht="15" hidden="false" customHeight="false" outlineLevel="0" collapsed="false">
      <c r="A58" s="14" t="s">
        <v>842</v>
      </c>
      <c r="B58" s="14" t="s">
        <v>779</v>
      </c>
      <c r="C58" s="14" t="s">
        <v>843</v>
      </c>
      <c r="D58" s="14" t="s">
        <v>157</v>
      </c>
      <c r="E58" s="15" t="n">
        <v>245000</v>
      </c>
      <c r="F58" s="15" t="n">
        <v>5852.41</v>
      </c>
      <c r="G58" s="15" t="n">
        <v>731.55</v>
      </c>
      <c r="H58" s="15" t="n">
        <v>731.55</v>
      </c>
      <c r="I58" s="15" t="n">
        <f aca="false">SUM(K58:T58)</f>
        <v>4389.3</v>
      </c>
      <c r="J58" s="15" t="n">
        <f aca="false">F58-(G58+H58+I58)</f>
        <v>0.0100000000002183</v>
      </c>
      <c r="K58" s="15" t="n">
        <v>438.93</v>
      </c>
      <c r="L58" s="15" t="n">
        <v>438.93</v>
      </c>
      <c r="M58" s="15" t="n">
        <v>438.93</v>
      </c>
      <c r="N58" s="15" t="n">
        <v>438.93</v>
      </c>
      <c r="O58" s="15" t="n">
        <v>438.93</v>
      </c>
      <c r="P58" s="15" t="n">
        <v>438.93</v>
      </c>
      <c r="Q58" s="15" t="n">
        <v>438.93</v>
      </c>
      <c r="R58" s="15" t="n">
        <v>438.93</v>
      </c>
      <c r="S58" s="15" t="n">
        <v>438.93</v>
      </c>
      <c r="T58" s="15" t="n">
        <v>438.93</v>
      </c>
      <c r="U58" s="15" t="n">
        <v>350</v>
      </c>
      <c r="V58" s="15" t="n">
        <v>0</v>
      </c>
      <c r="W58" s="15" t="n">
        <f aca="false">U58+V58</f>
        <v>350</v>
      </c>
    </row>
    <row r="59" customFormat="false" ht="15" hidden="false" customHeight="false" outlineLevel="0" collapsed="false">
      <c r="A59" s="3" t="s">
        <v>844</v>
      </c>
      <c r="B59" s="3" t="s">
        <v>792</v>
      </c>
      <c r="C59" s="3" t="s">
        <v>845</v>
      </c>
      <c r="D59" s="3" t="s">
        <v>85</v>
      </c>
      <c r="E59" s="13" t="n">
        <v>240000</v>
      </c>
      <c r="F59" s="13" t="n">
        <v>5611.85</v>
      </c>
      <c r="G59" s="13" t="n">
        <v>701.48</v>
      </c>
      <c r="H59" s="13" t="n">
        <v>701.48</v>
      </c>
      <c r="I59" s="13" t="n">
        <f aca="false">SUM(K59:T59)</f>
        <v>4208.9</v>
      </c>
      <c r="J59" s="13" t="n">
        <f aca="false">F59-(G59+H59+I59)</f>
        <v>-0.00999999999930878</v>
      </c>
      <c r="K59" s="13" t="n">
        <v>420.89</v>
      </c>
      <c r="L59" s="13" t="n">
        <v>420.89</v>
      </c>
      <c r="M59" s="13" t="n">
        <v>420.89</v>
      </c>
      <c r="N59" s="13" t="n">
        <v>420.89</v>
      </c>
      <c r="O59" s="13" t="n">
        <v>420.89</v>
      </c>
      <c r="P59" s="13" t="n">
        <v>420.89</v>
      </c>
      <c r="Q59" s="13" t="n">
        <v>420.89</v>
      </c>
      <c r="R59" s="13" t="n">
        <v>420.89</v>
      </c>
      <c r="S59" s="13" t="n">
        <v>420.89</v>
      </c>
      <c r="T59" s="13" t="n">
        <v>420.89</v>
      </c>
      <c r="U59" s="13" t="n">
        <v>350</v>
      </c>
      <c r="V59" s="13" t="n">
        <v>0</v>
      </c>
      <c r="W59" s="13" t="n">
        <f aca="false">U59+V59</f>
        <v>350</v>
      </c>
    </row>
    <row r="60" customFormat="false" ht="15" hidden="false" customHeight="false" outlineLevel="0" collapsed="false">
      <c r="A60" s="14" t="s">
        <v>846</v>
      </c>
      <c r="B60" s="14" t="s">
        <v>800</v>
      </c>
      <c r="C60" s="14" t="s">
        <v>447</v>
      </c>
      <c r="D60" s="14" t="s">
        <v>89</v>
      </c>
      <c r="E60" s="15" t="n">
        <v>765000</v>
      </c>
      <c r="F60" s="15" t="n">
        <v>8120.01</v>
      </c>
      <c r="G60" s="15" t="n">
        <v>1015</v>
      </c>
      <c r="H60" s="15" t="n">
        <v>1015</v>
      </c>
      <c r="I60" s="15" t="n">
        <f aca="false">SUM(K60:T60)</f>
        <v>6090</v>
      </c>
      <c r="J60" s="15" t="n">
        <f aca="false">F60-(G60+H60+I60)</f>
        <v>0.0100000000002183</v>
      </c>
      <c r="K60" s="15" t="n">
        <v>609</v>
      </c>
      <c r="L60" s="15" t="n">
        <v>609</v>
      </c>
      <c r="M60" s="15" t="n">
        <v>609</v>
      </c>
      <c r="N60" s="15" t="n">
        <v>609</v>
      </c>
      <c r="O60" s="15" t="n">
        <v>609</v>
      </c>
      <c r="P60" s="15" t="n">
        <v>609</v>
      </c>
      <c r="Q60" s="15" t="n">
        <v>609</v>
      </c>
      <c r="R60" s="15" t="n">
        <v>609</v>
      </c>
      <c r="S60" s="15" t="n">
        <v>609</v>
      </c>
      <c r="T60" s="15" t="n">
        <v>609</v>
      </c>
      <c r="U60" s="15" t="n">
        <v>350</v>
      </c>
      <c r="V60" s="15" t="n">
        <v>0</v>
      </c>
      <c r="W60" s="15" t="n">
        <f aca="false">U60+V60</f>
        <v>350</v>
      </c>
    </row>
    <row r="61" customFormat="false" ht="15" hidden="false" customHeight="false" outlineLevel="0" collapsed="false">
      <c r="A61" s="3" t="s">
        <v>847</v>
      </c>
      <c r="B61" s="3" t="s">
        <v>834</v>
      </c>
      <c r="C61" s="3" t="s">
        <v>523</v>
      </c>
      <c r="D61" s="3" t="s">
        <v>138</v>
      </c>
      <c r="E61" s="13" t="n">
        <v>1050000</v>
      </c>
      <c r="F61" s="13" t="n">
        <v>17663.22</v>
      </c>
      <c r="G61" s="13" t="n">
        <v>2207.9</v>
      </c>
      <c r="H61" s="13" t="n">
        <v>2207.9</v>
      </c>
      <c r="I61" s="13" t="n">
        <f aca="false">SUM(K61:T61)</f>
        <v>13247.4</v>
      </c>
      <c r="J61" s="13" t="n">
        <f aca="false">F61-(G61+H61+I61)</f>
        <v>0.0200000000004366</v>
      </c>
      <c r="K61" s="13" t="n">
        <v>1324.74</v>
      </c>
      <c r="L61" s="13" t="n">
        <v>1324.74</v>
      </c>
      <c r="M61" s="13" t="n">
        <v>1324.74</v>
      </c>
      <c r="N61" s="13" t="n">
        <v>1324.74</v>
      </c>
      <c r="O61" s="13" t="n">
        <v>1324.74</v>
      </c>
      <c r="P61" s="13" t="n">
        <v>1324.74</v>
      </c>
      <c r="Q61" s="13" t="n">
        <v>1324.74</v>
      </c>
      <c r="R61" s="13" t="n">
        <v>1324.74</v>
      </c>
      <c r="S61" s="13" t="n">
        <v>1324.74</v>
      </c>
      <c r="T61" s="13" t="n">
        <v>1324.74</v>
      </c>
      <c r="U61" s="13" t="n">
        <v>350</v>
      </c>
      <c r="V61" s="13" t="n">
        <v>250</v>
      </c>
      <c r="W61" s="13" t="n">
        <f aca="false">U61+V61</f>
        <v>600</v>
      </c>
    </row>
    <row r="62" customFormat="false" ht="15" hidden="false" customHeight="false" outlineLevel="0" collapsed="false">
      <c r="A62" s="14" t="s">
        <v>848</v>
      </c>
      <c r="B62" s="14" t="s">
        <v>849</v>
      </c>
      <c r="C62" s="14" t="s">
        <v>850</v>
      </c>
      <c r="D62" s="14" t="s">
        <v>132</v>
      </c>
      <c r="E62" s="15" t="n">
        <v>960000</v>
      </c>
      <c r="F62" s="15" t="n">
        <v>11409.78</v>
      </c>
      <c r="G62" s="15" t="n">
        <v>1426.22</v>
      </c>
      <c r="H62" s="15" t="n">
        <v>1426.22</v>
      </c>
      <c r="I62" s="15" t="n">
        <f aca="false">SUM(K62:T62)</f>
        <v>8557.3</v>
      </c>
      <c r="J62" s="15" t="n">
        <f aca="false">F62-(G62+H62+I62)</f>
        <v>0.0400000000008731</v>
      </c>
      <c r="K62" s="15" t="n">
        <v>855.73</v>
      </c>
      <c r="L62" s="15" t="n">
        <v>855.73</v>
      </c>
      <c r="M62" s="15" t="n">
        <v>855.73</v>
      </c>
      <c r="N62" s="15" t="n">
        <v>855.73</v>
      </c>
      <c r="O62" s="15" t="n">
        <v>855.73</v>
      </c>
      <c r="P62" s="15" t="n">
        <v>855.73</v>
      </c>
      <c r="Q62" s="15" t="n">
        <v>855.73</v>
      </c>
      <c r="R62" s="15" t="n">
        <v>855.73</v>
      </c>
      <c r="S62" s="15" t="n">
        <v>855.73</v>
      </c>
      <c r="T62" s="15" t="n">
        <v>855.73</v>
      </c>
      <c r="U62" s="15" t="n">
        <v>350</v>
      </c>
      <c r="V62" s="15" t="n">
        <v>0</v>
      </c>
      <c r="W62" s="15" t="n">
        <f aca="false">U62+V62</f>
        <v>350</v>
      </c>
    </row>
    <row r="63" customFormat="false" ht="15" hidden="false" customHeight="false" outlineLevel="0" collapsed="false">
      <c r="A63" s="3" t="s">
        <v>851</v>
      </c>
      <c r="B63" s="3" t="s">
        <v>792</v>
      </c>
      <c r="C63" s="3" t="s">
        <v>852</v>
      </c>
      <c r="D63" s="3" t="s">
        <v>81</v>
      </c>
      <c r="E63" s="13" t="n">
        <v>520000</v>
      </c>
      <c r="F63" s="13" t="n">
        <v>7910.78</v>
      </c>
      <c r="G63" s="13" t="n">
        <v>988.85</v>
      </c>
      <c r="H63" s="13" t="n">
        <v>988.85</v>
      </c>
      <c r="I63" s="13" t="n">
        <f aca="false">SUM(K63:T63)</f>
        <v>5933.1</v>
      </c>
      <c r="J63" s="13" t="n">
        <f aca="false">F63-(G63+H63+I63)</f>
        <v>-0.0199999999986176</v>
      </c>
      <c r="K63" s="13" t="n">
        <v>593.31</v>
      </c>
      <c r="L63" s="13" t="n">
        <v>593.31</v>
      </c>
      <c r="M63" s="13" t="n">
        <v>593.31</v>
      </c>
      <c r="N63" s="13" t="n">
        <v>593.31</v>
      </c>
      <c r="O63" s="13" t="n">
        <v>593.31</v>
      </c>
      <c r="P63" s="13" t="n">
        <v>593.31</v>
      </c>
      <c r="Q63" s="13" t="n">
        <v>593.31</v>
      </c>
      <c r="R63" s="13" t="n">
        <v>593.31</v>
      </c>
      <c r="S63" s="13" t="n">
        <v>593.31</v>
      </c>
      <c r="T63" s="13" t="n">
        <v>593.31</v>
      </c>
      <c r="U63" s="13" t="n">
        <v>350</v>
      </c>
      <c r="V63" s="13" t="n">
        <v>0</v>
      </c>
      <c r="W63" s="13" t="n">
        <f aca="false">U63+V63</f>
        <v>350</v>
      </c>
    </row>
    <row r="64" customFormat="false" ht="15" hidden="false" customHeight="false" outlineLevel="0" collapsed="false">
      <c r="A64" s="14" t="s">
        <v>853</v>
      </c>
      <c r="B64" s="14" t="s">
        <v>808</v>
      </c>
      <c r="C64" s="14" t="s">
        <v>854</v>
      </c>
      <c r="D64" s="14" t="s">
        <v>138</v>
      </c>
      <c r="E64" s="15" t="n">
        <v>1500000</v>
      </c>
      <c r="F64" s="15" t="n">
        <v>25233.17</v>
      </c>
      <c r="G64" s="15" t="n">
        <v>3154.15</v>
      </c>
      <c r="H64" s="15" t="n">
        <v>3154.15</v>
      </c>
      <c r="I64" s="15" t="n">
        <f aca="false">SUM(K64:T64)</f>
        <v>18924.9</v>
      </c>
      <c r="J64" s="15" t="n">
        <f aca="false">F64-(G64+H64+I64)</f>
        <v>-0.0300000000024738</v>
      </c>
      <c r="K64" s="15" t="n">
        <v>1892.49</v>
      </c>
      <c r="L64" s="15" t="n">
        <v>1892.49</v>
      </c>
      <c r="M64" s="15" t="n">
        <v>1892.49</v>
      </c>
      <c r="N64" s="15" t="n">
        <v>1892.49</v>
      </c>
      <c r="O64" s="15" t="n">
        <v>1892.49</v>
      </c>
      <c r="P64" s="15" t="n">
        <v>1892.49</v>
      </c>
      <c r="Q64" s="15" t="n">
        <v>1892.49</v>
      </c>
      <c r="R64" s="15" t="n">
        <v>1892.49</v>
      </c>
      <c r="S64" s="15" t="n">
        <v>1892.49</v>
      </c>
      <c r="T64" s="15" t="n">
        <v>1892.49</v>
      </c>
      <c r="U64" s="15" t="n">
        <v>350</v>
      </c>
      <c r="V64" s="15" t="n">
        <v>250</v>
      </c>
      <c r="W64" s="15" t="n">
        <f aca="false">U64+V64</f>
        <v>600</v>
      </c>
    </row>
    <row r="65" customFormat="false" ht="15" hidden="false" customHeight="false" outlineLevel="0" collapsed="false">
      <c r="A65" s="3" t="s">
        <v>855</v>
      </c>
      <c r="B65" s="3" t="s">
        <v>803</v>
      </c>
      <c r="C65" s="3" t="s">
        <v>450</v>
      </c>
      <c r="D65" s="3" t="s">
        <v>698</v>
      </c>
      <c r="E65" s="13" t="n">
        <v>565000</v>
      </c>
      <c r="F65" s="13" t="n">
        <v>6085.98</v>
      </c>
      <c r="G65" s="13" t="n">
        <v>760.75</v>
      </c>
      <c r="H65" s="13" t="n">
        <v>760.75</v>
      </c>
      <c r="I65" s="13" t="n">
        <f aca="false">SUM(K65:T65)</f>
        <v>4564.5</v>
      </c>
      <c r="J65" s="13" t="n">
        <f aca="false">F65-(G65+H65+I65)</f>
        <v>-0.0200000000004366</v>
      </c>
      <c r="K65" s="13" t="n">
        <v>456.45</v>
      </c>
      <c r="L65" s="13" t="n">
        <v>456.45</v>
      </c>
      <c r="M65" s="13" t="n">
        <v>456.45</v>
      </c>
      <c r="N65" s="13" t="n">
        <v>456.45</v>
      </c>
      <c r="O65" s="13" t="n">
        <v>456.45</v>
      </c>
      <c r="P65" s="13" t="n">
        <v>456.45</v>
      </c>
      <c r="Q65" s="13" t="n">
        <v>456.45</v>
      </c>
      <c r="R65" s="13" t="n">
        <v>456.45</v>
      </c>
      <c r="S65" s="13" t="n">
        <v>456.45</v>
      </c>
      <c r="T65" s="13" t="n">
        <v>456.45</v>
      </c>
      <c r="U65" s="13" t="n">
        <v>350</v>
      </c>
      <c r="V65" s="13" t="n">
        <v>0</v>
      </c>
      <c r="W65" s="13" t="n">
        <f aca="false">U65+V65</f>
        <v>350</v>
      </c>
    </row>
    <row r="66" customFormat="false" ht="15" hidden="false" customHeight="false" outlineLevel="0" collapsed="false">
      <c r="A66" s="14" t="s">
        <v>856</v>
      </c>
      <c r="B66" s="14" t="s">
        <v>816</v>
      </c>
      <c r="C66" s="14" t="s">
        <v>318</v>
      </c>
      <c r="D66" s="14" t="s">
        <v>185</v>
      </c>
      <c r="E66" s="15" t="n">
        <v>1950000</v>
      </c>
      <c r="F66" s="15" t="n">
        <v>12244.12</v>
      </c>
      <c r="G66" s="15" t="n">
        <v>1530.52</v>
      </c>
      <c r="H66" s="15" t="n">
        <v>1530.52</v>
      </c>
      <c r="I66" s="15" t="n">
        <f aca="false">SUM(K66:T66)</f>
        <v>9183.1</v>
      </c>
      <c r="J66" s="15" t="n">
        <f aca="false">F66-(G66+H66+I66)</f>
        <v>-0.0199999999986176</v>
      </c>
      <c r="K66" s="15" t="n">
        <v>918.31</v>
      </c>
      <c r="L66" s="15" t="n">
        <v>918.31</v>
      </c>
      <c r="M66" s="15" t="n">
        <v>918.31</v>
      </c>
      <c r="N66" s="15" t="n">
        <v>918.31</v>
      </c>
      <c r="O66" s="15" t="n">
        <v>918.31</v>
      </c>
      <c r="P66" s="15" t="n">
        <v>918.31</v>
      </c>
      <c r="Q66" s="15" t="n">
        <v>918.31</v>
      </c>
      <c r="R66" s="15" t="n">
        <v>918.31</v>
      </c>
      <c r="S66" s="15" t="n">
        <v>918.31</v>
      </c>
      <c r="T66" s="15" t="n">
        <v>918.31</v>
      </c>
      <c r="U66" s="15" t="n">
        <v>350</v>
      </c>
      <c r="V66" s="15" t="n">
        <v>250</v>
      </c>
      <c r="W66" s="15" t="n">
        <f aca="false">U66+V66</f>
        <v>600</v>
      </c>
    </row>
    <row r="67" customFormat="false" ht="15" hidden="false" customHeight="false" outlineLevel="0" collapsed="false">
      <c r="A67" s="3" t="s">
        <v>857</v>
      </c>
      <c r="B67" s="3" t="s">
        <v>803</v>
      </c>
      <c r="C67" s="3" t="s">
        <v>858</v>
      </c>
      <c r="D67" s="3" t="s">
        <v>85</v>
      </c>
      <c r="E67" s="13" t="n">
        <v>1330000</v>
      </c>
      <c r="F67" s="13" t="n">
        <v>18591.82</v>
      </c>
      <c r="G67" s="13" t="n">
        <v>2323.98</v>
      </c>
      <c r="H67" s="13" t="n">
        <v>2323.98</v>
      </c>
      <c r="I67" s="13" t="n">
        <f aca="false">SUM(K67:T67)</f>
        <v>13943.9</v>
      </c>
      <c r="J67" s="13" t="n">
        <f aca="false">F67-(G67+H67+I67)</f>
        <v>-0.0400000000008731</v>
      </c>
      <c r="K67" s="13" t="n">
        <v>1394.39</v>
      </c>
      <c r="L67" s="13" t="n">
        <v>1394.39</v>
      </c>
      <c r="M67" s="13" t="n">
        <v>1394.39</v>
      </c>
      <c r="N67" s="13" t="n">
        <v>1394.39</v>
      </c>
      <c r="O67" s="13" t="n">
        <v>1394.39</v>
      </c>
      <c r="P67" s="13" t="n">
        <v>1394.39</v>
      </c>
      <c r="Q67" s="13" t="n">
        <v>1394.39</v>
      </c>
      <c r="R67" s="13" t="n">
        <v>1394.39</v>
      </c>
      <c r="S67" s="13" t="n">
        <v>1394.39</v>
      </c>
      <c r="T67" s="13" t="n">
        <v>1394.39</v>
      </c>
      <c r="U67" s="13" t="n">
        <v>350</v>
      </c>
      <c r="V67" s="13" t="n">
        <v>250</v>
      </c>
      <c r="W67" s="13" t="n">
        <f aca="false">U67+V67</f>
        <v>600</v>
      </c>
    </row>
    <row r="68" customFormat="false" ht="15" hidden="false" customHeight="false" outlineLevel="0" collapsed="false">
      <c r="A68" s="14" t="s">
        <v>859</v>
      </c>
      <c r="B68" s="14" t="s">
        <v>860</v>
      </c>
      <c r="C68" s="14" t="s">
        <v>458</v>
      </c>
      <c r="D68" s="14" t="s">
        <v>153</v>
      </c>
      <c r="E68" s="15" t="n">
        <v>760000</v>
      </c>
      <c r="F68" s="15" t="n">
        <v>20462.63</v>
      </c>
      <c r="G68" s="15" t="n">
        <v>2557.83</v>
      </c>
      <c r="H68" s="15" t="n">
        <v>2557.83</v>
      </c>
      <c r="I68" s="15" t="n">
        <f aca="false">SUM(K68:T68)</f>
        <v>15347</v>
      </c>
      <c r="J68" s="15" t="n">
        <f aca="false">F68-(G68+H68+I68)</f>
        <v>-0.0300000000024738</v>
      </c>
      <c r="K68" s="15" t="n">
        <v>1534.7</v>
      </c>
      <c r="L68" s="15" t="n">
        <v>1534.7</v>
      </c>
      <c r="M68" s="15" t="n">
        <v>1534.7</v>
      </c>
      <c r="N68" s="15" t="n">
        <v>1534.7</v>
      </c>
      <c r="O68" s="15" t="n">
        <v>1534.7</v>
      </c>
      <c r="P68" s="15" t="n">
        <v>1534.7</v>
      </c>
      <c r="Q68" s="15" t="n">
        <v>1534.7</v>
      </c>
      <c r="R68" s="15" t="n">
        <v>1534.7</v>
      </c>
      <c r="S68" s="15" t="n">
        <v>1534.7</v>
      </c>
      <c r="T68" s="15" t="n">
        <v>1534.7</v>
      </c>
      <c r="U68" s="15" t="n">
        <v>350</v>
      </c>
      <c r="V68" s="15" t="n">
        <v>0</v>
      </c>
      <c r="W68" s="15" t="n">
        <f aca="false">U68+V68</f>
        <v>350</v>
      </c>
    </row>
    <row r="69" customFormat="false" ht="15" hidden="false" customHeight="false" outlineLevel="0" collapsed="false">
      <c r="A69" s="3" t="s">
        <v>861</v>
      </c>
      <c r="B69" s="3" t="s">
        <v>753</v>
      </c>
      <c r="C69" s="3" t="s">
        <v>162</v>
      </c>
      <c r="D69" s="3" t="s">
        <v>132</v>
      </c>
      <c r="E69" s="13" t="n">
        <v>505000</v>
      </c>
      <c r="F69" s="13" t="n">
        <v>6002.02</v>
      </c>
      <c r="G69" s="13" t="n">
        <v>750.25</v>
      </c>
      <c r="H69" s="13" t="n">
        <v>750.25</v>
      </c>
      <c r="I69" s="13" t="n">
        <f aca="false">SUM(K69:T69)</f>
        <v>4501.5</v>
      </c>
      <c r="J69" s="13" t="n">
        <f aca="false">F69-(G69+H69+I69)</f>
        <v>0.0200000000004366</v>
      </c>
      <c r="K69" s="13" t="n">
        <v>450.15</v>
      </c>
      <c r="L69" s="13" t="n">
        <v>450.15</v>
      </c>
      <c r="M69" s="13" t="n">
        <v>450.15</v>
      </c>
      <c r="N69" s="13" t="n">
        <v>450.15</v>
      </c>
      <c r="O69" s="13" t="n">
        <v>450.15</v>
      </c>
      <c r="P69" s="13" t="n">
        <v>450.15</v>
      </c>
      <c r="Q69" s="13" t="n">
        <v>450.15</v>
      </c>
      <c r="R69" s="13" t="n">
        <v>450.15</v>
      </c>
      <c r="S69" s="13" t="n">
        <v>450.15</v>
      </c>
      <c r="T69" s="13" t="n">
        <v>450.15</v>
      </c>
      <c r="U69" s="13" t="n">
        <v>350</v>
      </c>
      <c r="V69" s="13" t="n">
        <v>0</v>
      </c>
      <c r="W69" s="13" t="n">
        <f aca="false">U69+V69</f>
        <v>350</v>
      </c>
    </row>
    <row r="70" customFormat="false" ht="15" hidden="false" customHeight="false" outlineLevel="0" collapsed="false">
      <c r="A70" s="14" t="s">
        <v>862</v>
      </c>
      <c r="B70" s="14" t="s">
        <v>821</v>
      </c>
      <c r="C70" s="14" t="s">
        <v>863</v>
      </c>
      <c r="D70" s="14" t="s">
        <v>172</v>
      </c>
      <c r="E70" s="15" t="n">
        <v>1775000</v>
      </c>
      <c r="F70" s="15" t="n">
        <v>12826.49</v>
      </c>
      <c r="G70" s="15" t="n">
        <v>1603.31</v>
      </c>
      <c r="H70" s="15" t="n">
        <v>1603.31</v>
      </c>
      <c r="I70" s="15" t="n">
        <f aca="false">SUM(K70:T70)</f>
        <v>9619.9</v>
      </c>
      <c r="J70" s="15" t="n">
        <f aca="false">F70-(G70+H70+I70)</f>
        <v>-0.0300000000006548</v>
      </c>
      <c r="K70" s="15" t="n">
        <v>961.99</v>
      </c>
      <c r="L70" s="15" t="n">
        <v>961.99</v>
      </c>
      <c r="M70" s="15" t="n">
        <v>961.99</v>
      </c>
      <c r="N70" s="15" t="n">
        <v>961.99</v>
      </c>
      <c r="O70" s="15" t="n">
        <v>961.99</v>
      </c>
      <c r="P70" s="15" t="n">
        <v>961.99</v>
      </c>
      <c r="Q70" s="15" t="n">
        <v>961.99</v>
      </c>
      <c r="R70" s="15" t="n">
        <v>961.99</v>
      </c>
      <c r="S70" s="15" t="n">
        <v>961.99</v>
      </c>
      <c r="T70" s="15" t="n">
        <v>961.99</v>
      </c>
      <c r="U70" s="15" t="n">
        <v>350</v>
      </c>
      <c r="V70" s="15" t="n">
        <v>250</v>
      </c>
      <c r="W70" s="15" t="n">
        <f aca="false">U70+V70</f>
        <v>600</v>
      </c>
    </row>
    <row r="71" customFormat="false" ht="15" hidden="false" customHeight="false" outlineLevel="0" collapsed="false">
      <c r="A71" s="3" t="s">
        <v>864</v>
      </c>
      <c r="B71" s="3" t="s">
        <v>816</v>
      </c>
      <c r="C71" s="3" t="s">
        <v>117</v>
      </c>
      <c r="D71" s="3" t="s">
        <v>157</v>
      </c>
      <c r="E71" s="13" t="n">
        <v>835000</v>
      </c>
      <c r="F71" s="13" t="n">
        <v>20596.39</v>
      </c>
      <c r="G71" s="13" t="n">
        <v>2574.55</v>
      </c>
      <c r="H71" s="13" t="n">
        <v>2574.55</v>
      </c>
      <c r="I71" s="13" t="n">
        <f aca="false">SUM(K71:T71)</f>
        <v>15447.3</v>
      </c>
      <c r="J71" s="13" t="n">
        <f aca="false">F71-(G71+H71+I71)</f>
        <v>-0.0100000000020373</v>
      </c>
      <c r="K71" s="13" t="n">
        <v>1544.73</v>
      </c>
      <c r="L71" s="13" t="n">
        <v>1544.73</v>
      </c>
      <c r="M71" s="13" t="n">
        <v>1544.73</v>
      </c>
      <c r="N71" s="13" t="n">
        <v>1544.73</v>
      </c>
      <c r="O71" s="13" t="n">
        <v>1544.73</v>
      </c>
      <c r="P71" s="13" t="n">
        <v>1544.73</v>
      </c>
      <c r="Q71" s="13" t="n">
        <v>1544.73</v>
      </c>
      <c r="R71" s="13" t="n">
        <v>1544.73</v>
      </c>
      <c r="S71" s="13" t="n">
        <v>1544.73</v>
      </c>
      <c r="T71" s="13" t="n">
        <v>1544.73</v>
      </c>
      <c r="U71" s="13" t="n">
        <v>350</v>
      </c>
      <c r="V71" s="13" t="n">
        <v>0</v>
      </c>
      <c r="W71" s="13" t="n">
        <f aca="false">U71+V71</f>
        <v>350</v>
      </c>
    </row>
    <row r="72" customFormat="false" ht="15" hidden="false" customHeight="false" outlineLevel="0" collapsed="false">
      <c r="A72" s="14" t="s">
        <v>865</v>
      </c>
      <c r="B72" s="14" t="s">
        <v>741</v>
      </c>
      <c r="C72" s="14" t="s">
        <v>267</v>
      </c>
      <c r="D72" s="14" t="s">
        <v>698</v>
      </c>
      <c r="E72" s="15" t="n">
        <v>275000</v>
      </c>
      <c r="F72" s="15" t="n">
        <v>6062.18</v>
      </c>
      <c r="G72" s="15" t="n">
        <v>757.77</v>
      </c>
      <c r="H72" s="15" t="n">
        <v>757.77</v>
      </c>
      <c r="I72" s="15" t="n">
        <f aca="false">SUM(K72:T72)</f>
        <v>4546.6</v>
      </c>
      <c r="J72" s="15" t="n">
        <f aca="false">F72-(G72+H72+I72)</f>
        <v>0.0399999999999636</v>
      </c>
      <c r="K72" s="15" t="n">
        <v>454.66</v>
      </c>
      <c r="L72" s="15" t="n">
        <v>454.66</v>
      </c>
      <c r="M72" s="15" t="n">
        <v>454.66</v>
      </c>
      <c r="N72" s="15" t="n">
        <v>454.66</v>
      </c>
      <c r="O72" s="15" t="n">
        <v>454.66</v>
      </c>
      <c r="P72" s="15" t="n">
        <v>454.66</v>
      </c>
      <c r="Q72" s="15" t="n">
        <v>454.66</v>
      </c>
      <c r="R72" s="15" t="n">
        <v>454.66</v>
      </c>
      <c r="S72" s="15" t="n">
        <v>454.66</v>
      </c>
      <c r="T72" s="15" t="n">
        <v>454.66</v>
      </c>
      <c r="U72" s="15" t="n">
        <v>350</v>
      </c>
      <c r="V72" s="15" t="n">
        <v>0</v>
      </c>
      <c r="W72" s="15" t="n">
        <f aca="false">U72+V72</f>
        <v>350</v>
      </c>
    </row>
    <row r="73" customFormat="false" ht="15" hidden="false" customHeight="false" outlineLevel="0" collapsed="false">
      <c r="A73" s="3" t="s">
        <v>866</v>
      </c>
      <c r="B73" s="3" t="s">
        <v>795</v>
      </c>
      <c r="C73" s="3" t="s">
        <v>458</v>
      </c>
      <c r="D73" s="3" t="s">
        <v>81</v>
      </c>
      <c r="E73" s="13" t="n">
        <v>325000</v>
      </c>
      <c r="F73" s="13" t="n">
        <v>5704.89</v>
      </c>
      <c r="G73" s="13" t="n">
        <v>713.11</v>
      </c>
      <c r="H73" s="13" t="n">
        <v>713.11</v>
      </c>
      <c r="I73" s="13" t="n">
        <f aca="false">SUM(K73:T73)</f>
        <v>4278.7</v>
      </c>
      <c r="J73" s="13" t="n">
        <f aca="false">F73-(G73+H73+I73)</f>
        <v>-0.0299999999997453</v>
      </c>
      <c r="K73" s="13" t="n">
        <v>427.87</v>
      </c>
      <c r="L73" s="13" t="n">
        <v>427.87</v>
      </c>
      <c r="M73" s="13" t="n">
        <v>427.87</v>
      </c>
      <c r="N73" s="13" t="n">
        <v>427.87</v>
      </c>
      <c r="O73" s="13" t="n">
        <v>427.87</v>
      </c>
      <c r="P73" s="13" t="n">
        <v>427.87</v>
      </c>
      <c r="Q73" s="13" t="n">
        <v>427.87</v>
      </c>
      <c r="R73" s="13" t="n">
        <v>427.87</v>
      </c>
      <c r="S73" s="13" t="n">
        <v>427.87</v>
      </c>
      <c r="T73" s="13" t="n">
        <v>427.87</v>
      </c>
      <c r="U73" s="13" t="n">
        <v>350</v>
      </c>
      <c r="V73" s="13" t="n">
        <v>0</v>
      </c>
      <c r="W73" s="13" t="n">
        <f aca="false">U73+V73</f>
        <v>350</v>
      </c>
    </row>
    <row r="74" customFormat="false" ht="15" hidden="false" customHeight="false" outlineLevel="0" collapsed="false">
      <c r="A74" s="14" t="s">
        <v>867</v>
      </c>
      <c r="B74" s="14" t="s">
        <v>739</v>
      </c>
      <c r="C74" s="14" t="s">
        <v>618</v>
      </c>
      <c r="D74" s="14" t="s">
        <v>69</v>
      </c>
      <c r="E74" s="15" t="n">
        <v>245000</v>
      </c>
      <c r="F74" s="15" t="n">
        <v>3997.78</v>
      </c>
      <c r="G74" s="15" t="n">
        <v>499.72</v>
      </c>
      <c r="H74" s="15" t="n">
        <v>499.72</v>
      </c>
      <c r="I74" s="15" t="n">
        <f aca="false">SUM(K74:T74)</f>
        <v>2998.3</v>
      </c>
      <c r="J74" s="15" t="n">
        <f aca="false">F74-(G74+H74+I74)</f>
        <v>0.0400000000004184</v>
      </c>
      <c r="K74" s="15" t="n">
        <v>299.83</v>
      </c>
      <c r="L74" s="15" t="n">
        <v>299.83</v>
      </c>
      <c r="M74" s="15" t="n">
        <v>299.83</v>
      </c>
      <c r="N74" s="15" t="n">
        <v>299.83</v>
      </c>
      <c r="O74" s="15" t="n">
        <v>299.83</v>
      </c>
      <c r="P74" s="15" t="n">
        <v>299.83</v>
      </c>
      <c r="Q74" s="15" t="n">
        <v>299.83</v>
      </c>
      <c r="R74" s="15" t="n">
        <v>299.83</v>
      </c>
      <c r="S74" s="15" t="n">
        <v>299.83</v>
      </c>
      <c r="T74" s="15" t="n">
        <v>299.83</v>
      </c>
      <c r="U74" s="15" t="n">
        <v>350</v>
      </c>
      <c r="V74" s="15" t="n">
        <v>0</v>
      </c>
      <c r="W74" s="15" t="n">
        <f aca="false">U74+V74</f>
        <v>350</v>
      </c>
    </row>
    <row r="75" customFormat="false" ht="15" hidden="false" customHeight="false" outlineLevel="0" collapsed="false">
      <c r="A75" s="3" t="s">
        <v>868</v>
      </c>
      <c r="B75" s="3" t="s">
        <v>771</v>
      </c>
      <c r="C75" s="3" t="s">
        <v>285</v>
      </c>
      <c r="D75" s="3" t="s">
        <v>193</v>
      </c>
      <c r="E75" s="13" t="n">
        <v>970000</v>
      </c>
      <c r="F75" s="13" t="n">
        <v>14410.79</v>
      </c>
      <c r="G75" s="13" t="n">
        <v>1801.35</v>
      </c>
      <c r="H75" s="13" t="n">
        <v>1801.35</v>
      </c>
      <c r="I75" s="13" t="n">
        <f aca="false">SUM(K75:T75)</f>
        <v>10808.1</v>
      </c>
      <c r="J75" s="13" t="n">
        <f aca="false">F75-(G75+H75+I75)</f>
        <v>-0.00999999999839929</v>
      </c>
      <c r="K75" s="13" t="n">
        <v>1080.81</v>
      </c>
      <c r="L75" s="13" t="n">
        <v>1080.81</v>
      </c>
      <c r="M75" s="13" t="n">
        <v>1080.81</v>
      </c>
      <c r="N75" s="13" t="n">
        <v>1080.81</v>
      </c>
      <c r="O75" s="13" t="n">
        <v>1080.81</v>
      </c>
      <c r="P75" s="13" t="n">
        <v>1080.81</v>
      </c>
      <c r="Q75" s="13" t="n">
        <v>1080.81</v>
      </c>
      <c r="R75" s="13" t="n">
        <v>1080.81</v>
      </c>
      <c r="S75" s="13" t="n">
        <v>1080.81</v>
      </c>
      <c r="T75" s="13" t="n">
        <v>1080.81</v>
      </c>
      <c r="U75" s="13" t="n">
        <v>350</v>
      </c>
      <c r="V75" s="13" t="n">
        <v>0</v>
      </c>
      <c r="W75" s="13" t="n">
        <f aca="false">U75+V75</f>
        <v>350</v>
      </c>
    </row>
    <row r="76" customFormat="false" ht="15" hidden="false" customHeight="false" outlineLevel="0" collapsed="false">
      <c r="A76" s="14" t="s">
        <v>869</v>
      </c>
      <c r="B76" s="14" t="s">
        <v>803</v>
      </c>
      <c r="C76" s="14" t="s">
        <v>870</v>
      </c>
      <c r="D76" s="14" t="s">
        <v>115</v>
      </c>
      <c r="E76" s="15" t="n">
        <v>640000</v>
      </c>
      <c r="F76" s="15" t="n">
        <v>10040.6</v>
      </c>
      <c r="G76" s="15" t="n">
        <v>1255.08</v>
      </c>
      <c r="H76" s="15" t="n">
        <v>1255.08</v>
      </c>
      <c r="I76" s="15" t="n">
        <f aca="false">SUM(K76:T76)</f>
        <v>7530.4</v>
      </c>
      <c r="J76" s="15" t="n">
        <f aca="false">F76-(G76+H76+I76)</f>
        <v>0.0400000000008731</v>
      </c>
      <c r="K76" s="15" t="n">
        <v>753.04</v>
      </c>
      <c r="L76" s="15" t="n">
        <v>753.04</v>
      </c>
      <c r="M76" s="15" t="n">
        <v>753.04</v>
      </c>
      <c r="N76" s="15" t="n">
        <v>753.04</v>
      </c>
      <c r="O76" s="15" t="n">
        <v>753.04</v>
      </c>
      <c r="P76" s="15" t="n">
        <v>753.04</v>
      </c>
      <c r="Q76" s="15" t="n">
        <v>753.04</v>
      </c>
      <c r="R76" s="15" t="n">
        <v>753.04</v>
      </c>
      <c r="S76" s="15" t="n">
        <v>753.04</v>
      </c>
      <c r="T76" s="15" t="n">
        <v>753.04</v>
      </c>
      <c r="U76" s="15" t="n">
        <v>350</v>
      </c>
      <c r="V76" s="15" t="n">
        <v>0</v>
      </c>
      <c r="W76" s="15" t="n">
        <f aca="false">U76+V76</f>
        <v>350</v>
      </c>
    </row>
    <row r="77" customFormat="false" ht="15" hidden="false" customHeight="false" outlineLevel="0" collapsed="false">
      <c r="A77" s="3" t="s">
        <v>871</v>
      </c>
      <c r="B77" s="3" t="s">
        <v>771</v>
      </c>
      <c r="C77" s="3" t="s">
        <v>769</v>
      </c>
      <c r="D77" s="3" t="s">
        <v>138</v>
      </c>
      <c r="E77" s="13" t="n">
        <v>530000</v>
      </c>
      <c r="F77" s="13" t="n">
        <v>7244.02</v>
      </c>
      <c r="G77" s="13" t="n">
        <v>905.5</v>
      </c>
      <c r="H77" s="13" t="n">
        <v>905.5</v>
      </c>
      <c r="I77" s="13" t="n">
        <f aca="false">SUM(K77:T77)</f>
        <v>5433</v>
      </c>
      <c r="J77" s="13" t="n">
        <f aca="false">F77-(G77+H77+I77)</f>
        <v>0.0200000000004366</v>
      </c>
      <c r="K77" s="13" t="n">
        <v>543.3</v>
      </c>
      <c r="L77" s="13" t="n">
        <v>543.3</v>
      </c>
      <c r="M77" s="13" t="n">
        <v>543.3</v>
      </c>
      <c r="N77" s="13" t="n">
        <v>543.3</v>
      </c>
      <c r="O77" s="13" t="n">
        <v>543.3</v>
      </c>
      <c r="P77" s="13" t="n">
        <v>543.3</v>
      </c>
      <c r="Q77" s="13" t="n">
        <v>543.3</v>
      </c>
      <c r="R77" s="13" t="n">
        <v>543.3</v>
      </c>
      <c r="S77" s="13" t="n">
        <v>543.3</v>
      </c>
      <c r="T77" s="13" t="n">
        <v>543.3</v>
      </c>
      <c r="U77" s="13" t="n">
        <v>350</v>
      </c>
      <c r="V77" s="13" t="n">
        <v>0</v>
      </c>
      <c r="W77" s="13" t="n">
        <f aca="false">U77+V77</f>
        <v>350</v>
      </c>
    </row>
    <row r="78" customFormat="false" ht="15" hidden="false" customHeight="false" outlineLevel="0" collapsed="false">
      <c r="A78" s="14" t="s">
        <v>872</v>
      </c>
      <c r="B78" s="14" t="s">
        <v>800</v>
      </c>
      <c r="C78" s="14" t="s">
        <v>854</v>
      </c>
      <c r="D78" s="14" t="s">
        <v>251</v>
      </c>
      <c r="E78" s="15" t="n">
        <v>240000</v>
      </c>
      <c r="F78" s="15" t="n">
        <v>5160.73</v>
      </c>
      <c r="G78" s="15" t="n">
        <v>645.09</v>
      </c>
      <c r="H78" s="15" t="n">
        <v>645.09</v>
      </c>
      <c r="I78" s="15" t="n">
        <f aca="false">SUM(K78:T78)</f>
        <v>3870.5</v>
      </c>
      <c r="J78" s="15" t="n">
        <f aca="false">F78-(G78+H78+I78)</f>
        <v>0.0499999999992724</v>
      </c>
      <c r="K78" s="15" t="n">
        <v>387.05</v>
      </c>
      <c r="L78" s="15" t="n">
        <v>387.05</v>
      </c>
      <c r="M78" s="15" t="n">
        <v>387.05</v>
      </c>
      <c r="N78" s="15" t="n">
        <v>387.05</v>
      </c>
      <c r="O78" s="15" t="n">
        <v>387.05</v>
      </c>
      <c r="P78" s="15" t="n">
        <v>387.05</v>
      </c>
      <c r="Q78" s="15" t="n">
        <v>387.05</v>
      </c>
      <c r="R78" s="15" t="n">
        <v>387.05</v>
      </c>
      <c r="S78" s="15" t="n">
        <v>387.05</v>
      </c>
      <c r="T78" s="15" t="n">
        <v>387.05</v>
      </c>
      <c r="U78" s="15" t="n">
        <v>350</v>
      </c>
      <c r="V78" s="15" t="n">
        <v>0</v>
      </c>
      <c r="W78" s="15" t="n">
        <f aca="false">U78+V78</f>
        <v>350</v>
      </c>
    </row>
    <row r="79" customFormat="false" ht="15" hidden="false" customHeight="false" outlineLevel="0" collapsed="false">
      <c r="A79" s="3" t="s">
        <v>873</v>
      </c>
      <c r="B79" s="3" t="s">
        <v>849</v>
      </c>
      <c r="C79" s="3" t="s">
        <v>412</v>
      </c>
      <c r="D79" s="3" t="s">
        <v>138</v>
      </c>
      <c r="E79" s="13" t="n">
        <v>405000</v>
      </c>
      <c r="F79" s="13" t="n">
        <v>6387.14</v>
      </c>
      <c r="G79" s="13" t="n">
        <v>798.39</v>
      </c>
      <c r="H79" s="13" t="n">
        <v>798.39</v>
      </c>
      <c r="I79" s="13" t="n">
        <f aca="false">SUM(K79:T79)</f>
        <v>4790.4</v>
      </c>
      <c r="J79" s="13" t="n">
        <f aca="false">F79-(G79+H79+I79)</f>
        <v>-0.0399999999999636</v>
      </c>
      <c r="K79" s="13" t="n">
        <v>479.04</v>
      </c>
      <c r="L79" s="13" t="n">
        <v>479.04</v>
      </c>
      <c r="M79" s="13" t="n">
        <v>479.04</v>
      </c>
      <c r="N79" s="13" t="n">
        <v>479.04</v>
      </c>
      <c r="O79" s="13" t="n">
        <v>479.04</v>
      </c>
      <c r="P79" s="13" t="n">
        <v>479.04</v>
      </c>
      <c r="Q79" s="13" t="n">
        <v>479.04</v>
      </c>
      <c r="R79" s="13" t="n">
        <v>479.04</v>
      </c>
      <c r="S79" s="13" t="n">
        <v>479.04</v>
      </c>
      <c r="T79" s="13" t="n">
        <v>479.04</v>
      </c>
      <c r="U79" s="13" t="n">
        <v>350</v>
      </c>
      <c r="V79" s="13" t="n">
        <v>0</v>
      </c>
      <c r="W79" s="13" t="n">
        <f aca="false">U79+V79</f>
        <v>350</v>
      </c>
    </row>
    <row r="80" customFormat="false" ht="15" hidden="false" customHeight="false" outlineLevel="0" collapsed="false">
      <c r="A80" s="14" t="s">
        <v>874</v>
      </c>
      <c r="B80" s="14" t="s">
        <v>826</v>
      </c>
      <c r="C80" s="14" t="s">
        <v>679</v>
      </c>
      <c r="D80" s="14" t="s">
        <v>325</v>
      </c>
      <c r="E80" s="15" t="n">
        <v>250000</v>
      </c>
      <c r="F80" s="15" t="n">
        <v>4731.22</v>
      </c>
      <c r="G80" s="15" t="n">
        <v>591.4</v>
      </c>
      <c r="H80" s="15" t="n">
        <v>591.4</v>
      </c>
      <c r="I80" s="15" t="n">
        <f aca="false">SUM(K80:T80)</f>
        <v>3548.4</v>
      </c>
      <c r="J80" s="15" t="n">
        <f aca="false">F80-(G80+H80+I80)</f>
        <v>0.0200000000004366</v>
      </c>
      <c r="K80" s="15" t="n">
        <v>354.84</v>
      </c>
      <c r="L80" s="15" t="n">
        <v>354.84</v>
      </c>
      <c r="M80" s="15" t="n">
        <v>354.84</v>
      </c>
      <c r="N80" s="15" t="n">
        <v>354.84</v>
      </c>
      <c r="O80" s="15" t="n">
        <v>354.84</v>
      </c>
      <c r="P80" s="15" t="n">
        <v>354.84</v>
      </c>
      <c r="Q80" s="15" t="n">
        <v>354.84</v>
      </c>
      <c r="R80" s="15" t="n">
        <v>354.84</v>
      </c>
      <c r="S80" s="15" t="n">
        <v>354.84</v>
      </c>
      <c r="T80" s="15" t="n">
        <v>354.84</v>
      </c>
      <c r="U80" s="15" t="n">
        <v>350</v>
      </c>
      <c r="V80" s="15" t="n">
        <v>0</v>
      </c>
      <c r="W80" s="15" t="n">
        <f aca="false">U80+V80</f>
        <v>350</v>
      </c>
    </row>
    <row r="81" customFormat="false" ht="15" hidden="false" customHeight="false" outlineLevel="0" collapsed="false">
      <c r="A81" s="3" t="s">
        <v>875</v>
      </c>
      <c r="B81" s="3" t="s">
        <v>808</v>
      </c>
      <c r="C81" s="3" t="s">
        <v>876</v>
      </c>
      <c r="D81" s="3" t="s">
        <v>448</v>
      </c>
      <c r="E81" s="13" t="n">
        <v>345000</v>
      </c>
      <c r="F81" s="13" t="n">
        <v>5015.09</v>
      </c>
      <c r="G81" s="13" t="n">
        <v>626.89</v>
      </c>
      <c r="H81" s="13" t="n">
        <v>626.89</v>
      </c>
      <c r="I81" s="13" t="n">
        <f aca="false">SUM(K81:T81)</f>
        <v>3761.3</v>
      </c>
      <c r="J81" s="13" t="n">
        <f aca="false">F81-(G81+H81+I81)</f>
        <v>0.0100000000002183</v>
      </c>
      <c r="K81" s="13" t="n">
        <v>376.13</v>
      </c>
      <c r="L81" s="13" t="n">
        <v>376.13</v>
      </c>
      <c r="M81" s="13" t="n">
        <v>376.13</v>
      </c>
      <c r="N81" s="13" t="n">
        <v>376.13</v>
      </c>
      <c r="O81" s="13" t="n">
        <v>376.13</v>
      </c>
      <c r="P81" s="13" t="n">
        <v>376.13</v>
      </c>
      <c r="Q81" s="13" t="n">
        <v>376.13</v>
      </c>
      <c r="R81" s="13" t="n">
        <v>376.13</v>
      </c>
      <c r="S81" s="13" t="n">
        <v>376.13</v>
      </c>
      <c r="T81" s="13" t="n">
        <v>376.13</v>
      </c>
      <c r="U81" s="13" t="n">
        <v>350</v>
      </c>
      <c r="V81" s="13" t="n">
        <v>0</v>
      </c>
      <c r="W81" s="13" t="n">
        <f aca="false">U81+V81</f>
        <v>350</v>
      </c>
    </row>
    <row r="82" customFormat="false" ht="15" hidden="false" customHeight="false" outlineLevel="0" collapsed="false">
      <c r="A82" s="14" t="s">
        <v>877</v>
      </c>
      <c r="B82" s="14" t="s">
        <v>860</v>
      </c>
      <c r="C82" s="14" t="s">
        <v>878</v>
      </c>
      <c r="D82" s="14" t="s">
        <v>77</v>
      </c>
      <c r="E82" s="15" t="n">
        <v>1950000</v>
      </c>
      <c r="F82" s="15" t="n">
        <v>36226.05</v>
      </c>
      <c r="G82" s="15" t="n">
        <v>4528.26</v>
      </c>
      <c r="H82" s="15" t="n">
        <v>4528.26</v>
      </c>
      <c r="I82" s="15" t="n">
        <f aca="false">SUM(K82:T82)</f>
        <v>27169.5</v>
      </c>
      <c r="J82" s="15" t="n">
        <f aca="false">F82-(G82+H82+I82)</f>
        <v>0.0299999999988358</v>
      </c>
      <c r="K82" s="15" t="n">
        <v>2716.95</v>
      </c>
      <c r="L82" s="15" t="n">
        <v>2716.95</v>
      </c>
      <c r="M82" s="15" t="n">
        <v>2716.95</v>
      </c>
      <c r="N82" s="15" t="n">
        <v>2716.95</v>
      </c>
      <c r="O82" s="15" t="n">
        <v>2716.95</v>
      </c>
      <c r="P82" s="15" t="n">
        <v>2716.95</v>
      </c>
      <c r="Q82" s="15" t="n">
        <v>2716.95</v>
      </c>
      <c r="R82" s="15" t="n">
        <v>2716.95</v>
      </c>
      <c r="S82" s="15" t="n">
        <v>2716.95</v>
      </c>
      <c r="T82" s="15" t="n">
        <v>2716.95</v>
      </c>
      <c r="U82" s="15" t="n">
        <v>350</v>
      </c>
      <c r="V82" s="15" t="n">
        <v>250</v>
      </c>
      <c r="W82" s="15" t="n">
        <f aca="false">U82+V82</f>
        <v>600</v>
      </c>
    </row>
    <row r="83" customFormat="false" ht="15" hidden="false" customHeight="false" outlineLevel="0" collapsed="false">
      <c r="A83" s="3" t="s">
        <v>879</v>
      </c>
      <c r="B83" s="3" t="s">
        <v>849</v>
      </c>
      <c r="C83" s="3" t="s">
        <v>880</v>
      </c>
      <c r="D83" s="3" t="s">
        <v>118</v>
      </c>
      <c r="E83" s="13" t="n">
        <v>660000</v>
      </c>
      <c r="F83" s="13" t="n">
        <v>14101.5</v>
      </c>
      <c r="G83" s="13" t="n">
        <v>1762.69</v>
      </c>
      <c r="H83" s="13" t="n">
        <v>1762.69</v>
      </c>
      <c r="I83" s="13" t="n">
        <f aca="false">SUM(K83:T83)</f>
        <v>10576.1</v>
      </c>
      <c r="J83" s="13" t="n">
        <f aca="false">F83-(G83+H83+I83)</f>
        <v>0.0200000000004366</v>
      </c>
      <c r="K83" s="13" t="n">
        <v>1057.61</v>
      </c>
      <c r="L83" s="13" t="n">
        <v>1057.61</v>
      </c>
      <c r="M83" s="13" t="n">
        <v>1057.61</v>
      </c>
      <c r="N83" s="13" t="n">
        <v>1057.61</v>
      </c>
      <c r="O83" s="13" t="n">
        <v>1057.61</v>
      </c>
      <c r="P83" s="13" t="n">
        <v>1057.61</v>
      </c>
      <c r="Q83" s="13" t="n">
        <v>1057.61</v>
      </c>
      <c r="R83" s="13" t="n">
        <v>1057.61</v>
      </c>
      <c r="S83" s="13" t="n">
        <v>1057.61</v>
      </c>
      <c r="T83" s="13" t="n">
        <v>1057.61</v>
      </c>
      <c r="U83" s="13" t="n">
        <v>350</v>
      </c>
      <c r="V83" s="13" t="n">
        <v>0</v>
      </c>
      <c r="W83" s="13" t="n">
        <f aca="false">U83+V83</f>
        <v>350</v>
      </c>
    </row>
    <row r="84" customFormat="false" ht="15" hidden="false" customHeight="false" outlineLevel="0" collapsed="false">
      <c r="A84" s="14" t="s">
        <v>881</v>
      </c>
      <c r="B84" s="14" t="s">
        <v>753</v>
      </c>
      <c r="C84" s="14" t="s">
        <v>882</v>
      </c>
      <c r="D84" s="14" t="s">
        <v>157</v>
      </c>
      <c r="E84" s="15" t="n">
        <v>745000</v>
      </c>
      <c r="F84" s="15" t="n">
        <v>12573.35</v>
      </c>
      <c r="G84" s="15" t="n">
        <v>1571.67</v>
      </c>
      <c r="H84" s="15" t="n">
        <v>1571.67</v>
      </c>
      <c r="I84" s="15" t="n">
        <f aca="false">SUM(K84:T84)</f>
        <v>9430</v>
      </c>
      <c r="J84" s="15" t="n">
        <f aca="false">F84-(G84+H84+I84)</f>
        <v>0.0100000000002183</v>
      </c>
      <c r="K84" s="15" t="n">
        <v>943</v>
      </c>
      <c r="L84" s="15" t="n">
        <v>943</v>
      </c>
      <c r="M84" s="15" t="n">
        <v>943</v>
      </c>
      <c r="N84" s="15" t="n">
        <v>943</v>
      </c>
      <c r="O84" s="15" t="n">
        <v>943</v>
      </c>
      <c r="P84" s="15" t="n">
        <v>943</v>
      </c>
      <c r="Q84" s="15" t="n">
        <v>943</v>
      </c>
      <c r="R84" s="15" t="n">
        <v>943</v>
      </c>
      <c r="S84" s="15" t="n">
        <v>943</v>
      </c>
      <c r="T84" s="15" t="n">
        <v>943</v>
      </c>
      <c r="U84" s="15" t="n">
        <v>350</v>
      </c>
      <c r="V84" s="15" t="n">
        <v>0</v>
      </c>
      <c r="W84" s="15" t="n">
        <f aca="false">U84+V84</f>
        <v>350</v>
      </c>
    </row>
    <row r="85" customFormat="false" ht="15" hidden="false" customHeight="false" outlineLevel="0" collapsed="false">
      <c r="A85" s="3" t="s">
        <v>883</v>
      </c>
      <c r="B85" s="3" t="s">
        <v>860</v>
      </c>
      <c r="C85" s="3" t="s">
        <v>884</v>
      </c>
      <c r="D85" s="3" t="s">
        <v>279</v>
      </c>
      <c r="E85" s="13" t="n">
        <v>295000</v>
      </c>
      <c r="F85" s="13" t="n">
        <v>3681.44</v>
      </c>
      <c r="G85" s="13" t="n">
        <v>460.18</v>
      </c>
      <c r="H85" s="13" t="n">
        <v>460.18</v>
      </c>
      <c r="I85" s="13" t="n">
        <f aca="false">SUM(K85:T85)</f>
        <v>2761.1</v>
      </c>
      <c r="J85" s="13" t="n">
        <f aca="false">F85-(G85+H85+I85)</f>
        <v>-0.0200000000004366</v>
      </c>
      <c r="K85" s="13" t="n">
        <v>276.11</v>
      </c>
      <c r="L85" s="13" t="n">
        <v>276.11</v>
      </c>
      <c r="M85" s="13" t="n">
        <v>276.11</v>
      </c>
      <c r="N85" s="13" t="n">
        <v>276.11</v>
      </c>
      <c r="O85" s="13" t="n">
        <v>276.11</v>
      </c>
      <c r="P85" s="13" t="n">
        <v>276.11</v>
      </c>
      <c r="Q85" s="13" t="n">
        <v>276.11</v>
      </c>
      <c r="R85" s="13" t="n">
        <v>276.11</v>
      </c>
      <c r="S85" s="13" t="n">
        <v>276.11</v>
      </c>
      <c r="T85" s="13" t="n">
        <v>276.11</v>
      </c>
      <c r="U85" s="13" t="n">
        <v>350</v>
      </c>
      <c r="V85" s="13" t="n">
        <v>0</v>
      </c>
      <c r="W85" s="13" t="n">
        <f aca="false">U85+V85</f>
        <v>350</v>
      </c>
    </row>
    <row r="86" customFormat="false" ht="15" hidden="false" customHeight="false" outlineLevel="0" collapsed="false">
      <c r="A86" s="14" t="s">
        <v>885</v>
      </c>
      <c r="B86" s="14" t="s">
        <v>803</v>
      </c>
      <c r="C86" s="14" t="s">
        <v>805</v>
      </c>
      <c r="D86" s="14" t="s">
        <v>382</v>
      </c>
      <c r="E86" s="15" t="n">
        <v>1165000</v>
      </c>
      <c r="F86" s="15" t="n">
        <v>19086.51</v>
      </c>
      <c r="G86" s="15" t="n">
        <v>2385.81</v>
      </c>
      <c r="H86" s="15" t="n">
        <v>2385.81</v>
      </c>
      <c r="I86" s="15" t="n">
        <f aca="false">SUM(K86:T86)</f>
        <v>14314.9</v>
      </c>
      <c r="J86" s="15" t="n">
        <f aca="false">F86-(G86+H86+I86)</f>
        <v>-0.0100000000020373</v>
      </c>
      <c r="K86" s="15" t="n">
        <v>1431.49</v>
      </c>
      <c r="L86" s="15" t="n">
        <v>1431.49</v>
      </c>
      <c r="M86" s="15" t="n">
        <v>1431.49</v>
      </c>
      <c r="N86" s="15" t="n">
        <v>1431.49</v>
      </c>
      <c r="O86" s="15" t="n">
        <v>1431.49</v>
      </c>
      <c r="P86" s="15" t="n">
        <v>1431.49</v>
      </c>
      <c r="Q86" s="15" t="n">
        <v>1431.49</v>
      </c>
      <c r="R86" s="15" t="n">
        <v>1431.49</v>
      </c>
      <c r="S86" s="15" t="n">
        <v>1431.49</v>
      </c>
      <c r="T86" s="15" t="n">
        <v>1431.49</v>
      </c>
      <c r="U86" s="15" t="n">
        <v>350</v>
      </c>
      <c r="V86" s="15" t="n">
        <v>250</v>
      </c>
      <c r="W86" s="15" t="n">
        <f aca="false">U86+V86</f>
        <v>600</v>
      </c>
    </row>
    <row r="87" customFormat="false" ht="15" hidden="false" customHeight="false" outlineLevel="0" collapsed="false">
      <c r="A87" s="3" t="s">
        <v>886</v>
      </c>
      <c r="B87" s="3" t="s">
        <v>763</v>
      </c>
      <c r="C87" s="3" t="s">
        <v>887</v>
      </c>
      <c r="D87" s="3" t="s">
        <v>193</v>
      </c>
      <c r="E87" s="13" t="n">
        <v>1185000</v>
      </c>
      <c r="F87" s="13" t="n">
        <v>14896.48</v>
      </c>
      <c r="G87" s="13" t="n">
        <v>1862.06</v>
      </c>
      <c r="H87" s="13" t="n">
        <v>1862.06</v>
      </c>
      <c r="I87" s="13" t="n">
        <f aca="false">SUM(K87:T87)</f>
        <v>11172.4</v>
      </c>
      <c r="J87" s="13" t="n">
        <f aca="false">F87-(G87+H87+I87)</f>
        <v>-0.0400000000008731</v>
      </c>
      <c r="K87" s="13" t="n">
        <v>1117.24</v>
      </c>
      <c r="L87" s="13" t="n">
        <v>1117.24</v>
      </c>
      <c r="M87" s="13" t="n">
        <v>1117.24</v>
      </c>
      <c r="N87" s="13" t="n">
        <v>1117.24</v>
      </c>
      <c r="O87" s="13" t="n">
        <v>1117.24</v>
      </c>
      <c r="P87" s="13" t="n">
        <v>1117.24</v>
      </c>
      <c r="Q87" s="13" t="n">
        <v>1117.24</v>
      </c>
      <c r="R87" s="13" t="n">
        <v>1117.24</v>
      </c>
      <c r="S87" s="13" t="n">
        <v>1117.24</v>
      </c>
      <c r="T87" s="13" t="n">
        <v>1117.24</v>
      </c>
      <c r="U87" s="13" t="n">
        <v>350</v>
      </c>
      <c r="V87" s="13" t="n">
        <v>250</v>
      </c>
      <c r="W87" s="13" t="n">
        <f aca="false">U87+V87</f>
        <v>600</v>
      </c>
    </row>
    <row r="88" customFormat="false" ht="15" hidden="false" customHeight="false" outlineLevel="0" collapsed="false">
      <c r="A88" s="14" t="s">
        <v>888</v>
      </c>
      <c r="B88" s="14" t="s">
        <v>889</v>
      </c>
      <c r="C88" s="14" t="s">
        <v>715</v>
      </c>
      <c r="D88" s="14" t="s">
        <v>125</v>
      </c>
      <c r="E88" s="15" t="n">
        <v>420000</v>
      </c>
      <c r="F88" s="15" t="n">
        <v>5529.36</v>
      </c>
      <c r="G88" s="15" t="n">
        <v>691.17</v>
      </c>
      <c r="H88" s="15" t="n">
        <v>691.17</v>
      </c>
      <c r="I88" s="15" t="n">
        <f aca="false">SUM(K88:T88)</f>
        <v>4147</v>
      </c>
      <c r="J88" s="15" t="n">
        <f aca="false">F88-(G88+H88+I88)</f>
        <v>0.0199999999995271</v>
      </c>
      <c r="K88" s="15" t="n">
        <v>414.7</v>
      </c>
      <c r="L88" s="15" t="n">
        <v>414.7</v>
      </c>
      <c r="M88" s="15" t="n">
        <v>414.7</v>
      </c>
      <c r="N88" s="15" t="n">
        <v>414.7</v>
      </c>
      <c r="O88" s="15" t="n">
        <v>414.7</v>
      </c>
      <c r="P88" s="15" t="n">
        <v>414.7</v>
      </c>
      <c r="Q88" s="15" t="n">
        <v>414.7</v>
      </c>
      <c r="R88" s="15" t="n">
        <v>414.7</v>
      </c>
      <c r="S88" s="15" t="n">
        <v>414.7</v>
      </c>
      <c r="T88" s="15" t="n">
        <v>414.7</v>
      </c>
      <c r="U88" s="15" t="n">
        <v>350</v>
      </c>
      <c r="V88" s="15" t="n">
        <v>0</v>
      </c>
      <c r="W88" s="15" t="n">
        <f aca="false">U88+V88</f>
        <v>350</v>
      </c>
    </row>
    <row r="89" customFormat="false" ht="15" hidden="false" customHeight="false" outlineLevel="0" collapsed="false">
      <c r="A89" s="3" t="s">
        <v>890</v>
      </c>
      <c r="B89" s="3" t="s">
        <v>779</v>
      </c>
      <c r="C89" s="3" t="s">
        <v>891</v>
      </c>
      <c r="D89" s="3" t="s">
        <v>382</v>
      </c>
      <c r="E89" s="13" t="n">
        <v>310000</v>
      </c>
      <c r="F89" s="13" t="n">
        <v>4761.39</v>
      </c>
      <c r="G89" s="13" t="n">
        <v>595.17</v>
      </c>
      <c r="H89" s="13" t="n">
        <v>595.17</v>
      </c>
      <c r="I89" s="13" t="n">
        <f aca="false">SUM(K89:T89)</f>
        <v>3571</v>
      </c>
      <c r="J89" s="13" t="n">
        <f aca="false">F89-(G89+H89+I89)</f>
        <v>0.0500000000001819</v>
      </c>
      <c r="K89" s="13" t="n">
        <v>357.1</v>
      </c>
      <c r="L89" s="13" t="n">
        <v>357.1</v>
      </c>
      <c r="M89" s="13" t="n">
        <v>357.1</v>
      </c>
      <c r="N89" s="13" t="n">
        <v>357.1</v>
      </c>
      <c r="O89" s="13" t="n">
        <v>357.1</v>
      </c>
      <c r="P89" s="13" t="n">
        <v>357.1</v>
      </c>
      <c r="Q89" s="13" t="n">
        <v>357.1</v>
      </c>
      <c r="R89" s="13" t="n">
        <v>357.1</v>
      </c>
      <c r="S89" s="13" t="n">
        <v>357.1</v>
      </c>
      <c r="T89" s="13" t="n">
        <v>357.1</v>
      </c>
      <c r="U89" s="13" t="n">
        <v>350</v>
      </c>
      <c r="V89" s="13" t="n">
        <v>0</v>
      </c>
      <c r="W89" s="13" t="n">
        <f aca="false">U89+V89</f>
        <v>350</v>
      </c>
    </row>
    <row r="90" customFormat="false" ht="15" hidden="false" customHeight="false" outlineLevel="0" collapsed="false">
      <c r="A90" s="14" t="s">
        <v>892</v>
      </c>
      <c r="B90" s="14" t="s">
        <v>792</v>
      </c>
      <c r="C90" s="14" t="s">
        <v>538</v>
      </c>
      <c r="D90" s="14" t="s">
        <v>180</v>
      </c>
      <c r="E90" s="15" t="n">
        <v>1035000</v>
      </c>
      <c r="F90" s="15" t="n">
        <v>12594.5</v>
      </c>
      <c r="G90" s="15" t="n">
        <v>1574.31</v>
      </c>
      <c r="H90" s="15" t="n">
        <v>1574.31</v>
      </c>
      <c r="I90" s="15" t="n">
        <f aca="false">SUM(K90:T90)</f>
        <v>9445.9</v>
      </c>
      <c r="J90" s="15" t="n">
        <f aca="false">F90-(G90+H90+I90)</f>
        <v>-0.0200000000004366</v>
      </c>
      <c r="K90" s="15" t="n">
        <v>944.59</v>
      </c>
      <c r="L90" s="15" t="n">
        <v>944.59</v>
      </c>
      <c r="M90" s="15" t="n">
        <v>944.59</v>
      </c>
      <c r="N90" s="15" t="n">
        <v>944.59</v>
      </c>
      <c r="O90" s="15" t="n">
        <v>944.59</v>
      </c>
      <c r="P90" s="15" t="n">
        <v>944.59</v>
      </c>
      <c r="Q90" s="15" t="n">
        <v>944.59</v>
      </c>
      <c r="R90" s="15" t="n">
        <v>944.59</v>
      </c>
      <c r="S90" s="15" t="n">
        <v>944.59</v>
      </c>
      <c r="T90" s="15" t="n">
        <v>944.59</v>
      </c>
      <c r="U90" s="15" t="n">
        <v>350</v>
      </c>
      <c r="V90" s="15" t="n">
        <v>250</v>
      </c>
      <c r="W90" s="15" t="n">
        <f aca="false">U90+V90</f>
        <v>600</v>
      </c>
    </row>
    <row r="91" customFormat="false" ht="15" hidden="false" customHeight="false" outlineLevel="0" collapsed="false">
      <c r="A91" s="3" t="s">
        <v>893</v>
      </c>
      <c r="B91" s="3" t="s">
        <v>792</v>
      </c>
      <c r="C91" s="3" t="s">
        <v>276</v>
      </c>
      <c r="D91" s="3" t="s">
        <v>115</v>
      </c>
      <c r="E91" s="13" t="n">
        <v>545000</v>
      </c>
      <c r="F91" s="13" t="n">
        <v>8550.2</v>
      </c>
      <c r="G91" s="13" t="n">
        <v>1068.78</v>
      </c>
      <c r="H91" s="13" t="n">
        <v>1068.78</v>
      </c>
      <c r="I91" s="13" t="n">
        <f aca="false">SUM(K91:T91)</f>
        <v>6412.6</v>
      </c>
      <c r="J91" s="13" t="n">
        <f aca="false">F91-(G91+H91+I91)</f>
        <v>0.0400000000008731</v>
      </c>
      <c r="K91" s="13" t="n">
        <v>641.26</v>
      </c>
      <c r="L91" s="13" t="n">
        <v>641.26</v>
      </c>
      <c r="M91" s="13" t="n">
        <v>641.26</v>
      </c>
      <c r="N91" s="13" t="n">
        <v>641.26</v>
      </c>
      <c r="O91" s="13" t="n">
        <v>641.26</v>
      </c>
      <c r="P91" s="13" t="n">
        <v>641.26</v>
      </c>
      <c r="Q91" s="13" t="n">
        <v>641.26</v>
      </c>
      <c r="R91" s="13" t="n">
        <v>641.26</v>
      </c>
      <c r="S91" s="13" t="n">
        <v>641.26</v>
      </c>
      <c r="T91" s="13" t="n">
        <v>641.26</v>
      </c>
      <c r="U91" s="13" t="n">
        <v>350</v>
      </c>
      <c r="V91" s="13" t="n">
        <v>0</v>
      </c>
      <c r="W91" s="13" t="n">
        <f aca="false">U91+V91</f>
        <v>350</v>
      </c>
    </row>
    <row r="92" customFormat="false" ht="15" hidden="false" customHeight="false" outlineLevel="0" collapsed="false">
      <c r="A92" s="14" t="s">
        <v>894</v>
      </c>
      <c r="B92" s="14" t="s">
        <v>795</v>
      </c>
      <c r="C92" s="14" t="s">
        <v>580</v>
      </c>
      <c r="D92" s="14" t="s">
        <v>312</v>
      </c>
      <c r="E92" s="15" t="n">
        <v>1060000</v>
      </c>
      <c r="F92" s="15" t="n">
        <v>17211.22</v>
      </c>
      <c r="G92" s="15" t="n">
        <v>2151.4</v>
      </c>
      <c r="H92" s="15" t="n">
        <v>2151.4</v>
      </c>
      <c r="I92" s="15" t="n">
        <f aca="false">SUM(K92:T92)</f>
        <v>12908.4</v>
      </c>
      <c r="J92" s="15" t="n">
        <f aca="false">F92-(G92+H92+I92)</f>
        <v>0.0200000000004366</v>
      </c>
      <c r="K92" s="15" t="n">
        <v>1290.84</v>
      </c>
      <c r="L92" s="15" t="n">
        <v>1290.84</v>
      </c>
      <c r="M92" s="15" t="n">
        <v>1290.84</v>
      </c>
      <c r="N92" s="15" t="n">
        <v>1290.84</v>
      </c>
      <c r="O92" s="15" t="n">
        <v>1290.84</v>
      </c>
      <c r="P92" s="15" t="n">
        <v>1290.84</v>
      </c>
      <c r="Q92" s="15" t="n">
        <v>1290.84</v>
      </c>
      <c r="R92" s="15" t="n">
        <v>1290.84</v>
      </c>
      <c r="S92" s="15" t="n">
        <v>1290.84</v>
      </c>
      <c r="T92" s="15" t="n">
        <v>1290.84</v>
      </c>
      <c r="U92" s="15" t="n">
        <v>350</v>
      </c>
      <c r="V92" s="15" t="n">
        <v>250</v>
      </c>
      <c r="W92" s="15" t="n">
        <f aca="false">U92+V92</f>
        <v>600</v>
      </c>
    </row>
    <row r="93" customFormat="false" ht="15" hidden="false" customHeight="false" outlineLevel="0" collapsed="false">
      <c r="A93" s="3" t="s">
        <v>895</v>
      </c>
      <c r="B93" s="3" t="s">
        <v>800</v>
      </c>
      <c r="C93" s="3" t="s">
        <v>896</v>
      </c>
      <c r="D93" s="3" t="s">
        <v>430</v>
      </c>
      <c r="E93" s="13" t="n">
        <v>1155000</v>
      </c>
      <c r="F93" s="13" t="n">
        <v>16726.3</v>
      </c>
      <c r="G93" s="13" t="n">
        <v>2090.79</v>
      </c>
      <c r="H93" s="13" t="n">
        <v>2090.79</v>
      </c>
      <c r="I93" s="13" t="n">
        <f aca="false">SUM(K93:T93)</f>
        <v>12544.7</v>
      </c>
      <c r="J93" s="13" t="n">
        <f aca="false">F93-(G93+H93+I93)</f>
        <v>0.0200000000004366</v>
      </c>
      <c r="K93" s="13" t="n">
        <v>1254.47</v>
      </c>
      <c r="L93" s="13" t="n">
        <v>1254.47</v>
      </c>
      <c r="M93" s="13" t="n">
        <v>1254.47</v>
      </c>
      <c r="N93" s="13" t="n">
        <v>1254.47</v>
      </c>
      <c r="O93" s="13" t="n">
        <v>1254.47</v>
      </c>
      <c r="P93" s="13" t="n">
        <v>1254.47</v>
      </c>
      <c r="Q93" s="13" t="n">
        <v>1254.47</v>
      </c>
      <c r="R93" s="13" t="n">
        <v>1254.47</v>
      </c>
      <c r="S93" s="13" t="n">
        <v>1254.47</v>
      </c>
      <c r="T93" s="13" t="n">
        <v>1254.47</v>
      </c>
      <c r="U93" s="13" t="n">
        <v>350</v>
      </c>
      <c r="V93" s="13" t="n">
        <v>250</v>
      </c>
      <c r="W93" s="13" t="n">
        <f aca="false">U93+V93</f>
        <v>600</v>
      </c>
    </row>
    <row r="94" customFormat="false" ht="15" hidden="false" customHeight="false" outlineLevel="0" collapsed="false">
      <c r="A94" s="14" t="s">
        <v>897</v>
      </c>
      <c r="B94" s="14" t="s">
        <v>849</v>
      </c>
      <c r="C94" s="14" t="s">
        <v>898</v>
      </c>
      <c r="D94" s="14" t="s">
        <v>251</v>
      </c>
      <c r="E94" s="15" t="n">
        <v>770000</v>
      </c>
      <c r="F94" s="15" t="n">
        <v>10249.78</v>
      </c>
      <c r="G94" s="15" t="n">
        <v>1281.22</v>
      </c>
      <c r="H94" s="15" t="n">
        <v>1281.22</v>
      </c>
      <c r="I94" s="15" t="n">
        <f aca="false">SUM(K94:T94)</f>
        <v>7687.3</v>
      </c>
      <c r="J94" s="15" t="n">
        <f aca="false">F94-(G94+H94+I94)</f>
        <v>0.0400000000008731</v>
      </c>
      <c r="K94" s="15" t="n">
        <v>768.73</v>
      </c>
      <c r="L94" s="15" t="n">
        <v>768.73</v>
      </c>
      <c r="M94" s="15" t="n">
        <v>768.73</v>
      </c>
      <c r="N94" s="15" t="n">
        <v>768.73</v>
      </c>
      <c r="O94" s="15" t="n">
        <v>768.73</v>
      </c>
      <c r="P94" s="15" t="n">
        <v>768.73</v>
      </c>
      <c r="Q94" s="15" t="n">
        <v>768.73</v>
      </c>
      <c r="R94" s="15" t="n">
        <v>768.73</v>
      </c>
      <c r="S94" s="15" t="n">
        <v>768.73</v>
      </c>
      <c r="T94" s="15" t="n">
        <v>768.73</v>
      </c>
      <c r="U94" s="15" t="n">
        <v>350</v>
      </c>
      <c r="V94" s="15" t="n">
        <v>0</v>
      </c>
      <c r="W94" s="15" t="n">
        <f aca="false">U94+V94</f>
        <v>350</v>
      </c>
    </row>
    <row r="95" customFormat="false" ht="15" hidden="false" customHeight="false" outlineLevel="0" collapsed="false">
      <c r="A95" s="3" t="s">
        <v>899</v>
      </c>
      <c r="B95" s="3" t="s">
        <v>821</v>
      </c>
      <c r="C95" s="3" t="s">
        <v>900</v>
      </c>
      <c r="D95" s="3" t="s">
        <v>89</v>
      </c>
      <c r="E95" s="13" t="n">
        <v>1250000</v>
      </c>
      <c r="F95" s="13" t="n">
        <v>16970.68</v>
      </c>
      <c r="G95" s="13" t="n">
        <v>2121.34</v>
      </c>
      <c r="H95" s="13" t="n">
        <v>2121.34</v>
      </c>
      <c r="I95" s="13" t="n">
        <f aca="false">SUM(K95:T95)</f>
        <v>12728</v>
      </c>
      <c r="J95" s="13" t="n">
        <f aca="false">F95-(G95+H95+I95)</f>
        <v>0</v>
      </c>
      <c r="K95" s="13" t="n">
        <v>1272.8</v>
      </c>
      <c r="L95" s="13" t="n">
        <v>1272.8</v>
      </c>
      <c r="M95" s="13" t="n">
        <v>1272.8</v>
      </c>
      <c r="N95" s="13" t="n">
        <v>1272.8</v>
      </c>
      <c r="O95" s="13" t="n">
        <v>1272.8</v>
      </c>
      <c r="P95" s="13" t="n">
        <v>1272.8</v>
      </c>
      <c r="Q95" s="13" t="n">
        <v>1272.8</v>
      </c>
      <c r="R95" s="13" t="n">
        <v>1272.8</v>
      </c>
      <c r="S95" s="13" t="n">
        <v>1272.8</v>
      </c>
      <c r="T95" s="13" t="n">
        <v>1272.8</v>
      </c>
      <c r="U95" s="13" t="n">
        <v>350</v>
      </c>
      <c r="V95" s="13" t="n">
        <v>250</v>
      </c>
      <c r="W95" s="13" t="n">
        <f aca="false">U95+V95</f>
        <v>600</v>
      </c>
    </row>
    <row r="96" customFormat="false" ht="15" hidden="false" customHeight="false" outlineLevel="0" collapsed="false">
      <c r="A96" s="14" t="s">
        <v>901</v>
      </c>
      <c r="B96" s="14" t="s">
        <v>849</v>
      </c>
      <c r="C96" s="14" t="s">
        <v>227</v>
      </c>
      <c r="D96" s="14" t="s">
        <v>147</v>
      </c>
      <c r="E96" s="15" t="n">
        <v>1520000</v>
      </c>
      <c r="F96" s="15" t="n">
        <v>23790.85</v>
      </c>
      <c r="G96" s="15" t="n">
        <v>2973.86</v>
      </c>
      <c r="H96" s="15" t="n">
        <v>2973.86</v>
      </c>
      <c r="I96" s="15" t="n">
        <f aca="false">SUM(K96:T96)</f>
        <v>17843.1</v>
      </c>
      <c r="J96" s="15" t="n">
        <f aca="false">F96-(G96+H96+I96)</f>
        <v>0.0299999999988358</v>
      </c>
      <c r="K96" s="15" t="n">
        <v>1784.31</v>
      </c>
      <c r="L96" s="15" t="n">
        <v>1784.31</v>
      </c>
      <c r="M96" s="15" t="n">
        <v>1784.31</v>
      </c>
      <c r="N96" s="15" t="n">
        <v>1784.31</v>
      </c>
      <c r="O96" s="15" t="n">
        <v>1784.31</v>
      </c>
      <c r="P96" s="15" t="n">
        <v>1784.31</v>
      </c>
      <c r="Q96" s="15" t="n">
        <v>1784.31</v>
      </c>
      <c r="R96" s="15" t="n">
        <v>1784.31</v>
      </c>
      <c r="S96" s="15" t="n">
        <v>1784.31</v>
      </c>
      <c r="T96" s="15" t="n">
        <v>1784.31</v>
      </c>
      <c r="U96" s="15" t="n">
        <v>350</v>
      </c>
      <c r="V96" s="15" t="n">
        <v>250</v>
      </c>
      <c r="W96" s="15" t="n">
        <f aca="false">U96+V96</f>
        <v>600</v>
      </c>
    </row>
    <row r="97" customFormat="false" ht="15" hidden="false" customHeight="false" outlineLevel="0" collapsed="false">
      <c r="A97" s="3" t="s">
        <v>902</v>
      </c>
      <c r="B97" s="3" t="s">
        <v>826</v>
      </c>
      <c r="C97" s="3" t="s">
        <v>903</v>
      </c>
      <c r="D97" s="3" t="s">
        <v>256</v>
      </c>
      <c r="E97" s="13" t="n">
        <v>855000</v>
      </c>
      <c r="F97" s="13" t="n">
        <v>8940.85</v>
      </c>
      <c r="G97" s="13" t="n">
        <v>1117.61</v>
      </c>
      <c r="H97" s="13" t="n">
        <v>1117.61</v>
      </c>
      <c r="I97" s="13" t="n">
        <f aca="false">SUM(K97:T97)</f>
        <v>6705.6</v>
      </c>
      <c r="J97" s="13" t="n">
        <f aca="false">F97-(G97+H97+I97)</f>
        <v>0.0300000000024738</v>
      </c>
      <c r="K97" s="13" t="n">
        <v>670.56</v>
      </c>
      <c r="L97" s="13" t="n">
        <v>670.56</v>
      </c>
      <c r="M97" s="13" t="n">
        <v>670.56</v>
      </c>
      <c r="N97" s="13" t="n">
        <v>670.56</v>
      </c>
      <c r="O97" s="13" t="n">
        <v>670.56</v>
      </c>
      <c r="P97" s="13" t="n">
        <v>670.56</v>
      </c>
      <c r="Q97" s="13" t="n">
        <v>670.56</v>
      </c>
      <c r="R97" s="13" t="n">
        <v>670.56</v>
      </c>
      <c r="S97" s="13" t="n">
        <v>670.56</v>
      </c>
      <c r="T97" s="13" t="n">
        <v>670.56</v>
      </c>
      <c r="U97" s="13" t="n">
        <v>350</v>
      </c>
      <c r="V97" s="13" t="n">
        <v>0</v>
      </c>
      <c r="W97" s="13" t="n">
        <f aca="false">U97+V97</f>
        <v>350</v>
      </c>
    </row>
    <row r="98" customFormat="false" ht="15" hidden="false" customHeight="false" outlineLevel="0" collapsed="false">
      <c r="A98" s="14" t="s">
        <v>904</v>
      </c>
      <c r="B98" s="14" t="s">
        <v>760</v>
      </c>
      <c r="C98" s="14" t="s">
        <v>905</v>
      </c>
      <c r="D98" s="14" t="s">
        <v>230</v>
      </c>
      <c r="E98" s="15" t="n">
        <v>440000</v>
      </c>
      <c r="F98" s="15" t="n">
        <v>11010.07</v>
      </c>
      <c r="G98" s="15" t="n">
        <v>1376.26</v>
      </c>
      <c r="H98" s="15" t="n">
        <v>1376.26</v>
      </c>
      <c r="I98" s="15" t="n">
        <f aca="false">SUM(K98:T98)</f>
        <v>8257.6</v>
      </c>
      <c r="J98" s="15" t="n">
        <f aca="false">F98-(G98+H98+I98)</f>
        <v>-0.0500000000010914</v>
      </c>
      <c r="K98" s="15" t="n">
        <v>825.76</v>
      </c>
      <c r="L98" s="15" t="n">
        <v>825.76</v>
      </c>
      <c r="M98" s="15" t="n">
        <v>825.76</v>
      </c>
      <c r="N98" s="15" t="n">
        <v>825.76</v>
      </c>
      <c r="O98" s="15" t="n">
        <v>825.76</v>
      </c>
      <c r="P98" s="15" t="n">
        <v>825.76</v>
      </c>
      <c r="Q98" s="15" t="n">
        <v>825.76</v>
      </c>
      <c r="R98" s="15" t="n">
        <v>825.76</v>
      </c>
      <c r="S98" s="15" t="n">
        <v>825.76</v>
      </c>
      <c r="T98" s="15" t="n">
        <v>825.76</v>
      </c>
      <c r="U98" s="15" t="n">
        <v>350</v>
      </c>
      <c r="V98" s="15" t="n">
        <v>0</v>
      </c>
      <c r="W98" s="15" t="n">
        <f aca="false">U98+V98</f>
        <v>350</v>
      </c>
    </row>
    <row r="99" customFormat="false" ht="15" hidden="false" customHeight="false" outlineLevel="0" collapsed="false">
      <c r="A99" s="3" t="s">
        <v>906</v>
      </c>
      <c r="B99" s="3" t="s">
        <v>834</v>
      </c>
      <c r="C99" s="3" t="s">
        <v>706</v>
      </c>
      <c r="D99" s="3" t="s">
        <v>99</v>
      </c>
      <c r="E99" s="13" t="n">
        <v>450000</v>
      </c>
      <c r="F99" s="13" t="n">
        <v>8392.77</v>
      </c>
      <c r="G99" s="13" t="n">
        <v>1049.1</v>
      </c>
      <c r="H99" s="13" t="n">
        <v>1049.1</v>
      </c>
      <c r="I99" s="13" t="n">
        <f aca="false">SUM(K99:T99)</f>
        <v>6294.6</v>
      </c>
      <c r="J99" s="13" t="n">
        <f aca="false">F99-(G99+H99+I99)</f>
        <v>-0.0299999999988358</v>
      </c>
      <c r="K99" s="13" t="n">
        <v>629.46</v>
      </c>
      <c r="L99" s="13" t="n">
        <v>629.46</v>
      </c>
      <c r="M99" s="13" t="n">
        <v>629.46</v>
      </c>
      <c r="N99" s="13" t="n">
        <v>629.46</v>
      </c>
      <c r="O99" s="13" t="n">
        <v>629.46</v>
      </c>
      <c r="P99" s="13" t="n">
        <v>629.46</v>
      </c>
      <c r="Q99" s="13" t="n">
        <v>629.46</v>
      </c>
      <c r="R99" s="13" t="n">
        <v>629.46</v>
      </c>
      <c r="S99" s="13" t="n">
        <v>629.46</v>
      </c>
      <c r="T99" s="13" t="n">
        <v>629.46</v>
      </c>
      <c r="U99" s="13" t="n">
        <v>350</v>
      </c>
      <c r="V99" s="13" t="n">
        <v>0</v>
      </c>
      <c r="W99" s="13" t="n">
        <f aca="false">U99+V99</f>
        <v>350</v>
      </c>
    </row>
    <row r="100" customFormat="false" ht="15" hidden="false" customHeight="false" outlineLevel="0" collapsed="false">
      <c r="A100" s="14" t="s">
        <v>907</v>
      </c>
      <c r="B100" s="14" t="s">
        <v>736</v>
      </c>
      <c r="C100" s="14" t="s">
        <v>128</v>
      </c>
      <c r="D100" s="14" t="s">
        <v>193</v>
      </c>
      <c r="E100" s="15" t="n">
        <v>735000</v>
      </c>
      <c r="F100" s="15" t="n">
        <v>10919.52</v>
      </c>
      <c r="G100" s="15" t="n">
        <v>1364.94</v>
      </c>
      <c r="H100" s="15" t="n">
        <v>1364.94</v>
      </c>
      <c r="I100" s="15" t="n">
        <f aca="false">SUM(K100:T100)</f>
        <v>8189.6</v>
      </c>
      <c r="J100" s="15" t="n">
        <f aca="false">F100-(G100+H100+I100)</f>
        <v>0.0400000000008731</v>
      </c>
      <c r="K100" s="15" t="n">
        <v>818.96</v>
      </c>
      <c r="L100" s="15" t="n">
        <v>818.96</v>
      </c>
      <c r="M100" s="15" t="n">
        <v>818.96</v>
      </c>
      <c r="N100" s="15" t="n">
        <v>818.96</v>
      </c>
      <c r="O100" s="15" t="n">
        <v>818.96</v>
      </c>
      <c r="P100" s="15" t="n">
        <v>818.96</v>
      </c>
      <c r="Q100" s="15" t="n">
        <v>818.96</v>
      </c>
      <c r="R100" s="15" t="n">
        <v>818.96</v>
      </c>
      <c r="S100" s="15" t="n">
        <v>818.96</v>
      </c>
      <c r="T100" s="15" t="n">
        <v>818.96</v>
      </c>
      <c r="U100" s="15" t="n">
        <v>350</v>
      </c>
      <c r="V100" s="15" t="n">
        <v>0</v>
      </c>
      <c r="W100" s="15" t="n">
        <f aca="false">U100+V100</f>
        <v>350</v>
      </c>
    </row>
    <row r="101" customFormat="false" ht="15" hidden="false" customHeight="false" outlineLevel="0" collapsed="false">
      <c r="A101" s="3" t="s">
        <v>908</v>
      </c>
      <c r="B101" s="3" t="s">
        <v>751</v>
      </c>
      <c r="C101" s="3" t="s">
        <v>909</v>
      </c>
      <c r="D101" s="3" t="s">
        <v>193</v>
      </c>
      <c r="E101" s="13" t="n">
        <v>585000</v>
      </c>
      <c r="F101" s="13" t="n">
        <v>8691.04</v>
      </c>
      <c r="G101" s="13" t="n">
        <v>1086.38</v>
      </c>
      <c r="H101" s="13" t="n">
        <v>1086.38</v>
      </c>
      <c r="I101" s="13" t="n">
        <f aca="false">SUM(K101:T101)</f>
        <v>6518.3</v>
      </c>
      <c r="J101" s="13" t="n">
        <f aca="false">F101-(G101+H101+I101)</f>
        <v>-0.0200000000004366</v>
      </c>
      <c r="K101" s="13" t="n">
        <v>651.83</v>
      </c>
      <c r="L101" s="13" t="n">
        <v>651.83</v>
      </c>
      <c r="M101" s="13" t="n">
        <v>651.83</v>
      </c>
      <c r="N101" s="13" t="n">
        <v>651.83</v>
      </c>
      <c r="O101" s="13" t="n">
        <v>651.83</v>
      </c>
      <c r="P101" s="13" t="n">
        <v>651.83</v>
      </c>
      <c r="Q101" s="13" t="n">
        <v>651.83</v>
      </c>
      <c r="R101" s="13" t="n">
        <v>651.83</v>
      </c>
      <c r="S101" s="13" t="n">
        <v>651.83</v>
      </c>
      <c r="T101" s="13" t="n">
        <v>651.83</v>
      </c>
      <c r="U101" s="13" t="n">
        <v>350</v>
      </c>
      <c r="V101" s="13" t="n">
        <v>0</v>
      </c>
      <c r="W101" s="13" t="n">
        <f aca="false">U101+V101</f>
        <v>350</v>
      </c>
    </row>
    <row r="102" customFormat="false" ht="15" hidden="false" customHeight="false" outlineLevel="0" collapsed="false">
      <c r="A102" s="14" t="s">
        <v>910</v>
      </c>
      <c r="B102" s="14" t="s">
        <v>741</v>
      </c>
      <c r="C102" s="14" t="s">
        <v>387</v>
      </c>
      <c r="D102" s="14" t="s">
        <v>911</v>
      </c>
      <c r="E102" s="15" t="n">
        <v>875000</v>
      </c>
      <c r="F102" s="15" t="n">
        <v>16415.27</v>
      </c>
      <c r="G102" s="15" t="n">
        <v>2051.91</v>
      </c>
      <c r="H102" s="15" t="n">
        <v>2051.91</v>
      </c>
      <c r="I102" s="15" t="n">
        <f aca="false">SUM(K102:T102)</f>
        <v>12311.5</v>
      </c>
      <c r="J102" s="15" t="n">
        <f aca="false">F102-(G102+H102+I102)</f>
        <v>-0.0499999999992724</v>
      </c>
      <c r="K102" s="15" t="n">
        <v>1231.15</v>
      </c>
      <c r="L102" s="15" t="n">
        <v>1231.15</v>
      </c>
      <c r="M102" s="15" t="n">
        <v>1231.15</v>
      </c>
      <c r="N102" s="15" t="n">
        <v>1231.15</v>
      </c>
      <c r="O102" s="15" t="n">
        <v>1231.15</v>
      </c>
      <c r="P102" s="15" t="n">
        <v>1231.15</v>
      </c>
      <c r="Q102" s="15" t="n">
        <v>1231.15</v>
      </c>
      <c r="R102" s="15" t="n">
        <v>1231.15</v>
      </c>
      <c r="S102" s="15" t="n">
        <v>1231.15</v>
      </c>
      <c r="T102" s="15" t="n">
        <v>1231.15</v>
      </c>
      <c r="U102" s="15" t="n">
        <v>350</v>
      </c>
      <c r="V102" s="15" t="n">
        <v>0</v>
      </c>
      <c r="W102" s="15" t="n">
        <f aca="false">U102+V102</f>
        <v>350</v>
      </c>
    </row>
    <row r="103" customFormat="false" ht="15" hidden="false" customHeight="false" outlineLevel="0" collapsed="false">
      <c r="A103" s="3" t="s">
        <v>912</v>
      </c>
      <c r="B103" s="3" t="s">
        <v>739</v>
      </c>
      <c r="C103" s="3" t="s">
        <v>913</v>
      </c>
      <c r="D103" s="3" t="s">
        <v>102</v>
      </c>
      <c r="E103" s="13" t="n">
        <v>345000</v>
      </c>
      <c r="F103" s="13" t="n">
        <v>5440.91</v>
      </c>
      <c r="G103" s="13" t="n">
        <v>680.11</v>
      </c>
      <c r="H103" s="13" t="n">
        <v>680.11</v>
      </c>
      <c r="I103" s="13" t="n">
        <f aca="false">SUM(K103:T103)</f>
        <v>4080.7</v>
      </c>
      <c r="J103" s="13" t="n">
        <f aca="false">F103-(G103+H103+I103)</f>
        <v>-0.0100000000002183</v>
      </c>
      <c r="K103" s="13" t="n">
        <v>408.07</v>
      </c>
      <c r="L103" s="13" t="n">
        <v>408.07</v>
      </c>
      <c r="M103" s="13" t="n">
        <v>408.07</v>
      </c>
      <c r="N103" s="13" t="n">
        <v>408.07</v>
      </c>
      <c r="O103" s="13" t="n">
        <v>408.07</v>
      </c>
      <c r="P103" s="13" t="n">
        <v>408.07</v>
      </c>
      <c r="Q103" s="13" t="n">
        <v>408.07</v>
      </c>
      <c r="R103" s="13" t="n">
        <v>408.07</v>
      </c>
      <c r="S103" s="13" t="n">
        <v>408.07</v>
      </c>
      <c r="T103" s="13" t="n">
        <v>408.07</v>
      </c>
      <c r="U103" s="13" t="n">
        <v>350</v>
      </c>
      <c r="V103" s="13" t="n">
        <v>0</v>
      </c>
      <c r="W103" s="13" t="n">
        <f aca="false">U103+V103</f>
        <v>350</v>
      </c>
    </row>
    <row r="104" customFormat="false" ht="15" hidden="false" customHeight="false" outlineLevel="0" collapsed="false">
      <c r="A104" s="14" t="s">
        <v>914</v>
      </c>
      <c r="B104" s="14" t="s">
        <v>760</v>
      </c>
      <c r="C104" s="14" t="s">
        <v>915</v>
      </c>
      <c r="D104" s="14" t="s">
        <v>132</v>
      </c>
      <c r="E104" s="15" t="n">
        <v>925000</v>
      </c>
      <c r="F104" s="15" t="n">
        <v>16067.86</v>
      </c>
      <c r="G104" s="15" t="n">
        <v>2008.48</v>
      </c>
      <c r="H104" s="15" t="n">
        <v>2008.48</v>
      </c>
      <c r="I104" s="15" t="n">
        <f aca="false">SUM(K104:T104)</f>
        <v>12050.9</v>
      </c>
      <c r="J104" s="15" t="n">
        <f aca="false">F104-(G104+H104+I104)</f>
        <v>0</v>
      </c>
      <c r="K104" s="15" t="n">
        <v>1205.09</v>
      </c>
      <c r="L104" s="15" t="n">
        <v>1205.09</v>
      </c>
      <c r="M104" s="15" t="n">
        <v>1205.09</v>
      </c>
      <c r="N104" s="15" t="n">
        <v>1205.09</v>
      </c>
      <c r="O104" s="15" t="n">
        <v>1205.09</v>
      </c>
      <c r="P104" s="15" t="n">
        <v>1205.09</v>
      </c>
      <c r="Q104" s="15" t="n">
        <v>1205.09</v>
      </c>
      <c r="R104" s="15" t="n">
        <v>1205.09</v>
      </c>
      <c r="S104" s="15" t="n">
        <v>1205.09</v>
      </c>
      <c r="T104" s="15" t="n">
        <v>1205.09</v>
      </c>
      <c r="U104" s="15" t="n">
        <v>350</v>
      </c>
      <c r="V104" s="15" t="n">
        <v>0</v>
      </c>
      <c r="W104" s="15" t="n">
        <f aca="false">U104+V104</f>
        <v>350</v>
      </c>
    </row>
    <row r="105" customFormat="false" ht="15" hidden="false" customHeight="false" outlineLevel="0" collapsed="false">
      <c r="A105" s="3" t="s">
        <v>916</v>
      </c>
      <c r="B105" s="3" t="s">
        <v>768</v>
      </c>
      <c r="C105" s="3" t="s">
        <v>917</v>
      </c>
      <c r="D105" s="3" t="s">
        <v>118</v>
      </c>
      <c r="E105" s="13" t="n">
        <v>800000</v>
      </c>
      <c r="F105" s="13" t="n">
        <v>11695.02</v>
      </c>
      <c r="G105" s="13" t="n">
        <v>1461.88</v>
      </c>
      <c r="H105" s="13" t="n">
        <v>1461.88</v>
      </c>
      <c r="I105" s="13" t="n">
        <f aca="false">SUM(K105:T105)</f>
        <v>8771.3</v>
      </c>
      <c r="J105" s="13" t="n">
        <f aca="false">F105-(G105+H105+I105)</f>
        <v>-0.0399999999990541</v>
      </c>
      <c r="K105" s="13" t="n">
        <v>877.13</v>
      </c>
      <c r="L105" s="13" t="n">
        <v>877.13</v>
      </c>
      <c r="M105" s="13" t="n">
        <v>877.13</v>
      </c>
      <c r="N105" s="13" t="n">
        <v>877.13</v>
      </c>
      <c r="O105" s="13" t="n">
        <v>877.13</v>
      </c>
      <c r="P105" s="13" t="n">
        <v>877.13</v>
      </c>
      <c r="Q105" s="13" t="n">
        <v>877.13</v>
      </c>
      <c r="R105" s="13" t="n">
        <v>877.13</v>
      </c>
      <c r="S105" s="13" t="n">
        <v>877.13</v>
      </c>
      <c r="T105" s="13" t="n">
        <v>877.13</v>
      </c>
      <c r="U105" s="13" t="n">
        <v>350</v>
      </c>
      <c r="V105" s="13" t="n">
        <v>0</v>
      </c>
      <c r="W105" s="13" t="n">
        <f aca="false">U105+V105</f>
        <v>350</v>
      </c>
    </row>
    <row r="106" customFormat="false" ht="15" hidden="false" customHeight="false" outlineLevel="0" collapsed="false">
      <c r="A106" s="14" t="s">
        <v>918</v>
      </c>
      <c r="B106" s="14" t="s">
        <v>786</v>
      </c>
      <c r="C106" s="14" t="s">
        <v>919</v>
      </c>
      <c r="D106" s="14" t="s">
        <v>69</v>
      </c>
      <c r="E106" s="15" t="n">
        <v>1145000</v>
      </c>
      <c r="F106" s="15" t="n">
        <v>11169.47</v>
      </c>
      <c r="G106" s="15" t="n">
        <v>1396.18</v>
      </c>
      <c r="H106" s="15" t="n">
        <v>1396.18</v>
      </c>
      <c r="I106" s="15" t="n">
        <f aca="false">SUM(K106:T106)</f>
        <v>8377.1</v>
      </c>
      <c r="J106" s="15" t="n">
        <f aca="false">F106-(G106+H106+I106)</f>
        <v>0.00999999999839929</v>
      </c>
      <c r="K106" s="15" t="n">
        <v>837.71</v>
      </c>
      <c r="L106" s="15" t="n">
        <v>837.71</v>
      </c>
      <c r="M106" s="15" t="n">
        <v>837.71</v>
      </c>
      <c r="N106" s="15" t="n">
        <v>837.71</v>
      </c>
      <c r="O106" s="15" t="n">
        <v>837.71</v>
      </c>
      <c r="P106" s="15" t="n">
        <v>837.71</v>
      </c>
      <c r="Q106" s="15" t="n">
        <v>837.71</v>
      </c>
      <c r="R106" s="15" t="n">
        <v>837.71</v>
      </c>
      <c r="S106" s="15" t="n">
        <v>837.71</v>
      </c>
      <c r="T106" s="15" t="n">
        <v>837.71</v>
      </c>
      <c r="U106" s="15" t="n">
        <v>350</v>
      </c>
      <c r="V106" s="15" t="n">
        <v>250</v>
      </c>
      <c r="W106" s="15" t="n">
        <f aca="false">U106+V106</f>
        <v>600</v>
      </c>
    </row>
    <row r="107" customFormat="false" ht="15" hidden="false" customHeight="false" outlineLevel="0" collapsed="false">
      <c r="A107" s="3" t="s">
        <v>920</v>
      </c>
      <c r="B107" s="3" t="s">
        <v>816</v>
      </c>
      <c r="C107" s="3" t="s">
        <v>600</v>
      </c>
      <c r="D107" s="3" t="s">
        <v>102</v>
      </c>
      <c r="E107" s="13" t="n">
        <v>270000</v>
      </c>
      <c r="F107" s="13" t="n">
        <v>4258.1</v>
      </c>
      <c r="G107" s="13" t="n">
        <v>532.26</v>
      </c>
      <c r="H107" s="13" t="n">
        <v>532.26</v>
      </c>
      <c r="I107" s="13" t="n">
        <f aca="false">SUM(K107:T107)</f>
        <v>3193.6</v>
      </c>
      <c r="J107" s="13" t="n">
        <f aca="false">F107-(G107+H107+I107)</f>
        <v>-0.0200000000004366</v>
      </c>
      <c r="K107" s="13" t="n">
        <v>319.36</v>
      </c>
      <c r="L107" s="13" t="n">
        <v>319.36</v>
      </c>
      <c r="M107" s="13" t="n">
        <v>319.36</v>
      </c>
      <c r="N107" s="13" t="n">
        <v>319.36</v>
      </c>
      <c r="O107" s="13" t="n">
        <v>319.36</v>
      </c>
      <c r="P107" s="13" t="n">
        <v>319.36</v>
      </c>
      <c r="Q107" s="13" t="n">
        <v>319.36</v>
      </c>
      <c r="R107" s="13" t="n">
        <v>319.36</v>
      </c>
      <c r="S107" s="13" t="n">
        <v>319.36</v>
      </c>
      <c r="T107" s="13" t="n">
        <v>319.36</v>
      </c>
      <c r="U107" s="13" t="n">
        <v>350</v>
      </c>
      <c r="V107" s="13" t="n">
        <v>0</v>
      </c>
      <c r="W107" s="13" t="n">
        <f aca="false">U107+V107</f>
        <v>350</v>
      </c>
    </row>
    <row r="108" customFormat="false" ht="15" hidden="false" customHeight="false" outlineLevel="0" collapsed="false">
      <c r="A108" s="14" t="s">
        <v>921</v>
      </c>
      <c r="B108" s="14" t="s">
        <v>922</v>
      </c>
      <c r="C108" s="14" t="s">
        <v>923</v>
      </c>
      <c r="D108" s="14" t="s">
        <v>153</v>
      </c>
      <c r="E108" s="15" t="n">
        <v>415000</v>
      </c>
      <c r="F108" s="15" t="n">
        <v>10350.36</v>
      </c>
      <c r="G108" s="15" t="n">
        <v>1293.8</v>
      </c>
      <c r="H108" s="15" t="n">
        <v>1293.8</v>
      </c>
      <c r="I108" s="15" t="n">
        <f aca="false">SUM(K108:T108)</f>
        <v>7762.8</v>
      </c>
      <c r="J108" s="15" t="n">
        <f aca="false">F108-(G108+H108+I108)</f>
        <v>-0.0399999999990541</v>
      </c>
      <c r="K108" s="15" t="n">
        <v>776.28</v>
      </c>
      <c r="L108" s="15" t="n">
        <v>776.28</v>
      </c>
      <c r="M108" s="15" t="n">
        <v>776.28</v>
      </c>
      <c r="N108" s="15" t="n">
        <v>776.28</v>
      </c>
      <c r="O108" s="15" t="n">
        <v>776.28</v>
      </c>
      <c r="P108" s="15" t="n">
        <v>776.28</v>
      </c>
      <c r="Q108" s="15" t="n">
        <v>776.28</v>
      </c>
      <c r="R108" s="15" t="n">
        <v>776.28</v>
      </c>
      <c r="S108" s="15" t="n">
        <v>776.28</v>
      </c>
      <c r="T108" s="15" t="n">
        <v>776.28</v>
      </c>
      <c r="U108" s="15" t="n">
        <v>350</v>
      </c>
      <c r="V108" s="15" t="n">
        <v>0</v>
      </c>
      <c r="W108" s="15" t="n">
        <f aca="false">U108+V108</f>
        <v>350</v>
      </c>
    </row>
    <row r="109" customFormat="false" ht="15" hidden="false" customHeight="false" outlineLevel="0" collapsed="false">
      <c r="A109" s="3" t="s">
        <v>924</v>
      </c>
      <c r="B109" s="3" t="s">
        <v>766</v>
      </c>
      <c r="C109" s="3" t="s">
        <v>84</v>
      </c>
      <c r="D109" s="3" t="s">
        <v>109</v>
      </c>
      <c r="E109" s="13" t="n">
        <v>1050000</v>
      </c>
      <c r="F109" s="13" t="n">
        <v>19199.15</v>
      </c>
      <c r="G109" s="13" t="n">
        <v>2399.89</v>
      </c>
      <c r="H109" s="13" t="n">
        <v>2399.89</v>
      </c>
      <c r="I109" s="13" t="n">
        <f aca="false">SUM(K109:T109)</f>
        <v>14399.4</v>
      </c>
      <c r="J109" s="13" t="n">
        <f aca="false">F109-(G109+H109+I109)</f>
        <v>-0.0299999999988358</v>
      </c>
      <c r="K109" s="13" t="n">
        <v>1439.94</v>
      </c>
      <c r="L109" s="13" t="n">
        <v>1439.94</v>
      </c>
      <c r="M109" s="13" t="n">
        <v>1439.94</v>
      </c>
      <c r="N109" s="13" t="n">
        <v>1439.94</v>
      </c>
      <c r="O109" s="13" t="n">
        <v>1439.94</v>
      </c>
      <c r="P109" s="13" t="n">
        <v>1439.94</v>
      </c>
      <c r="Q109" s="13" t="n">
        <v>1439.94</v>
      </c>
      <c r="R109" s="13" t="n">
        <v>1439.94</v>
      </c>
      <c r="S109" s="13" t="n">
        <v>1439.94</v>
      </c>
      <c r="T109" s="13" t="n">
        <v>1439.94</v>
      </c>
      <c r="U109" s="13" t="n">
        <v>350</v>
      </c>
      <c r="V109" s="13" t="n">
        <v>250</v>
      </c>
      <c r="W109" s="13" t="n">
        <f aca="false">U109+V109</f>
        <v>600</v>
      </c>
    </row>
    <row r="110" customFormat="false" ht="15" hidden="false" customHeight="false" outlineLevel="0" collapsed="false">
      <c r="A110" s="14" t="s">
        <v>925</v>
      </c>
      <c r="B110" s="14" t="s">
        <v>926</v>
      </c>
      <c r="C110" s="14" t="s">
        <v>927</v>
      </c>
      <c r="D110" s="14" t="s">
        <v>99</v>
      </c>
      <c r="E110" s="15" t="n">
        <v>1145000</v>
      </c>
      <c r="F110" s="15" t="n">
        <v>10819.84</v>
      </c>
      <c r="G110" s="15" t="n">
        <v>1352.48</v>
      </c>
      <c r="H110" s="15" t="n">
        <v>1352.48</v>
      </c>
      <c r="I110" s="15" t="n">
        <f aca="false">SUM(K110:T110)</f>
        <v>8114.9</v>
      </c>
      <c r="J110" s="15" t="n">
        <f aca="false">F110-(G110+H110+I110)</f>
        <v>-0.0200000000004366</v>
      </c>
      <c r="K110" s="15" t="n">
        <v>811.49</v>
      </c>
      <c r="L110" s="15" t="n">
        <v>811.49</v>
      </c>
      <c r="M110" s="15" t="n">
        <v>811.49</v>
      </c>
      <c r="N110" s="15" t="n">
        <v>811.49</v>
      </c>
      <c r="O110" s="15" t="n">
        <v>811.49</v>
      </c>
      <c r="P110" s="15" t="n">
        <v>811.49</v>
      </c>
      <c r="Q110" s="15" t="n">
        <v>811.49</v>
      </c>
      <c r="R110" s="15" t="n">
        <v>811.49</v>
      </c>
      <c r="S110" s="15" t="n">
        <v>811.49</v>
      </c>
      <c r="T110" s="15" t="n">
        <v>811.49</v>
      </c>
      <c r="U110" s="15" t="n">
        <v>350</v>
      </c>
      <c r="V110" s="15" t="n">
        <v>250</v>
      </c>
      <c r="W110" s="15" t="n">
        <f aca="false">U110+V110</f>
        <v>600</v>
      </c>
    </row>
    <row r="111" customFormat="false" ht="15" hidden="false" customHeight="false" outlineLevel="0" collapsed="false">
      <c r="A111" s="3" t="s">
        <v>928</v>
      </c>
      <c r="B111" s="3" t="s">
        <v>751</v>
      </c>
      <c r="C111" s="3" t="s">
        <v>608</v>
      </c>
      <c r="D111" s="3" t="s">
        <v>430</v>
      </c>
      <c r="E111" s="13" t="n">
        <v>1130000</v>
      </c>
      <c r="F111" s="13" t="n">
        <v>11250.43</v>
      </c>
      <c r="G111" s="13" t="n">
        <v>1406.3</v>
      </c>
      <c r="H111" s="13" t="n">
        <v>1406.3</v>
      </c>
      <c r="I111" s="13" t="n">
        <f aca="false">SUM(K111:T111)</f>
        <v>8437.8</v>
      </c>
      <c r="J111" s="13" t="n">
        <f aca="false">F111-(G111+H111+I111)</f>
        <v>0.0300000000006548</v>
      </c>
      <c r="K111" s="13" t="n">
        <v>843.78</v>
      </c>
      <c r="L111" s="13" t="n">
        <v>843.78</v>
      </c>
      <c r="M111" s="13" t="n">
        <v>843.78</v>
      </c>
      <c r="N111" s="13" t="n">
        <v>843.78</v>
      </c>
      <c r="O111" s="13" t="n">
        <v>843.78</v>
      </c>
      <c r="P111" s="13" t="n">
        <v>843.78</v>
      </c>
      <c r="Q111" s="13" t="n">
        <v>843.78</v>
      </c>
      <c r="R111" s="13" t="n">
        <v>843.78</v>
      </c>
      <c r="S111" s="13" t="n">
        <v>843.78</v>
      </c>
      <c r="T111" s="13" t="n">
        <v>843.78</v>
      </c>
      <c r="U111" s="13" t="n">
        <v>350</v>
      </c>
      <c r="V111" s="13" t="n">
        <v>250</v>
      </c>
      <c r="W111" s="13" t="n">
        <f aca="false">U111+V111</f>
        <v>600</v>
      </c>
    </row>
    <row r="112" customFormat="false" ht="15" hidden="false" customHeight="false" outlineLevel="0" collapsed="false">
      <c r="A112" s="14" t="s">
        <v>929</v>
      </c>
      <c r="B112" s="14" t="s">
        <v>760</v>
      </c>
      <c r="C112" s="14" t="s">
        <v>487</v>
      </c>
      <c r="D112" s="14" t="s">
        <v>325</v>
      </c>
      <c r="E112" s="15" t="n">
        <v>500000</v>
      </c>
      <c r="F112" s="15" t="n">
        <v>8200.78</v>
      </c>
      <c r="G112" s="15" t="n">
        <v>1025.1</v>
      </c>
      <c r="H112" s="15" t="n">
        <v>1025.1</v>
      </c>
      <c r="I112" s="15" t="n">
        <f aca="false">SUM(K112:T112)</f>
        <v>6150.6</v>
      </c>
      <c r="J112" s="15" t="n">
        <f aca="false">F112-(G112+H112+I112)</f>
        <v>-0.0199999999986176</v>
      </c>
      <c r="K112" s="15" t="n">
        <v>615.06</v>
      </c>
      <c r="L112" s="15" t="n">
        <v>615.06</v>
      </c>
      <c r="M112" s="15" t="n">
        <v>615.06</v>
      </c>
      <c r="N112" s="15" t="n">
        <v>615.06</v>
      </c>
      <c r="O112" s="15" t="n">
        <v>615.06</v>
      </c>
      <c r="P112" s="15" t="n">
        <v>615.06</v>
      </c>
      <c r="Q112" s="15" t="n">
        <v>615.06</v>
      </c>
      <c r="R112" s="15" t="n">
        <v>615.06</v>
      </c>
      <c r="S112" s="15" t="n">
        <v>615.06</v>
      </c>
      <c r="T112" s="15" t="n">
        <v>615.06</v>
      </c>
      <c r="U112" s="15" t="n">
        <v>350</v>
      </c>
      <c r="V112" s="15" t="n">
        <v>0</v>
      </c>
      <c r="W112" s="15" t="n">
        <f aca="false">U112+V112</f>
        <v>350</v>
      </c>
    </row>
    <row r="113" customFormat="false" ht="15" hidden="false" customHeight="false" outlineLevel="0" collapsed="false">
      <c r="A113" s="3" t="s">
        <v>930</v>
      </c>
      <c r="B113" s="3" t="s">
        <v>800</v>
      </c>
      <c r="C113" s="3" t="s">
        <v>725</v>
      </c>
      <c r="D113" s="3" t="s">
        <v>406</v>
      </c>
      <c r="E113" s="13" t="n">
        <v>605000</v>
      </c>
      <c r="F113" s="13" t="n">
        <v>9773.61</v>
      </c>
      <c r="G113" s="13" t="n">
        <v>1221.7</v>
      </c>
      <c r="H113" s="13" t="n">
        <v>1221.7</v>
      </c>
      <c r="I113" s="13" t="n">
        <f aca="false">SUM(K113:T113)</f>
        <v>7330.2</v>
      </c>
      <c r="J113" s="13" t="n">
        <f aca="false">F113-(G113+H113+I113)</f>
        <v>0.0100000000002183</v>
      </c>
      <c r="K113" s="13" t="n">
        <v>733.02</v>
      </c>
      <c r="L113" s="13" t="n">
        <v>733.02</v>
      </c>
      <c r="M113" s="13" t="n">
        <v>733.02</v>
      </c>
      <c r="N113" s="13" t="n">
        <v>733.02</v>
      </c>
      <c r="O113" s="13" t="n">
        <v>733.02</v>
      </c>
      <c r="P113" s="13" t="n">
        <v>733.02</v>
      </c>
      <c r="Q113" s="13" t="n">
        <v>733.02</v>
      </c>
      <c r="R113" s="13" t="n">
        <v>733.02</v>
      </c>
      <c r="S113" s="13" t="n">
        <v>733.02</v>
      </c>
      <c r="T113" s="13" t="n">
        <v>733.02</v>
      </c>
      <c r="U113" s="13" t="n">
        <v>350</v>
      </c>
      <c r="V113" s="13" t="n">
        <v>0</v>
      </c>
      <c r="W113" s="13" t="n">
        <f aca="false">U113+V113</f>
        <v>350</v>
      </c>
    </row>
    <row r="114" customFormat="false" ht="15" hidden="false" customHeight="false" outlineLevel="0" collapsed="false">
      <c r="A114" s="14" t="s">
        <v>931</v>
      </c>
      <c r="B114" s="14" t="s">
        <v>753</v>
      </c>
      <c r="C114" s="14" t="s">
        <v>737</v>
      </c>
      <c r="D114" s="14" t="s">
        <v>93</v>
      </c>
      <c r="E114" s="15" t="n">
        <v>655000</v>
      </c>
      <c r="F114" s="15" t="n">
        <v>14563.56</v>
      </c>
      <c r="G114" s="15" t="n">
        <v>1820.44</v>
      </c>
      <c r="H114" s="15" t="n">
        <v>1820.44</v>
      </c>
      <c r="I114" s="15" t="n">
        <f aca="false">SUM(K114:T114)</f>
        <v>10922.7</v>
      </c>
      <c r="J114" s="15" t="n">
        <f aca="false">F114-(G114+H114+I114)</f>
        <v>-0.0200000000022555</v>
      </c>
      <c r="K114" s="15" t="n">
        <v>1092.27</v>
      </c>
      <c r="L114" s="15" t="n">
        <v>1092.27</v>
      </c>
      <c r="M114" s="15" t="n">
        <v>1092.27</v>
      </c>
      <c r="N114" s="15" t="n">
        <v>1092.27</v>
      </c>
      <c r="O114" s="15" t="n">
        <v>1092.27</v>
      </c>
      <c r="P114" s="15" t="n">
        <v>1092.27</v>
      </c>
      <c r="Q114" s="15" t="n">
        <v>1092.27</v>
      </c>
      <c r="R114" s="15" t="n">
        <v>1092.27</v>
      </c>
      <c r="S114" s="15" t="n">
        <v>1092.27</v>
      </c>
      <c r="T114" s="15" t="n">
        <v>1092.27</v>
      </c>
      <c r="U114" s="15" t="n">
        <v>350</v>
      </c>
      <c r="V114" s="15" t="n">
        <v>0</v>
      </c>
      <c r="W114" s="15" t="n">
        <f aca="false">U114+V114</f>
        <v>350</v>
      </c>
    </row>
    <row r="115" customFormat="false" ht="15" hidden="false" customHeight="false" outlineLevel="0" collapsed="false">
      <c r="A115" s="3" t="s">
        <v>932</v>
      </c>
      <c r="B115" s="3" t="s">
        <v>795</v>
      </c>
      <c r="C115" s="3" t="s">
        <v>423</v>
      </c>
      <c r="D115" s="3" t="s">
        <v>256</v>
      </c>
      <c r="E115" s="13" t="n">
        <v>830000</v>
      </c>
      <c r="F115" s="13" t="n">
        <v>8679.42</v>
      </c>
      <c r="G115" s="13" t="n">
        <v>1084.93</v>
      </c>
      <c r="H115" s="13" t="n">
        <v>1084.93</v>
      </c>
      <c r="I115" s="13" t="n">
        <f aca="false">SUM(K115:T115)</f>
        <v>6509.6</v>
      </c>
      <c r="J115" s="13" t="n">
        <f aca="false">F115-(G115+H115+I115)</f>
        <v>-0.0400000000008731</v>
      </c>
      <c r="K115" s="13" t="n">
        <v>650.96</v>
      </c>
      <c r="L115" s="13" t="n">
        <v>650.96</v>
      </c>
      <c r="M115" s="13" t="n">
        <v>650.96</v>
      </c>
      <c r="N115" s="13" t="n">
        <v>650.96</v>
      </c>
      <c r="O115" s="13" t="n">
        <v>650.96</v>
      </c>
      <c r="P115" s="13" t="n">
        <v>650.96</v>
      </c>
      <c r="Q115" s="13" t="n">
        <v>650.96</v>
      </c>
      <c r="R115" s="13" t="n">
        <v>650.96</v>
      </c>
      <c r="S115" s="13" t="n">
        <v>650.96</v>
      </c>
      <c r="T115" s="13" t="n">
        <v>650.96</v>
      </c>
      <c r="U115" s="13" t="n">
        <v>350</v>
      </c>
      <c r="V115" s="13" t="n">
        <v>0</v>
      </c>
      <c r="W115" s="13" t="n">
        <f aca="false">U115+V115</f>
        <v>350</v>
      </c>
    </row>
    <row r="116" customFormat="false" ht="15" hidden="false" customHeight="false" outlineLevel="0" collapsed="false">
      <c r="A116" s="14" t="s">
        <v>933</v>
      </c>
      <c r="B116" s="14" t="s">
        <v>771</v>
      </c>
      <c r="C116" s="14" t="s">
        <v>604</v>
      </c>
      <c r="D116" s="14" t="s">
        <v>85</v>
      </c>
      <c r="E116" s="15" t="n">
        <v>650000</v>
      </c>
      <c r="F116" s="15" t="n">
        <v>10738.27</v>
      </c>
      <c r="G116" s="15" t="n">
        <v>1342.28</v>
      </c>
      <c r="H116" s="15" t="n">
        <v>1342.28</v>
      </c>
      <c r="I116" s="15" t="n">
        <f aca="false">SUM(K116:T116)</f>
        <v>8053.7</v>
      </c>
      <c r="J116" s="15" t="n">
        <f aca="false">F116-(G116+H116+I116)</f>
        <v>0.0100000000002183</v>
      </c>
      <c r="K116" s="15" t="n">
        <v>805.37</v>
      </c>
      <c r="L116" s="15" t="n">
        <v>805.37</v>
      </c>
      <c r="M116" s="15" t="n">
        <v>805.37</v>
      </c>
      <c r="N116" s="15" t="n">
        <v>805.37</v>
      </c>
      <c r="O116" s="15" t="n">
        <v>805.37</v>
      </c>
      <c r="P116" s="15" t="n">
        <v>805.37</v>
      </c>
      <c r="Q116" s="15" t="n">
        <v>805.37</v>
      </c>
      <c r="R116" s="15" t="n">
        <v>805.37</v>
      </c>
      <c r="S116" s="15" t="n">
        <v>805.37</v>
      </c>
      <c r="T116" s="15" t="n">
        <v>805.37</v>
      </c>
      <c r="U116" s="15" t="n">
        <v>350</v>
      </c>
      <c r="V116" s="15" t="n">
        <v>0</v>
      </c>
      <c r="W116" s="15" t="n">
        <f aca="false">U116+V116</f>
        <v>350</v>
      </c>
    </row>
    <row r="117" customFormat="false" ht="15" hidden="false" customHeight="false" outlineLevel="0" collapsed="false">
      <c r="A117" s="3" t="s">
        <v>934</v>
      </c>
      <c r="B117" s="3" t="s">
        <v>753</v>
      </c>
      <c r="C117" s="3" t="s">
        <v>935</v>
      </c>
      <c r="D117" s="3" t="s">
        <v>138</v>
      </c>
      <c r="E117" s="13" t="n">
        <v>285000</v>
      </c>
      <c r="F117" s="13" t="n">
        <v>4494.66</v>
      </c>
      <c r="G117" s="13" t="n">
        <v>561.83</v>
      </c>
      <c r="H117" s="13" t="n">
        <v>561.83</v>
      </c>
      <c r="I117" s="13" t="n">
        <f aca="false">SUM(K117:T117)</f>
        <v>3371</v>
      </c>
      <c r="J117" s="13" t="n">
        <f aca="false">F117-(G117+H117+I117)</f>
        <v>0</v>
      </c>
      <c r="K117" s="13" t="n">
        <v>337.1</v>
      </c>
      <c r="L117" s="13" t="n">
        <v>337.1</v>
      </c>
      <c r="M117" s="13" t="n">
        <v>337.1</v>
      </c>
      <c r="N117" s="13" t="n">
        <v>337.1</v>
      </c>
      <c r="O117" s="13" t="n">
        <v>337.1</v>
      </c>
      <c r="P117" s="13" t="n">
        <v>337.1</v>
      </c>
      <c r="Q117" s="13" t="n">
        <v>337.1</v>
      </c>
      <c r="R117" s="13" t="n">
        <v>337.1</v>
      </c>
      <c r="S117" s="13" t="n">
        <v>337.1</v>
      </c>
      <c r="T117" s="13" t="n">
        <v>337.1</v>
      </c>
      <c r="U117" s="13" t="n">
        <v>350</v>
      </c>
      <c r="V117" s="13" t="n">
        <v>0</v>
      </c>
      <c r="W117" s="13" t="n">
        <f aca="false">U117+V117</f>
        <v>350</v>
      </c>
    </row>
    <row r="118" customFormat="false" ht="15" hidden="false" customHeight="false" outlineLevel="0" collapsed="false">
      <c r="A118" s="14" t="s">
        <v>936</v>
      </c>
      <c r="B118" s="14" t="s">
        <v>746</v>
      </c>
      <c r="C118" s="14" t="s">
        <v>347</v>
      </c>
      <c r="D118" s="14" t="s">
        <v>430</v>
      </c>
      <c r="E118" s="15" t="n">
        <v>285000</v>
      </c>
      <c r="F118" s="15" t="n">
        <v>3869.32</v>
      </c>
      <c r="G118" s="15" t="n">
        <v>483.67</v>
      </c>
      <c r="H118" s="15" t="n">
        <v>483.67</v>
      </c>
      <c r="I118" s="15" t="n">
        <f aca="false">SUM(K118:T118)</f>
        <v>2902</v>
      </c>
      <c r="J118" s="15" t="n">
        <f aca="false">F118-(G118+H118+I118)</f>
        <v>-0.0199999999995271</v>
      </c>
      <c r="K118" s="15" t="n">
        <v>290.2</v>
      </c>
      <c r="L118" s="15" t="n">
        <v>290.2</v>
      </c>
      <c r="M118" s="15" t="n">
        <v>290.2</v>
      </c>
      <c r="N118" s="15" t="n">
        <v>290.2</v>
      </c>
      <c r="O118" s="15" t="n">
        <v>290.2</v>
      </c>
      <c r="P118" s="15" t="n">
        <v>290.2</v>
      </c>
      <c r="Q118" s="15" t="n">
        <v>290.2</v>
      </c>
      <c r="R118" s="15" t="n">
        <v>290.2</v>
      </c>
      <c r="S118" s="15" t="n">
        <v>290.2</v>
      </c>
      <c r="T118" s="15" t="n">
        <v>290.2</v>
      </c>
      <c r="U118" s="15" t="n">
        <v>350</v>
      </c>
      <c r="V118" s="15" t="n">
        <v>0</v>
      </c>
      <c r="W118" s="15" t="n">
        <f aca="false">U118+V118</f>
        <v>350</v>
      </c>
    </row>
    <row r="119" customFormat="false" ht="15" hidden="false" customHeight="false" outlineLevel="0" collapsed="false">
      <c r="A119" s="3" t="s">
        <v>937</v>
      </c>
      <c r="B119" s="3" t="s">
        <v>757</v>
      </c>
      <c r="C119" s="3" t="s">
        <v>261</v>
      </c>
      <c r="D119" s="3" t="s">
        <v>189</v>
      </c>
      <c r="E119" s="13" t="n">
        <v>905000</v>
      </c>
      <c r="F119" s="13" t="n">
        <v>11831.7</v>
      </c>
      <c r="G119" s="13" t="n">
        <v>1478.96</v>
      </c>
      <c r="H119" s="13" t="n">
        <v>1478.96</v>
      </c>
      <c r="I119" s="13" t="n">
        <f aca="false">SUM(K119:T119)</f>
        <v>8873.8</v>
      </c>
      <c r="J119" s="13" t="n">
        <f aca="false">F119-(G119+H119+I119)</f>
        <v>-0.0199999999986176</v>
      </c>
      <c r="K119" s="13" t="n">
        <v>887.38</v>
      </c>
      <c r="L119" s="13" t="n">
        <v>887.38</v>
      </c>
      <c r="M119" s="13" t="n">
        <v>887.38</v>
      </c>
      <c r="N119" s="13" t="n">
        <v>887.38</v>
      </c>
      <c r="O119" s="13" t="n">
        <v>887.38</v>
      </c>
      <c r="P119" s="13" t="n">
        <v>887.38</v>
      </c>
      <c r="Q119" s="13" t="n">
        <v>887.38</v>
      </c>
      <c r="R119" s="13" t="n">
        <v>887.38</v>
      </c>
      <c r="S119" s="13" t="n">
        <v>887.38</v>
      </c>
      <c r="T119" s="13" t="n">
        <v>887.38</v>
      </c>
      <c r="U119" s="13" t="n">
        <v>350</v>
      </c>
      <c r="V119" s="13" t="n">
        <v>0</v>
      </c>
      <c r="W119" s="13" t="n">
        <f aca="false">U119+V119</f>
        <v>350</v>
      </c>
    </row>
    <row r="120" customFormat="false" ht="15" hidden="false" customHeight="false" outlineLevel="0" collapsed="false">
      <c r="A120" s="14" t="s">
        <v>938</v>
      </c>
      <c r="B120" s="14" t="s">
        <v>786</v>
      </c>
      <c r="C120" s="14" t="s">
        <v>939</v>
      </c>
      <c r="D120" s="14" t="s">
        <v>193</v>
      </c>
      <c r="E120" s="15" t="n">
        <v>465000</v>
      </c>
      <c r="F120" s="15" t="n">
        <v>7971.08</v>
      </c>
      <c r="G120" s="15" t="n">
        <v>996.38</v>
      </c>
      <c r="H120" s="15" t="n">
        <v>996.38</v>
      </c>
      <c r="I120" s="15" t="n">
        <f aca="false">SUM(K120:T120)</f>
        <v>5978.3</v>
      </c>
      <c r="J120" s="15" t="n">
        <f aca="false">F120-(G120+H120+I120)</f>
        <v>0.0199999999995271</v>
      </c>
      <c r="K120" s="15" t="n">
        <v>597.83</v>
      </c>
      <c r="L120" s="15" t="n">
        <v>597.83</v>
      </c>
      <c r="M120" s="15" t="n">
        <v>597.83</v>
      </c>
      <c r="N120" s="15" t="n">
        <v>597.83</v>
      </c>
      <c r="O120" s="15" t="n">
        <v>597.83</v>
      </c>
      <c r="P120" s="15" t="n">
        <v>597.83</v>
      </c>
      <c r="Q120" s="15" t="n">
        <v>597.83</v>
      </c>
      <c r="R120" s="15" t="n">
        <v>597.83</v>
      </c>
      <c r="S120" s="15" t="n">
        <v>597.83</v>
      </c>
      <c r="T120" s="15" t="n">
        <v>597.83</v>
      </c>
      <c r="U120" s="15" t="n">
        <v>350</v>
      </c>
      <c r="V120" s="15" t="n">
        <v>0</v>
      </c>
      <c r="W120" s="15" t="n">
        <f aca="false">U120+V120</f>
        <v>350</v>
      </c>
    </row>
    <row r="121" customFormat="false" ht="15" hidden="false" customHeight="false" outlineLevel="0" collapsed="false">
      <c r="A121" s="3" t="s">
        <v>940</v>
      </c>
      <c r="B121" s="3" t="s">
        <v>746</v>
      </c>
      <c r="C121" s="3" t="s">
        <v>294</v>
      </c>
      <c r="D121" s="3" t="s">
        <v>153</v>
      </c>
      <c r="E121" s="13" t="n">
        <v>1095000</v>
      </c>
      <c r="F121" s="13" t="n">
        <v>11792.94</v>
      </c>
      <c r="G121" s="13" t="n">
        <v>1474.12</v>
      </c>
      <c r="H121" s="13" t="n">
        <v>1474.12</v>
      </c>
      <c r="I121" s="13" t="n">
        <f aca="false">SUM(K121:T121)</f>
        <v>8844.7</v>
      </c>
      <c r="J121" s="13" t="n">
        <f aca="false">F121-(G121+H121+I121)</f>
        <v>0</v>
      </c>
      <c r="K121" s="13" t="n">
        <v>884.47</v>
      </c>
      <c r="L121" s="13" t="n">
        <v>884.47</v>
      </c>
      <c r="M121" s="13" t="n">
        <v>884.47</v>
      </c>
      <c r="N121" s="13" t="n">
        <v>884.47</v>
      </c>
      <c r="O121" s="13" t="n">
        <v>884.47</v>
      </c>
      <c r="P121" s="13" t="n">
        <v>884.47</v>
      </c>
      <c r="Q121" s="13" t="n">
        <v>884.47</v>
      </c>
      <c r="R121" s="13" t="n">
        <v>884.47</v>
      </c>
      <c r="S121" s="13" t="n">
        <v>884.47</v>
      </c>
      <c r="T121" s="13" t="n">
        <v>884.47</v>
      </c>
      <c r="U121" s="13" t="n">
        <v>350</v>
      </c>
      <c r="V121" s="13" t="n">
        <v>250</v>
      </c>
      <c r="W121" s="13" t="n">
        <f aca="false">U121+V121</f>
        <v>600</v>
      </c>
    </row>
    <row r="122" customFormat="false" ht="15" hidden="false" customHeight="false" outlineLevel="0" collapsed="false">
      <c r="A122" s="14" t="s">
        <v>941</v>
      </c>
      <c r="B122" s="14" t="s">
        <v>786</v>
      </c>
      <c r="C122" s="14" t="s">
        <v>942</v>
      </c>
      <c r="D122" s="14" t="s">
        <v>93</v>
      </c>
      <c r="E122" s="15" t="n">
        <v>395000</v>
      </c>
      <c r="F122" s="15" t="n">
        <v>6933.64</v>
      </c>
      <c r="G122" s="15" t="n">
        <v>866.71</v>
      </c>
      <c r="H122" s="15" t="n">
        <v>866.71</v>
      </c>
      <c r="I122" s="15" t="n">
        <f aca="false">SUM(K122:T122)</f>
        <v>5200.2</v>
      </c>
      <c r="J122" s="15" t="n">
        <f aca="false">F122-(G122+H122+I122)</f>
        <v>0.0199999999995271</v>
      </c>
      <c r="K122" s="15" t="n">
        <v>520.02</v>
      </c>
      <c r="L122" s="15" t="n">
        <v>520.02</v>
      </c>
      <c r="M122" s="15" t="n">
        <v>520.02</v>
      </c>
      <c r="N122" s="15" t="n">
        <v>520.02</v>
      </c>
      <c r="O122" s="15" t="n">
        <v>520.02</v>
      </c>
      <c r="P122" s="15" t="n">
        <v>520.02</v>
      </c>
      <c r="Q122" s="15" t="n">
        <v>520.02</v>
      </c>
      <c r="R122" s="15" t="n">
        <v>520.02</v>
      </c>
      <c r="S122" s="15" t="n">
        <v>520.02</v>
      </c>
      <c r="T122" s="15" t="n">
        <v>520.02</v>
      </c>
      <c r="U122" s="15" t="n">
        <v>350</v>
      </c>
      <c r="V122" s="15" t="n">
        <v>0</v>
      </c>
      <c r="W122" s="15" t="n">
        <f aca="false">U122+V122</f>
        <v>350</v>
      </c>
    </row>
    <row r="123" customFormat="false" ht="15" hidden="false" customHeight="false" outlineLevel="0" collapsed="false">
      <c r="A123" s="3" t="s">
        <v>943</v>
      </c>
      <c r="B123" s="3" t="s">
        <v>741</v>
      </c>
      <c r="C123" s="3" t="s">
        <v>944</v>
      </c>
      <c r="D123" s="3" t="s">
        <v>338</v>
      </c>
      <c r="E123" s="13" t="n">
        <v>1200000</v>
      </c>
      <c r="F123" s="13" t="n">
        <v>21766.35</v>
      </c>
      <c r="G123" s="13" t="n">
        <v>2720.79</v>
      </c>
      <c r="H123" s="13" t="n">
        <v>2720.79</v>
      </c>
      <c r="I123" s="13" t="n">
        <f aca="false">SUM(K123:T123)</f>
        <v>16324.8</v>
      </c>
      <c r="J123" s="13" t="n">
        <f aca="false">F123-(G123+H123+I123)</f>
        <v>-0.0299999999988358</v>
      </c>
      <c r="K123" s="13" t="n">
        <v>1632.48</v>
      </c>
      <c r="L123" s="13" t="n">
        <v>1632.48</v>
      </c>
      <c r="M123" s="13" t="n">
        <v>1632.48</v>
      </c>
      <c r="N123" s="13" t="n">
        <v>1632.48</v>
      </c>
      <c r="O123" s="13" t="n">
        <v>1632.48</v>
      </c>
      <c r="P123" s="13" t="n">
        <v>1632.48</v>
      </c>
      <c r="Q123" s="13" t="n">
        <v>1632.48</v>
      </c>
      <c r="R123" s="13" t="n">
        <v>1632.48</v>
      </c>
      <c r="S123" s="13" t="n">
        <v>1632.48</v>
      </c>
      <c r="T123" s="13" t="n">
        <v>1632.48</v>
      </c>
      <c r="U123" s="13" t="n">
        <v>350</v>
      </c>
      <c r="V123" s="13" t="n">
        <v>250</v>
      </c>
      <c r="W123" s="13" t="n">
        <f aca="false">U123+V123</f>
        <v>600</v>
      </c>
    </row>
    <row r="124" customFormat="false" ht="15" hidden="false" customHeight="false" outlineLevel="0" collapsed="false">
      <c r="A124" s="14" t="s">
        <v>945</v>
      </c>
      <c r="B124" s="14" t="s">
        <v>763</v>
      </c>
      <c r="C124" s="14" t="s">
        <v>946</v>
      </c>
      <c r="D124" s="14" t="s">
        <v>256</v>
      </c>
      <c r="E124" s="15" t="n">
        <v>1360000</v>
      </c>
      <c r="F124" s="15" t="n">
        <v>12568.02</v>
      </c>
      <c r="G124" s="15" t="n">
        <v>1571</v>
      </c>
      <c r="H124" s="15" t="n">
        <v>1571</v>
      </c>
      <c r="I124" s="15" t="n">
        <f aca="false">SUM(K124:T124)</f>
        <v>9426</v>
      </c>
      <c r="J124" s="15" t="n">
        <f aca="false">F124-(G124+H124+I124)</f>
        <v>0.0200000000004366</v>
      </c>
      <c r="K124" s="15" t="n">
        <v>942.6</v>
      </c>
      <c r="L124" s="15" t="n">
        <v>942.6</v>
      </c>
      <c r="M124" s="15" t="n">
        <v>942.6</v>
      </c>
      <c r="N124" s="15" t="n">
        <v>942.6</v>
      </c>
      <c r="O124" s="15" t="n">
        <v>942.6</v>
      </c>
      <c r="P124" s="15" t="n">
        <v>942.6</v>
      </c>
      <c r="Q124" s="15" t="n">
        <v>942.6</v>
      </c>
      <c r="R124" s="15" t="n">
        <v>942.6</v>
      </c>
      <c r="S124" s="15" t="n">
        <v>942.6</v>
      </c>
      <c r="T124" s="15" t="n">
        <v>942.6</v>
      </c>
      <c r="U124" s="15" t="n">
        <v>350</v>
      </c>
      <c r="V124" s="15" t="n">
        <v>250</v>
      </c>
      <c r="W124" s="15" t="n">
        <f aca="false">U124+V124</f>
        <v>600</v>
      </c>
    </row>
    <row r="125" customFormat="false" ht="15" hidden="false" customHeight="false" outlineLevel="0" collapsed="false">
      <c r="A125" s="3" t="s">
        <v>947</v>
      </c>
      <c r="B125" s="3" t="s">
        <v>739</v>
      </c>
      <c r="C125" s="3" t="s">
        <v>695</v>
      </c>
      <c r="D125" s="3" t="s">
        <v>256</v>
      </c>
      <c r="E125" s="13" t="n">
        <v>850000</v>
      </c>
      <c r="F125" s="13" t="n">
        <v>13436.2</v>
      </c>
      <c r="G125" s="13" t="n">
        <v>1679.53</v>
      </c>
      <c r="H125" s="13" t="n">
        <v>1679.53</v>
      </c>
      <c r="I125" s="13" t="n">
        <f aca="false">SUM(K125:T125)</f>
        <v>10077.2</v>
      </c>
      <c r="J125" s="13" t="n">
        <f aca="false">F125-(G125+H125+I125)</f>
        <v>-0.0599999999976717</v>
      </c>
      <c r="K125" s="13" t="n">
        <v>1007.72</v>
      </c>
      <c r="L125" s="13" t="n">
        <v>1007.72</v>
      </c>
      <c r="M125" s="13" t="n">
        <v>1007.72</v>
      </c>
      <c r="N125" s="13" t="n">
        <v>1007.72</v>
      </c>
      <c r="O125" s="13" t="n">
        <v>1007.72</v>
      </c>
      <c r="P125" s="13" t="n">
        <v>1007.72</v>
      </c>
      <c r="Q125" s="13" t="n">
        <v>1007.72</v>
      </c>
      <c r="R125" s="13" t="n">
        <v>1007.72</v>
      </c>
      <c r="S125" s="13" t="n">
        <v>1007.72</v>
      </c>
      <c r="T125" s="13" t="n">
        <v>1007.72</v>
      </c>
      <c r="U125" s="13" t="n">
        <v>350</v>
      </c>
      <c r="V125" s="13" t="n">
        <v>0</v>
      </c>
      <c r="W125" s="13" t="n">
        <f aca="false">U125+V125</f>
        <v>350</v>
      </c>
    </row>
    <row r="126" customFormat="false" ht="15" hidden="false" customHeight="false" outlineLevel="0" collapsed="false">
      <c r="A126" s="14" t="s">
        <v>948</v>
      </c>
      <c r="B126" s="14" t="s">
        <v>763</v>
      </c>
      <c r="C126" s="14" t="s">
        <v>96</v>
      </c>
      <c r="D126" s="14" t="s">
        <v>325</v>
      </c>
      <c r="E126" s="15" t="n">
        <v>1215000</v>
      </c>
      <c r="F126" s="15" t="n">
        <v>24526.64</v>
      </c>
      <c r="G126" s="15" t="n">
        <v>3065.83</v>
      </c>
      <c r="H126" s="15" t="n">
        <v>3065.83</v>
      </c>
      <c r="I126" s="15" t="n">
        <f aca="false">SUM(K126:T126)</f>
        <v>18395</v>
      </c>
      <c r="J126" s="15" t="n">
        <f aca="false">F126-(G126+H126+I126)</f>
        <v>-0.0200000000004366</v>
      </c>
      <c r="K126" s="15" t="n">
        <v>1839.5</v>
      </c>
      <c r="L126" s="15" t="n">
        <v>1839.5</v>
      </c>
      <c r="M126" s="15" t="n">
        <v>1839.5</v>
      </c>
      <c r="N126" s="15" t="n">
        <v>1839.5</v>
      </c>
      <c r="O126" s="15" t="n">
        <v>1839.5</v>
      </c>
      <c r="P126" s="15" t="n">
        <v>1839.5</v>
      </c>
      <c r="Q126" s="15" t="n">
        <v>1839.5</v>
      </c>
      <c r="R126" s="15" t="n">
        <v>1839.5</v>
      </c>
      <c r="S126" s="15" t="n">
        <v>1839.5</v>
      </c>
      <c r="T126" s="15" t="n">
        <v>1839.5</v>
      </c>
      <c r="U126" s="15" t="n">
        <v>350</v>
      </c>
      <c r="V126" s="15" t="n">
        <v>250</v>
      </c>
      <c r="W126" s="15" t="n">
        <f aca="false">U126+V126</f>
        <v>600</v>
      </c>
    </row>
    <row r="127" customFormat="false" ht="15" hidden="false" customHeight="false" outlineLevel="0" collapsed="false">
      <c r="A127" s="3" t="s">
        <v>949</v>
      </c>
      <c r="B127" s="3" t="s">
        <v>816</v>
      </c>
      <c r="C127" s="3" t="s">
        <v>578</v>
      </c>
      <c r="D127" s="3" t="s">
        <v>153</v>
      </c>
      <c r="E127" s="13" t="n">
        <v>1950000</v>
      </c>
      <c r="F127" s="13" t="n">
        <v>44212.9</v>
      </c>
      <c r="G127" s="13" t="n">
        <v>5526.61</v>
      </c>
      <c r="H127" s="13" t="n">
        <v>5526.61</v>
      </c>
      <c r="I127" s="13" t="n">
        <f aca="false">SUM(K127:T127)</f>
        <v>33159.7</v>
      </c>
      <c r="J127" s="13" t="n">
        <f aca="false">F127-(G127+H127+I127)</f>
        <v>-0.0199999999967986</v>
      </c>
      <c r="K127" s="13" t="n">
        <v>3315.97</v>
      </c>
      <c r="L127" s="13" t="n">
        <v>3315.97</v>
      </c>
      <c r="M127" s="13" t="n">
        <v>3315.97</v>
      </c>
      <c r="N127" s="13" t="n">
        <v>3315.97</v>
      </c>
      <c r="O127" s="13" t="n">
        <v>3315.97</v>
      </c>
      <c r="P127" s="13" t="n">
        <v>3315.97</v>
      </c>
      <c r="Q127" s="13" t="n">
        <v>3315.97</v>
      </c>
      <c r="R127" s="13" t="n">
        <v>3315.97</v>
      </c>
      <c r="S127" s="13" t="n">
        <v>3315.97</v>
      </c>
      <c r="T127" s="13" t="n">
        <v>3315.97</v>
      </c>
      <c r="U127" s="13" t="n">
        <v>350</v>
      </c>
      <c r="V127" s="13" t="n">
        <v>250</v>
      </c>
      <c r="W127" s="13" t="n">
        <f aca="false">U127+V127</f>
        <v>600</v>
      </c>
    </row>
    <row r="128" customFormat="false" ht="15" hidden="false" customHeight="false" outlineLevel="0" collapsed="false">
      <c r="A128" s="14" t="s">
        <v>950</v>
      </c>
      <c r="B128" s="14" t="s">
        <v>786</v>
      </c>
      <c r="C128" s="14" t="s">
        <v>165</v>
      </c>
      <c r="D128" s="14" t="s">
        <v>203</v>
      </c>
      <c r="E128" s="15" t="n">
        <v>365000</v>
      </c>
      <c r="F128" s="15" t="n">
        <v>3652</v>
      </c>
      <c r="G128" s="15" t="n">
        <v>456.5</v>
      </c>
      <c r="H128" s="15" t="n">
        <v>456.5</v>
      </c>
      <c r="I128" s="15" t="n">
        <f aca="false">SUM(K128:T128)</f>
        <v>2739</v>
      </c>
      <c r="J128" s="15" t="n">
        <f aca="false">F128-(G128+H128+I128)</f>
        <v>0</v>
      </c>
      <c r="K128" s="15" t="n">
        <v>273.9</v>
      </c>
      <c r="L128" s="15" t="n">
        <v>273.9</v>
      </c>
      <c r="M128" s="15" t="n">
        <v>273.9</v>
      </c>
      <c r="N128" s="15" t="n">
        <v>273.9</v>
      </c>
      <c r="O128" s="15" t="n">
        <v>273.9</v>
      </c>
      <c r="P128" s="15" t="n">
        <v>273.9</v>
      </c>
      <c r="Q128" s="15" t="n">
        <v>273.9</v>
      </c>
      <c r="R128" s="15" t="n">
        <v>273.9</v>
      </c>
      <c r="S128" s="15" t="n">
        <v>273.9</v>
      </c>
      <c r="T128" s="15" t="n">
        <v>273.9</v>
      </c>
      <c r="U128" s="15" t="n">
        <v>350</v>
      </c>
      <c r="V128" s="15" t="n">
        <v>0</v>
      </c>
      <c r="W128" s="15" t="n">
        <f aca="false">U128+V128</f>
        <v>350</v>
      </c>
    </row>
    <row r="129" customFormat="false" ht="15" hidden="false" customHeight="false" outlineLevel="0" collapsed="false">
      <c r="A129" s="3" t="s">
        <v>951</v>
      </c>
      <c r="B129" s="3" t="s">
        <v>771</v>
      </c>
      <c r="C129" s="3" t="s">
        <v>574</v>
      </c>
      <c r="D129" s="3" t="s">
        <v>89</v>
      </c>
      <c r="E129" s="13" t="n">
        <v>710000</v>
      </c>
      <c r="F129" s="13" t="n">
        <v>11391.95</v>
      </c>
      <c r="G129" s="13" t="n">
        <v>1423.99</v>
      </c>
      <c r="H129" s="13" t="n">
        <v>1423.99</v>
      </c>
      <c r="I129" s="13" t="n">
        <f aca="false">SUM(K129:T129)</f>
        <v>8544</v>
      </c>
      <c r="J129" s="13" t="n">
        <f aca="false">F129-(G129+H129+I129)</f>
        <v>-0.0299999999988358</v>
      </c>
      <c r="K129" s="13" t="n">
        <v>854.4</v>
      </c>
      <c r="L129" s="13" t="n">
        <v>854.4</v>
      </c>
      <c r="M129" s="13" t="n">
        <v>854.4</v>
      </c>
      <c r="N129" s="13" t="n">
        <v>854.4</v>
      </c>
      <c r="O129" s="13" t="n">
        <v>854.4</v>
      </c>
      <c r="P129" s="13" t="n">
        <v>854.4</v>
      </c>
      <c r="Q129" s="13" t="n">
        <v>854.4</v>
      </c>
      <c r="R129" s="13" t="n">
        <v>854.4</v>
      </c>
      <c r="S129" s="13" t="n">
        <v>854.4</v>
      </c>
      <c r="T129" s="13" t="n">
        <v>854.4</v>
      </c>
      <c r="U129" s="13" t="n">
        <v>350</v>
      </c>
      <c r="V129" s="13" t="n">
        <v>0</v>
      </c>
      <c r="W129" s="13" t="n">
        <f aca="false">U129+V129</f>
        <v>350</v>
      </c>
    </row>
    <row r="130" customFormat="false" ht="15" hidden="false" customHeight="false" outlineLevel="0" collapsed="false">
      <c r="A130" s="14" t="s">
        <v>952</v>
      </c>
      <c r="B130" s="14" t="s">
        <v>739</v>
      </c>
      <c r="C130" s="14" t="s">
        <v>953</v>
      </c>
      <c r="D130" s="14" t="s">
        <v>193</v>
      </c>
      <c r="E130" s="15" t="n">
        <v>1365000</v>
      </c>
      <c r="F130" s="15" t="n">
        <v>10607.53</v>
      </c>
      <c r="G130" s="15" t="n">
        <v>1325.94</v>
      </c>
      <c r="H130" s="15" t="n">
        <v>1325.94</v>
      </c>
      <c r="I130" s="15" t="n">
        <f aca="false">SUM(K130:T130)</f>
        <v>7955.6</v>
      </c>
      <c r="J130" s="15" t="n">
        <f aca="false">F130-(G130+H130+I130)</f>
        <v>0.0500000000010914</v>
      </c>
      <c r="K130" s="15" t="n">
        <v>795.56</v>
      </c>
      <c r="L130" s="15" t="n">
        <v>795.56</v>
      </c>
      <c r="M130" s="15" t="n">
        <v>795.56</v>
      </c>
      <c r="N130" s="15" t="n">
        <v>795.56</v>
      </c>
      <c r="O130" s="15" t="n">
        <v>795.56</v>
      </c>
      <c r="P130" s="15" t="n">
        <v>795.56</v>
      </c>
      <c r="Q130" s="15" t="n">
        <v>795.56</v>
      </c>
      <c r="R130" s="15" t="n">
        <v>795.56</v>
      </c>
      <c r="S130" s="15" t="n">
        <v>795.56</v>
      </c>
      <c r="T130" s="15" t="n">
        <v>795.56</v>
      </c>
      <c r="U130" s="15" t="n">
        <v>350</v>
      </c>
      <c r="V130" s="15" t="n">
        <v>250</v>
      </c>
      <c r="W130" s="15" t="n">
        <f aca="false">U130+V130</f>
        <v>600</v>
      </c>
    </row>
    <row r="131" customFormat="false" ht="15" hidden="false" customHeight="false" outlineLevel="0" collapsed="false">
      <c r="A131" s="3" t="s">
        <v>954</v>
      </c>
      <c r="B131" s="3" t="s">
        <v>739</v>
      </c>
      <c r="C131" s="3" t="s">
        <v>955</v>
      </c>
      <c r="D131" s="3" t="s">
        <v>138</v>
      </c>
      <c r="E131" s="13" t="n">
        <v>460000</v>
      </c>
      <c r="F131" s="13" t="n">
        <v>7254.54</v>
      </c>
      <c r="G131" s="13" t="n">
        <v>906.82</v>
      </c>
      <c r="H131" s="13" t="n">
        <v>906.82</v>
      </c>
      <c r="I131" s="13" t="n">
        <f aca="false">SUM(K131:T131)</f>
        <v>5440.9</v>
      </c>
      <c r="J131" s="13" t="n">
        <f aca="false">F131-(G131+H131+I131)</f>
        <v>0</v>
      </c>
      <c r="K131" s="13" t="n">
        <v>544.09</v>
      </c>
      <c r="L131" s="13" t="n">
        <v>544.09</v>
      </c>
      <c r="M131" s="13" t="n">
        <v>544.09</v>
      </c>
      <c r="N131" s="13" t="n">
        <v>544.09</v>
      </c>
      <c r="O131" s="13" t="n">
        <v>544.09</v>
      </c>
      <c r="P131" s="13" t="n">
        <v>544.09</v>
      </c>
      <c r="Q131" s="13" t="n">
        <v>544.09</v>
      </c>
      <c r="R131" s="13" t="n">
        <v>544.09</v>
      </c>
      <c r="S131" s="13" t="n">
        <v>544.09</v>
      </c>
      <c r="T131" s="13" t="n">
        <v>544.09</v>
      </c>
      <c r="U131" s="13" t="n">
        <v>350</v>
      </c>
      <c r="V131" s="13" t="n">
        <v>0</v>
      </c>
      <c r="W131" s="13" t="n">
        <f aca="false">U131+V131</f>
        <v>350</v>
      </c>
    </row>
    <row r="132" customFormat="false" ht="15" hidden="false" customHeight="false" outlineLevel="0" collapsed="false">
      <c r="A132" s="14" t="s">
        <v>956</v>
      </c>
      <c r="B132" s="14" t="s">
        <v>922</v>
      </c>
      <c r="C132" s="14" t="s">
        <v>957</v>
      </c>
      <c r="D132" s="14" t="s">
        <v>69</v>
      </c>
      <c r="E132" s="15" t="n">
        <v>980000</v>
      </c>
      <c r="F132" s="15" t="n">
        <v>16512.55</v>
      </c>
      <c r="G132" s="15" t="n">
        <v>2064.07</v>
      </c>
      <c r="H132" s="15" t="n">
        <v>2064.07</v>
      </c>
      <c r="I132" s="15" t="n">
        <f aca="false">SUM(K132:T132)</f>
        <v>12384.4</v>
      </c>
      <c r="J132" s="15" t="n">
        <f aca="false">F132-(G132+H132+I132)</f>
        <v>0.00999999999839929</v>
      </c>
      <c r="K132" s="15" t="n">
        <v>1238.44</v>
      </c>
      <c r="L132" s="15" t="n">
        <v>1238.44</v>
      </c>
      <c r="M132" s="15" t="n">
        <v>1238.44</v>
      </c>
      <c r="N132" s="15" t="n">
        <v>1238.44</v>
      </c>
      <c r="O132" s="15" t="n">
        <v>1238.44</v>
      </c>
      <c r="P132" s="15" t="n">
        <v>1238.44</v>
      </c>
      <c r="Q132" s="15" t="n">
        <v>1238.44</v>
      </c>
      <c r="R132" s="15" t="n">
        <v>1238.44</v>
      </c>
      <c r="S132" s="15" t="n">
        <v>1238.44</v>
      </c>
      <c r="T132" s="15" t="n">
        <v>1238.44</v>
      </c>
      <c r="U132" s="15" t="n">
        <v>350</v>
      </c>
      <c r="V132" s="15" t="n">
        <v>0</v>
      </c>
      <c r="W132" s="15" t="n">
        <f aca="false">U132+V132</f>
        <v>350</v>
      </c>
    </row>
    <row r="133" customFormat="false" ht="15" hidden="false" customHeight="false" outlineLevel="0" collapsed="false">
      <c r="A133" s="3" t="s">
        <v>958</v>
      </c>
      <c r="B133" s="3" t="s">
        <v>760</v>
      </c>
      <c r="C133" s="3" t="s">
        <v>543</v>
      </c>
      <c r="D133" s="3" t="s">
        <v>166</v>
      </c>
      <c r="E133" s="13" t="n">
        <v>290000</v>
      </c>
      <c r="F133" s="13" t="n">
        <v>3436.1</v>
      </c>
      <c r="G133" s="13" t="n">
        <v>429.51</v>
      </c>
      <c r="H133" s="13" t="n">
        <v>429.51</v>
      </c>
      <c r="I133" s="13" t="n">
        <f aca="false">SUM(K133:T133)</f>
        <v>2577.1</v>
      </c>
      <c r="J133" s="13" t="n">
        <f aca="false">F133-(G133+H133+I133)</f>
        <v>-0.0199999999999818</v>
      </c>
      <c r="K133" s="13" t="n">
        <v>257.71</v>
      </c>
      <c r="L133" s="13" t="n">
        <v>257.71</v>
      </c>
      <c r="M133" s="13" t="n">
        <v>257.71</v>
      </c>
      <c r="N133" s="13" t="n">
        <v>257.71</v>
      </c>
      <c r="O133" s="13" t="n">
        <v>257.71</v>
      </c>
      <c r="P133" s="13" t="n">
        <v>257.71</v>
      </c>
      <c r="Q133" s="13" t="n">
        <v>257.71</v>
      </c>
      <c r="R133" s="13" t="n">
        <v>257.71</v>
      </c>
      <c r="S133" s="13" t="n">
        <v>257.71</v>
      </c>
      <c r="T133" s="13" t="n">
        <v>257.71</v>
      </c>
      <c r="U133" s="13" t="n">
        <v>350</v>
      </c>
      <c r="V133" s="13" t="n">
        <v>0</v>
      </c>
      <c r="W133" s="13" t="n">
        <f aca="false">U133+V133</f>
        <v>350</v>
      </c>
    </row>
    <row r="134" customFormat="false" ht="15" hidden="false" customHeight="false" outlineLevel="0" collapsed="false">
      <c r="A134" s="14" t="s">
        <v>959</v>
      </c>
      <c r="B134" s="14" t="s">
        <v>744</v>
      </c>
      <c r="C134" s="14" t="s">
        <v>960</v>
      </c>
      <c r="D134" s="14" t="s">
        <v>256</v>
      </c>
      <c r="E134" s="15" t="n">
        <v>930000</v>
      </c>
      <c r="F134" s="15" t="n">
        <v>14700.79</v>
      </c>
      <c r="G134" s="15" t="n">
        <v>1837.6</v>
      </c>
      <c r="H134" s="15" t="n">
        <v>1837.6</v>
      </c>
      <c r="I134" s="15" t="n">
        <f aca="false">SUM(K134:T134)</f>
        <v>11025.6</v>
      </c>
      <c r="J134" s="15" t="n">
        <f aca="false">F134-(G134+H134+I134)</f>
        <v>-0.00999999999839929</v>
      </c>
      <c r="K134" s="15" t="n">
        <v>1102.56</v>
      </c>
      <c r="L134" s="15" t="n">
        <v>1102.56</v>
      </c>
      <c r="M134" s="15" t="n">
        <v>1102.56</v>
      </c>
      <c r="N134" s="15" t="n">
        <v>1102.56</v>
      </c>
      <c r="O134" s="15" t="n">
        <v>1102.56</v>
      </c>
      <c r="P134" s="15" t="n">
        <v>1102.56</v>
      </c>
      <c r="Q134" s="15" t="n">
        <v>1102.56</v>
      </c>
      <c r="R134" s="15" t="n">
        <v>1102.56</v>
      </c>
      <c r="S134" s="15" t="n">
        <v>1102.56</v>
      </c>
      <c r="T134" s="15" t="n">
        <v>1102.56</v>
      </c>
      <c r="U134" s="15" t="n">
        <v>350</v>
      </c>
      <c r="V134" s="15" t="n">
        <v>0</v>
      </c>
      <c r="W134" s="15" t="n">
        <f aca="false">U134+V134</f>
        <v>350</v>
      </c>
    </row>
    <row r="135" customFormat="false" ht="15" hidden="false" customHeight="false" outlineLevel="0" collapsed="false">
      <c r="A135" s="3" t="s">
        <v>961</v>
      </c>
      <c r="B135" s="3" t="s">
        <v>779</v>
      </c>
      <c r="C135" s="3" t="s">
        <v>962</v>
      </c>
      <c r="D135" s="3" t="s">
        <v>89</v>
      </c>
      <c r="E135" s="13" t="n">
        <v>280000</v>
      </c>
      <c r="F135" s="13" t="n">
        <v>5183.77</v>
      </c>
      <c r="G135" s="13" t="n">
        <v>647.97</v>
      </c>
      <c r="H135" s="13" t="n">
        <v>647.97</v>
      </c>
      <c r="I135" s="13" t="n">
        <f aca="false">SUM(K135:T135)</f>
        <v>3887.8</v>
      </c>
      <c r="J135" s="13" t="n">
        <f aca="false">F135-(G135+H135+I135)</f>
        <v>0.0300000000006548</v>
      </c>
      <c r="K135" s="13" t="n">
        <v>388.78</v>
      </c>
      <c r="L135" s="13" t="n">
        <v>388.78</v>
      </c>
      <c r="M135" s="13" t="n">
        <v>388.78</v>
      </c>
      <c r="N135" s="13" t="n">
        <v>388.78</v>
      </c>
      <c r="O135" s="13" t="n">
        <v>388.78</v>
      </c>
      <c r="P135" s="13" t="n">
        <v>388.78</v>
      </c>
      <c r="Q135" s="13" t="n">
        <v>388.78</v>
      </c>
      <c r="R135" s="13" t="n">
        <v>388.78</v>
      </c>
      <c r="S135" s="13" t="n">
        <v>388.78</v>
      </c>
      <c r="T135" s="13" t="n">
        <v>388.78</v>
      </c>
      <c r="U135" s="13" t="n">
        <v>350</v>
      </c>
      <c r="V135" s="13" t="n">
        <v>0</v>
      </c>
      <c r="W135" s="13" t="n">
        <f aca="false">U135+V135</f>
        <v>350</v>
      </c>
    </row>
    <row r="136" customFormat="false" ht="15" hidden="false" customHeight="false" outlineLevel="0" collapsed="false">
      <c r="A136" s="14" t="s">
        <v>963</v>
      </c>
      <c r="B136" s="14" t="s">
        <v>808</v>
      </c>
      <c r="C136" s="14" t="s">
        <v>372</v>
      </c>
      <c r="D136" s="14" t="s">
        <v>382</v>
      </c>
      <c r="E136" s="15" t="n">
        <v>295000</v>
      </c>
      <c r="F136" s="15" t="n">
        <v>2899.84</v>
      </c>
      <c r="G136" s="15" t="n">
        <v>362.48</v>
      </c>
      <c r="H136" s="15" t="n">
        <v>362.48</v>
      </c>
      <c r="I136" s="15" t="n">
        <f aca="false">SUM(K136:T136)</f>
        <v>2174.9</v>
      </c>
      <c r="J136" s="15" t="n">
        <f aca="false">F136-(G136+H136+I136)</f>
        <v>-0.0199999999999818</v>
      </c>
      <c r="K136" s="15" t="n">
        <v>217.49</v>
      </c>
      <c r="L136" s="15" t="n">
        <v>217.49</v>
      </c>
      <c r="M136" s="15" t="n">
        <v>217.49</v>
      </c>
      <c r="N136" s="15" t="n">
        <v>217.49</v>
      </c>
      <c r="O136" s="15" t="n">
        <v>217.49</v>
      </c>
      <c r="P136" s="15" t="n">
        <v>217.49</v>
      </c>
      <c r="Q136" s="15" t="n">
        <v>217.49</v>
      </c>
      <c r="R136" s="15" t="n">
        <v>217.49</v>
      </c>
      <c r="S136" s="15" t="n">
        <v>217.49</v>
      </c>
      <c r="T136" s="15" t="n">
        <v>217.49</v>
      </c>
      <c r="U136" s="15" t="n">
        <v>350</v>
      </c>
      <c r="V136" s="15" t="n">
        <v>0</v>
      </c>
      <c r="W136" s="15" t="n">
        <f aca="false">U136+V136</f>
        <v>350</v>
      </c>
    </row>
    <row r="137" customFormat="false" ht="15" hidden="false" customHeight="false" outlineLevel="0" collapsed="false">
      <c r="A137" s="3" t="s">
        <v>964</v>
      </c>
      <c r="B137" s="3" t="s">
        <v>766</v>
      </c>
      <c r="C137" s="3" t="s">
        <v>92</v>
      </c>
      <c r="D137" s="3" t="s">
        <v>132</v>
      </c>
      <c r="E137" s="13" t="n">
        <v>1245000</v>
      </c>
      <c r="F137" s="13" t="n">
        <v>12520.59</v>
      </c>
      <c r="G137" s="13" t="n">
        <v>1565.07</v>
      </c>
      <c r="H137" s="13" t="n">
        <v>1565.07</v>
      </c>
      <c r="I137" s="13" t="n">
        <f aca="false">SUM(K137:T137)</f>
        <v>9390.4</v>
      </c>
      <c r="J137" s="13" t="n">
        <f aca="false">F137-(G137+H137+I137)</f>
        <v>0.0499999999992724</v>
      </c>
      <c r="K137" s="13" t="n">
        <v>939.04</v>
      </c>
      <c r="L137" s="13" t="n">
        <v>939.04</v>
      </c>
      <c r="M137" s="13" t="n">
        <v>939.04</v>
      </c>
      <c r="N137" s="13" t="n">
        <v>939.04</v>
      </c>
      <c r="O137" s="13" t="n">
        <v>939.04</v>
      </c>
      <c r="P137" s="13" t="n">
        <v>939.04</v>
      </c>
      <c r="Q137" s="13" t="n">
        <v>939.04</v>
      </c>
      <c r="R137" s="13" t="n">
        <v>939.04</v>
      </c>
      <c r="S137" s="13" t="n">
        <v>939.04</v>
      </c>
      <c r="T137" s="13" t="n">
        <v>939.04</v>
      </c>
      <c r="U137" s="13" t="n">
        <v>350</v>
      </c>
      <c r="V137" s="13" t="n">
        <v>250</v>
      </c>
      <c r="W137" s="13" t="n">
        <f aca="false">U137+V137</f>
        <v>600</v>
      </c>
    </row>
    <row r="138" customFormat="false" ht="15" hidden="false" customHeight="false" outlineLevel="0" collapsed="false">
      <c r="A138" s="14" t="s">
        <v>965</v>
      </c>
      <c r="B138" s="14" t="s">
        <v>748</v>
      </c>
      <c r="C138" s="14" t="s">
        <v>966</v>
      </c>
      <c r="D138" s="14" t="s">
        <v>157</v>
      </c>
      <c r="E138" s="15" t="n">
        <v>235000</v>
      </c>
      <c r="F138" s="15" t="n">
        <v>5613.54</v>
      </c>
      <c r="G138" s="15" t="n">
        <v>701.69</v>
      </c>
      <c r="H138" s="15" t="n">
        <v>701.69</v>
      </c>
      <c r="I138" s="15" t="n">
        <f aca="false">SUM(K138:T138)</f>
        <v>4210.2</v>
      </c>
      <c r="J138" s="15" t="n">
        <f aca="false">F138-(G138+H138+I138)</f>
        <v>-0.0399999999999636</v>
      </c>
      <c r="K138" s="15" t="n">
        <v>421.02</v>
      </c>
      <c r="L138" s="15" t="n">
        <v>421.02</v>
      </c>
      <c r="M138" s="15" t="n">
        <v>421.02</v>
      </c>
      <c r="N138" s="15" t="n">
        <v>421.02</v>
      </c>
      <c r="O138" s="15" t="n">
        <v>421.02</v>
      </c>
      <c r="P138" s="15" t="n">
        <v>421.02</v>
      </c>
      <c r="Q138" s="15" t="n">
        <v>421.02</v>
      </c>
      <c r="R138" s="15" t="n">
        <v>421.02</v>
      </c>
      <c r="S138" s="15" t="n">
        <v>421.02</v>
      </c>
      <c r="T138" s="15" t="n">
        <v>421.02</v>
      </c>
      <c r="U138" s="15" t="n">
        <v>350</v>
      </c>
      <c r="V138" s="15" t="n">
        <v>0</v>
      </c>
      <c r="W138" s="15" t="n">
        <f aca="false">U138+V138</f>
        <v>350</v>
      </c>
    </row>
    <row r="139" customFormat="false" ht="15" hidden="false" customHeight="false" outlineLevel="0" collapsed="false">
      <c r="A139" s="3" t="s">
        <v>967</v>
      </c>
      <c r="B139" s="3" t="s">
        <v>760</v>
      </c>
      <c r="C139" s="3" t="s">
        <v>968</v>
      </c>
      <c r="D139" s="3" t="s">
        <v>89</v>
      </c>
      <c r="E139" s="13" t="n">
        <v>465000</v>
      </c>
      <c r="F139" s="13" t="n">
        <v>8608.76</v>
      </c>
      <c r="G139" s="13" t="n">
        <v>1076.1</v>
      </c>
      <c r="H139" s="13" t="n">
        <v>1076.1</v>
      </c>
      <c r="I139" s="13" t="n">
        <f aca="false">SUM(K139:T139)</f>
        <v>6456.6</v>
      </c>
      <c r="J139" s="13" t="n">
        <f aca="false">F139-(G139+H139+I139)</f>
        <v>-0.0399999999990541</v>
      </c>
      <c r="K139" s="13" t="n">
        <v>645.66</v>
      </c>
      <c r="L139" s="13" t="n">
        <v>645.66</v>
      </c>
      <c r="M139" s="13" t="n">
        <v>645.66</v>
      </c>
      <c r="N139" s="13" t="n">
        <v>645.66</v>
      </c>
      <c r="O139" s="13" t="n">
        <v>645.66</v>
      </c>
      <c r="P139" s="13" t="n">
        <v>645.66</v>
      </c>
      <c r="Q139" s="13" t="n">
        <v>645.66</v>
      </c>
      <c r="R139" s="13" t="n">
        <v>645.66</v>
      </c>
      <c r="S139" s="13" t="n">
        <v>645.66</v>
      </c>
      <c r="T139" s="13" t="n">
        <v>645.66</v>
      </c>
      <c r="U139" s="13" t="n">
        <v>350</v>
      </c>
      <c r="V139" s="13" t="n">
        <v>0</v>
      </c>
      <c r="W139" s="13" t="n">
        <f aca="false">U139+V139</f>
        <v>350</v>
      </c>
    </row>
    <row r="140" customFormat="false" ht="15" hidden="false" customHeight="false" outlineLevel="0" collapsed="false">
      <c r="A140" s="14" t="s">
        <v>969</v>
      </c>
      <c r="B140" s="14" t="s">
        <v>768</v>
      </c>
      <c r="C140" s="14" t="s">
        <v>970</v>
      </c>
      <c r="D140" s="14" t="s">
        <v>157</v>
      </c>
      <c r="E140" s="15" t="n">
        <v>415000</v>
      </c>
      <c r="F140" s="15" t="n">
        <v>8081.47</v>
      </c>
      <c r="G140" s="15" t="n">
        <v>1010.18</v>
      </c>
      <c r="H140" s="15" t="n">
        <v>1010.18</v>
      </c>
      <c r="I140" s="15" t="n">
        <f aca="false">SUM(K140:T140)</f>
        <v>6061.1</v>
      </c>
      <c r="J140" s="15" t="n">
        <f aca="false">F140-(G140+H140+I140)</f>
        <v>0.0100000000011278</v>
      </c>
      <c r="K140" s="15" t="n">
        <v>606.11</v>
      </c>
      <c r="L140" s="15" t="n">
        <v>606.11</v>
      </c>
      <c r="M140" s="15" t="n">
        <v>606.11</v>
      </c>
      <c r="N140" s="15" t="n">
        <v>606.11</v>
      </c>
      <c r="O140" s="15" t="n">
        <v>606.11</v>
      </c>
      <c r="P140" s="15" t="n">
        <v>606.11</v>
      </c>
      <c r="Q140" s="15" t="n">
        <v>606.11</v>
      </c>
      <c r="R140" s="15" t="n">
        <v>606.11</v>
      </c>
      <c r="S140" s="15" t="n">
        <v>606.11</v>
      </c>
      <c r="T140" s="15" t="n">
        <v>606.11</v>
      </c>
      <c r="U140" s="15" t="n">
        <v>350</v>
      </c>
      <c r="V140" s="15" t="n">
        <v>0</v>
      </c>
      <c r="W140" s="15" t="n">
        <f aca="false">U140+V140</f>
        <v>350</v>
      </c>
    </row>
    <row r="141" customFormat="false" ht="15" hidden="false" customHeight="false" outlineLevel="0" collapsed="false">
      <c r="A141" s="3" t="s">
        <v>971</v>
      </c>
      <c r="B141" s="3" t="s">
        <v>816</v>
      </c>
      <c r="C141" s="3" t="s">
        <v>972</v>
      </c>
      <c r="D141" s="3" t="s">
        <v>77</v>
      </c>
      <c r="E141" s="13" t="n">
        <v>200000</v>
      </c>
      <c r="F141" s="13" t="n">
        <v>4272.82</v>
      </c>
      <c r="G141" s="13" t="n">
        <v>534.1</v>
      </c>
      <c r="H141" s="13" t="n">
        <v>534.1</v>
      </c>
      <c r="I141" s="13" t="n">
        <f aca="false">SUM(K141:T141)</f>
        <v>3204.6</v>
      </c>
      <c r="J141" s="13" t="n">
        <f aca="false">F141-(G141+H141+I141)</f>
        <v>0.0199999999995271</v>
      </c>
      <c r="K141" s="13" t="n">
        <v>320.46</v>
      </c>
      <c r="L141" s="13" t="n">
        <v>320.46</v>
      </c>
      <c r="M141" s="13" t="n">
        <v>320.46</v>
      </c>
      <c r="N141" s="13" t="n">
        <v>320.46</v>
      </c>
      <c r="O141" s="13" t="n">
        <v>320.46</v>
      </c>
      <c r="P141" s="13" t="n">
        <v>320.46</v>
      </c>
      <c r="Q141" s="13" t="n">
        <v>320.46</v>
      </c>
      <c r="R141" s="13" t="n">
        <v>320.46</v>
      </c>
      <c r="S141" s="13" t="n">
        <v>320.46</v>
      </c>
      <c r="T141" s="13" t="n">
        <v>320.46</v>
      </c>
      <c r="U141" s="13" t="n">
        <v>350</v>
      </c>
      <c r="V141" s="13" t="n">
        <v>0</v>
      </c>
      <c r="W141" s="13" t="n">
        <f aca="false">U141+V141</f>
        <v>350</v>
      </c>
    </row>
    <row r="142" customFormat="false" ht="15" hidden="false" customHeight="false" outlineLevel="0" collapsed="false">
      <c r="A142" s="14" t="s">
        <v>973</v>
      </c>
      <c r="B142" s="14" t="s">
        <v>748</v>
      </c>
      <c r="C142" s="14" t="s">
        <v>526</v>
      </c>
      <c r="D142" s="14" t="s">
        <v>698</v>
      </c>
      <c r="E142" s="15" t="n">
        <v>380000</v>
      </c>
      <c r="F142" s="15" t="n">
        <v>7139.34</v>
      </c>
      <c r="G142" s="15" t="n">
        <v>892.42</v>
      </c>
      <c r="H142" s="15" t="n">
        <v>892.42</v>
      </c>
      <c r="I142" s="15" t="n">
        <f aca="false">SUM(K142:T142)</f>
        <v>5354.5</v>
      </c>
      <c r="J142" s="15" t="n">
        <f aca="false">F142-(G142+H142+I142)</f>
        <v>0</v>
      </c>
      <c r="K142" s="15" t="n">
        <v>535.45</v>
      </c>
      <c r="L142" s="15" t="n">
        <v>535.45</v>
      </c>
      <c r="M142" s="15" t="n">
        <v>535.45</v>
      </c>
      <c r="N142" s="15" t="n">
        <v>535.45</v>
      </c>
      <c r="O142" s="15" t="n">
        <v>535.45</v>
      </c>
      <c r="P142" s="15" t="n">
        <v>535.45</v>
      </c>
      <c r="Q142" s="15" t="n">
        <v>535.45</v>
      </c>
      <c r="R142" s="15" t="n">
        <v>535.45</v>
      </c>
      <c r="S142" s="15" t="n">
        <v>535.45</v>
      </c>
      <c r="T142" s="15" t="n">
        <v>535.45</v>
      </c>
      <c r="U142" s="15" t="n">
        <v>350</v>
      </c>
      <c r="V142" s="15" t="n">
        <v>0</v>
      </c>
      <c r="W142" s="15" t="n">
        <f aca="false">U142+V142</f>
        <v>350</v>
      </c>
    </row>
    <row r="143" customFormat="false" ht="15" hidden="false" customHeight="false" outlineLevel="0" collapsed="false">
      <c r="A143" s="3" t="s">
        <v>974</v>
      </c>
      <c r="B143" s="3" t="s">
        <v>849</v>
      </c>
      <c r="C143" s="3" t="s">
        <v>975</v>
      </c>
      <c r="D143" s="3" t="s">
        <v>189</v>
      </c>
      <c r="E143" s="13" t="n">
        <v>705000</v>
      </c>
      <c r="F143" s="13" t="n">
        <v>13470.95</v>
      </c>
      <c r="G143" s="13" t="n">
        <v>1683.87</v>
      </c>
      <c r="H143" s="13" t="n">
        <v>1683.87</v>
      </c>
      <c r="I143" s="13" t="n">
        <f aca="false">SUM(K143:T143)</f>
        <v>10103.2</v>
      </c>
      <c r="J143" s="13" t="n">
        <f aca="false">F143-(G143+H143+I143)</f>
        <v>0.0100000000002183</v>
      </c>
      <c r="K143" s="13" t="n">
        <v>1010.32</v>
      </c>
      <c r="L143" s="13" t="n">
        <v>1010.32</v>
      </c>
      <c r="M143" s="13" t="n">
        <v>1010.32</v>
      </c>
      <c r="N143" s="13" t="n">
        <v>1010.32</v>
      </c>
      <c r="O143" s="13" t="n">
        <v>1010.32</v>
      </c>
      <c r="P143" s="13" t="n">
        <v>1010.32</v>
      </c>
      <c r="Q143" s="13" t="n">
        <v>1010.32</v>
      </c>
      <c r="R143" s="13" t="n">
        <v>1010.32</v>
      </c>
      <c r="S143" s="13" t="n">
        <v>1010.32</v>
      </c>
      <c r="T143" s="13" t="n">
        <v>1010.32</v>
      </c>
      <c r="U143" s="13" t="n">
        <v>350</v>
      </c>
      <c r="V143" s="13" t="n">
        <v>0</v>
      </c>
      <c r="W143" s="13" t="n">
        <f aca="false">U143+V143</f>
        <v>350</v>
      </c>
    </row>
    <row r="144" customFormat="false" ht="15" hidden="false" customHeight="false" outlineLevel="0" collapsed="false">
      <c r="A144" s="14" t="s">
        <v>976</v>
      </c>
      <c r="B144" s="14" t="s">
        <v>744</v>
      </c>
      <c r="C144" s="14" t="s">
        <v>410</v>
      </c>
      <c r="D144" s="14" t="s">
        <v>197</v>
      </c>
      <c r="E144" s="15" t="n">
        <v>575000</v>
      </c>
      <c r="F144" s="15" t="n">
        <v>7449.05</v>
      </c>
      <c r="G144" s="15" t="n">
        <v>931.13</v>
      </c>
      <c r="H144" s="15" t="n">
        <v>931.13</v>
      </c>
      <c r="I144" s="15" t="n">
        <f aca="false">SUM(K144:T144)</f>
        <v>5586.8</v>
      </c>
      <c r="J144" s="15" t="n">
        <f aca="false">F144-(G144+H144+I144)</f>
        <v>-0.0100000000002183</v>
      </c>
      <c r="K144" s="15" t="n">
        <v>558.68</v>
      </c>
      <c r="L144" s="15" t="n">
        <v>558.68</v>
      </c>
      <c r="M144" s="15" t="n">
        <v>558.68</v>
      </c>
      <c r="N144" s="15" t="n">
        <v>558.68</v>
      </c>
      <c r="O144" s="15" t="n">
        <v>558.68</v>
      </c>
      <c r="P144" s="15" t="n">
        <v>558.68</v>
      </c>
      <c r="Q144" s="15" t="n">
        <v>558.68</v>
      </c>
      <c r="R144" s="15" t="n">
        <v>558.68</v>
      </c>
      <c r="S144" s="15" t="n">
        <v>558.68</v>
      </c>
      <c r="T144" s="15" t="n">
        <v>558.68</v>
      </c>
      <c r="U144" s="15" t="n">
        <v>350</v>
      </c>
      <c r="V144" s="15" t="n">
        <v>0</v>
      </c>
      <c r="W144" s="15" t="n">
        <f aca="false">U144+V144</f>
        <v>350</v>
      </c>
    </row>
    <row r="145" customFormat="false" ht="15" hidden="false" customHeight="false" outlineLevel="0" collapsed="false">
      <c r="A145" s="3" t="s">
        <v>977</v>
      </c>
      <c r="B145" s="3" t="s">
        <v>741</v>
      </c>
      <c r="C145" s="3" t="s">
        <v>440</v>
      </c>
      <c r="D145" s="3" t="s">
        <v>325</v>
      </c>
      <c r="E145" s="13" t="n">
        <v>1110000</v>
      </c>
      <c r="F145" s="13" t="n">
        <v>9523</v>
      </c>
      <c r="G145" s="13" t="n">
        <v>1190.38</v>
      </c>
      <c r="H145" s="13" t="n">
        <v>1190.38</v>
      </c>
      <c r="I145" s="13" t="n">
        <f aca="false">SUM(K145:T145)</f>
        <v>7142.3</v>
      </c>
      <c r="J145" s="13" t="n">
        <f aca="false">F145-(G145+H145+I145)</f>
        <v>-0.0599999999994907</v>
      </c>
      <c r="K145" s="13" t="n">
        <v>714.23</v>
      </c>
      <c r="L145" s="13" t="n">
        <v>714.23</v>
      </c>
      <c r="M145" s="13" t="n">
        <v>714.23</v>
      </c>
      <c r="N145" s="13" t="n">
        <v>714.23</v>
      </c>
      <c r="O145" s="13" t="n">
        <v>714.23</v>
      </c>
      <c r="P145" s="13" t="n">
        <v>714.23</v>
      </c>
      <c r="Q145" s="13" t="n">
        <v>714.23</v>
      </c>
      <c r="R145" s="13" t="n">
        <v>714.23</v>
      </c>
      <c r="S145" s="13" t="n">
        <v>714.23</v>
      </c>
      <c r="T145" s="13" t="n">
        <v>714.23</v>
      </c>
      <c r="U145" s="13" t="n">
        <v>350</v>
      </c>
      <c r="V145" s="13" t="n">
        <v>250</v>
      </c>
      <c r="W145" s="13" t="n">
        <f aca="false">U145+V145</f>
        <v>600</v>
      </c>
    </row>
    <row r="146" customFormat="false" ht="15" hidden="false" customHeight="false" outlineLevel="0" collapsed="false">
      <c r="A146" s="14" t="s">
        <v>978</v>
      </c>
      <c r="B146" s="14" t="s">
        <v>826</v>
      </c>
      <c r="C146" s="14" t="s">
        <v>124</v>
      </c>
      <c r="D146" s="14" t="s">
        <v>911</v>
      </c>
      <c r="E146" s="15" t="n">
        <v>535000</v>
      </c>
      <c r="F146" s="15" t="n">
        <v>10036.77</v>
      </c>
      <c r="G146" s="15" t="n">
        <v>1254.6</v>
      </c>
      <c r="H146" s="15" t="n">
        <v>1254.6</v>
      </c>
      <c r="I146" s="15" t="n">
        <f aca="false">SUM(K146:T146)</f>
        <v>7527.6</v>
      </c>
      <c r="J146" s="15" t="n">
        <f aca="false">F146-(G146+H146+I146)</f>
        <v>-0.0299999999988358</v>
      </c>
      <c r="K146" s="15" t="n">
        <v>752.76</v>
      </c>
      <c r="L146" s="15" t="n">
        <v>752.76</v>
      </c>
      <c r="M146" s="15" t="n">
        <v>752.76</v>
      </c>
      <c r="N146" s="15" t="n">
        <v>752.76</v>
      </c>
      <c r="O146" s="15" t="n">
        <v>752.76</v>
      </c>
      <c r="P146" s="15" t="n">
        <v>752.76</v>
      </c>
      <c r="Q146" s="15" t="n">
        <v>752.76</v>
      </c>
      <c r="R146" s="15" t="n">
        <v>752.76</v>
      </c>
      <c r="S146" s="15" t="n">
        <v>752.76</v>
      </c>
      <c r="T146" s="15" t="n">
        <v>752.76</v>
      </c>
      <c r="U146" s="15" t="n">
        <v>350</v>
      </c>
      <c r="V146" s="15" t="n">
        <v>0</v>
      </c>
      <c r="W146" s="15" t="n">
        <f aca="false">U146+V146</f>
        <v>350</v>
      </c>
    </row>
    <row r="147" customFormat="false" ht="15" hidden="false" customHeight="false" outlineLevel="0" collapsed="false">
      <c r="A147" s="3" t="s">
        <v>979</v>
      </c>
      <c r="B147" s="3" t="s">
        <v>760</v>
      </c>
      <c r="C147" s="3" t="s">
        <v>535</v>
      </c>
      <c r="D147" s="3" t="s">
        <v>138</v>
      </c>
      <c r="E147" s="13" t="n">
        <v>520000</v>
      </c>
      <c r="F147" s="13" t="n">
        <v>7107.34</v>
      </c>
      <c r="G147" s="13" t="n">
        <v>888.42</v>
      </c>
      <c r="H147" s="13" t="n">
        <v>888.42</v>
      </c>
      <c r="I147" s="13" t="n">
        <f aca="false">SUM(K147:T147)</f>
        <v>5330.5</v>
      </c>
      <c r="J147" s="13" t="n">
        <f aca="false">F147-(G147+H147+I147)</f>
        <v>0</v>
      </c>
      <c r="K147" s="13" t="n">
        <v>533.05</v>
      </c>
      <c r="L147" s="13" t="n">
        <v>533.05</v>
      </c>
      <c r="M147" s="13" t="n">
        <v>533.05</v>
      </c>
      <c r="N147" s="13" t="n">
        <v>533.05</v>
      </c>
      <c r="O147" s="13" t="n">
        <v>533.05</v>
      </c>
      <c r="P147" s="13" t="n">
        <v>533.05</v>
      </c>
      <c r="Q147" s="13" t="n">
        <v>533.05</v>
      </c>
      <c r="R147" s="13" t="n">
        <v>533.05</v>
      </c>
      <c r="S147" s="13" t="n">
        <v>533.05</v>
      </c>
      <c r="T147" s="13" t="n">
        <v>533.05</v>
      </c>
      <c r="U147" s="13" t="n">
        <v>350</v>
      </c>
      <c r="V147" s="13" t="n">
        <v>0</v>
      </c>
      <c r="W147" s="13" t="n">
        <f aca="false">U147+V147</f>
        <v>350</v>
      </c>
    </row>
    <row r="148" customFormat="false" ht="15" hidden="false" customHeight="false" outlineLevel="0" collapsed="false">
      <c r="A148" s="14" t="s">
        <v>980</v>
      </c>
      <c r="B148" s="14" t="s">
        <v>760</v>
      </c>
      <c r="C148" s="14" t="s">
        <v>647</v>
      </c>
      <c r="D148" s="14" t="s">
        <v>85</v>
      </c>
      <c r="E148" s="15" t="n">
        <v>290000</v>
      </c>
      <c r="F148" s="15" t="n">
        <v>8476.24</v>
      </c>
      <c r="G148" s="15" t="n">
        <v>1059.53</v>
      </c>
      <c r="H148" s="15" t="n">
        <v>1059.53</v>
      </c>
      <c r="I148" s="15" t="n">
        <f aca="false">SUM(K148:T148)</f>
        <v>6357.2</v>
      </c>
      <c r="J148" s="15" t="n">
        <f aca="false">F148-(G148+H148+I148)</f>
        <v>-0.0200000000004366</v>
      </c>
      <c r="K148" s="15" t="n">
        <v>635.72</v>
      </c>
      <c r="L148" s="15" t="n">
        <v>635.72</v>
      </c>
      <c r="M148" s="15" t="n">
        <v>635.72</v>
      </c>
      <c r="N148" s="15" t="n">
        <v>635.72</v>
      </c>
      <c r="O148" s="15" t="n">
        <v>635.72</v>
      </c>
      <c r="P148" s="15" t="n">
        <v>635.72</v>
      </c>
      <c r="Q148" s="15" t="n">
        <v>635.72</v>
      </c>
      <c r="R148" s="15" t="n">
        <v>635.72</v>
      </c>
      <c r="S148" s="15" t="n">
        <v>635.72</v>
      </c>
      <c r="T148" s="15" t="n">
        <v>635.72</v>
      </c>
      <c r="U148" s="15" t="n">
        <v>350</v>
      </c>
      <c r="V148" s="15" t="n">
        <v>0</v>
      </c>
      <c r="W148" s="15" t="n">
        <f aca="false">U148+V148</f>
        <v>350</v>
      </c>
    </row>
    <row r="149" customFormat="false" ht="15" hidden="false" customHeight="false" outlineLevel="0" collapsed="false">
      <c r="A149" s="3" t="s">
        <v>981</v>
      </c>
      <c r="B149" s="3" t="s">
        <v>771</v>
      </c>
      <c r="C149" s="3" t="s">
        <v>982</v>
      </c>
      <c r="D149" s="3" t="s">
        <v>93</v>
      </c>
      <c r="E149" s="13" t="n">
        <v>960000</v>
      </c>
      <c r="F149" s="13" t="n">
        <v>21345.07</v>
      </c>
      <c r="G149" s="13" t="n">
        <v>2668.13</v>
      </c>
      <c r="H149" s="13" t="n">
        <v>2668.13</v>
      </c>
      <c r="I149" s="13" t="n">
        <f aca="false">SUM(K149:T149)</f>
        <v>16008.8</v>
      </c>
      <c r="J149" s="13" t="n">
        <f aca="false">F149-(G149+H149+I149)</f>
        <v>0.00999999999476131</v>
      </c>
      <c r="K149" s="13" t="n">
        <v>1600.88</v>
      </c>
      <c r="L149" s="13" t="n">
        <v>1600.88</v>
      </c>
      <c r="M149" s="13" t="n">
        <v>1600.88</v>
      </c>
      <c r="N149" s="13" t="n">
        <v>1600.88</v>
      </c>
      <c r="O149" s="13" t="n">
        <v>1600.88</v>
      </c>
      <c r="P149" s="13" t="n">
        <v>1600.88</v>
      </c>
      <c r="Q149" s="13" t="n">
        <v>1600.88</v>
      </c>
      <c r="R149" s="13" t="n">
        <v>1600.88</v>
      </c>
      <c r="S149" s="13" t="n">
        <v>1600.88</v>
      </c>
      <c r="T149" s="13" t="n">
        <v>1600.88</v>
      </c>
      <c r="U149" s="13" t="n">
        <v>350</v>
      </c>
      <c r="V149" s="13" t="n">
        <v>0</v>
      </c>
      <c r="W149" s="13" t="n">
        <f aca="false">U149+V149</f>
        <v>350</v>
      </c>
    </row>
    <row r="150" customFormat="false" ht="15" hidden="false" customHeight="false" outlineLevel="0" collapsed="false">
      <c r="A150" s="14" t="s">
        <v>983</v>
      </c>
      <c r="B150" s="14" t="s">
        <v>766</v>
      </c>
      <c r="C150" s="14" t="s">
        <v>984</v>
      </c>
      <c r="D150" s="14" t="s">
        <v>448</v>
      </c>
      <c r="E150" s="15" t="n">
        <v>275000</v>
      </c>
      <c r="F150" s="15" t="n">
        <v>3997.54</v>
      </c>
      <c r="G150" s="15" t="n">
        <v>499.69</v>
      </c>
      <c r="H150" s="15" t="n">
        <v>499.69</v>
      </c>
      <c r="I150" s="15" t="n">
        <f aca="false">SUM(K150:T150)</f>
        <v>2998.2</v>
      </c>
      <c r="J150" s="15" t="n">
        <f aca="false">F150-(G150+H150+I150)</f>
        <v>-0.0400000000004184</v>
      </c>
      <c r="K150" s="15" t="n">
        <v>299.82</v>
      </c>
      <c r="L150" s="15" t="n">
        <v>299.82</v>
      </c>
      <c r="M150" s="15" t="n">
        <v>299.82</v>
      </c>
      <c r="N150" s="15" t="n">
        <v>299.82</v>
      </c>
      <c r="O150" s="15" t="n">
        <v>299.82</v>
      </c>
      <c r="P150" s="15" t="n">
        <v>299.82</v>
      </c>
      <c r="Q150" s="15" t="n">
        <v>299.82</v>
      </c>
      <c r="R150" s="15" t="n">
        <v>299.82</v>
      </c>
      <c r="S150" s="15" t="n">
        <v>299.82</v>
      </c>
      <c r="T150" s="15" t="n">
        <v>299.82</v>
      </c>
      <c r="U150" s="15" t="n">
        <v>350</v>
      </c>
      <c r="V150" s="15" t="n">
        <v>0</v>
      </c>
      <c r="W150" s="15" t="n">
        <f aca="false">U150+V150</f>
        <v>350</v>
      </c>
    </row>
    <row r="151" customFormat="false" ht="15" hidden="false" customHeight="false" outlineLevel="0" collapsed="false">
      <c r="A151" s="3" t="s">
        <v>985</v>
      </c>
      <c r="B151" s="3" t="s">
        <v>926</v>
      </c>
      <c r="C151" s="3" t="s">
        <v>408</v>
      </c>
      <c r="D151" s="3" t="s">
        <v>430</v>
      </c>
      <c r="E151" s="13" t="n">
        <v>270000</v>
      </c>
      <c r="F151" s="13" t="n">
        <v>5620.69</v>
      </c>
      <c r="G151" s="13" t="n">
        <v>702.59</v>
      </c>
      <c r="H151" s="13" t="n">
        <v>702.59</v>
      </c>
      <c r="I151" s="13" t="n">
        <f aca="false">SUM(K151:T151)</f>
        <v>4215.5</v>
      </c>
      <c r="J151" s="13" t="n">
        <f aca="false">F151-(G151+H151+I151)</f>
        <v>0.00999999999930878</v>
      </c>
      <c r="K151" s="13" t="n">
        <v>421.55</v>
      </c>
      <c r="L151" s="13" t="n">
        <v>421.55</v>
      </c>
      <c r="M151" s="13" t="n">
        <v>421.55</v>
      </c>
      <c r="N151" s="13" t="n">
        <v>421.55</v>
      </c>
      <c r="O151" s="13" t="n">
        <v>421.55</v>
      </c>
      <c r="P151" s="13" t="n">
        <v>421.55</v>
      </c>
      <c r="Q151" s="13" t="n">
        <v>421.55</v>
      </c>
      <c r="R151" s="13" t="n">
        <v>421.55</v>
      </c>
      <c r="S151" s="13" t="n">
        <v>421.55</v>
      </c>
      <c r="T151" s="13" t="n">
        <v>421.55</v>
      </c>
      <c r="U151" s="13" t="n">
        <v>350</v>
      </c>
      <c r="V151" s="13" t="n">
        <v>0</v>
      </c>
      <c r="W151" s="13" t="n">
        <f aca="false">U151+V151</f>
        <v>350</v>
      </c>
    </row>
    <row r="152" customFormat="false" ht="15" hidden="false" customHeight="false" outlineLevel="0" collapsed="false">
      <c r="A152" s="14" t="s">
        <v>986</v>
      </c>
      <c r="B152" s="14" t="s">
        <v>849</v>
      </c>
      <c r="C152" s="14" t="s">
        <v>987</v>
      </c>
      <c r="D152" s="14" t="s">
        <v>89</v>
      </c>
      <c r="E152" s="15" t="n">
        <v>225000</v>
      </c>
      <c r="F152" s="15" t="n">
        <v>5109.72</v>
      </c>
      <c r="G152" s="15" t="n">
        <v>638.72</v>
      </c>
      <c r="H152" s="15" t="n">
        <v>638.72</v>
      </c>
      <c r="I152" s="15" t="n">
        <f aca="false">SUM(K152:T152)</f>
        <v>3832.3</v>
      </c>
      <c r="J152" s="15" t="n">
        <f aca="false">F152-(G152+H152+I152)</f>
        <v>-0.0199999999995271</v>
      </c>
      <c r="K152" s="15" t="n">
        <v>383.23</v>
      </c>
      <c r="L152" s="15" t="n">
        <v>383.23</v>
      </c>
      <c r="M152" s="15" t="n">
        <v>383.23</v>
      </c>
      <c r="N152" s="15" t="n">
        <v>383.23</v>
      </c>
      <c r="O152" s="15" t="n">
        <v>383.23</v>
      </c>
      <c r="P152" s="15" t="n">
        <v>383.23</v>
      </c>
      <c r="Q152" s="15" t="n">
        <v>383.23</v>
      </c>
      <c r="R152" s="15" t="n">
        <v>383.23</v>
      </c>
      <c r="S152" s="15" t="n">
        <v>383.23</v>
      </c>
      <c r="T152" s="15" t="n">
        <v>383.23</v>
      </c>
      <c r="U152" s="15" t="n">
        <v>350</v>
      </c>
      <c r="V152" s="15" t="n">
        <v>0</v>
      </c>
      <c r="W152" s="15" t="n">
        <f aca="false">U152+V152</f>
        <v>350</v>
      </c>
    </row>
    <row r="153" customFormat="false" ht="15" hidden="false" customHeight="false" outlineLevel="0" collapsed="false">
      <c r="A153" s="3" t="s">
        <v>988</v>
      </c>
      <c r="B153" s="3" t="s">
        <v>748</v>
      </c>
      <c r="C153" s="3" t="s">
        <v>296</v>
      </c>
      <c r="D153" s="3" t="s">
        <v>157</v>
      </c>
      <c r="E153" s="13" t="n">
        <v>200000</v>
      </c>
      <c r="F153" s="13" t="n">
        <v>4777.48</v>
      </c>
      <c r="G153" s="13" t="n">
        <v>597.18</v>
      </c>
      <c r="H153" s="13" t="n">
        <v>597.18</v>
      </c>
      <c r="I153" s="13" t="n">
        <f aca="false">SUM(K153:T153)</f>
        <v>3583.1</v>
      </c>
      <c r="J153" s="13" t="n">
        <f aca="false">F153-(G153+H153+I153)</f>
        <v>0.0199999999995271</v>
      </c>
      <c r="K153" s="13" t="n">
        <v>358.31</v>
      </c>
      <c r="L153" s="13" t="n">
        <v>358.31</v>
      </c>
      <c r="M153" s="13" t="n">
        <v>358.31</v>
      </c>
      <c r="N153" s="13" t="n">
        <v>358.31</v>
      </c>
      <c r="O153" s="13" t="n">
        <v>358.31</v>
      </c>
      <c r="P153" s="13" t="n">
        <v>358.31</v>
      </c>
      <c r="Q153" s="13" t="n">
        <v>358.31</v>
      </c>
      <c r="R153" s="13" t="n">
        <v>358.31</v>
      </c>
      <c r="S153" s="13" t="n">
        <v>358.31</v>
      </c>
      <c r="T153" s="13" t="n">
        <v>358.31</v>
      </c>
      <c r="U153" s="13" t="n">
        <v>350</v>
      </c>
      <c r="V153" s="13" t="n">
        <v>0</v>
      </c>
      <c r="W153" s="13" t="n">
        <f aca="false">U153+V153</f>
        <v>350</v>
      </c>
    </row>
    <row r="154" customFormat="false" ht="15" hidden="false" customHeight="false" outlineLevel="0" collapsed="false">
      <c r="A154" s="14" t="s">
        <v>989</v>
      </c>
      <c r="B154" s="14" t="s">
        <v>926</v>
      </c>
      <c r="C154" s="14" t="s">
        <v>410</v>
      </c>
      <c r="D154" s="14" t="s">
        <v>251</v>
      </c>
      <c r="E154" s="15" t="n">
        <v>590000</v>
      </c>
      <c r="F154" s="15" t="n">
        <v>7853.73</v>
      </c>
      <c r="G154" s="15" t="n">
        <v>981.72</v>
      </c>
      <c r="H154" s="15" t="n">
        <v>981.72</v>
      </c>
      <c r="I154" s="15" t="n">
        <f aca="false">SUM(K154:T154)</f>
        <v>5890.3</v>
      </c>
      <c r="J154" s="15" t="n">
        <f aca="false">F154-(G154+H154+I154)</f>
        <v>-0.0100000000002183</v>
      </c>
      <c r="K154" s="15" t="n">
        <v>589.03</v>
      </c>
      <c r="L154" s="15" t="n">
        <v>589.03</v>
      </c>
      <c r="M154" s="15" t="n">
        <v>589.03</v>
      </c>
      <c r="N154" s="15" t="n">
        <v>589.03</v>
      </c>
      <c r="O154" s="15" t="n">
        <v>589.03</v>
      </c>
      <c r="P154" s="15" t="n">
        <v>589.03</v>
      </c>
      <c r="Q154" s="15" t="n">
        <v>589.03</v>
      </c>
      <c r="R154" s="15" t="n">
        <v>589.03</v>
      </c>
      <c r="S154" s="15" t="n">
        <v>589.03</v>
      </c>
      <c r="T154" s="15" t="n">
        <v>589.03</v>
      </c>
      <c r="U154" s="15" t="n">
        <v>350</v>
      </c>
      <c r="V154" s="15" t="n">
        <v>0</v>
      </c>
      <c r="W154" s="15" t="n">
        <f aca="false">U154+V154</f>
        <v>350</v>
      </c>
    </row>
    <row r="155" customFormat="false" ht="15" hidden="false" customHeight="false" outlineLevel="0" collapsed="false">
      <c r="A155" s="3" t="s">
        <v>990</v>
      </c>
      <c r="B155" s="3" t="s">
        <v>834</v>
      </c>
      <c r="C155" s="3" t="s">
        <v>991</v>
      </c>
      <c r="D155" s="3" t="s">
        <v>698</v>
      </c>
      <c r="E155" s="13" t="n">
        <v>665000</v>
      </c>
      <c r="F155" s="13" t="n">
        <v>15825.54</v>
      </c>
      <c r="G155" s="13" t="n">
        <v>1978.19</v>
      </c>
      <c r="H155" s="13" t="n">
        <v>1978.19</v>
      </c>
      <c r="I155" s="13" t="n">
        <f aca="false">SUM(K155:T155)</f>
        <v>11869.2</v>
      </c>
      <c r="J155" s="13" t="n">
        <f aca="false">F155-(G155+H155+I155)</f>
        <v>-0.0400000000008731</v>
      </c>
      <c r="K155" s="13" t="n">
        <v>1186.92</v>
      </c>
      <c r="L155" s="13" t="n">
        <v>1186.92</v>
      </c>
      <c r="M155" s="13" t="n">
        <v>1186.92</v>
      </c>
      <c r="N155" s="13" t="n">
        <v>1186.92</v>
      </c>
      <c r="O155" s="13" t="n">
        <v>1186.92</v>
      </c>
      <c r="P155" s="13" t="n">
        <v>1186.92</v>
      </c>
      <c r="Q155" s="13" t="n">
        <v>1186.92</v>
      </c>
      <c r="R155" s="13" t="n">
        <v>1186.92</v>
      </c>
      <c r="S155" s="13" t="n">
        <v>1186.92</v>
      </c>
      <c r="T155" s="13" t="n">
        <v>1186.92</v>
      </c>
      <c r="U155" s="13" t="n">
        <v>350</v>
      </c>
      <c r="V155" s="13" t="n">
        <v>0</v>
      </c>
      <c r="W155" s="13" t="n">
        <f aca="false">U155+V155</f>
        <v>350</v>
      </c>
    </row>
    <row r="156" customFormat="false" ht="15" hidden="false" customHeight="false" outlineLevel="0" collapsed="false">
      <c r="A156" s="14" t="s">
        <v>992</v>
      </c>
      <c r="B156" s="14" t="s">
        <v>744</v>
      </c>
      <c r="C156" s="14" t="s">
        <v>250</v>
      </c>
      <c r="D156" s="14" t="s">
        <v>115</v>
      </c>
      <c r="E156" s="15" t="n">
        <v>290000</v>
      </c>
      <c r="F156" s="15" t="n">
        <v>5249.6</v>
      </c>
      <c r="G156" s="15" t="n">
        <v>656.2</v>
      </c>
      <c r="H156" s="15" t="n">
        <v>656.2</v>
      </c>
      <c r="I156" s="15" t="n">
        <f aca="false">SUM(K156:T156)</f>
        <v>3937.2</v>
      </c>
      <c r="J156" s="15" t="n">
        <f aca="false">F156-(G156+H156+I156)</f>
        <v>0</v>
      </c>
      <c r="K156" s="15" t="n">
        <v>393.72</v>
      </c>
      <c r="L156" s="15" t="n">
        <v>393.72</v>
      </c>
      <c r="M156" s="15" t="n">
        <v>393.72</v>
      </c>
      <c r="N156" s="15" t="n">
        <v>393.72</v>
      </c>
      <c r="O156" s="15" t="n">
        <v>393.72</v>
      </c>
      <c r="P156" s="15" t="n">
        <v>393.72</v>
      </c>
      <c r="Q156" s="15" t="n">
        <v>393.72</v>
      </c>
      <c r="R156" s="15" t="n">
        <v>393.72</v>
      </c>
      <c r="S156" s="15" t="n">
        <v>393.72</v>
      </c>
      <c r="T156" s="15" t="n">
        <v>393.72</v>
      </c>
      <c r="U156" s="15" t="n">
        <v>350</v>
      </c>
      <c r="V156" s="15" t="n">
        <v>0</v>
      </c>
      <c r="W156" s="15" t="n">
        <f aca="false">U156+V156</f>
        <v>350</v>
      </c>
    </row>
    <row r="157" customFormat="false" ht="15" hidden="false" customHeight="false" outlineLevel="0" collapsed="false">
      <c r="A157" s="3" t="s">
        <v>993</v>
      </c>
      <c r="B157" s="3" t="s">
        <v>800</v>
      </c>
      <c r="C157" s="3" t="s">
        <v>414</v>
      </c>
      <c r="D157" s="3" t="s">
        <v>77</v>
      </c>
      <c r="E157" s="13" t="n">
        <v>480000</v>
      </c>
      <c r="F157" s="13" t="n">
        <v>9808.9</v>
      </c>
      <c r="G157" s="13" t="n">
        <v>1226.11</v>
      </c>
      <c r="H157" s="13" t="n">
        <v>1226.11</v>
      </c>
      <c r="I157" s="13" t="n">
        <f aca="false">SUM(K157:T157)</f>
        <v>7356.7</v>
      </c>
      <c r="J157" s="13" t="n">
        <f aca="false">F157-(G157+H157+I157)</f>
        <v>-0.0200000000004366</v>
      </c>
      <c r="K157" s="13" t="n">
        <v>735.67</v>
      </c>
      <c r="L157" s="13" t="n">
        <v>735.67</v>
      </c>
      <c r="M157" s="13" t="n">
        <v>735.67</v>
      </c>
      <c r="N157" s="13" t="n">
        <v>735.67</v>
      </c>
      <c r="O157" s="13" t="n">
        <v>735.67</v>
      </c>
      <c r="P157" s="13" t="n">
        <v>735.67</v>
      </c>
      <c r="Q157" s="13" t="n">
        <v>735.67</v>
      </c>
      <c r="R157" s="13" t="n">
        <v>735.67</v>
      </c>
      <c r="S157" s="13" t="n">
        <v>735.67</v>
      </c>
      <c r="T157" s="13" t="n">
        <v>735.67</v>
      </c>
      <c r="U157" s="13" t="n">
        <v>350</v>
      </c>
      <c r="V157" s="13" t="n">
        <v>0</v>
      </c>
      <c r="W157" s="13" t="n">
        <f aca="false">U157+V157</f>
        <v>350</v>
      </c>
    </row>
    <row r="158" customFormat="false" ht="15" hidden="false" customHeight="false" outlineLevel="0" collapsed="false">
      <c r="A158" s="14" t="s">
        <v>994</v>
      </c>
      <c r="B158" s="14" t="s">
        <v>771</v>
      </c>
      <c r="C158" s="14" t="s">
        <v>761</v>
      </c>
      <c r="D158" s="14" t="s">
        <v>448</v>
      </c>
      <c r="E158" s="15" t="n">
        <v>1950000</v>
      </c>
      <c r="F158" s="15" t="n">
        <v>30235.92</v>
      </c>
      <c r="G158" s="15" t="n">
        <v>3779.49</v>
      </c>
      <c r="H158" s="15" t="n">
        <v>3779.49</v>
      </c>
      <c r="I158" s="15" t="n">
        <f aca="false">SUM(K158:T158)</f>
        <v>22676.9</v>
      </c>
      <c r="J158" s="15" t="n">
        <f aca="false">F158-(G158+H158+I158)</f>
        <v>0.0400000000008731</v>
      </c>
      <c r="K158" s="15" t="n">
        <v>2267.69</v>
      </c>
      <c r="L158" s="15" t="n">
        <v>2267.69</v>
      </c>
      <c r="M158" s="15" t="n">
        <v>2267.69</v>
      </c>
      <c r="N158" s="15" t="n">
        <v>2267.69</v>
      </c>
      <c r="O158" s="15" t="n">
        <v>2267.69</v>
      </c>
      <c r="P158" s="15" t="n">
        <v>2267.69</v>
      </c>
      <c r="Q158" s="15" t="n">
        <v>2267.69</v>
      </c>
      <c r="R158" s="15" t="n">
        <v>2267.69</v>
      </c>
      <c r="S158" s="15" t="n">
        <v>2267.69</v>
      </c>
      <c r="T158" s="15" t="n">
        <v>2267.69</v>
      </c>
      <c r="U158" s="15" t="n">
        <v>350</v>
      </c>
      <c r="V158" s="15" t="n">
        <v>250</v>
      </c>
      <c r="W158" s="15" t="n">
        <f aca="false">U158+V158</f>
        <v>600</v>
      </c>
    </row>
    <row r="159" customFormat="false" ht="15" hidden="false" customHeight="false" outlineLevel="0" collapsed="false">
      <c r="A159" s="3" t="s">
        <v>995</v>
      </c>
      <c r="B159" s="3" t="s">
        <v>744</v>
      </c>
      <c r="C159" s="3" t="s">
        <v>278</v>
      </c>
      <c r="D159" s="3" t="s">
        <v>99</v>
      </c>
      <c r="E159" s="13" t="n">
        <v>325000</v>
      </c>
      <c r="F159" s="13" t="n">
        <v>6061.45</v>
      </c>
      <c r="G159" s="13" t="n">
        <v>757.68</v>
      </c>
      <c r="H159" s="13" t="n">
        <v>757.68</v>
      </c>
      <c r="I159" s="13" t="n">
        <f aca="false">SUM(K159:T159)</f>
        <v>4546.1</v>
      </c>
      <c r="J159" s="13" t="n">
        <f aca="false">F159-(G159+H159+I159)</f>
        <v>-0.0100000000002183</v>
      </c>
      <c r="K159" s="13" t="n">
        <v>454.61</v>
      </c>
      <c r="L159" s="13" t="n">
        <v>454.61</v>
      </c>
      <c r="M159" s="13" t="n">
        <v>454.61</v>
      </c>
      <c r="N159" s="13" t="n">
        <v>454.61</v>
      </c>
      <c r="O159" s="13" t="n">
        <v>454.61</v>
      </c>
      <c r="P159" s="13" t="n">
        <v>454.61</v>
      </c>
      <c r="Q159" s="13" t="n">
        <v>454.61</v>
      </c>
      <c r="R159" s="13" t="n">
        <v>454.61</v>
      </c>
      <c r="S159" s="13" t="n">
        <v>454.61</v>
      </c>
      <c r="T159" s="13" t="n">
        <v>454.61</v>
      </c>
      <c r="U159" s="13" t="n">
        <v>350</v>
      </c>
      <c r="V159" s="13" t="n">
        <v>0</v>
      </c>
      <c r="W159" s="13" t="n">
        <f aca="false">U159+V159</f>
        <v>350</v>
      </c>
    </row>
    <row r="160" customFormat="false" ht="15" hidden="false" customHeight="false" outlineLevel="0" collapsed="false">
      <c r="A160" s="14" t="s">
        <v>996</v>
      </c>
      <c r="B160" s="14" t="s">
        <v>889</v>
      </c>
      <c r="C160" s="14" t="s">
        <v>196</v>
      </c>
      <c r="D160" s="14" t="s">
        <v>338</v>
      </c>
      <c r="E160" s="15" t="n">
        <v>850000</v>
      </c>
      <c r="F160" s="15" t="n">
        <v>8287.08</v>
      </c>
      <c r="G160" s="15" t="n">
        <v>1035.88</v>
      </c>
      <c r="H160" s="15" t="n">
        <v>1035.88</v>
      </c>
      <c r="I160" s="15" t="n">
        <f aca="false">SUM(K160:T160)</f>
        <v>6215.3</v>
      </c>
      <c r="J160" s="15" t="n">
        <f aca="false">F160-(G160+H160+I160)</f>
        <v>0.0200000000004366</v>
      </c>
      <c r="K160" s="15" t="n">
        <v>621.53</v>
      </c>
      <c r="L160" s="15" t="n">
        <v>621.53</v>
      </c>
      <c r="M160" s="15" t="n">
        <v>621.53</v>
      </c>
      <c r="N160" s="15" t="n">
        <v>621.53</v>
      </c>
      <c r="O160" s="15" t="n">
        <v>621.53</v>
      </c>
      <c r="P160" s="15" t="n">
        <v>621.53</v>
      </c>
      <c r="Q160" s="15" t="n">
        <v>621.53</v>
      </c>
      <c r="R160" s="15" t="n">
        <v>621.53</v>
      </c>
      <c r="S160" s="15" t="n">
        <v>621.53</v>
      </c>
      <c r="T160" s="15" t="n">
        <v>621.53</v>
      </c>
      <c r="U160" s="15" t="n">
        <v>350</v>
      </c>
      <c r="V160" s="15" t="n">
        <v>0</v>
      </c>
      <c r="W160" s="15" t="n">
        <f aca="false">U160+V160</f>
        <v>350</v>
      </c>
    </row>
    <row r="161" customFormat="false" ht="15" hidden="false" customHeight="false" outlineLevel="0" collapsed="false">
      <c r="A161" s="3" t="s">
        <v>997</v>
      </c>
      <c r="B161" s="3" t="s">
        <v>748</v>
      </c>
      <c r="C161" s="3" t="s">
        <v>998</v>
      </c>
      <c r="D161" s="3" t="s">
        <v>193</v>
      </c>
      <c r="E161" s="13" t="n">
        <v>310000</v>
      </c>
      <c r="F161" s="13" t="n">
        <v>3400.99</v>
      </c>
      <c r="G161" s="13" t="n">
        <v>425.12</v>
      </c>
      <c r="H161" s="13" t="n">
        <v>425.12</v>
      </c>
      <c r="I161" s="13" t="n">
        <f aca="false">SUM(K161:T161)</f>
        <v>2550.7</v>
      </c>
      <c r="J161" s="13" t="n">
        <f aca="false">F161-(G161+H161+I161)</f>
        <v>0.0499999999992724</v>
      </c>
      <c r="K161" s="13" t="n">
        <v>255.07</v>
      </c>
      <c r="L161" s="13" t="n">
        <v>255.07</v>
      </c>
      <c r="M161" s="13" t="n">
        <v>255.07</v>
      </c>
      <c r="N161" s="13" t="n">
        <v>255.07</v>
      </c>
      <c r="O161" s="13" t="n">
        <v>255.07</v>
      </c>
      <c r="P161" s="13" t="n">
        <v>255.07</v>
      </c>
      <c r="Q161" s="13" t="n">
        <v>255.07</v>
      </c>
      <c r="R161" s="13" t="n">
        <v>255.07</v>
      </c>
      <c r="S161" s="13" t="n">
        <v>255.07</v>
      </c>
      <c r="T161" s="13" t="n">
        <v>255.07</v>
      </c>
      <c r="U161" s="13" t="n">
        <v>350</v>
      </c>
      <c r="V161" s="13" t="n">
        <v>0</v>
      </c>
      <c r="W161" s="13" t="n">
        <f aca="false">U161+V161</f>
        <v>350</v>
      </c>
    </row>
    <row r="162" customFormat="false" ht="15" hidden="false" customHeight="false" outlineLevel="0" collapsed="false">
      <c r="A162" s="14" t="s">
        <v>999</v>
      </c>
      <c r="B162" s="14" t="s">
        <v>800</v>
      </c>
      <c r="C162" s="14" t="s">
        <v>1000</v>
      </c>
      <c r="D162" s="14" t="s">
        <v>166</v>
      </c>
      <c r="E162" s="15" t="n">
        <v>180000</v>
      </c>
      <c r="F162" s="15" t="n">
        <v>4087.77</v>
      </c>
      <c r="G162" s="15" t="n">
        <v>510.97</v>
      </c>
      <c r="H162" s="15" t="n">
        <v>510.97</v>
      </c>
      <c r="I162" s="15" t="n">
        <f aca="false">SUM(K162:T162)</f>
        <v>3065.8</v>
      </c>
      <c r="J162" s="15" t="n">
        <f aca="false">F162-(G162+H162+I162)</f>
        <v>0.0300000000002001</v>
      </c>
      <c r="K162" s="15" t="n">
        <v>306.58</v>
      </c>
      <c r="L162" s="15" t="n">
        <v>306.58</v>
      </c>
      <c r="M162" s="15" t="n">
        <v>306.58</v>
      </c>
      <c r="N162" s="15" t="n">
        <v>306.58</v>
      </c>
      <c r="O162" s="15" t="n">
        <v>306.58</v>
      </c>
      <c r="P162" s="15" t="n">
        <v>306.58</v>
      </c>
      <c r="Q162" s="15" t="n">
        <v>306.58</v>
      </c>
      <c r="R162" s="15" t="n">
        <v>306.58</v>
      </c>
      <c r="S162" s="15" t="n">
        <v>306.58</v>
      </c>
      <c r="T162" s="15" t="n">
        <v>306.58</v>
      </c>
      <c r="U162" s="15" t="n">
        <v>350</v>
      </c>
      <c r="V162" s="15" t="n">
        <v>0</v>
      </c>
      <c r="W162" s="15" t="n">
        <f aca="false">U162+V162</f>
        <v>350</v>
      </c>
    </row>
    <row r="163" customFormat="false" ht="15" hidden="false" customHeight="false" outlineLevel="0" collapsed="false">
      <c r="A163" s="3" t="s">
        <v>1001</v>
      </c>
      <c r="B163" s="3" t="s">
        <v>800</v>
      </c>
      <c r="C163" s="3" t="s">
        <v>1002</v>
      </c>
      <c r="D163" s="3" t="s">
        <v>132</v>
      </c>
      <c r="E163" s="13" t="n">
        <v>1930000</v>
      </c>
      <c r="F163" s="13" t="n">
        <v>28231.9</v>
      </c>
      <c r="G163" s="13" t="n">
        <v>3528.99</v>
      </c>
      <c r="H163" s="13" t="n">
        <v>3528.99</v>
      </c>
      <c r="I163" s="13" t="n">
        <f aca="false">SUM(K163:T163)</f>
        <v>21173.9</v>
      </c>
      <c r="J163" s="13" t="n">
        <f aca="false">F163-(G163+H163+I163)</f>
        <v>0.0200000000040745</v>
      </c>
      <c r="K163" s="13" t="n">
        <v>2117.39</v>
      </c>
      <c r="L163" s="13" t="n">
        <v>2117.39</v>
      </c>
      <c r="M163" s="13" t="n">
        <v>2117.39</v>
      </c>
      <c r="N163" s="13" t="n">
        <v>2117.39</v>
      </c>
      <c r="O163" s="13" t="n">
        <v>2117.39</v>
      </c>
      <c r="P163" s="13" t="n">
        <v>2117.39</v>
      </c>
      <c r="Q163" s="13" t="n">
        <v>2117.39</v>
      </c>
      <c r="R163" s="13" t="n">
        <v>2117.39</v>
      </c>
      <c r="S163" s="13" t="n">
        <v>2117.39</v>
      </c>
      <c r="T163" s="13" t="n">
        <v>2117.39</v>
      </c>
      <c r="U163" s="13" t="n">
        <v>350</v>
      </c>
      <c r="V163" s="13" t="n">
        <v>250</v>
      </c>
      <c r="W163" s="13" t="n">
        <f aca="false">U163+V163</f>
        <v>600</v>
      </c>
    </row>
    <row r="164" customFormat="false" ht="15" hidden="false" customHeight="false" outlineLevel="0" collapsed="false">
      <c r="A164" s="14" t="s">
        <v>1003</v>
      </c>
      <c r="B164" s="14" t="s">
        <v>741</v>
      </c>
      <c r="C164" s="14" t="s">
        <v>1004</v>
      </c>
      <c r="D164" s="14" t="s">
        <v>328</v>
      </c>
      <c r="E164" s="15" t="n">
        <v>1025000</v>
      </c>
      <c r="F164" s="15" t="n">
        <v>13400.55</v>
      </c>
      <c r="G164" s="15" t="n">
        <v>1675.07</v>
      </c>
      <c r="H164" s="15" t="n">
        <v>1675.07</v>
      </c>
      <c r="I164" s="15" t="n">
        <f aca="false">SUM(K164:T164)</f>
        <v>10050.4</v>
      </c>
      <c r="J164" s="15" t="n">
        <f aca="false">F164-(G164+H164+I164)</f>
        <v>0.00999999999839929</v>
      </c>
      <c r="K164" s="15" t="n">
        <v>1005.04</v>
      </c>
      <c r="L164" s="15" t="n">
        <v>1005.04</v>
      </c>
      <c r="M164" s="15" t="n">
        <v>1005.04</v>
      </c>
      <c r="N164" s="15" t="n">
        <v>1005.04</v>
      </c>
      <c r="O164" s="15" t="n">
        <v>1005.04</v>
      </c>
      <c r="P164" s="15" t="n">
        <v>1005.04</v>
      </c>
      <c r="Q164" s="15" t="n">
        <v>1005.04</v>
      </c>
      <c r="R164" s="15" t="n">
        <v>1005.04</v>
      </c>
      <c r="S164" s="15" t="n">
        <v>1005.04</v>
      </c>
      <c r="T164" s="15" t="n">
        <v>1005.04</v>
      </c>
      <c r="U164" s="15" t="n">
        <v>350</v>
      </c>
      <c r="V164" s="15" t="n">
        <v>250</v>
      </c>
      <c r="W164" s="15" t="n">
        <f aca="false">U164+V164</f>
        <v>600</v>
      </c>
    </row>
    <row r="165" customFormat="false" ht="15" hidden="false" customHeight="false" outlineLevel="0" collapsed="false">
      <c r="A165" s="3" t="s">
        <v>1005</v>
      </c>
      <c r="B165" s="3" t="s">
        <v>803</v>
      </c>
      <c r="C165" s="3" t="s">
        <v>982</v>
      </c>
      <c r="D165" s="3" t="s">
        <v>193</v>
      </c>
      <c r="E165" s="13" t="n">
        <v>1045000</v>
      </c>
      <c r="F165" s="13" t="n">
        <v>19107.73</v>
      </c>
      <c r="G165" s="13" t="n">
        <v>2388.47</v>
      </c>
      <c r="H165" s="13" t="n">
        <v>2388.47</v>
      </c>
      <c r="I165" s="13" t="n">
        <f aca="false">SUM(K165:T165)</f>
        <v>14330.8</v>
      </c>
      <c r="J165" s="13" t="n">
        <f aca="false">F165-(G165+H165+I165)</f>
        <v>-0.00999999999839929</v>
      </c>
      <c r="K165" s="13" t="n">
        <v>1433.08</v>
      </c>
      <c r="L165" s="13" t="n">
        <v>1433.08</v>
      </c>
      <c r="M165" s="13" t="n">
        <v>1433.08</v>
      </c>
      <c r="N165" s="13" t="n">
        <v>1433.08</v>
      </c>
      <c r="O165" s="13" t="n">
        <v>1433.08</v>
      </c>
      <c r="P165" s="13" t="n">
        <v>1433.08</v>
      </c>
      <c r="Q165" s="13" t="n">
        <v>1433.08</v>
      </c>
      <c r="R165" s="13" t="n">
        <v>1433.08</v>
      </c>
      <c r="S165" s="13" t="n">
        <v>1433.08</v>
      </c>
      <c r="T165" s="13" t="n">
        <v>1433.08</v>
      </c>
      <c r="U165" s="13" t="n">
        <v>350</v>
      </c>
      <c r="V165" s="13" t="n">
        <v>250</v>
      </c>
      <c r="W165" s="13" t="n">
        <f aca="false">U165+V165</f>
        <v>600</v>
      </c>
    </row>
    <row r="166" customFormat="false" ht="15" hidden="false" customHeight="false" outlineLevel="0" collapsed="false">
      <c r="A166" s="14" t="s">
        <v>1006</v>
      </c>
      <c r="B166" s="14" t="s">
        <v>889</v>
      </c>
      <c r="C166" s="14" t="s">
        <v>845</v>
      </c>
      <c r="D166" s="14" t="s">
        <v>147</v>
      </c>
      <c r="E166" s="15" t="n">
        <v>575000</v>
      </c>
      <c r="F166" s="15" t="n">
        <v>7312.36</v>
      </c>
      <c r="G166" s="15" t="n">
        <v>914.04</v>
      </c>
      <c r="H166" s="15" t="n">
        <v>914.04</v>
      </c>
      <c r="I166" s="15" t="n">
        <f aca="false">SUM(K166:T166)</f>
        <v>5484.3</v>
      </c>
      <c r="J166" s="15" t="n">
        <f aca="false">F166-(G166+H166+I166)</f>
        <v>-0.0200000000004366</v>
      </c>
      <c r="K166" s="15" t="n">
        <v>548.43</v>
      </c>
      <c r="L166" s="15" t="n">
        <v>548.43</v>
      </c>
      <c r="M166" s="15" t="n">
        <v>548.43</v>
      </c>
      <c r="N166" s="15" t="n">
        <v>548.43</v>
      </c>
      <c r="O166" s="15" t="n">
        <v>548.43</v>
      </c>
      <c r="P166" s="15" t="n">
        <v>548.43</v>
      </c>
      <c r="Q166" s="15" t="n">
        <v>548.43</v>
      </c>
      <c r="R166" s="15" t="n">
        <v>548.43</v>
      </c>
      <c r="S166" s="15" t="n">
        <v>548.43</v>
      </c>
      <c r="T166" s="15" t="n">
        <v>548.43</v>
      </c>
      <c r="U166" s="15" t="n">
        <v>350</v>
      </c>
      <c r="V166" s="15" t="n">
        <v>0</v>
      </c>
      <c r="W166" s="15" t="n">
        <f aca="false">U166+V166</f>
        <v>350</v>
      </c>
    </row>
    <row r="167" customFormat="false" ht="15" hidden="false" customHeight="false" outlineLevel="0" collapsed="false">
      <c r="A167" s="3" t="s">
        <v>1007</v>
      </c>
      <c r="B167" s="3" t="s">
        <v>771</v>
      </c>
      <c r="C167" s="3" t="s">
        <v>574</v>
      </c>
      <c r="D167" s="3" t="s">
        <v>147</v>
      </c>
      <c r="E167" s="13" t="n">
        <v>1095000</v>
      </c>
      <c r="F167" s="13" t="n">
        <v>17138.8</v>
      </c>
      <c r="G167" s="13" t="n">
        <v>2142.35</v>
      </c>
      <c r="H167" s="13" t="n">
        <v>2142.35</v>
      </c>
      <c r="I167" s="13" t="n">
        <f aca="false">SUM(K167:T167)</f>
        <v>12854.1</v>
      </c>
      <c r="J167" s="13" t="n">
        <f aca="false">F167-(G167+H167+I167)</f>
        <v>0</v>
      </c>
      <c r="K167" s="13" t="n">
        <v>1285.41</v>
      </c>
      <c r="L167" s="13" t="n">
        <v>1285.41</v>
      </c>
      <c r="M167" s="13" t="n">
        <v>1285.41</v>
      </c>
      <c r="N167" s="13" t="n">
        <v>1285.41</v>
      </c>
      <c r="O167" s="13" t="n">
        <v>1285.41</v>
      </c>
      <c r="P167" s="13" t="n">
        <v>1285.41</v>
      </c>
      <c r="Q167" s="13" t="n">
        <v>1285.41</v>
      </c>
      <c r="R167" s="13" t="n">
        <v>1285.41</v>
      </c>
      <c r="S167" s="13" t="n">
        <v>1285.41</v>
      </c>
      <c r="T167" s="13" t="n">
        <v>1285.41</v>
      </c>
      <c r="U167" s="13" t="n">
        <v>350</v>
      </c>
      <c r="V167" s="13" t="n">
        <v>250</v>
      </c>
      <c r="W167" s="13" t="n">
        <f aca="false">U167+V167</f>
        <v>600</v>
      </c>
    </row>
    <row r="168" customFormat="false" ht="15" hidden="false" customHeight="false" outlineLevel="0" collapsed="false">
      <c r="A168" s="14" t="s">
        <v>1008</v>
      </c>
      <c r="B168" s="14" t="s">
        <v>834</v>
      </c>
      <c r="C168" s="14" t="s">
        <v>878</v>
      </c>
      <c r="D168" s="14" t="s">
        <v>99</v>
      </c>
      <c r="E168" s="15" t="n">
        <v>415000</v>
      </c>
      <c r="F168" s="15" t="n">
        <v>11868.01</v>
      </c>
      <c r="G168" s="15" t="n">
        <v>1483.5</v>
      </c>
      <c r="H168" s="15" t="n">
        <v>1483.5</v>
      </c>
      <c r="I168" s="15" t="n">
        <f aca="false">SUM(K168:T168)</f>
        <v>8901</v>
      </c>
      <c r="J168" s="15" t="n">
        <f aca="false">F168-(G168+H168+I168)</f>
        <v>0.0100000000002183</v>
      </c>
      <c r="K168" s="15" t="n">
        <v>890.1</v>
      </c>
      <c r="L168" s="15" t="n">
        <v>890.1</v>
      </c>
      <c r="M168" s="15" t="n">
        <v>890.1</v>
      </c>
      <c r="N168" s="15" t="n">
        <v>890.1</v>
      </c>
      <c r="O168" s="15" t="n">
        <v>890.1</v>
      </c>
      <c r="P168" s="15" t="n">
        <v>890.1</v>
      </c>
      <c r="Q168" s="15" t="n">
        <v>890.1</v>
      </c>
      <c r="R168" s="15" t="n">
        <v>890.1</v>
      </c>
      <c r="S168" s="15" t="n">
        <v>890.1</v>
      </c>
      <c r="T168" s="15" t="n">
        <v>890.1</v>
      </c>
      <c r="U168" s="15" t="n">
        <v>350</v>
      </c>
      <c r="V168" s="15" t="n">
        <v>0</v>
      </c>
      <c r="W168" s="15" t="n">
        <f aca="false">U168+V168</f>
        <v>350</v>
      </c>
    </row>
    <row r="169" customFormat="false" ht="15" hidden="false" customHeight="false" outlineLevel="0" collapsed="false">
      <c r="A169" s="3" t="s">
        <v>1009</v>
      </c>
      <c r="B169" s="3" t="s">
        <v>834</v>
      </c>
      <c r="C169" s="3" t="s">
        <v>1010</v>
      </c>
      <c r="D169" s="3" t="s">
        <v>352</v>
      </c>
      <c r="E169" s="13" t="n">
        <v>790000</v>
      </c>
      <c r="F169" s="13" t="n">
        <v>10609.91</v>
      </c>
      <c r="G169" s="13" t="n">
        <v>1326.24</v>
      </c>
      <c r="H169" s="13" t="n">
        <v>1326.24</v>
      </c>
      <c r="I169" s="13" t="n">
        <f aca="false">SUM(K169:T169)</f>
        <v>7957.4</v>
      </c>
      <c r="J169" s="13" t="n">
        <f aca="false">F169-(G169+H169+I169)</f>
        <v>0.0300000000006548</v>
      </c>
      <c r="K169" s="13" t="n">
        <v>795.74</v>
      </c>
      <c r="L169" s="13" t="n">
        <v>795.74</v>
      </c>
      <c r="M169" s="13" t="n">
        <v>795.74</v>
      </c>
      <c r="N169" s="13" t="n">
        <v>795.74</v>
      </c>
      <c r="O169" s="13" t="n">
        <v>795.74</v>
      </c>
      <c r="P169" s="13" t="n">
        <v>795.74</v>
      </c>
      <c r="Q169" s="13" t="n">
        <v>795.74</v>
      </c>
      <c r="R169" s="13" t="n">
        <v>795.74</v>
      </c>
      <c r="S169" s="13" t="n">
        <v>795.74</v>
      </c>
      <c r="T169" s="13" t="n">
        <v>795.74</v>
      </c>
      <c r="U169" s="13" t="n">
        <v>350</v>
      </c>
      <c r="V169" s="13" t="n">
        <v>0</v>
      </c>
      <c r="W169" s="13" t="n">
        <f aca="false">U169+V169</f>
        <v>350</v>
      </c>
    </row>
    <row r="170" customFormat="false" ht="15" hidden="false" customHeight="false" outlineLevel="0" collapsed="false">
      <c r="A170" s="14" t="s">
        <v>1011</v>
      </c>
      <c r="B170" s="14" t="s">
        <v>826</v>
      </c>
      <c r="C170" s="14" t="s">
        <v>1012</v>
      </c>
      <c r="D170" s="14" t="s">
        <v>138</v>
      </c>
      <c r="E170" s="15" t="n">
        <v>375000</v>
      </c>
      <c r="F170" s="15" t="n">
        <v>9068.17</v>
      </c>
      <c r="G170" s="15" t="n">
        <v>1133.52</v>
      </c>
      <c r="H170" s="15" t="n">
        <v>1133.52</v>
      </c>
      <c r="I170" s="15" t="n">
        <f aca="false">SUM(K170:T170)</f>
        <v>6801.1</v>
      </c>
      <c r="J170" s="15" t="n">
        <f aca="false">F170-(G170+H170+I170)</f>
        <v>0.0300000000006548</v>
      </c>
      <c r="K170" s="15" t="n">
        <v>680.11</v>
      </c>
      <c r="L170" s="15" t="n">
        <v>680.11</v>
      </c>
      <c r="M170" s="15" t="n">
        <v>680.11</v>
      </c>
      <c r="N170" s="15" t="n">
        <v>680.11</v>
      </c>
      <c r="O170" s="15" t="n">
        <v>680.11</v>
      </c>
      <c r="P170" s="15" t="n">
        <v>680.11</v>
      </c>
      <c r="Q170" s="15" t="n">
        <v>680.11</v>
      </c>
      <c r="R170" s="15" t="n">
        <v>680.11</v>
      </c>
      <c r="S170" s="15" t="n">
        <v>680.11</v>
      </c>
      <c r="T170" s="15" t="n">
        <v>680.11</v>
      </c>
      <c r="U170" s="15" t="n">
        <v>350</v>
      </c>
      <c r="V170" s="15" t="n">
        <v>0</v>
      </c>
      <c r="W170" s="15" t="n">
        <f aca="false">U170+V170</f>
        <v>350</v>
      </c>
    </row>
    <row r="171" customFormat="false" ht="15" hidden="false" customHeight="false" outlineLevel="0" collapsed="false">
      <c r="A171" s="3" t="s">
        <v>1013</v>
      </c>
      <c r="B171" s="3" t="s">
        <v>860</v>
      </c>
      <c r="C171" s="3" t="s">
        <v>891</v>
      </c>
      <c r="D171" s="3" t="s">
        <v>279</v>
      </c>
      <c r="E171" s="13" t="n">
        <v>665000</v>
      </c>
      <c r="F171" s="13" t="n">
        <v>10511.86</v>
      </c>
      <c r="G171" s="13" t="n">
        <v>1313.98</v>
      </c>
      <c r="H171" s="13" t="n">
        <v>1313.98</v>
      </c>
      <c r="I171" s="13" t="n">
        <f aca="false">SUM(K171:T171)</f>
        <v>7883.9</v>
      </c>
      <c r="J171" s="13" t="n">
        <f aca="false">F171-(G171+H171+I171)</f>
        <v>0</v>
      </c>
      <c r="K171" s="13" t="n">
        <v>788.39</v>
      </c>
      <c r="L171" s="13" t="n">
        <v>788.39</v>
      </c>
      <c r="M171" s="13" t="n">
        <v>788.39</v>
      </c>
      <c r="N171" s="13" t="n">
        <v>788.39</v>
      </c>
      <c r="O171" s="13" t="n">
        <v>788.39</v>
      </c>
      <c r="P171" s="13" t="n">
        <v>788.39</v>
      </c>
      <c r="Q171" s="13" t="n">
        <v>788.39</v>
      </c>
      <c r="R171" s="13" t="n">
        <v>788.39</v>
      </c>
      <c r="S171" s="13" t="n">
        <v>788.39</v>
      </c>
      <c r="T171" s="13" t="n">
        <v>788.39</v>
      </c>
      <c r="U171" s="13" t="n">
        <v>350</v>
      </c>
      <c r="V171" s="13" t="n">
        <v>0</v>
      </c>
      <c r="W171" s="13" t="n">
        <f aca="false">U171+V171</f>
        <v>350</v>
      </c>
    </row>
    <row r="172" customFormat="false" ht="15" hidden="false" customHeight="false" outlineLevel="0" collapsed="false">
      <c r="A172" s="14" t="s">
        <v>1014</v>
      </c>
      <c r="B172" s="14" t="s">
        <v>771</v>
      </c>
      <c r="C172" s="14" t="s">
        <v>1015</v>
      </c>
      <c r="D172" s="14" t="s">
        <v>406</v>
      </c>
      <c r="E172" s="15" t="n">
        <v>485000</v>
      </c>
      <c r="F172" s="15" t="n">
        <v>7257.72</v>
      </c>
      <c r="G172" s="15" t="n">
        <v>907.22</v>
      </c>
      <c r="H172" s="15" t="n">
        <v>907.22</v>
      </c>
      <c r="I172" s="15" t="n">
        <f aca="false">SUM(K172:T172)</f>
        <v>5443.3</v>
      </c>
      <c r="J172" s="15" t="n">
        <f aca="false">F172-(G172+H172+I172)</f>
        <v>-0.0199999999995271</v>
      </c>
      <c r="K172" s="15" t="n">
        <v>544.33</v>
      </c>
      <c r="L172" s="15" t="n">
        <v>544.33</v>
      </c>
      <c r="M172" s="15" t="n">
        <v>544.33</v>
      </c>
      <c r="N172" s="15" t="n">
        <v>544.33</v>
      </c>
      <c r="O172" s="15" t="n">
        <v>544.33</v>
      </c>
      <c r="P172" s="15" t="n">
        <v>544.33</v>
      </c>
      <c r="Q172" s="15" t="n">
        <v>544.33</v>
      </c>
      <c r="R172" s="15" t="n">
        <v>544.33</v>
      </c>
      <c r="S172" s="15" t="n">
        <v>544.33</v>
      </c>
      <c r="T172" s="15" t="n">
        <v>544.33</v>
      </c>
      <c r="U172" s="15" t="n">
        <v>350</v>
      </c>
      <c r="V172" s="15" t="n">
        <v>0</v>
      </c>
      <c r="W172" s="15" t="n">
        <f aca="false">U172+V172</f>
        <v>350</v>
      </c>
    </row>
    <row r="173" customFormat="false" ht="15" hidden="false" customHeight="false" outlineLevel="0" collapsed="false">
      <c r="A173" s="3" t="s">
        <v>1016</v>
      </c>
      <c r="B173" s="3" t="s">
        <v>779</v>
      </c>
      <c r="C173" s="3" t="s">
        <v>1017</v>
      </c>
      <c r="D173" s="3" t="s">
        <v>197</v>
      </c>
      <c r="E173" s="13" t="n">
        <v>1640000</v>
      </c>
      <c r="F173" s="13" t="n">
        <v>22226.55</v>
      </c>
      <c r="G173" s="13" t="n">
        <v>2778.32</v>
      </c>
      <c r="H173" s="13" t="n">
        <v>2778.32</v>
      </c>
      <c r="I173" s="13" t="n">
        <f aca="false">SUM(K173:T173)</f>
        <v>16669.9</v>
      </c>
      <c r="J173" s="13" t="n">
        <f aca="false">F173-(G173+H173+I173)</f>
        <v>0.00999999999839929</v>
      </c>
      <c r="K173" s="13" t="n">
        <v>1666.99</v>
      </c>
      <c r="L173" s="13" t="n">
        <v>1666.99</v>
      </c>
      <c r="M173" s="13" t="n">
        <v>1666.99</v>
      </c>
      <c r="N173" s="13" t="n">
        <v>1666.99</v>
      </c>
      <c r="O173" s="13" t="n">
        <v>1666.99</v>
      </c>
      <c r="P173" s="13" t="n">
        <v>1666.99</v>
      </c>
      <c r="Q173" s="13" t="n">
        <v>1666.99</v>
      </c>
      <c r="R173" s="13" t="n">
        <v>1666.99</v>
      </c>
      <c r="S173" s="13" t="n">
        <v>1666.99</v>
      </c>
      <c r="T173" s="13" t="n">
        <v>1666.99</v>
      </c>
      <c r="U173" s="13" t="n">
        <v>350</v>
      </c>
      <c r="V173" s="13" t="n">
        <v>250</v>
      </c>
      <c r="W173" s="13" t="n">
        <f aca="false">U173+V173</f>
        <v>600</v>
      </c>
    </row>
    <row r="174" customFormat="false" ht="15" hidden="false" customHeight="false" outlineLevel="0" collapsed="false">
      <c r="A174" s="14" t="s">
        <v>1018</v>
      </c>
      <c r="B174" s="14" t="s">
        <v>926</v>
      </c>
      <c r="C174" s="14" t="s">
        <v>253</v>
      </c>
      <c r="D174" s="14" t="s">
        <v>157</v>
      </c>
      <c r="E174" s="15" t="n">
        <v>255000</v>
      </c>
      <c r="F174" s="15" t="n">
        <v>5826.45</v>
      </c>
      <c r="G174" s="15" t="n">
        <v>728.31</v>
      </c>
      <c r="H174" s="15" t="n">
        <v>728.31</v>
      </c>
      <c r="I174" s="15" t="n">
        <f aca="false">SUM(K174:T174)</f>
        <v>4369.8</v>
      </c>
      <c r="J174" s="15" t="n">
        <f aca="false">F174-(G174+H174+I174)</f>
        <v>0.0299999999997453</v>
      </c>
      <c r="K174" s="15" t="n">
        <v>436.98</v>
      </c>
      <c r="L174" s="15" t="n">
        <v>436.98</v>
      </c>
      <c r="M174" s="15" t="n">
        <v>436.98</v>
      </c>
      <c r="N174" s="15" t="n">
        <v>436.98</v>
      </c>
      <c r="O174" s="15" t="n">
        <v>436.98</v>
      </c>
      <c r="P174" s="15" t="n">
        <v>436.98</v>
      </c>
      <c r="Q174" s="15" t="n">
        <v>436.98</v>
      </c>
      <c r="R174" s="15" t="n">
        <v>436.98</v>
      </c>
      <c r="S174" s="15" t="n">
        <v>436.98</v>
      </c>
      <c r="T174" s="15" t="n">
        <v>436.98</v>
      </c>
      <c r="U174" s="15" t="n">
        <v>350</v>
      </c>
      <c r="V174" s="15" t="n">
        <v>0</v>
      </c>
      <c r="W174" s="15" t="n">
        <f aca="false">U174+V174</f>
        <v>350</v>
      </c>
    </row>
    <row r="175" customFormat="false" ht="15" hidden="false" customHeight="false" outlineLevel="0" collapsed="false">
      <c r="A175" s="3" t="s">
        <v>1019</v>
      </c>
      <c r="B175" s="3" t="s">
        <v>744</v>
      </c>
      <c r="C175" s="3" t="s">
        <v>562</v>
      </c>
      <c r="D175" s="3" t="s">
        <v>121</v>
      </c>
      <c r="E175" s="13" t="n">
        <v>785000</v>
      </c>
      <c r="F175" s="13" t="n">
        <v>11382.45</v>
      </c>
      <c r="G175" s="13" t="n">
        <v>1422.81</v>
      </c>
      <c r="H175" s="13" t="n">
        <v>1422.81</v>
      </c>
      <c r="I175" s="13" t="n">
        <f aca="false">SUM(K175:T175)</f>
        <v>8536.8</v>
      </c>
      <c r="J175" s="13" t="n">
        <f aca="false">F175-(G175+H175+I175)</f>
        <v>0.0300000000024738</v>
      </c>
      <c r="K175" s="13" t="n">
        <v>853.68</v>
      </c>
      <c r="L175" s="13" t="n">
        <v>853.68</v>
      </c>
      <c r="M175" s="13" t="n">
        <v>853.68</v>
      </c>
      <c r="N175" s="13" t="n">
        <v>853.68</v>
      </c>
      <c r="O175" s="13" t="n">
        <v>853.68</v>
      </c>
      <c r="P175" s="13" t="n">
        <v>853.68</v>
      </c>
      <c r="Q175" s="13" t="n">
        <v>853.68</v>
      </c>
      <c r="R175" s="13" t="n">
        <v>853.68</v>
      </c>
      <c r="S175" s="13" t="n">
        <v>853.68</v>
      </c>
      <c r="T175" s="13" t="n">
        <v>853.68</v>
      </c>
      <c r="U175" s="13" t="n">
        <v>350</v>
      </c>
      <c r="V175" s="13" t="n">
        <v>0</v>
      </c>
      <c r="W175" s="13" t="n">
        <f aca="false">U175+V175</f>
        <v>350</v>
      </c>
    </row>
    <row r="176" customFormat="false" ht="15" hidden="false" customHeight="false" outlineLevel="0" collapsed="false">
      <c r="A176" s="14" t="s">
        <v>1020</v>
      </c>
      <c r="B176" s="14" t="s">
        <v>779</v>
      </c>
      <c r="C176" s="14" t="s">
        <v>1021</v>
      </c>
      <c r="D176" s="14" t="s">
        <v>93</v>
      </c>
      <c r="E176" s="15" t="n">
        <v>235000</v>
      </c>
      <c r="F176" s="15" t="n">
        <v>5060.09</v>
      </c>
      <c r="G176" s="15" t="n">
        <v>632.51</v>
      </c>
      <c r="H176" s="15" t="n">
        <v>632.51</v>
      </c>
      <c r="I176" s="15" t="n">
        <f aca="false">SUM(K176:T176)</f>
        <v>3795.1</v>
      </c>
      <c r="J176" s="15" t="n">
        <f aca="false">F176-(G176+H176+I176)</f>
        <v>-0.0300000000006548</v>
      </c>
      <c r="K176" s="15" t="n">
        <v>379.51</v>
      </c>
      <c r="L176" s="15" t="n">
        <v>379.51</v>
      </c>
      <c r="M176" s="15" t="n">
        <v>379.51</v>
      </c>
      <c r="N176" s="15" t="n">
        <v>379.51</v>
      </c>
      <c r="O176" s="15" t="n">
        <v>379.51</v>
      </c>
      <c r="P176" s="15" t="n">
        <v>379.51</v>
      </c>
      <c r="Q176" s="15" t="n">
        <v>379.51</v>
      </c>
      <c r="R176" s="15" t="n">
        <v>379.51</v>
      </c>
      <c r="S176" s="15" t="n">
        <v>379.51</v>
      </c>
      <c r="T176" s="15" t="n">
        <v>379.51</v>
      </c>
      <c r="U176" s="15" t="n">
        <v>350</v>
      </c>
      <c r="V176" s="15" t="n">
        <v>0</v>
      </c>
      <c r="W176" s="15" t="n">
        <f aca="false">U176+V176</f>
        <v>350</v>
      </c>
    </row>
    <row r="177" customFormat="false" ht="15" hidden="false" customHeight="false" outlineLevel="0" collapsed="false">
      <c r="A177" s="3" t="s">
        <v>1022</v>
      </c>
      <c r="B177" s="3" t="s">
        <v>748</v>
      </c>
      <c r="C177" s="3" t="s">
        <v>1023</v>
      </c>
      <c r="D177" s="3" t="s">
        <v>125</v>
      </c>
      <c r="E177" s="13" t="n">
        <v>655000</v>
      </c>
      <c r="F177" s="13" t="n">
        <v>7473.41</v>
      </c>
      <c r="G177" s="13" t="n">
        <v>934.18</v>
      </c>
      <c r="H177" s="13" t="n">
        <v>934.18</v>
      </c>
      <c r="I177" s="13" t="n">
        <f aca="false">SUM(K177:T177)</f>
        <v>5605.1</v>
      </c>
      <c r="J177" s="13" t="n">
        <f aca="false">F177-(G177+H177+I177)</f>
        <v>-0.0500000000001819</v>
      </c>
      <c r="K177" s="13" t="n">
        <v>560.51</v>
      </c>
      <c r="L177" s="13" t="n">
        <v>560.51</v>
      </c>
      <c r="M177" s="13" t="n">
        <v>560.51</v>
      </c>
      <c r="N177" s="13" t="n">
        <v>560.51</v>
      </c>
      <c r="O177" s="13" t="n">
        <v>560.51</v>
      </c>
      <c r="P177" s="13" t="n">
        <v>560.51</v>
      </c>
      <c r="Q177" s="13" t="n">
        <v>560.51</v>
      </c>
      <c r="R177" s="13" t="n">
        <v>560.51</v>
      </c>
      <c r="S177" s="13" t="n">
        <v>560.51</v>
      </c>
      <c r="T177" s="13" t="n">
        <v>560.51</v>
      </c>
      <c r="U177" s="13" t="n">
        <v>350</v>
      </c>
      <c r="V177" s="13" t="n">
        <v>0</v>
      </c>
      <c r="W177" s="13" t="n">
        <f aca="false">U177+V177</f>
        <v>350</v>
      </c>
    </row>
    <row r="178" customFormat="false" ht="15" hidden="false" customHeight="false" outlineLevel="0" collapsed="false">
      <c r="A178" s="14" t="s">
        <v>1024</v>
      </c>
      <c r="B178" s="14" t="s">
        <v>786</v>
      </c>
      <c r="C178" s="14" t="s">
        <v>604</v>
      </c>
      <c r="D178" s="14" t="s">
        <v>81</v>
      </c>
      <c r="E178" s="15" t="n">
        <v>1170000</v>
      </c>
      <c r="F178" s="15" t="n">
        <v>21906.78</v>
      </c>
      <c r="G178" s="15" t="n">
        <v>2738.35</v>
      </c>
      <c r="H178" s="15" t="n">
        <v>2738.35</v>
      </c>
      <c r="I178" s="15" t="n">
        <f aca="false">SUM(K178:T178)</f>
        <v>16430.1</v>
      </c>
      <c r="J178" s="15" t="n">
        <f aca="false">F178-(G178+H178+I178)</f>
        <v>-0.0200000000004366</v>
      </c>
      <c r="K178" s="15" t="n">
        <v>1643.01</v>
      </c>
      <c r="L178" s="15" t="n">
        <v>1643.01</v>
      </c>
      <c r="M178" s="15" t="n">
        <v>1643.01</v>
      </c>
      <c r="N178" s="15" t="n">
        <v>1643.01</v>
      </c>
      <c r="O178" s="15" t="n">
        <v>1643.01</v>
      </c>
      <c r="P178" s="15" t="n">
        <v>1643.01</v>
      </c>
      <c r="Q178" s="15" t="n">
        <v>1643.01</v>
      </c>
      <c r="R178" s="15" t="n">
        <v>1643.01</v>
      </c>
      <c r="S178" s="15" t="n">
        <v>1643.01</v>
      </c>
      <c r="T178" s="15" t="n">
        <v>1643.01</v>
      </c>
      <c r="U178" s="15" t="n">
        <v>350</v>
      </c>
      <c r="V178" s="15" t="n">
        <v>250</v>
      </c>
      <c r="W178" s="15" t="n">
        <f aca="false">U178+V178</f>
        <v>600</v>
      </c>
    </row>
    <row r="179" customFormat="false" ht="15" hidden="false" customHeight="false" outlineLevel="0" collapsed="false">
      <c r="A179" s="8" t="s">
        <v>459</v>
      </c>
      <c r="E179" s="9" t="n">
        <f aca="false">SUM(E5:E178)</f>
        <v>125450000</v>
      </c>
      <c r="F179" s="9" t="n">
        <f aca="false">SUM(F5:F178)</f>
        <v>1980619.67</v>
      </c>
      <c r="G179" s="9" t="n">
        <f aca="false">SUM(G5:G178)</f>
        <v>247577.48</v>
      </c>
      <c r="H179" s="9" t="n">
        <f aca="false">SUM(H5:H178)</f>
        <v>247577.48</v>
      </c>
      <c r="I179" s="9" t="n">
        <f aca="false">SUM(I5:I178)</f>
        <v>1485464.6</v>
      </c>
      <c r="J179" s="9" t="n">
        <f aca="false">SUM(J5:J178)</f>
        <v>0.110000000025138</v>
      </c>
      <c r="K179" s="9" t="n">
        <f aca="false">SUM(K5:K178)</f>
        <v>148546.46</v>
      </c>
      <c r="L179" s="9" t="n">
        <f aca="false">SUM(L5:L178)</f>
        <v>148546.46</v>
      </c>
      <c r="M179" s="9" t="n">
        <f aca="false">SUM(M5:M178)</f>
        <v>148546.46</v>
      </c>
      <c r="N179" s="9" t="n">
        <f aca="false">SUM(N5:N178)</f>
        <v>148546.46</v>
      </c>
      <c r="O179" s="9" t="n">
        <f aca="false">SUM(O5:O178)</f>
        <v>148546.46</v>
      </c>
      <c r="P179" s="9" t="n">
        <f aca="false">SUM(P5:P178)</f>
        <v>148546.46</v>
      </c>
      <c r="Q179" s="9" t="n">
        <f aca="false">SUM(Q5:Q178)</f>
        <v>148546.46</v>
      </c>
      <c r="R179" s="9" t="n">
        <f aca="false">SUM(R5:R178)</f>
        <v>148546.46</v>
      </c>
      <c r="S179" s="9" t="n">
        <f aca="false">SUM(S5:S178)</f>
        <v>148546.46</v>
      </c>
      <c r="T179" s="9" t="n">
        <f aca="false">SUM(T5:T178)</f>
        <v>148546.46</v>
      </c>
      <c r="U179" s="9" t="n">
        <f aca="false">SUM(U5:U178)</f>
        <v>60900</v>
      </c>
      <c r="V179" s="9" t="n">
        <f aca="false">SUM(V5:V178)</f>
        <v>9750</v>
      </c>
      <c r="W179" s="9" t="n">
        <f aca="false">SUM(W5:W178)</f>
        <v>70650</v>
      </c>
    </row>
    <row r="180" customFormat="false" ht="15" hidden="false" customHeight="false" outlineLevel="0" collapsed="false">
      <c r="A180" s="4" t="s">
        <v>460</v>
      </c>
      <c r="F180" s="16" t="n">
        <f aca="false">F179-(G179+H179+I179+J179)</f>
        <v>0</v>
      </c>
    </row>
    <row r="181" customFormat="false" ht="15" hidden="false" customHeight="false" outlineLevel="0" collapsed="false">
      <c r="A181" s="4" t="s">
        <v>461</v>
      </c>
      <c r="I181" s="16" t="n">
        <f aca="false">I179-SUM(K179:T179)</f>
        <v>0</v>
      </c>
    </row>
  </sheetData>
  <autoFilter ref="A4:W17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21" min="11" style="0" width="11"/>
    <col collapsed="false" customWidth="true" hidden="false" outlineLevel="0" max="22" min="22" style="0" width="13"/>
    <col collapsed="false" customWidth="true" hidden="false" outlineLevel="0" max="23" min="23" style="0" width="11"/>
  </cols>
  <sheetData>
    <row r="1" customFormat="false" ht="17.35" hidden="false" customHeight="false" outlineLevel="0" collapsed="false">
      <c r="A1" s="1" t="s">
        <v>1025</v>
      </c>
    </row>
    <row r="2" customFormat="false" ht="15" hidden="false" customHeight="false" outlineLevel="0" collapsed="false">
      <c r="A2" s="4" t="s">
        <v>60</v>
      </c>
    </row>
    <row r="4" customFormat="false" ht="15" hidden="false" customHeight="false" outlineLevel="0" collapsed="false">
      <c r="A4" s="5" t="s">
        <v>61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15</v>
      </c>
      <c r="G4" s="5" t="s">
        <v>16</v>
      </c>
      <c r="H4" s="5" t="s">
        <v>17</v>
      </c>
      <c r="I4" s="5" t="s">
        <v>18</v>
      </c>
      <c r="J4" s="5" t="s">
        <v>19</v>
      </c>
      <c r="K4" s="5" t="s">
        <v>20</v>
      </c>
      <c r="L4" s="5" t="s">
        <v>21</v>
      </c>
      <c r="M4" s="5" t="s">
        <v>22</v>
      </c>
      <c r="N4" s="5" t="s">
        <v>23</v>
      </c>
      <c r="O4" s="5" t="s">
        <v>24</v>
      </c>
      <c r="P4" s="5" t="s">
        <v>25</v>
      </c>
      <c r="Q4" s="5" t="s">
        <v>26</v>
      </c>
      <c r="R4" s="5" t="s">
        <v>27</v>
      </c>
      <c r="S4" s="5" t="s">
        <v>28</v>
      </c>
      <c r="T4" s="5" t="s">
        <v>29</v>
      </c>
      <c r="U4" s="5" t="s">
        <v>30</v>
      </c>
      <c r="V4" s="5" t="s">
        <v>31</v>
      </c>
      <c r="W4" s="5" t="s">
        <v>32</v>
      </c>
    </row>
    <row r="5" customFormat="false" ht="15" hidden="false" customHeight="false" outlineLevel="0" collapsed="false">
      <c r="A5" s="3" t="s">
        <v>1026</v>
      </c>
      <c r="B5" s="3" t="s">
        <v>1027</v>
      </c>
      <c r="C5" s="3" t="s">
        <v>970</v>
      </c>
      <c r="D5" s="3" t="s">
        <v>448</v>
      </c>
      <c r="E5" s="13" t="n">
        <v>1340000</v>
      </c>
      <c r="F5" s="13" t="n">
        <v>16755.15</v>
      </c>
      <c r="G5" s="13" t="n">
        <v>2094.39</v>
      </c>
      <c r="H5" s="13" t="n">
        <v>2094.39</v>
      </c>
      <c r="I5" s="13" t="n">
        <f aca="false">SUM(K5:T5)</f>
        <v>12566.4</v>
      </c>
      <c r="J5" s="13" t="n">
        <f aca="false">F5-(G5+H5+I5)</f>
        <v>-0.0299999999988358</v>
      </c>
      <c r="K5" s="13" t="n">
        <v>1256.64</v>
      </c>
      <c r="L5" s="13" t="n">
        <v>1256.64</v>
      </c>
      <c r="M5" s="13" t="n">
        <v>1256.64</v>
      </c>
      <c r="N5" s="13" t="n">
        <v>1256.64</v>
      </c>
      <c r="O5" s="13" t="n">
        <v>1256.64</v>
      </c>
      <c r="P5" s="13" t="n">
        <v>1256.64</v>
      </c>
      <c r="Q5" s="13" t="n">
        <v>1256.64</v>
      </c>
      <c r="R5" s="13" t="n">
        <v>1256.64</v>
      </c>
      <c r="S5" s="13" t="n">
        <v>1256.64</v>
      </c>
      <c r="T5" s="13" t="n">
        <v>1256.64</v>
      </c>
      <c r="U5" s="13" t="n">
        <v>350</v>
      </c>
      <c r="V5" s="13" t="n">
        <v>250</v>
      </c>
      <c r="W5" s="13" t="n">
        <f aca="false">U5+V5</f>
        <v>600</v>
      </c>
    </row>
    <row r="6" customFormat="false" ht="15" hidden="false" customHeight="false" outlineLevel="0" collapsed="false">
      <c r="A6" s="14" t="s">
        <v>1028</v>
      </c>
      <c r="B6" s="14" t="s">
        <v>1029</v>
      </c>
      <c r="C6" s="14" t="s">
        <v>477</v>
      </c>
      <c r="D6" s="14" t="s">
        <v>377</v>
      </c>
      <c r="E6" s="15" t="n">
        <v>270000</v>
      </c>
      <c r="F6" s="15" t="n">
        <v>4707.15</v>
      </c>
      <c r="G6" s="15" t="n">
        <v>588.39</v>
      </c>
      <c r="H6" s="15" t="n">
        <v>588.39</v>
      </c>
      <c r="I6" s="15" t="n">
        <f aca="false">SUM(K6:T6)</f>
        <v>3530.4</v>
      </c>
      <c r="J6" s="15" t="n">
        <f aca="false">F6-(G6+H6+I6)</f>
        <v>-0.0300000000006548</v>
      </c>
      <c r="K6" s="15" t="n">
        <v>353.04</v>
      </c>
      <c r="L6" s="15" t="n">
        <v>353.04</v>
      </c>
      <c r="M6" s="15" t="n">
        <v>353.04</v>
      </c>
      <c r="N6" s="15" t="n">
        <v>353.04</v>
      </c>
      <c r="O6" s="15" t="n">
        <v>353.04</v>
      </c>
      <c r="P6" s="15" t="n">
        <v>353.04</v>
      </c>
      <c r="Q6" s="15" t="n">
        <v>353.04</v>
      </c>
      <c r="R6" s="15" t="n">
        <v>353.04</v>
      </c>
      <c r="S6" s="15" t="n">
        <v>353.04</v>
      </c>
      <c r="T6" s="15" t="n">
        <v>353.04</v>
      </c>
      <c r="U6" s="15" t="n">
        <v>350</v>
      </c>
      <c r="V6" s="15" t="n">
        <v>0</v>
      </c>
      <c r="W6" s="15" t="n">
        <f aca="false">U6+V6</f>
        <v>350</v>
      </c>
    </row>
    <row r="7" customFormat="false" ht="15" hidden="false" customHeight="false" outlineLevel="0" collapsed="false">
      <c r="A7" s="3" t="s">
        <v>1030</v>
      </c>
      <c r="B7" s="3" t="s">
        <v>1031</v>
      </c>
      <c r="C7" s="3" t="s">
        <v>523</v>
      </c>
      <c r="D7" s="3" t="s">
        <v>298</v>
      </c>
      <c r="E7" s="13" t="n">
        <v>1630000</v>
      </c>
      <c r="F7" s="13" t="n">
        <v>13538.5</v>
      </c>
      <c r="G7" s="13" t="n">
        <v>1692.31</v>
      </c>
      <c r="H7" s="13" t="n">
        <v>1692.31</v>
      </c>
      <c r="I7" s="13" t="n">
        <f aca="false">SUM(K7:T7)</f>
        <v>10153.9</v>
      </c>
      <c r="J7" s="13" t="n">
        <f aca="false">F7-(G7+H7+I7)</f>
        <v>-0.0200000000004366</v>
      </c>
      <c r="K7" s="13" t="n">
        <v>1015.39</v>
      </c>
      <c r="L7" s="13" t="n">
        <v>1015.39</v>
      </c>
      <c r="M7" s="13" t="n">
        <v>1015.39</v>
      </c>
      <c r="N7" s="13" t="n">
        <v>1015.39</v>
      </c>
      <c r="O7" s="13" t="n">
        <v>1015.39</v>
      </c>
      <c r="P7" s="13" t="n">
        <v>1015.39</v>
      </c>
      <c r="Q7" s="13" t="n">
        <v>1015.39</v>
      </c>
      <c r="R7" s="13" t="n">
        <v>1015.39</v>
      </c>
      <c r="S7" s="13" t="n">
        <v>1015.39</v>
      </c>
      <c r="T7" s="13" t="n">
        <v>1015.39</v>
      </c>
      <c r="U7" s="13" t="n">
        <v>350</v>
      </c>
      <c r="V7" s="13" t="n">
        <v>250</v>
      </c>
      <c r="W7" s="13" t="n">
        <f aca="false">U7+V7</f>
        <v>600</v>
      </c>
    </row>
    <row r="8" customFormat="false" ht="15" hidden="false" customHeight="false" outlineLevel="0" collapsed="false">
      <c r="A8" s="14" t="s">
        <v>1032</v>
      </c>
      <c r="B8" s="14" t="s">
        <v>1033</v>
      </c>
      <c r="C8" s="14" t="s">
        <v>742</v>
      </c>
      <c r="D8" s="14" t="s">
        <v>93</v>
      </c>
      <c r="E8" s="15" t="n">
        <v>1950000</v>
      </c>
      <c r="F8" s="15" t="n">
        <v>34638.83</v>
      </c>
      <c r="G8" s="15" t="n">
        <v>4329.85</v>
      </c>
      <c r="H8" s="15" t="n">
        <v>4329.85</v>
      </c>
      <c r="I8" s="15" t="n">
        <f aca="false">SUM(K8:T8)</f>
        <v>25979.1</v>
      </c>
      <c r="J8" s="15" t="n">
        <f aca="false">F8-(G8+H8+I8)</f>
        <v>0.0299999999988358</v>
      </c>
      <c r="K8" s="15" t="n">
        <v>2597.91</v>
      </c>
      <c r="L8" s="15" t="n">
        <v>2597.91</v>
      </c>
      <c r="M8" s="15" t="n">
        <v>2597.91</v>
      </c>
      <c r="N8" s="15" t="n">
        <v>2597.91</v>
      </c>
      <c r="O8" s="15" t="n">
        <v>2597.91</v>
      </c>
      <c r="P8" s="15" t="n">
        <v>2597.91</v>
      </c>
      <c r="Q8" s="15" t="n">
        <v>2597.91</v>
      </c>
      <c r="R8" s="15" t="n">
        <v>2597.91</v>
      </c>
      <c r="S8" s="15" t="n">
        <v>2597.91</v>
      </c>
      <c r="T8" s="15" t="n">
        <v>2597.91</v>
      </c>
      <c r="U8" s="15" t="n">
        <v>350</v>
      </c>
      <c r="V8" s="15" t="n">
        <v>250</v>
      </c>
      <c r="W8" s="15" t="n">
        <f aca="false">U8+V8</f>
        <v>600</v>
      </c>
    </row>
    <row r="9" customFormat="false" ht="15" hidden="false" customHeight="false" outlineLevel="0" collapsed="false">
      <c r="A9" s="3" t="s">
        <v>1034</v>
      </c>
      <c r="B9" s="3" t="s">
        <v>1035</v>
      </c>
      <c r="C9" s="3" t="s">
        <v>686</v>
      </c>
      <c r="D9" s="3" t="s">
        <v>132</v>
      </c>
      <c r="E9" s="13" t="n">
        <v>1090000</v>
      </c>
      <c r="F9" s="13" t="n">
        <v>10399.63</v>
      </c>
      <c r="G9" s="13" t="n">
        <v>1299.95</v>
      </c>
      <c r="H9" s="13" t="n">
        <v>1299.95</v>
      </c>
      <c r="I9" s="13" t="n">
        <f aca="false">SUM(K9:T9)</f>
        <v>7799.7</v>
      </c>
      <c r="J9" s="13" t="n">
        <f aca="false">F9-(G9+H9+I9)</f>
        <v>0.0299999999988358</v>
      </c>
      <c r="K9" s="13" t="n">
        <v>779.97</v>
      </c>
      <c r="L9" s="13" t="n">
        <v>779.97</v>
      </c>
      <c r="M9" s="13" t="n">
        <v>779.97</v>
      </c>
      <c r="N9" s="13" t="n">
        <v>779.97</v>
      </c>
      <c r="O9" s="13" t="n">
        <v>779.97</v>
      </c>
      <c r="P9" s="13" t="n">
        <v>779.97</v>
      </c>
      <c r="Q9" s="13" t="n">
        <v>779.97</v>
      </c>
      <c r="R9" s="13" t="n">
        <v>779.97</v>
      </c>
      <c r="S9" s="13" t="n">
        <v>779.97</v>
      </c>
      <c r="T9" s="13" t="n">
        <v>779.97</v>
      </c>
      <c r="U9" s="13" t="n">
        <v>350</v>
      </c>
      <c r="V9" s="13" t="n">
        <v>250</v>
      </c>
      <c r="W9" s="13" t="n">
        <f aca="false">U9+V9</f>
        <v>600</v>
      </c>
    </row>
    <row r="10" customFormat="false" ht="15" hidden="false" customHeight="false" outlineLevel="0" collapsed="false">
      <c r="A10" s="14" t="s">
        <v>1036</v>
      </c>
      <c r="B10" s="14" t="s">
        <v>1037</v>
      </c>
      <c r="C10" s="14" t="s">
        <v>905</v>
      </c>
      <c r="D10" s="14" t="s">
        <v>77</v>
      </c>
      <c r="E10" s="15" t="n">
        <v>335000</v>
      </c>
      <c r="F10" s="15" t="n">
        <v>5535.27</v>
      </c>
      <c r="G10" s="15" t="n">
        <v>691.91</v>
      </c>
      <c r="H10" s="15" t="n">
        <v>691.91</v>
      </c>
      <c r="I10" s="15" t="n">
        <f aca="false">SUM(K10:T10)</f>
        <v>4151.5</v>
      </c>
      <c r="J10" s="15" t="n">
        <f aca="false">F10-(G10+H10+I10)</f>
        <v>-0.0499999999992724</v>
      </c>
      <c r="K10" s="15" t="n">
        <v>415.15</v>
      </c>
      <c r="L10" s="15" t="n">
        <v>415.15</v>
      </c>
      <c r="M10" s="15" t="n">
        <v>415.15</v>
      </c>
      <c r="N10" s="15" t="n">
        <v>415.15</v>
      </c>
      <c r="O10" s="15" t="n">
        <v>415.15</v>
      </c>
      <c r="P10" s="15" t="n">
        <v>415.15</v>
      </c>
      <c r="Q10" s="15" t="n">
        <v>415.15</v>
      </c>
      <c r="R10" s="15" t="n">
        <v>415.15</v>
      </c>
      <c r="S10" s="15" t="n">
        <v>415.15</v>
      </c>
      <c r="T10" s="15" t="n">
        <v>415.15</v>
      </c>
      <c r="U10" s="15" t="n">
        <v>350</v>
      </c>
      <c r="V10" s="15" t="n">
        <v>0</v>
      </c>
      <c r="W10" s="15" t="n">
        <f aca="false">U10+V10</f>
        <v>350</v>
      </c>
    </row>
    <row r="11" customFormat="false" ht="15" hidden="false" customHeight="false" outlineLevel="0" collapsed="false">
      <c r="A11" s="3" t="s">
        <v>1038</v>
      </c>
      <c r="B11" s="3" t="s">
        <v>1039</v>
      </c>
      <c r="C11" s="3" t="s">
        <v>681</v>
      </c>
      <c r="D11" s="3" t="s">
        <v>115</v>
      </c>
      <c r="E11" s="13" t="n">
        <v>1015000</v>
      </c>
      <c r="F11" s="13" t="n">
        <v>15804.38</v>
      </c>
      <c r="G11" s="13" t="n">
        <v>1975.55</v>
      </c>
      <c r="H11" s="13" t="n">
        <v>1975.55</v>
      </c>
      <c r="I11" s="13" t="n">
        <f aca="false">SUM(K11:T11)</f>
        <v>11853.3</v>
      </c>
      <c r="J11" s="13" t="n">
        <f aca="false">F11-(G11+H11+I11)</f>
        <v>-0.0200000000004366</v>
      </c>
      <c r="K11" s="13" t="n">
        <v>1185.33</v>
      </c>
      <c r="L11" s="13" t="n">
        <v>1185.33</v>
      </c>
      <c r="M11" s="13" t="n">
        <v>1185.33</v>
      </c>
      <c r="N11" s="13" t="n">
        <v>1185.33</v>
      </c>
      <c r="O11" s="13" t="n">
        <v>1185.33</v>
      </c>
      <c r="P11" s="13" t="n">
        <v>1185.33</v>
      </c>
      <c r="Q11" s="13" t="n">
        <v>1185.33</v>
      </c>
      <c r="R11" s="13" t="n">
        <v>1185.33</v>
      </c>
      <c r="S11" s="13" t="n">
        <v>1185.33</v>
      </c>
      <c r="T11" s="13" t="n">
        <v>1185.33</v>
      </c>
      <c r="U11" s="13" t="n">
        <v>350</v>
      </c>
      <c r="V11" s="13" t="n">
        <v>250</v>
      </c>
      <c r="W11" s="13" t="n">
        <f aca="false">U11+V11</f>
        <v>600</v>
      </c>
    </row>
    <row r="12" customFormat="false" ht="15" hidden="false" customHeight="false" outlineLevel="0" collapsed="false">
      <c r="A12" s="14" t="s">
        <v>1040</v>
      </c>
      <c r="B12" s="14" t="s">
        <v>1041</v>
      </c>
      <c r="C12" s="14" t="s">
        <v>135</v>
      </c>
      <c r="D12" s="14" t="s">
        <v>89</v>
      </c>
      <c r="E12" s="15" t="n">
        <v>865000</v>
      </c>
      <c r="F12" s="15" t="n">
        <v>13167.15</v>
      </c>
      <c r="G12" s="15" t="n">
        <v>1645.89</v>
      </c>
      <c r="H12" s="15" t="n">
        <v>1645.89</v>
      </c>
      <c r="I12" s="15" t="n">
        <f aca="false">SUM(K12:T12)</f>
        <v>9875.4</v>
      </c>
      <c r="J12" s="15" t="n">
        <f aca="false">F12-(G12+H12+I12)</f>
        <v>-0.0300000000024738</v>
      </c>
      <c r="K12" s="15" t="n">
        <v>987.54</v>
      </c>
      <c r="L12" s="15" t="n">
        <v>987.54</v>
      </c>
      <c r="M12" s="15" t="n">
        <v>987.54</v>
      </c>
      <c r="N12" s="15" t="n">
        <v>987.54</v>
      </c>
      <c r="O12" s="15" t="n">
        <v>987.54</v>
      </c>
      <c r="P12" s="15" t="n">
        <v>987.54</v>
      </c>
      <c r="Q12" s="15" t="n">
        <v>987.54</v>
      </c>
      <c r="R12" s="15" t="n">
        <v>987.54</v>
      </c>
      <c r="S12" s="15" t="n">
        <v>987.54</v>
      </c>
      <c r="T12" s="15" t="n">
        <v>987.54</v>
      </c>
      <c r="U12" s="15" t="n">
        <v>350</v>
      </c>
      <c r="V12" s="15" t="n">
        <v>0</v>
      </c>
      <c r="W12" s="15" t="n">
        <f aca="false">U12+V12</f>
        <v>350</v>
      </c>
    </row>
    <row r="13" customFormat="false" ht="15" hidden="false" customHeight="false" outlineLevel="0" collapsed="false">
      <c r="A13" s="3" t="s">
        <v>1042</v>
      </c>
      <c r="B13" s="3" t="s">
        <v>1043</v>
      </c>
      <c r="C13" s="3" t="s">
        <v>706</v>
      </c>
      <c r="D13" s="3" t="s">
        <v>73</v>
      </c>
      <c r="E13" s="13" t="n">
        <v>330000</v>
      </c>
      <c r="F13" s="13" t="n">
        <v>5023.31</v>
      </c>
      <c r="G13" s="13" t="n">
        <v>627.91</v>
      </c>
      <c r="H13" s="13" t="n">
        <v>627.91</v>
      </c>
      <c r="I13" s="13" t="n">
        <f aca="false">SUM(K13:T13)</f>
        <v>3767.5</v>
      </c>
      <c r="J13" s="13" t="n">
        <f aca="false">F13-(G13+H13+I13)</f>
        <v>-0.00999999999930878</v>
      </c>
      <c r="K13" s="13" t="n">
        <v>376.75</v>
      </c>
      <c r="L13" s="13" t="n">
        <v>376.75</v>
      </c>
      <c r="M13" s="13" t="n">
        <v>376.75</v>
      </c>
      <c r="N13" s="13" t="n">
        <v>376.75</v>
      </c>
      <c r="O13" s="13" t="n">
        <v>376.75</v>
      </c>
      <c r="P13" s="13" t="n">
        <v>376.75</v>
      </c>
      <c r="Q13" s="13" t="n">
        <v>376.75</v>
      </c>
      <c r="R13" s="13" t="n">
        <v>376.75</v>
      </c>
      <c r="S13" s="13" t="n">
        <v>376.75</v>
      </c>
      <c r="T13" s="13" t="n">
        <v>376.75</v>
      </c>
      <c r="U13" s="13" t="n">
        <v>350</v>
      </c>
      <c r="V13" s="13" t="n">
        <v>0</v>
      </c>
      <c r="W13" s="13" t="n">
        <f aca="false">U13+V13</f>
        <v>350</v>
      </c>
    </row>
    <row r="14" customFormat="false" ht="15" hidden="false" customHeight="false" outlineLevel="0" collapsed="false">
      <c r="A14" s="14" t="s">
        <v>1044</v>
      </c>
      <c r="B14" s="14" t="s">
        <v>1045</v>
      </c>
      <c r="C14" s="14" t="s">
        <v>602</v>
      </c>
      <c r="D14" s="14" t="s">
        <v>203</v>
      </c>
      <c r="E14" s="15" t="n">
        <v>380000</v>
      </c>
      <c r="F14" s="15" t="n">
        <v>3156.22</v>
      </c>
      <c r="G14" s="15" t="n">
        <v>394.53</v>
      </c>
      <c r="H14" s="15" t="n">
        <v>394.53</v>
      </c>
      <c r="I14" s="15" t="n">
        <f aca="false">SUM(K14:T14)</f>
        <v>2367.2</v>
      </c>
      <c r="J14" s="15" t="n">
        <f aca="false">F14-(G14+H14+I14)</f>
        <v>-0.0399999999999636</v>
      </c>
      <c r="K14" s="15" t="n">
        <v>236.72</v>
      </c>
      <c r="L14" s="15" t="n">
        <v>236.72</v>
      </c>
      <c r="M14" s="15" t="n">
        <v>236.72</v>
      </c>
      <c r="N14" s="15" t="n">
        <v>236.72</v>
      </c>
      <c r="O14" s="15" t="n">
        <v>236.72</v>
      </c>
      <c r="P14" s="15" t="n">
        <v>236.72</v>
      </c>
      <c r="Q14" s="15" t="n">
        <v>236.72</v>
      </c>
      <c r="R14" s="15" t="n">
        <v>236.72</v>
      </c>
      <c r="S14" s="15" t="n">
        <v>236.72</v>
      </c>
      <c r="T14" s="15" t="n">
        <v>236.72</v>
      </c>
      <c r="U14" s="15" t="n">
        <v>350</v>
      </c>
      <c r="V14" s="15" t="n">
        <v>0</v>
      </c>
      <c r="W14" s="15" t="n">
        <f aca="false">U14+V14</f>
        <v>350</v>
      </c>
    </row>
    <row r="15" customFormat="false" ht="15" hidden="false" customHeight="false" outlineLevel="0" collapsed="false">
      <c r="A15" s="3" t="s">
        <v>1046</v>
      </c>
      <c r="B15" s="3" t="s">
        <v>1047</v>
      </c>
      <c r="C15" s="3" t="s">
        <v>1048</v>
      </c>
      <c r="D15" s="3" t="s">
        <v>325</v>
      </c>
      <c r="E15" s="13" t="n">
        <v>780000</v>
      </c>
      <c r="F15" s="13" t="n">
        <v>17738.87</v>
      </c>
      <c r="G15" s="13" t="n">
        <v>2217.36</v>
      </c>
      <c r="H15" s="13" t="n">
        <v>2217.36</v>
      </c>
      <c r="I15" s="13" t="n">
        <f aca="false">SUM(K15:T15)</f>
        <v>13304.2</v>
      </c>
      <c r="J15" s="13" t="n">
        <f aca="false">F15-(G15+H15+I15)</f>
        <v>-0.0500000000029104</v>
      </c>
      <c r="K15" s="13" t="n">
        <v>1330.42</v>
      </c>
      <c r="L15" s="13" t="n">
        <v>1330.42</v>
      </c>
      <c r="M15" s="13" t="n">
        <v>1330.42</v>
      </c>
      <c r="N15" s="13" t="n">
        <v>1330.42</v>
      </c>
      <c r="O15" s="13" t="n">
        <v>1330.42</v>
      </c>
      <c r="P15" s="13" t="n">
        <v>1330.42</v>
      </c>
      <c r="Q15" s="13" t="n">
        <v>1330.42</v>
      </c>
      <c r="R15" s="13" t="n">
        <v>1330.42</v>
      </c>
      <c r="S15" s="13" t="n">
        <v>1330.42</v>
      </c>
      <c r="T15" s="13" t="n">
        <v>1330.42</v>
      </c>
      <c r="U15" s="13" t="n">
        <v>350</v>
      </c>
      <c r="V15" s="13" t="n">
        <v>0</v>
      </c>
      <c r="W15" s="13" t="n">
        <f aca="false">U15+V15</f>
        <v>350</v>
      </c>
    </row>
    <row r="16" customFormat="false" ht="15" hidden="false" customHeight="false" outlineLevel="0" collapsed="false">
      <c r="A16" s="14" t="s">
        <v>1049</v>
      </c>
      <c r="B16" s="14" t="s">
        <v>1043</v>
      </c>
      <c r="C16" s="14" t="s">
        <v>447</v>
      </c>
      <c r="D16" s="14" t="s">
        <v>89</v>
      </c>
      <c r="E16" s="15" t="n">
        <v>670000</v>
      </c>
      <c r="F16" s="15" t="n">
        <v>10198.83</v>
      </c>
      <c r="G16" s="15" t="n">
        <v>1274.85</v>
      </c>
      <c r="H16" s="15" t="n">
        <v>1274.85</v>
      </c>
      <c r="I16" s="15" t="n">
        <f aca="false">SUM(K16:T16)</f>
        <v>7649.1</v>
      </c>
      <c r="J16" s="15" t="n">
        <f aca="false">F16-(G16+H16+I16)</f>
        <v>0.0300000000006548</v>
      </c>
      <c r="K16" s="15" t="n">
        <v>764.91</v>
      </c>
      <c r="L16" s="15" t="n">
        <v>764.91</v>
      </c>
      <c r="M16" s="15" t="n">
        <v>764.91</v>
      </c>
      <c r="N16" s="15" t="n">
        <v>764.91</v>
      </c>
      <c r="O16" s="15" t="n">
        <v>764.91</v>
      </c>
      <c r="P16" s="15" t="n">
        <v>764.91</v>
      </c>
      <c r="Q16" s="15" t="n">
        <v>764.91</v>
      </c>
      <c r="R16" s="15" t="n">
        <v>764.91</v>
      </c>
      <c r="S16" s="15" t="n">
        <v>764.91</v>
      </c>
      <c r="T16" s="15" t="n">
        <v>764.91</v>
      </c>
      <c r="U16" s="15" t="n">
        <v>350</v>
      </c>
      <c r="V16" s="15" t="n">
        <v>0</v>
      </c>
      <c r="W16" s="15" t="n">
        <f aca="false">U16+V16</f>
        <v>350</v>
      </c>
    </row>
    <row r="17" customFormat="false" ht="15" hidden="false" customHeight="false" outlineLevel="0" collapsed="false">
      <c r="A17" s="3" t="s">
        <v>1050</v>
      </c>
      <c r="B17" s="3" t="s">
        <v>1051</v>
      </c>
      <c r="C17" s="3" t="s">
        <v>1017</v>
      </c>
      <c r="D17" s="3" t="s">
        <v>93</v>
      </c>
      <c r="E17" s="13" t="n">
        <v>745000</v>
      </c>
      <c r="F17" s="13" t="n">
        <v>10752.47</v>
      </c>
      <c r="G17" s="13" t="n">
        <v>1344.06</v>
      </c>
      <c r="H17" s="13" t="n">
        <v>1344.06</v>
      </c>
      <c r="I17" s="13" t="n">
        <f aca="false">SUM(K17:T17)</f>
        <v>8064.4</v>
      </c>
      <c r="J17" s="13" t="n">
        <f aca="false">F17-(G17+H17+I17)</f>
        <v>-0.0500000000010914</v>
      </c>
      <c r="K17" s="13" t="n">
        <v>806.44</v>
      </c>
      <c r="L17" s="13" t="n">
        <v>806.44</v>
      </c>
      <c r="M17" s="13" t="n">
        <v>806.44</v>
      </c>
      <c r="N17" s="13" t="n">
        <v>806.44</v>
      </c>
      <c r="O17" s="13" t="n">
        <v>806.44</v>
      </c>
      <c r="P17" s="13" t="n">
        <v>806.44</v>
      </c>
      <c r="Q17" s="13" t="n">
        <v>806.44</v>
      </c>
      <c r="R17" s="13" t="n">
        <v>806.44</v>
      </c>
      <c r="S17" s="13" t="n">
        <v>806.44</v>
      </c>
      <c r="T17" s="13" t="n">
        <v>806.44</v>
      </c>
      <c r="U17" s="13" t="n">
        <v>350</v>
      </c>
      <c r="V17" s="13" t="n">
        <v>0</v>
      </c>
      <c r="W17" s="13" t="n">
        <f aca="false">U17+V17</f>
        <v>350</v>
      </c>
    </row>
    <row r="18" customFormat="false" ht="15" hidden="false" customHeight="false" outlineLevel="0" collapsed="false">
      <c r="A18" s="14" t="s">
        <v>1052</v>
      </c>
      <c r="B18" s="14" t="s">
        <v>1053</v>
      </c>
      <c r="C18" s="14" t="s">
        <v>1054</v>
      </c>
      <c r="D18" s="14" t="s">
        <v>138</v>
      </c>
      <c r="E18" s="15" t="n">
        <v>555000</v>
      </c>
      <c r="F18" s="15" t="n">
        <v>7196.69</v>
      </c>
      <c r="G18" s="15" t="n">
        <v>899.59</v>
      </c>
      <c r="H18" s="15" t="n">
        <v>899.59</v>
      </c>
      <c r="I18" s="15" t="n">
        <f aca="false">SUM(K18:T18)</f>
        <v>5397.5</v>
      </c>
      <c r="J18" s="15" t="n">
        <f aca="false">F18-(G18+H18+I18)</f>
        <v>0.00999999999930878</v>
      </c>
      <c r="K18" s="15" t="n">
        <v>539.75</v>
      </c>
      <c r="L18" s="15" t="n">
        <v>539.75</v>
      </c>
      <c r="M18" s="15" t="n">
        <v>539.75</v>
      </c>
      <c r="N18" s="15" t="n">
        <v>539.75</v>
      </c>
      <c r="O18" s="15" t="n">
        <v>539.75</v>
      </c>
      <c r="P18" s="15" t="n">
        <v>539.75</v>
      </c>
      <c r="Q18" s="15" t="n">
        <v>539.75</v>
      </c>
      <c r="R18" s="15" t="n">
        <v>539.75</v>
      </c>
      <c r="S18" s="15" t="n">
        <v>539.75</v>
      </c>
      <c r="T18" s="15" t="n">
        <v>539.75</v>
      </c>
      <c r="U18" s="15" t="n">
        <v>350</v>
      </c>
      <c r="V18" s="15" t="n">
        <v>0</v>
      </c>
      <c r="W18" s="15" t="n">
        <f aca="false">U18+V18</f>
        <v>350</v>
      </c>
    </row>
    <row r="19" customFormat="false" ht="15" hidden="false" customHeight="false" outlineLevel="0" collapsed="false">
      <c r="A19" s="3" t="s">
        <v>1055</v>
      </c>
      <c r="B19" s="3" t="s">
        <v>1056</v>
      </c>
      <c r="C19" s="3" t="s">
        <v>1057</v>
      </c>
      <c r="D19" s="3" t="s">
        <v>125</v>
      </c>
      <c r="E19" s="13" t="n">
        <v>300000</v>
      </c>
      <c r="F19" s="13" t="n">
        <v>3746.99</v>
      </c>
      <c r="G19" s="13" t="n">
        <v>468.37</v>
      </c>
      <c r="H19" s="13" t="n">
        <v>468.37</v>
      </c>
      <c r="I19" s="13" t="n">
        <f aca="false">SUM(K19:T19)</f>
        <v>2810.2</v>
      </c>
      <c r="J19" s="13" t="n">
        <f aca="false">F19-(G19+H19+I19)</f>
        <v>0.0500000000001819</v>
      </c>
      <c r="K19" s="13" t="n">
        <v>281.02</v>
      </c>
      <c r="L19" s="13" t="n">
        <v>281.02</v>
      </c>
      <c r="M19" s="13" t="n">
        <v>281.02</v>
      </c>
      <c r="N19" s="13" t="n">
        <v>281.02</v>
      </c>
      <c r="O19" s="13" t="n">
        <v>281.02</v>
      </c>
      <c r="P19" s="13" t="n">
        <v>281.02</v>
      </c>
      <c r="Q19" s="13" t="n">
        <v>281.02</v>
      </c>
      <c r="R19" s="13" t="n">
        <v>281.02</v>
      </c>
      <c r="S19" s="13" t="n">
        <v>281.02</v>
      </c>
      <c r="T19" s="13" t="n">
        <v>281.02</v>
      </c>
      <c r="U19" s="13" t="n">
        <v>350</v>
      </c>
      <c r="V19" s="13" t="n">
        <v>0</v>
      </c>
      <c r="W19" s="13" t="n">
        <f aca="false">U19+V19</f>
        <v>350</v>
      </c>
    </row>
    <row r="20" customFormat="false" ht="15" hidden="false" customHeight="false" outlineLevel="0" collapsed="false">
      <c r="A20" s="14" t="s">
        <v>1058</v>
      </c>
      <c r="B20" s="14" t="s">
        <v>1059</v>
      </c>
      <c r="C20" s="14" t="s">
        <v>953</v>
      </c>
      <c r="D20" s="14" t="s">
        <v>166</v>
      </c>
      <c r="E20" s="15" t="n">
        <v>1405000</v>
      </c>
      <c r="F20" s="15" t="n">
        <v>26322.6</v>
      </c>
      <c r="G20" s="15" t="n">
        <v>3290.32</v>
      </c>
      <c r="H20" s="15" t="n">
        <v>3290.32</v>
      </c>
      <c r="I20" s="15" t="n">
        <f aca="false">SUM(K20:T20)</f>
        <v>19741.9</v>
      </c>
      <c r="J20" s="15" t="n">
        <f aca="false">F20-(G20+H20+I20)</f>
        <v>0.0600000000013097</v>
      </c>
      <c r="K20" s="15" t="n">
        <v>1974.19</v>
      </c>
      <c r="L20" s="15" t="n">
        <v>1974.19</v>
      </c>
      <c r="M20" s="15" t="n">
        <v>1974.19</v>
      </c>
      <c r="N20" s="15" t="n">
        <v>1974.19</v>
      </c>
      <c r="O20" s="15" t="n">
        <v>1974.19</v>
      </c>
      <c r="P20" s="15" t="n">
        <v>1974.19</v>
      </c>
      <c r="Q20" s="15" t="n">
        <v>1974.19</v>
      </c>
      <c r="R20" s="15" t="n">
        <v>1974.19</v>
      </c>
      <c r="S20" s="15" t="n">
        <v>1974.19</v>
      </c>
      <c r="T20" s="15" t="n">
        <v>1974.19</v>
      </c>
      <c r="U20" s="15" t="n">
        <v>350</v>
      </c>
      <c r="V20" s="15" t="n">
        <v>250</v>
      </c>
      <c r="W20" s="15" t="n">
        <f aca="false">U20+V20</f>
        <v>600</v>
      </c>
    </row>
    <row r="21" customFormat="false" ht="15" hidden="false" customHeight="false" outlineLevel="0" collapsed="false">
      <c r="A21" s="3" t="s">
        <v>1060</v>
      </c>
      <c r="B21" s="3" t="s">
        <v>1045</v>
      </c>
      <c r="C21" s="3" t="s">
        <v>403</v>
      </c>
      <c r="D21" s="3" t="s">
        <v>93</v>
      </c>
      <c r="E21" s="13" t="n">
        <v>530000</v>
      </c>
      <c r="F21" s="13" t="n">
        <v>7649.41</v>
      </c>
      <c r="G21" s="13" t="n">
        <v>956.18</v>
      </c>
      <c r="H21" s="13" t="n">
        <v>956.18</v>
      </c>
      <c r="I21" s="13" t="n">
        <f aca="false">SUM(K21:T21)</f>
        <v>5737.1</v>
      </c>
      <c r="J21" s="13" t="n">
        <f aca="false">F21-(G21+H21+I21)</f>
        <v>-0.0500000000001819</v>
      </c>
      <c r="K21" s="13" t="n">
        <v>573.71</v>
      </c>
      <c r="L21" s="13" t="n">
        <v>573.71</v>
      </c>
      <c r="M21" s="13" t="n">
        <v>573.71</v>
      </c>
      <c r="N21" s="13" t="n">
        <v>573.71</v>
      </c>
      <c r="O21" s="13" t="n">
        <v>573.71</v>
      </c>
      <c r="P21" s="13" t="n">
        <v>573.71</v>
      </c>
      <c r="Q21" s="13" t="n">
        <v>573.71</v>
      </c>
      <c r="R21" s="13" t="n">
        <v>573.71</v>
      </c>
      <c r="S21" s="13" t="n">
        <v>573.71</v>
      </c>
      <c r="T21" s="13" t="n">
        <v>573.71</v>
      </c>
      <c r="U21" s="13" t="n">
        <v>350</v>
      </c>
      <c r="V21" s="13" t="n">
        <v>0</v>
      </c>
      <c r="W21" s="13" t="n">
        <f aca="false">U21+V21</f>
        <v>350</v>
      </c>
    </row>
    <row r="22" customFormat="false" ht="15" hidden="false" customHeight="false" outlineLevel="0" collapsed="false">
      <c r="A22" s="14" t="s">
        <v>1061</v>
      </c>
      <c r="B22" s="14" t="s">
        <v>1062</v>
      </c>
      <c r="C22" s="14" t="s">
        <v>1063</v>
      </c>
      <c r="D22" s="14" t="s">
        <v>279</v>
      </c>
      <c r="E22" s="15" t="n">
        <v>1145000</v>
      </c>
      <c r="F22" s="15" t="n">
        <v>14459.91</v>
      </c>
      <c r="G22" s="15" t="n">
        <v>1807.49</v>
      </c>
      <c r="H22" s="15" t="n">
        <v>1807.49</v>
      </c>
      <c r="I22" s="15" t="n">
        <f aca="false">SUM(K22:T22)</f>
        <v>10844.9</v>
      </c>
      <c r="J22" s="15" t="n">
        <f aca="false">F22-(G22+H22+I22)</f>
        <v>0.0300000000006548</v>
      </c>
      <c r="K22" s="15" t="n">
        <v>1084.49</v>
      </c>
      <c r="L22" s="15" t="n">
        <v>1084.49</v>
      </c>
      <c r="M22" s="15" t="n">
        <v>1084.49</v>
      </c>
      <c r="N22" s="15" t="n">
        <v>1084.49</v>
      </c>
      <c r="O22" s="15" t="n">
        <v>1084.49</v>
      </c>
      <c r="P22" s="15" t="n">
        <v>1084.49</v>
      </c>
      <c r="Q22" s="15" t="n">
        <v>1084.49</v>
      </c>
      <c r="R22" s="15" t="n">
        <v>1084.49</v>
      </c>
      <c r="S22" s="15" t="n">
        <v>1084.49</v>
      </c>
      <c r="T22" s="15" t="n">
        <v>1084.49</v>
      </c>
      <c r="U22" s="15" t="n">
        <v>350</v>
      </c>
      <c r="V22" s="15" t="n">
        <v>250</v>
      </c>
      <c r="W22" s="15" t="n">
        <f aca="false">U22+V22</f>
        <v>600</v>
      </c>
    </row>
    <row r="23" customFormat="false" ht="15" hidden="false" customHeight="false" outlineLevel="0" collapsed="false">
      <c r="A23" s="3" t="s">
        <v>1064</v>
      </c>
      <c r="B23" s="3" t="s">
        <v>1065</v>
      </c>
      <c r="C23" s="3" t="s">
        <v>305</v>
      </c>
      <c r="D23" s="3" t="s">
        <v>246</v>
      </c>
      <c r="E23" s="13" t="n">
        <v>600000</v>
      </c>
      <c r="F23" s="13" t="n">
        <v>8118.48</v>
      </c>
      <c r="G23" s="13" t="n">
        <v>1014.81</v>
      </c>
      <c r="H23" s="13" t="n">
        <v>1014.81</v>
      </c>
      <c r="I23" s="13" t="n">
        <f aca="false">SUM(K23:T23)</f>
        <v>6088.9</v>
      </c>
      <c r="J23" s="13" t="n">
        <f aca="false">F23-(G23+H23+I23)</f>
        <v>-0.0400000000008731</v>
      </c>
      <c r="K23" s="13" t="n">
        <v>608.89</v>
      </c>
      <c r="L23" s="13" t="n">
        <v>608.89</v>
      </c>
      <c r="M23" s="13" t="n">
        <v>608.89</v>
      </c>
      <c r="N23" s="13" t="n">
        <v>608.89</v>
      </c>
      <c r="O23" s="13" t="n">
        <v>608.89</v>
      </c>
      <c r="P23" s="13" t="n">
        <v>608.89</v>
      </c>
      <c r="Q23" s="13" t="n">
        <v>608.89</v>
      </c>
      <c r="R23" s="13" t="n">
        <v>608.89</v>
      </c>
      <c r="S23" s="13" t="n">
        <v>608.89</v>
      </c>
      <c r="T23" s="13" t="n">
        <v>608.89</v>
      </c>
      <c r="U23" s="13" t="n">
        <v>350</v>
      </c>
      <c r="V23" s="13" t="n">
        <v>0</v>
      </c>
      <c r="W23" s="13" t="n">
        <f aca="false">U23+V23</f>
        <v>350</v>
      </c>
    </row>
    <row r="24" customFormat="false" ht="15" hidden="false" customHeight="false" outlineLevel="0" collapsed="false">
      <c r="A24" s="14" t="s">
        <v>1066</v>
      </c>
      <c r="B24" s="14" t="s">
        <v>1029</v>
      </c>
      <c r="C24" s="14" t="s">
        <v>1067</v>
      </c>
      <c r="D24" s="14" t="s">
        <v>89</v>
      </c>
      <c r="E24" s="15" t="n">
        <v>645000</v>
      </c>
      <c r="F24" s="15" t="n">
        <v>9818.28</v>
      </c>
      <c r="G24" s="15" t="n">
        <v>1227.29</v>
      </c>
      <c r="H24" s="15" t="n">
        <v>1227.29</v>
      </c>
      <c r="I24" s="15" t="n">
        <f aca="false">SUM(K24:T24)</f>
        <v>7363.7</v>
      </c>
      <c r="J24" s="15" t="n">
        <f aca="false">F24-(G24+H24+I24)</f>
        <v>0</v>
      </c>
      <c r="K24" s="15" t="n">
        <v>736.37</v>
      </c>
      <c r="L24" s="15" t="n">
        <v>736.37</v>
      </c>
      <c r="M24" s="15" t="n">
        <v>736.37</v>
      </c>
      <c r="N24" s="15" t="n">
        <v>736.37</v>
      </c>
      <c r="O24" s="15" t="n">
        <v>736.37</v>
      </c>
      <c r="P24" s="15" t="n">
        <v>736.37</v>
      </c>
      <c r="Q24" s="15" t="n">
        <v>736.37</v>
      </c>
      <c r="R24" s="15" t="n">
        <v>736.37</v>
      </c>
      <c r="S24" s="15" t="n">
        <v>736.37</v>
      </c>
      <c r="T24" s="15" t="n">
        <v>736.37</v>
      </c>
      <c r="U24" s="15" t="n">
        <v>350</v>
      </c>
      <c r="V24" s="15" t="n">
        <v>0</v>
      </c>
      <c r="W24" s="15" t="n">
        <f aca="false">U24+V24</f>
        <v>350</v>
      </c>
    </row>
    <row r="25" customFormat="false" ht="15" hidden="false" customHeight="false" outlineLevel="0" collapsed="false">
      <c r="A25" s="3" t="s">
        <v>1068</v>
      </c>
      <c r="B25" s="3" t="s">
        <v>1047</v>
      </c>
      <c r="C25" s="3" t="s">
        <v>572</v>
      </c>
      <c r="D25" s="3" t="s">
        <v>382</v>
      </c>
      <c r="E25" s="13" t="n">
        <v>505000</v>
      </c>
      <c r="F25" s="13" t="n">
        <v>6377.51</v>
      </c>
      <c r="G25" s="13" t="n">
        <v>797.19</v>
      </c>
      <c r="H25" s="13" t="n">
        <v>797.19</v>
      </c>
      <c r="I25" s="13" t="n">
        <f aca="false">SUM(K25:T25)</f>
        <v>4783.1</v>
      </c>
      <c r="J25" s="13" t="n">
        <f aca="false">F25-(G25+H25+I25)</f>
        <v>0.0299999999997453</v>
      </c>
      <c r="K25" s="13" t="n">
        <v>478.31</v>
      </c>
      <c r="L25" s="13" t="n">
        <v>478.31</v>
      </c>
      <c r="M25" s="13" t="n">
        <v>478.31</v>
      </c>
      <c r="N25" s="13" t="n">
        <v>478.31</v>
      </c>
      <c r="O25" s="13" t="n">
        <v>478.31</v>
      </c>
      <c r="P25" s="13" t="n">
        <v>478.31</v>
      </c>
      <c r="Q25" s="13" t="n">
        <v>478.31</v>
      </c>
      <c r="R25" s="13" t="n">
        <v>478.31</v>
      </c>
      <c r="S25" s="13" t="n">
        <v>478.31</v>
      </c>
      <c r="T25" s="13" t="n">
        <v>478.31</v>
      </c>
      <c r="U25" s="13" t="n">
        <v>350</v>
      </c>
      <c r="V25" s="13" t="n">
        <v>0</v>
      </c>
      <c r="W25" s="13" t="n">
        <f aca="false">U25+V25</f>
        <v>350</v>
      </c>
    </row>
    <row r="26" customFormat="false" ht="15" hidden="false" customHeight="false" outlineLevel="0" collapsed="false">
      <c r="A26" s="14" t="s">
        <v>1069</v>
      </c>
      <c r="B26" s="14" t="s">
        <v>1070</v>
      </c>
      <c r="C26" s="14" t="s">
        <v>722</v>
      </c>
      <c r="D26" s="14" t="s">
        <v>233</v>
      </c>
      <c r="E26" s="15" t="n">
        <v>315000</v>
      </c>
      <c r="F26" s="15" t="n">
        <v>4016.31</v>
      </c>
      <c r="G26" s="15" t="n">
        <v>502.04</v>
      </c>
      <c r="H26" s="15" t="n">
        <v>502.04</v>
      </c>
      <c r="I26" s="15" t="n">
        <f aca="false">SUM(K26:T26)</f>
        <v>3012.2</v>
      </c>
      <c r="J26" s="15" t="n">
        <f aca="false">F26-(G26+H26+I26)</f>
        <v>0.0299999999992906</v>
      </c>
      <c r="K26" s="15" t="n">
        <v>301.22</v>
      </c>
      <c r="L26" s="15" t="n">
        <v>301.22</v>
      </c>
      <c r="M26" s="15" t="n">
        <v>301.22</v>
      </c>
      <c r="N26" s="15" t="n">
        <v>301.22</v>
      </c>
      <c r="O26" s="15" t="n">
        <v>301.22</v>
      </c>
      <c r="P26" s="15" t="n">
        <v>301.22</v>
      </c>
      <c r="Q26" s="15" t="n">
        <v>301.22</v>
      </c>
      <c r="R26" s="15" t="n">
        <v>301.22</v>
      </c>
      <c r="S26" s="15" t="n">
        <v>301.22</v>
      </c>
      <c r="T26" s="15" t="n">
        <v>301.22</v>
      </c>
      <c r="U26" s="15" t="n">
        <v>350</v>
      </c>
      <c r="V26" s="15" t="n">
        <v>0</v>
      </c>
      <c r="W26" s="15" t="n">
        <f aca="false">U26+V26</f>
        <v>350</v>
      </c>
    </row>
    <row r="27" customFormat="false" ht="15" hidden="false" customHeight="false" outlineLevel="0" collapsed="false">
      <c r="A27" s="3" t="s">
        <v>1071</v>
      </c>
      <c r="B27" s="3" t="s">
        <v>1072</v>
      </c>
      <c r="C27" s="3" t="s">
        <v>777</v>
      </c>
      <c r="D27" s="3" t="s">
        <v>89</v>
      </c>
      <c r="E27" s="13" t="n">
        <v>475000</v>
      </c>
      <c r="F27" s="13" t="n">
        <v>8342.9</v>
      </c>
      <c r="G27" s="13" t="n">
        <v>1042.86</v>
      </c>
      <c r="H27" s="13" t="n">
        <v>1042.86</v>
      </c>
      <c r="I27" s="13" t="n">
        <f aca="false">SUM(K27:T27)</f>
        <v>6257.2</v>
      </c>
      <c r="J27" s="13" t="n">
        <f aca="false">F27-(G27+H27+I27)</f>
        <v>-0.0200000000004366</v>
      </c>
      <c r="K27" s="13" t="n">
        <v>625.72</v>
      </c>
      <c r="L27" s="13" t="n">
        <v>625.72</v>
      </c>
      <c r="M27" s="13" t="n">
        <v>625.72</v>
      </c>
      <c r="N27" s="13" t="n">
        <v>625.72</v>
      </c>
      <c r="O27" s="13" t="n">
        <v>625.72</v>
      </c>
      <c r="P27" s="13" t="n">
        <v>625.72</v>
      </c>
      <c r="Q27" s="13" t="n">
        <v>625.72</v>
      </c>
      <c r="R27" s="13" t="n">
        <v>625.72</v>
      </c>
      <c r="S27" s="13" t="n">
        <v>625.72</v>
      </c>
      <c r="T27" s="13" t="n">
        <v>625.72</v>
      </c>
      <c r="U27" s="13" t="n">
        <v>350</v>
      </c>
      <c r="V27" s="13" t="n">
        <v>0</v>
      </c>
      <c r="W27" s="13" t="n">
        <f aca="false">U27+V27</f>
        <v>350</v>
      </c>
    </row>
    <row r="28" customFormat="false" ht="15" hidden="false" customHeight="false" outlineLevel="0" collapsed="false">
      <c r="A28" s="14" t="s">
        <v>1073</v>
      </c>
      <c r="B28" s="14" t="s">
        <v>1056</v>
      </c>
      <c r="C28" s="14" t="s">
        <v>1074</v>
      </c>
      <c r="D28" s="14" t="s">
        <v>203</v>
      </c>
      <c r="E28" s="15" t="n">
        <v>815000</v>
      </c>
      <c r="F28" s="15" t="n">
        <v>15311.39</v>
      </c>
      <c r="G28" s="15" t="n">
        <v>1913.92</v>
      </c>
      <c r="H28" s="15" t="n">
        <v>1913.92</v>
      </c>
      <c r="I28" s="15" t="n">
        <f aca="false">SUM(K28:T28)</f>
        <v>11483.5</v>
      </c>
      <c r="J28" s="15" t="n">
        <f aca="false">F28-(G28+H28+I28)</f>
        <v>0.0499999999992724</v>
      </c>
      <c r="K28" s="15" t="n">
        <v>1148.35</v>
      </c>
      <c r="L28" s="15" t="n">
        <v>1148.35</v>
      </c>
      <c r="M28" s="15" t="n">
        <v>1148.35</v>
      </c>
      <c r="N28" s="15" t="n">
        <v>1148.35</v>
      </c>
      <c r="O28" s="15" t="n">
        <v>1148.35</v>
      </c>
      <c r="P28" s="15" t="n">
        <v>1148.35</v>
      </c>
      <c r="Q28" s="15" t="n">
        <v>1148.35</v>
      </c>
      <c r="R28" s="15" t="n">
        <v>1148.35</v>
      </c>
      <c r="S28" s="15" t="n">
        <v>1148.35</v>
      </c>
      <c r="T28" s="15" t="n">
        <v>1148.35</v>
      </c>
      <c r="U28" s="15" t="n">
        <v>350</v>
      </c>
      <c r="V28" s="15" t="n">
        <v>0</v>
      </c>
      <c r="W28" s="15" t="n">
        <f aca="false">U28+V28</f>
        <v>350</v>
      </c>
    </row>
    <row r="29" customFormat="false" ht="15" hidden="false" customHeight="false" outlineLevel="0" collapsed="false">
      <c r="A29" s="3" t="s">
        <v>1075</v>
      </c>
      <c r="B29" s="3" t="s">
        <v>1076</v>
      </c>
      <c r="C29" s="3" t="s">
        <v>391</v>
      </c>
      <c r="D29" s="3" t="s">
        <v>99</v>
      </c>
      <c r="E29" s="13" t="n">
        <v>660000</v>
      </c>
      <c r="F29" s="13" t="n">
        <v>6695.46</v>
      </c>
      <c r="G29" s="13" t="n">
        <v>836.93</v>
      </c>
      <c r="H29" s="13" t="n">
        <v>836.93</v>
      </c>
      <c r="I29" s="13" t="n">
        <f aca="false">SUM(K29:T29)</f>
        <v>5021.6</v>
      </c>
      <c r="J29" s="13" t="n">
        <f aca="false">F29-(G29+H29+I29)</f>
        <v>0</v>
      </c>
      <c r="K29" s="13" t="n">
        <v>502.16</v>
      </c>
      <c r="L29" s="13" t="n">
        <v>502.16</v>
      </c>
      <c r="M29" s="13" t="n">
        <v>502.16</v>
      </c>
      <c r="N29" s="13" t="n">
        <v>502.16</v>
      </c>
      <c r="O29" s="13" t="n">
        <v>502.16</v>
      </c>
      <c r="P29" s="13" t="n">
        <v>502.16</v>
      </c>
      <c r="Q29" s="13" t="n">
        <v>502.16</v>
      </c>
      <c r="R29" s="13" t="n">
        <v>502.16</v>
      </c>
      <c r="S29" s="13" t="n">
        <v>502.16</v>
      </c>
      <c r="T29" s="13" t="n">
        <v>502.16</v>
      </c>
      <c r="U29" s="13" t="n">
        <v>350</v>
      </c>
      <c r="V29" s="13" t="n">
        <v>0</v>
      </c>
      <c r="W29" s="13" t="n">
        <f aca="false">U29+V29</f>
        <v>350</v>
      </c>
    </row>
    <row r="30" customFormat="false" ht="15" hidden="false" customHeight="false" outlineLevel="0" collapsed="false">
      <c r="A30" s="14" t="s">
        <v>1077</v>
      </c>
      <c r="B30" s="14" t="s">
        <v>1062</v>
      </c>
      <c r="C30" s="14" t="s">
        <v>562</v>
      </c>
      <c r="D30" s="14" t="s">
        <v>911</v>
      </c>
      <c r="E30" s="15" t="n">
        <v>985000</v>
      </c>
      <c r="F30" s="15" t="n">
        <v>11995.04</v>
      </c>
      <c r="G30" s="15" t="n">
        <v>1499.38</v>
      </c>
      <c r="H30" s="15" t="n">
        <v>1499.38</v>
      </c>
      <c r="I30" s="15" t="n">
        <f aca="false">SUM(K30:T30)</f>
        <v>8996.3</v>
      </c>
      <c r="J30" s="15" t="n">
        <f aca="false">F30-(G30+H30+I30)</f>
        <v>-0.0199999999986176</v>
      </c>
      <c r="K30" s="15" t="n">
        <v>899.63</v>
      </c>
      <c r="L30" s="15" t="n">
        <v>899.63</v>
      </c>
      <c r="M30" s="15" t="n">
        <v>899.63</v>
      </c>
      <c r="N30" s="15" t="n">
        <v>899.63</v>
      </c>
      <c r="O30" s="15" t="n">
        <v>899.63</v>
      </c>
      <c r="P30" s="15" t="n">
        <v>899.63</v>
      </c>
      <c r="Q30" s="15" t="n">
        <v>899.63</v>
      </c>
      <c r="R30" s="15" t="n">
        <v>899.63</v>
      </c>
      <c r="S30" s="15" t="n">
        <v>899.63</v>
      </c>
      <c r="T30" s="15" t="n">
        <v>899.63</v>
      </c>
      <c r="U30" s="15" t="n">
        <v>350</v>
      </c>
      <c r="V30" s="15" t="n">
        <v>0</v>
      </c>
      <c r="W30" s="15" t="n">
        <f aca="false">U30+V30</f>
        <v>350</v>
      </c>
    </row>
    <row r="31" customFormat="false" ht="15" hidden="false" customHeight="false" outlineLevel="0" collapsed="false">
      <c r="A31" s="3" t="s">
        <v>1078</v>
      </c>
      <c r="B31" s="3" t="s">
        <v>1079</v>
      </c>
      <c r="C31" s="3" t="s">
        <v>944</v>
      </c>
      <c r="D31" s="3" t="s">
        <v>89</v>
      </c>
      <c r="E31" s="13" t="n">
        <v>785000</v>
      </c>
      <c r="F31" s="13" t="n">
        <v>17464.48</v>
      </c>
      <c r="G31" s="13" t="n">
        <v>2183.06</v>
      </c>
      <c r="H31" s="13" t="n">
        <v>2183.06</v>
      </c>
      <c r="I31" s="13" t="n">
        <f aca="false">SUM(K31:T31)</f>
        <v>13098.4</v>
      </c>
      <c r="J31" s="13" t="n">
        <f aca="false">F31-(G31+H31+I31)</f>
        <v>-0.0400000000008731</v>
      </c>
      <c r="K31" s="13" t="n">
        <v>1309.84</v>
      </c>
      <c r="L31" s="13" t="n">
        <v>1309.84</v>
      </c>
      <c r="M31" s="13" t="n">
        <v>1309.84</v>
      </c>
      <c r="N31" s="13" t="n">
        <v>1309.84</v>
      </c>
      <c r="O31" s="13" t="n">
        <v>1309.84</v>
      </c>
      <c r="P31" s="13" t="n">
        <v>1309.84</v>
      </c>
      <c r="Q31" s="13" t="n">
        <v>1309.84</v>
      </c>
      <c r="R31" s="13" t="n">
        <v>1309.84</v>
      </c>
      <c r="S31" s="13" t="n">
        <v>1309.84</v>
      </c>
      <c r="T31" s="13" t="n">
        <v>1309.84</v>
      </c>
      <c r="U31" s="13" t="n">
        <v>350</v>
      </c>
      <c r="V31" s="13" t="n">
        <v>0</v>
      </c>
      <c r="W31" s="13" t="n">
        <f aca="false">U31+V31</f>
        <v>350</v>
      </c>
    </row>
    <row r="32" customFormat="false" ht="15" hidden="false" customHeight="false" outlineLevel="0" collapsed="false">
      <c r="A32" s="14" t="s">
        <v>1080</v>
      </c>
      <c r="B32" s="14" t="s">
        <v>1027</v>
      </c>
      <c r="C32" s="14" t="s">
        <v>1081</v>
      </c>
      <c r="D32" s="14" t="s">
        <v>153</v>
      </c>
      <c r="E32" s="15" t="n">
        <v>925000</v>
      </c>
      <c r="F32" s="15" t="n">
        <v>16166.48</v>
      </c>
      <c r="G32" s="15" t="n">
        <v>2020.81</v>
      </c>
      <c r="H32" s="15" t="n">
        <v>2020.81</v>
      </c>
      <c r="I32" s="15" t="n">
        <f aca="false">SUM(K32:T32)</f>
        <v>12124.9</v>
      </c>
      <c r="J32" s="15" t="n">
        <f aca="false">F32-(G32+H32+I32)</f>
        <v>-0.0400000000008731</v>
      </c>
      <c r="K32" s="15" t="n">
        <v>1212.49</v>
      </c>
      <c r="L32" s="15" t="n">
        <v>1212.49</v>
      </c>
      <c r="M32" s="15" t="n">
        <v>1212.49</v>
      </c>
      <c r="N32" s="15" t="n">
        <v>1212.49</v>
      </c>
      <c r="O32" s="15" t="n">
        <v>1212.49</v>
      </c>
      <c r="P32" s="15" t="n">
        <v>1212.49</v>
      </c>
      <c r="Q32" s="15" t="n">
        <v>1212.49</v>
      </c>
      <c r="R32" s="15" t="n">
        <v>1212.49</v>
      </c>
      <c r="S32" s="15" t="n">
        <v>1212.49</v>
      </c>
      <c r="T32" s="15" t="n">
        <v>1212.49</v>
      </c>
      <c r="U32" s="15" t="n">
        <v>350</v>
      </c>
      <c r="V32" s="15" t="n">
        <v>0</v>
      </c>
      <c r="W32" s="15" t="n">
        <f aca="false">U32+V32</f>
        <v>350</v>
      </c>
    </row>
    <row r="33" customFormat="false" ht="15" hidden="false" customHeight="false" outlineLevel="0" collapsed="false">
      <c r="A33" s="3" t="s">
        <v>1082</v>
      </c>
      <c r="B33" s="3" t="s">
        <v>1045</v>
      </c>
      <c r="C33" s="3" t="s">
        <v>412</v>
      </c>
      <c r="D33" s="3" t="s">
        <v>125</v>
      </c>
      <c r="E33" s="13" t="n">
        <v>460000</v>
      </c>
      <c r="F33" s="13" t="n">
        <v>5745.39</v>
      </c>
      <c r="G33" s="13" t="n">
        <v>718.17</v>
      </c>
      <c r="H33" s="13" t="n">
        <v>718.17</v>
      </c>
      <c r="I33" s="13" t="n">
        <f aca="false">SUM(K33:T33)</f>
        <v>4309</v>
      </c>
      <c r="J33" s="13" t="n">
        <f aca="false">F33-(G33+H33+I33)</f>
        <v>0.0500000000001819</v>
      </c>
      <c r="K33" s="13" t="n">
        <v>430.9</v>
      </c>
      <c r="L33" s="13" t="n">
        <v>430.9</v>
      </c>
      <c r="M33" s="13" t="n">
        <v>430.9</v>
      </c>
      <c r="N33" s="13" t="n">
        <v>430.9</v>
      </c>
      <c r="O33" s="13" t="n">
        <v>430.9</v>
      </c>
      <c r="P33" s="13" t="n">
        <v>430.9</v>
      </c>
      <c r="Q33" s="13" t="n">
        <v>430.9</v>
      </c>
      <c r="R33" s="13" t="n">
        <v>430.9</v>
      </c>
      <c r="S33" s="13" t="n">
        <v>430.9</v>
      </c>
      <c r="T33" s="13" t="n">
        <v>430.9</v>
      </c>
      <c r="U33" s="13" t="n">
        <v>350</v>
      </c>
      <c r="V33" s="13" t="n">
        <v>0</v>
      </c>
      <c r="W33" s="13" t="n">
        <f aca="false">U33+V33</f>
        <v>350</v>
      </c>
    </row>
    <row r="34" customFormat="false" ht="15" hidden="false" customHeight="false" outlineLevel="0" collapsed="false">
      <c r="A34" s="14" t="s">
        <v>1083</v>
      </c>
      <c r="B34" s="14" t="s">
        <v>1084</v>
      </c>
      <c r="C34" s="14" t="s">
        <v>592</v>
      </c>
      <c r="D34" s="14" t="s">
        <v>189</v>
      </c>
      <c r="E34" s="15" t="n">
        <v>445000</v>
      </c>
      <c r="F34" s="15" t="n">
        <v>7472.47</v>
      </c>
      <c r="G34" s="15" t="n">
        <v>934.06</v>
      </c>
      <c r="H34" s="15" t="n">
        <v>934.06</v>
      </c>
      <c r="I34" s="15" t="n">
        <f aca="false">SUM(K34:T34)</f>
        <v>5604.4</v>
      </c>
      <c r="J34" s="15" t="n">
        <f aca="false">F34-(G34+H34+I34)</f>
        <v>-0.0500000000010914</v>
      </c>
      <c r="K34" s="15" t="n">
        <v>560.44</v>
      </c>
      <c r="L34" s="15" t="n">
        <v>560.44</v>
      </c>
      <c r="M34" s="15" t="n">
        <v>560.44</v>
      </c>
      <c r="N34" s="15" t="n">
        <v>560.44</v>
      </c>
      <c r="O34" s="15" t="n">
        <v>560.44</v>
      </c>
      <c r="P34" s="15" t="n">
        <v>560.44</v>
      </c>
      <c r="Q34" s="15" t="n">
        <v>560.44</v>
      </c>
      <c r="R34" s="15" t="n">
        <v>560.44</v>
      </c>
      <c r="S34" s="15" t="n">
        <v>560.44</v>
      </c>
      <c r="T34" s="15" t="n">
        <v>560.44</v>
      </c>
      <c r="U34" s="15" t="n">
        <v>350</v>
      </c>
      <c r="V34" s="15" t="n">
        <v>0</v>
      </c>
      <c r="W34" s="15" t="n">
        <f aca="false">U34+V34</f>
        <v>350</v>
      </c>
    </row>
    <row r="35" customFormat="false" ht="15" hidden="false" customHeight="false" outlineLevel="0" collapsed="false">
      <c r="A35" s="3" t="s">
        <v>1085</v>
      </c>
      <c r="B35" s="3" t="s">
        <v>1070</v>
      </c>
      <c r="C35" s="3" t="s">
        <v>1086</v>
      </c>
      <c r="D35" s="3" t="s">
        <v>298</v>
      </c>
      <c r="E35" s="13" t="n">
        <v>560000</v>
      </c>
      <c r="F35" s="13" t="n">
        <v>7956.1</v>
      </c>
      <c r="G35" s="13" t="n">
        <v>994.51</v>
      </c>
      <c r="H35" s="13" t="n">
        <v>994.51</v>
      </c>
      <c r="I35" s="13" t="n">
        <f aca="false">SUM(K35:T35)</f>
        <v>5967.1</v>
      </c>
      <c r="J35" s="13" t="n">
        <f aca="false">F35-(G35+H35+I35)</f>
        <v>-0.0200000000004366</v>
      </c>
      <c r="K35" s="13" t="n">
        <v>596.71</v>
      </c>
      <c r="L35" s="13" t="n">
        <v>596.71</v>
      </c>
      <c r="M35" s="13" t="n">
        <v>596.71</v>
      </c>
      <c r="N35" s="13" t="n">
        <v>596.71</v>
      </c>
      <c r="O35" s="13" t="n">
        <v>596.71</v>
      </c>
      <c r="P35" s="13" t="n">
        <v>596.71</v>
      </c>
      <c r="Q35" s="13" t="n">
        <v>596.71</v>
      </c>
      <c r="R35" s="13" t="n">
        <v>596.71</v>
      </c>
      <c r="S35" s="13" t="n">
        <v>596.71</v>
      </c>
      <c r="T35" s="13" t="n">
        <v>596.71</v>
      </c>
      <c r="U35" s="13" t="n">
        <v>350</v>
      </c>
      <c r="V35" s="13" t="n">
        <v>0</v>
      </c>
      <c r="W35" s="13" t="n">
        <f aca="false">U35+V35</f>
        <v>350</v>
      </c>
    </row>
    <row r="36" customFormat="false" ht="15" hidden="false" customHeight="false" outlineLevel="0" collapsed="false">
      <c r="A36" s="14" t="s">
        <v>1087</v>
      </c>
      <c r="B36" s="14" t="s">
        <v>1056</v>
      </c>
      <c r="C36" s="14" t="s">
        <v>1088</v>
      </c>
      <c r="D36" s="14" t="s">
        <v>208</v>
      </c>
      <c r="E36" s="15" t="n">
        <v>840000</v>
      </c>
      <c r="F36" s="15" t="n">
        <v>14775.62</v>
      </c>
      <c r="G36" s="15" t="n">
        <v>1846.95</v>
      </c>
      <c r="H36" s="15" t="n">
        <v>1846.95</v>
      </c>
      <c r="I36" s="15" t="n">
        <f aca="false">SUM(K36:T36)</f>
        <v>11081.7</v>
      </c>
      <c r="J36" s="15" t="n">
        <f aca="false">F36-(G36+H36+I36)</f>
        <v>0.0200000000004366</v>
      </c>
      <c r="K36" s="15" t="n">
        <v>1108.17</v>
      </c>
      <c r="L36" s="15" t="n">
        <v>1108.17</v>
      </c>
      <c r="M36" s="15" t="n">
        <v>1108.17</v>
      </c>
      <c r="N36" s="15" t="n">
        <v>1108.17</v>
      </c>
      <c r="O36" s="15" t="n">
        <v>1108.17</v>
      </c>
      <c r="P36" s="15" t="n">
        <v>1108.17</v>
      </c>
      <c r="Q36" s="15" t="n">
        <v>1108.17</v>
      </c>
      <c r="R36" s="15" t="n">
        <v>1108.17</v>
      </c>
      <c r="S36" s="15" t="n">
        <v>1108.17</v>
      </c>
      <c r="T36" s="15" t="n">
        <v>1108.17</v>
      </c>
      <c r="U36" s="15" t="n">
        <v>350</v>
      </c>
      <c r="V36" s="15" t="n">
        <v>0</v>
      </c>
      <c r="W36" s="15" t="n">
        <f aca="false">U36+V36</f>
        <v>350</v>
      </c>
    </row>
    <row r="37" customFormat="false" ht="15" hidden="false" customHeight="false" outlineLevel="0" collapsed="false">
      <c r="A37" s="3" t="s">
        <v>1089</v>
      </c>
      <c r="B37" s="3" t="s">
        <v>1079</v>
      </c>
      <c r="C37" s="3" t="s">
        <v>248</v>
      </c>
      <c r="D37" s="3" t="s">
        <v>328</v>
      </c>
      <c r="E37" s="13" t="n">
        <v>775000</v>
      </c>
      <c r="F37" s="13" t="n">
        <v>11360.23</v>
      </c>
      <c r="G37" s="13" t="n">
        <v>1420.03</v>
      </c>
      <c r="H37" s="13" t="n">
        <v>1420.03</v>
      </c>
      <c r="I37" s="13" t="n">
        <f aca="false">SUM(K37:T37)</f>
        <v>8520.2</v>
      </c>
      <c r="J37" s="13" t="n">
        <f aca="false">F37-(G37+H37+I37)</f>
        <v>-0.0300000000006548</v>
      </c>
      <c r="K37" s="13" t="n">
        <v>852.02</v>
      </c>
      <c r="L37" s="13" t="n">
        <v>852.02</v>
      </c>
      <c r="M37" s="13" t="n">
        <v>852.02</v>
      </c>
      <c r="N37" s="13" t="n">
        <v>852.02</v>
      </c>
      <c r="O37" s="13" t="n">
        <v>852.02</v>
      </c>
      <c r="P37" s="13" t="n">
        <v>852.02</v>
      </c>
      <c r="Q37" s="13" t="n">
        <v>852.02</v>
      </c>
      <c r="R37" s="13" t="n">
        <v>852.02</v>
      </c>
      <c r="S37" s="13" t="n">
        <v>852.02</v>
      </c>
      <c r="T37" s="13" t="n">
        <v>852.02</v>
      </c>
      <c r="U37" s="13" t="n">
        <v>350</v>
      </c>
      <c r="V37" s="13" t="n">
        <v>0</v>
      </c>
      <c r="W37" s="13" t="n">
        <f aca="false">U37+V37</f>
        <v>350</v>
      </c>
    </row>
    <row r="38" customFormat="false" ht="15" hidden="false" customHeight="false" outlineLevel="0" collapsed="false">
      <c r="A38" s="14" t="s">
        <v>1090</v>
      </c>
      <c r="B38" s="14" t="s">
        <v>1037</v>
      </c>
      <c r="C38" s="14" t="s">
        <v>590</v>
      </c>
      <c r="D38" s="14" t="s">
        <v>115</v>
      </c>
      <c r="E38" s="15" t="n">
        <v>545000</v>
      </c>
      <c r="F38" s="15" t="n">
        <v>8111.71</v>
      </c>
      <c r="G38" s="15" t="n">
        <v>1013.96</v>
      </c>
      <c r="H38" s="15" t="n">
        <v>1013.96</v>
      </c>
      <c r="I38" s="15" t="n">
        <f aca="false">SUM(K38:T38)</f>
        <v>6083.8</v>
      </c>
      <c r="J38" s="15" t="n">
        <f aca="false">F38-(G38+H38+I38)</f>
        <v>-0.0100000000002183</v>
      </c>
      <c r="K38" s="15" t="n">
        <v>608.38</v>
      </c>
      <c r="L38" s="15" t="n">
        <v>608.38</v>
      </c>
      <c r="M38" s="15" t="n">
        <v>608.38</v>
      </c>
      <c r="N38" s="15" t="n">
        <v>608.38</v>
      </c>
      <c r="O38" s="15" t="n">
        <v>608.38</v>
      </c>
      <c r="P38" s="15" t="n">
        <v>608.38</v>
      </c>
      <c r="Q38" s="15" t="n">
        <v>608.38</v>
      </c>
      <c r="R38" s="15" t="n">
        <v>608.38</v>
      </c>
      <c r="S38" s="15" t="n">
        <v>608.38</v>
      </c>
      <c r="T38" s="15" t="n">
        <v>608.38</v>
      </c>
      <c r="U38" s="15" t="n">
        <v>350</v>
      </c>
      <c r="V38" s="15" t="n">
        <v>0</v>
      </c>
      <c r="W38" s="15" t="n">
        <f aca="false">U38+V38</f>
        <v>350</v>
      </c>
    </row>
    <row r="39" customFormat="false" ht="15" hidden="false" customHeight="false" outlineLevel="0" collapsed="false">
      <c r="A39" s="3" t="s">
        <v>1091</v>
      </c>
      <c r="B39" s="3" t="s">
        <v>1041</v>
      </c>
      <c r="C39" s="3" t="s">
        <v>398</v>
      </c>
      <c r="D39" s="3" t="s">
        <v>89</v>
      </c>
      <c r="E39" s="13" t="n">
        <v>370000</v>
      </c>
      <c r="F39" s="13" t="n">
        <v>3639.26</v>
      </c>
      <c r="G39" s="13" t="n">
        <v>454.91</v>
      </c>
      <c r="H39" s="13" t="n">
        <v>454.91</v>
      </c>
      <c r="I39" s="13" t="n">
        <f aca="false">SUM(K39:T39)</f>
        <v>2729.4</v>
      </c>
      <c r="J39" s="13" t="n">
        <f aca="false">F39-(G39+H39+I39)</f>
        <v>0.0399999999999636</v>
      </c>
      <c r="K39" s="13" t="n">
        <v>272.94</v>
      </c>
      <c r="L39" s="13" t="n">
        <v>272.94</v>
      </c>
      <c r="M39" s="13" t="n">
        <v>272.94</v>
      </c>
      <c r="N39" s="13" t="n">
        <v>272.94</v>
      </c>
      <c r="O39" s="13" t="n">
        <v>272.94</v>
      </c>
      <c r="P39" s="13" t="n">
        <v>272.94</v>
      </c>
      <c r="Q39" s="13" t="n">
        <v>272.94</v>
      </c>
      <c r="R39" s="13" t="n">
        <v>272.94</v>
      </c>
      <c r="S39" s="13" t="n">
        <v>272.94</v>
      </c>
      <c r="T39" s="13" t="n">
        <v>272.94</v>
      </c>
      <c r="U39" s="13" t="n">
        <v>350</v>
      </c>
      <c r="V39" s="13" t="n">
        <v>0</v>
      </c>
      <c r="W39" s="13" t="n">
        <f aca="false">U39+V39</f>
        <v>350</v>
      </c>
    </row>
    <row r="40" customFormat="false" ht="15" hidden="false" customHeight="false" outlineLevel="0" collapsed="false">
      <c r="A40" s="14" t="s">
        <v>1092</v>
      </c>
      <c r="B40" s="14" t="s">
        <v>1076</v>
      </c>
      <c r="C40" s="14" t="s">
        <v>165</v>
      </c>
      <c r="D40" s="14" t="s">
        <v>233</v>
      </c>
      <c r="E40" s="15" t="n">
        <v>380000</v>
      </c>
      <c r="F40" s="15" t="n">
        <v>4845.06</v>
      </c>
      <c r="G40" s="15" t="n">
        <v>605.63</v>
      </c>
      <c r="H40" s="15" t="n">
        <v>605.63</v>
      </c>
      <c r="I40" s="15" t="n">
        <f aca="false">SUM(K40:T40)</f>
        <v>3633.8</v>
      </c>
      <c r="J40" s="15" t="n">
        <f aca="false">F40-(G40+H40+I40)</f>
        <v>0</v>
      </c>
      <c r="K40" s="15" t="n">
        <v>363.38</v>
      </c>
      <c r="L40" s="15" t="n">
        <v>363.38</v>
      </c>
      <c r="M40" s="15" t="n">
        <v>363.38</v>
      </c>
      <c r="N40" s="15" t="n">
        <v>363.38</v>
      </c>
      <c r="O40" s="15" t="n">
        <v>363.38</v>
      </c>
      <c r="P40" s="15" t="n">
        <v>363.38</v>
      </c>
      <c r="Q40" s="15" t="n">
        <v>363.38</v>
      </c>
      <c r="R40" s="15" t="n">
        <v>363.38</v>
      </c>
      <c r="S40" s="15" t="n">
        <v>363.38</v>
      </c>
      <c r="T40" s="15" t="n">
        <v>363.38</v>
      </c>
      <c r="U40" s="15" t="n">
        <v>350</v>
      </c>
      <c r="V40" s="15" t="n">
        <v>0</v>
      </c>
      <c r="W40" s="15" t="n">
        <f aca="false">U40+V40</f>
        <v>350</v>
      </c>
    </row>
    <row r="41" customFormat="false" ht="15" hidden="false" customHeight="false" outlineLevel="0" collapsed="false">
      <c r="A41" s="3" t="s">
        <v>1093</v>
      </c>
      <c r="B41" s="3" t="s">
        <v>1094</v>
      </c>
      <c r="C41" s="3" t="s">
        <v>318</v>
      </c>
      <c r="D41" s="3" t="s">
        <v>197</v>
      </c>
      <c r="E41" s="13" t="n">
        <v>580000</v>
      </c>
      <c r="F41" s="13" t="n">
        <v>4715.76</v>
      </c>
      <c r="G41" s="13" t="n">
        <v>589.47</v>
      </c>
      <c r="H41" s="13" t="n">
        <v>589.47</v>
      </c>
      <c r="I41" s="13" t="n">
        <f aca="false">SUM(K41:T41)</f>
        <v>3536.8</v>
      </c>
      <c r="J41" s="13" t="n">
        <f aca="false">F41-(G41+H41+I41)</f>
        <v>0.0200000000004366</v>
      </c>
      <c r="K41" s="13" t="n">
        <v>353.68</v>
      </c>
      <c r="L41" s="13" t="n">
        <v>353.68</v>
      </c>
      <c r="M41" s="13" t="n">
        <v>353.68</v>
      </c>
      <c r="N41" s="13" t="n">
        <v>353.68</v>
      </c>
      <c r="O41" s="13" t="n">
        <v>353.68</v>
      </c>
      <c r="P41" s="13" t="n">
        <v>353.68</v>
      </c>
      <c r="Q41" s="13" t="n">
        <v>353.68</v>
      </c>
      <c r="R41" s="13" t="n">
        <v>353.68</v>
      </c>
      <c r="S41" s="13" t="n">
        <v>353.68</v>
      </c>
      <c r="T41" s="13" t="n">
        <v>353.68</v>
      </c>
      <c r="U41" s="13" t="n">
        <v>350</v>
      </c>
      <c r="V41" s="13" t="n">
        <v>0</v>
      </c>
      <c r="W41" s="13" t="n">
        <f aca="false">U41+V41</f>
        <v>350</v>
      </c>
    </row>
    <row r="42" customFormat="false" ht="15" hidden="false" customHeight="false" outlineLevel="0" collapsed="false">
      <c r="A42" s="14" t="s">
        <v>1095</v>
      </c>
      <c r="B42" s="14" t="s">
        <v>1047</v>
      </c>
      <c r="C42" s="14" t="s">
        <v>471</v>
      </c>
      <c r="D42" s="14" t="s">
        <v>430</v>
      </c>
      <c r="E42" s="15" t="n">
        <v>415000</v>
      </c>
      <c r="F42" s="15" t="n">
        <v>5345.32</v>
      </c>
      <c r="G42" s="15" t="n">
        <v>668.16</v>
      </c>
      <c r="H42" s="15" t="n">
        <v>668.16</v>
      </c>
      <c r="I42" s="15" t="n">
        <f aca="false">SUM(K42:T42)</f>
        <v>4009</v>
      </c>
      <c r="J42" s="15" t="n">
        <f aca="false">F42-(G42+H42+I42)</f>
        <v>0</v>
      </c>
      <c r="K42" s="15" t="n">
        <v>400.9</v>
      </c>
      <c r="L42" s="15" t="n">
        <v>400.9</v>
      </c>
      <c r="M42" s="15" t="n">
        <v>400.9</v>
      </c>
      <c r="N42" s="15" t="n">
        <v>400.9</v>
      </c>
      <c r="O42" s="15" t="n">
        <v>400.9</v>
      </c>
      <c r="P42" s="15" t="n">
        <v>400.9</v>
      </c>
      <c r="Q42" s="15" t="n">
        <v>400.9</v>
      </c>
      <c r="R42" s="15" t="n">
        <v>400.9</v>
      </c>
      <c r="S42" s="15" t="n">
        <v>400.9</v>
      </c>
      <c r="T42" s="15" t="n">
        <v>400.9</v>
      </c>
      <c r="U42" s="15" t="n">
        <v>350</v>
      </c>
      <c r="V42" s="15" t="n">
        <v>0</v>
      </c>
      <c r="W42" s="15" t="n">
        <f aca="false">U42+V42</f>
        <v>350</v>
      </c>
    </row>
    <row r="43" customFormat="false" ht="15" hidden="false" customHeight="false" outlineLevel="0" collapsed="false">
      <c r="A43" s="3" t="s">
        <v>1096</v>
      </c>
      <c r="B43" s="3" t="s">
        <v>1062</v>
      </c>
      <c r="C43" s="3" t="s">
        <v>300</v>
      </c>
      <c r="D43" s="3" t="s">
        <v>203</v>
      </c>
      <c r="E43" s="13" t="n">
        <v>755000</v>
      </c>
      <c r="F43" s="13" t="n">
        <v>14184.17</v>
      </c>
      <c r="G43" s="13" t="n">
        <v>1773.02</v>
      </c>
      <c r="H43" s="13" t="n">
        <v>1773.02</v>
      </c>
      <c r="I43" s="13" t="n">
        <f aca="false">SUM(K43:T43)</f>
        <v>10638.1</v>
      </c>
      <c r="J43" s="13" t="n">
        <f aca="false">F43-(G43+H43+I43)</f>
        <v>0.0300000000006548</v>
      </c>
      <c r="K43" s="13" t="n">
        <v>1063.81</v>
      </c>
      <c r="L43" s="13" t="n">
        <v>1063.81</v>
      </c>
      <c r="M43" s="13" t="n">
        <v>1063.81</v>
      </c>
      <c r="N43" s="13" t="n">
        <v>1063.81</v>
      </c>
      <c r="O43" s="13" t="n">
        <v>1063.81</v>
      </c>
      <c r="P43" s="13" t="n">
        <v>1063.81</v>
      </c>
      <c r="Q43" s="13" t="n">
        <v>1063.81</v>
      </c>
      <c r="R43" s="13" t="n">
        <v>1063.81</v>
      </c>
      <c r="S43" s="13" t="n">
        <v>1063.81</v>
      </c>
      <c r="T43" s="13" t="n">
        <v>1063.81</v>
      </c>
      <c r="U43" s="13" t="n">
        <v>350</v>
      </c>
      <c r="V43" s="13" t="n">
        <v>0</v>
      </c>
      <c r="W43" s="13" t="n">
        <f aca="false">U43+V43</f>
        <v>350</v>
      </c>
    </row>
    <row r="44" customFormat="false" ht="15" hidden="false" customHeight="false" outlineLevel="0" collapsed="false">
      <c r="A44" s="14" t="s">
        <v>1097</v>
      </c>
      <c r="B44" s="14" t="s">
        <v>1098</v>
      </c>
      <c r="C44" s="14" t="s">
        <v>88</v>
      </c>
      <c r="D44" s="14" t="s">
        <v>222</v>
      </c>
      <c r="E44" s="15" t="n">
        <v>540000</v>
      </c>
      <c r="F44" s="15" t="n">
        <v>6697.75</v>
      </c>
      <c r="G44" s="15" t="n">
        <v>837.22</v>
      </c>
      <c r="H44" s="15" t="n">
        <v>837.22</v>
      </c>
      <c r="I44" s="15" t="n">
        <f aca="false">SUM(K44:T44)</f>
        <v>5023.3</v>
      </c>
      <c r="J44" s="15" t="n">
        <f aca="false">F44-(G44+H44+I44)</f>
        <v>0.0100000000002183</v>
      </c>
      <c r="K44" s="15" t="n">
        <v>502.33</v>
      </c>
      <c r="L44" s="15" t="n">
        <v>502.33</v>
      </c>
      <c r="M44" s="15" t="n">
        <v>502.33</v>
      </c>
      <c r="N44" s="15" t="n">
        <v>502.33</v>
      </c>
      <c r="O44" s="15" t="n">
        <v>502.33</v>
      </c>
      <c r="P44" s="15" t="n">
        <v>502.33</v>
      </c>
      <c r="Q44" s="15" t="n">
        <v>502.33</v>
      </c>
      <c r="R44" s="15" t="n">
        <v>502.33</v>
      </c>
      <c r="S44" s="15" t="n">
        <v>502.33</v>
      </c>
      <c r="T44" s="15" t="n">
        <v>502.33</v>
      </c>
      <c r="U44" s="15" t="n">
        <v>350</v>
      </c>
      <c r="V44" s="15" t="n">
        <v>0</v>
      </c>
      <c r="W44" s="15" t="n">
        <f aca="false">U44+V44</f>
        <v>350</v>
      </c>
    </row>
    <row r="45" customFormat="false" ht="15" hidden="false" customHeight="false" outlineLevel="0" collapsed="false">
      <c r="A45" s="3" t="s">
        <v>1099</v>
      </c>
      <c r="B45" s="3" t="s">
        <v>1100</v>
      </c>
      <c r="C45" s="3" t="s">
        <v>1101</v>
      </c>
      <c r="D45" s="3" t="s">
        <v>279</v>
      </c>
      <c r="E45" s="13" t="n">
        <v>205000</v>
      </c>
      <c r="F45" s="13" t="n">
        <v>2977.23</v>
      </c>
      <c r="G45" s="13" t="n">
        <v>372.15</v>
      </c>
      <c r="H45" s="13" t="n">
        <v>372.15</v>
      </c>
      <c r="I45" s="13" t="n">
        <f aca="false">SUM(K45:T45)</f>
        <v>2232.9</v>
      </c>
      <c r="J45" s="13" t="n">
        <f aca="false">F45-(G45+H45+I45)</f>
        <v>0.0300000000002001</v>
      </c>
      <c r="K45" s="13" t="n">
        <v>223.29</v>
      </c>
      <c r="L45" s="13" t="n">
        <v>223.29</v>
      </c>
      <c r="M45" s="13" t="n">
        <v>223.29</v>
      </c>
      <c r="N45" s="13" t="n">
        <v>223.29</v>
      </c>
      <c r="O45" s="13" t="n">
        <v>223.29</v>
      </c>
      <c r="P45" s="13" t="n">
        <v>223.29</v>
      </c>
      <c r="Q45" s="13" t="n">
        <v>223.29</v>
      </c>
      <c r="R45" s="13" t="n">
        <v>223.29</v>
      </c>
      <c r="S45" s="13" t="n">
        <v>223.29</v>
      </c>
      <c r="T45" s="13" t="n">
        <v>223.29</v>
      </c>
      <c r="U45" s="13" t="n">
        <v>350</v>
      </c>
      <c r="V45" s="13" t="n">
        <v>0</v>
      </c>
      <c r="W45" s="13" t="n">
        <f aca="false">U45+V45</f>
        <v>350</v>
      </c>
    </row>
    <row r="46" customFormat="false" ht="15" hidden="false" customHeight="false" outlineLevel="0" collapsed="false">
      <c r="A46" s="14" t="s">
        <v>1102</v>
      </c>
      <c r="B46" s="14" t="s">
        <v>1053</v>
      </c>
      <c r="C46" s="14" t="s">
        <v>1103</v>
      </c>
      <c r="D46" s="14" t="s">
        <v>93</v>
      </c>
      <c r="E46" s="15" t="n">
        <v>245000</v>
      </c>
      <c r="F46" s="15" t="n">
        <v>5004.86</v>
      </c>
      <c r="G46" s="15" t="n">
        <v>625.61</v>
      </c>
      <c r="H46" s="15" t="n">
        <v>625.61</v>
      </c>
      <c r="I46" s="15" t="n">
        <f aca="false">SUM(K46:T46)</f>
        <v>3753.6</v>
      </c>
      <c r="J46" s="15" t="n">
        <f aca="false">F46-(G46+H46+I46)</f>
        <v>0.0399999999990541</v>
      </c>
      <c r="K46" s="15" t="n">
        <v>375.36</v>
      </c>
      <c r="L46" s="15" t="n">
        <v>375.36</v>
      </c>
      <c r="M46" s="15" t="n">
        <v>375.36</v>
      </c>
      <c r="N46" s="15" t="n">
        <v>375.36</v>
      </c>
      <c r="O46" s="15" t="n">
        <v>375.36</v>
      </c>
      <c r="P46" s="15" t="n">
        <v>375.36</v>
      </c>
      <c r="Q46" s="15" t="n">
        <v>375.36</v>
      </c>
      <c r="R46" s="15" t="n">
        <v>375.36</v>
      </c>
      <c r="S46" s="15" t="n">
        <v>375.36</v>
      </c>
      <c r="T46" s="15" t="n">
        <v>375.36</v>
      </c>
      <c r="U46" s="15" t="n">
        <v>350</v>
      </c>
      <c r="V46" s="15" t="n">
        <v>0</v>
      </c>
      <c r="W46" s="15" t="n">
        <f aca="false">U46+V46</f>
        <v>350</v>
      </c>
    </row>
    <row r="47" customFormat="false" ht="15" hidden="false" customHeight="false" outlineLevel="0" collapsed="false">
      <c r="A47" s="3" t="s">
        <v>1104</v>
      </c>
      <c r="B47" s="3" t="s">
        <v>1079</v>
      </c>
      <c r="C47" s="3" t="s">
        <v>1105</v>
      </c>
      <c r="D47" s="3" t="s">
        <v>325</v>
      </c>
      <c r="E47" s="13" t="n">
        <v>410000</v>
      </c>
      <c r="F47" s="13" t="n">
        <v>11287.28</v>
      </c>
      <c r="G47" s="13" t="n">
        <v>1410.91</v>
      </c>
      <c r="H47" s="13" t="n">
        <v>1410.91</v>
      </c>
      <c r="I47" s="13" t="n">
        <f aca="false">SUM(K47:T47)</f>
        <v>8465.5</v>
      </c>
      <c r="J47" s="13" t="n">
        <f aca="false">F47-(G47+H47+I47)</f>
        <v>-0.0399999999990541</v>
      </c>
      <c r="K47" s="13" t="n">
        <v>846.55</v>
      </c>
      <c r="L47" s="13" t="n">
        <v>846.55</v>
      </c>
      <c r="M47" s="13" t="n">
        <v>846.55</v>
      </c>
      <c r="N47" s="13" t="n">
        <v>846.55</v>
      </c>
      <c r="O47" s="13" t="n">
        <v>846.55</v>
      </c>
      <c r="P47" s="13" t="n">
        <v>846.55</v>
      </c>
      <c r="Q47" s="13" t="n">
        <v>846.55</v>
      </c>
      <c r="R47" s="13" t="n">
        <v>846.55</v>
      </c>
      <c r="S47" s="13" t="n">
        <v>846.55</v>
      </c>
      <c r="T47" s="13" t="n">
        <v>846.55</v>
      </c>
      <c r="U47" s="13" t="n">
        <v>350</v>
      </c>
      <c r="V47" s="13" t="n">
        <v>0</v>
      </c>
      <c r="W47" s="13" t="n">
        <f aca="false">U47+V47</f>
        <v>350</v>
      </c>
    </row>
    <row r="48" customFormat="false" ht="15" hidden="false" customHeight="false" outlineLevel="0" collapsed="false">
      <c r="A48" s="14" t="s">
        <v>1106</v>
      </c>
      <c r="B48" s="14" t="s">
        <v>1107</v>
      </c>
      <c r="C48" s="14" t="s">
        <v>1108</v>
      </c>
      <c r="D48" s="14" t="s">
        <v>132</v>
      </c>
      <c r="E48" s="15" t="n">
        <v>1865000</v>
      </c>
      <c r="F48" s="15" t="n">
        <v>25881.97</v>
      </c>
      <c r="G48" s="15" t="n">
        <v>3235.25</v>
      </c>
      <c r="H48" s="15" t="n">
        <v>3235.25</v>
      </c>
      <c r="I48" s="15" t="n">
        <f aca="false">SUM(K48:T48)</f>
        <v>19411.5</v>
      </c>
      <c r="J48" s="15" t="n">
        <f aca="false">F48-(G48+H48+I48)</f>
        <v>-0.0300000000024738</v>
      </c>
      <c r="K48" s="15" t="n">
        <v>1941.15</v>
      </c>
      <c r="L48" s="15" t="n">
        <v>1941.15</v>
      </c>
      <c r="M48" s="15" t="n">
        <v>1941.15</v>
      </c>
      <c r="N48" s="15" t="n">
        <v>1941.15</v>
      </c>
      <c r="O48" s="15" t="n">
        <v>1941.15</v>
      </c>
      <c r="P48" s="15" t="n">
        <v>1941.15</v>
      </c>
      <c r="Q48" s="15" t="n">
        <v>1941.15</v>
      </c>
      <c r="R48" s="15" t="n">
        <v>1941.15</v>
      </c>
      <c r="S48" s="15" t="n">
        <v>1941.15</v>
      </c>
      <c r="T48" s="15" t="n">
        <v>1941.15</v>
      </c>
      <c r="U48" s="15" t="n">
        <v>350</v>
      </c>
      <c r="V48" s="15" t="n">
        <v>250</v>
      </c>
      <c r="W48" s="15" t="n">
        <f aca="false">U48+V48</f>
        <v>600</v>
      </c>
    </row>
    <row r="49" customFormat="false" ht="15" hidden="false" customHeight="false" outlineLevel="0" collapsed="false">
      <c r="A49" s="3" t="s">
        <v>1109</v>
      </c>
      <c r="B49" s="3" t="s">
        <v>1056</v>
      </c>
      <c r="C49" s="3" t="s">
        <v>1101</v>
      </c>
      <c r="D49" s="3" t="s">
        <v>138</v>
      </c>
      <c r="E49" s="13" t="n">
        <v>580000</v>
      </c>
      <c r="F49" s="13" t="n">
        <v>4975.34</v>
      </c>
      <c r="G49" s="13" t="n">
        <v>621.92</v>
      </c>
      <c r="H49" s="13" t="n">
        <v>621.92</v>
      </c>
      <c r="I49" s="13" t="n">
        <f aca="false">SUM(K49:T49)</f>
        <v>3731.5</v>
      </c>
      <c r="J49" s="13" t="n">
        <f aca="false">F49-(G49+H49+I49)</f>
        <v>0</v>
      </c>
      <c r="K49" s="13" t="n">
        <v>373.15</v>
      </c>
      <c r="L49" s="13" t="n">
        <v>373.15</v>
      </c>
      <c r="M49" s="13" t="n">
        <v>373.15</v>
      </c>
      <c r="N49" s="13" t="n">
        <v>373.15</v>
      </c>
      <c r="O49" s="13" t="n">
        <v>373.15</v>
      </c>
      <c r="P49" s="13" t="n">
        <v>373.15</v>
      </c>
      <c r="Q49" s="13" t="n">
        <v>373.15</v>
      </c>
      <c r="R49" s="13" t="n">
        <v>373.15</v>
      </c>
      <c r="S49" s="13" t="n">
        <v>373.15</v>
      </c>
      <c r="T49" s="13" t="n">
        <v>373.15</v>
      </c>
      <c r="U49" s="13" t="n">
        <v>350</v>
      </c>
      <c r="V49" s="13" t="n">
        <v>0</v>
      </c>
      <c r="W49" s="13" t="n">
        <f aca="false">U49+V49</f>
        <v>350</v>
      </c>
    </row>
    <row r="50" customFormat="false" ht="15" hidden="false" customHeight="false" outlineLevel="0" collapsed="false">
      <c r="A50" s="14" t="s">
        <v>1110</v>
      </c>
      <c r="B50" s="14" t="s">
        <v>1035</v>
      </c>
      <c r="C50" s="14" t="s">
        <v>381</v>
      </c>
      <c r="D50" s="14" t="s">
        <v>89</v>
      </c>
      <c r="E50" s="15" t="n">
        <v>940000</v>
      </c>
      <c r="F50" s="15" t="n">
        <v>9465.83</v>
      </c>
      <c r="G50" s="15" t="n">
        <v>1183.23</v>
      </c>
      <c r="H50" s="15" t="n">
        <v>1183.23</v>
      </c>
      <c r="I50" s="15" t="n">
        <f aca="false">SUM(K50:T50)</f>
        <v>7099.4</v>
      </c>
      <c r="J50" s="15" t="n">
        <f aca="false">F50-(G50+H50+I50)</f>
        <v>-0.0300000000006548</v>
      </c>
      <c r="K50" s="15" t="n">
        <v>709.94</v>
      </c>
      <c r="L50" s="15" t="n">
        <v>709.94</v>
      </c>
      <c r="M50" s="15" t="n">
        <v>709.94</v>
      </c>
      <c r="N50" s="15" t="n">
        <v>709.94</v>
      </c>
      <c r="O50" s="15" t="n">
        <v>709.94</v>
      </c>
      <c r="P50" s="15" t="n">
        <v>709.94</v>
      </c>
      <c r="Q50" s="15" t="n">
        <v>709.94</v>
      </c>
      <c r="R50" s="15" t="n">
        <v>709.94</v>
      </c>
      <c r="S50" s="15" t="n">
        <v>709.94</v>
      </c>
      <c r="T50" s="15" t="n">
        <v>709.94</v>
      </c>
      <c r="U50" s="15" t="n">
        <v>350</v>
      </c>
      <c r="V50" s="15" t="n">
        <v>0</v>
      </c>
      <c r="W50" s="15" t="n">
        <f aca="false">U50+V50</f>
        <v>350</v>
      </c>
    </row>
    <row r="51" customFormat="false" ht="15" hidden="false" customHeight="false" outlineLevel="0" collapsed="false">
      <c r="A51" s="3" t="s">
        <v>1111</v>
      </c>
      <c r="B51" s="3" t="s">
        <v>1047</v>
      </c>
      <c r="C51" s="3" t="s">
        <v>1112</v>
      </c>
      <c r="D51" s="3" t="s">
        <v>112</v>
      </c>
      <c r="E51" s="13" t="n">
        <v>1350000</v>
      </c>
      <c r="F51" s="13" t="n">
        <v>8454.14</v>
      </c>
      <c r="G51" s="13" t="n">
        <v>1056.77</v>
      </c>
      <c r="H51" s="13" t="n">
        <v>1056.77</v>
      </c>
      <c r="I51" s="13" t="n">
        <f aca="false">SUM(K51:T51)</f>
        <v>6340.6</v>
      </c>
      <c r="J51" s="13" t="n">
        <f aca="false">F51-(G51+H51+I51)</f>
        <v>0</v>
      </c>
      <c r="K51" s="13" t="n">
        <v>634.06</v>
      </c>
      <c r="L51" s="13" t="n">
        <v>634.06</v>
      </c>
      <c r="M51" s="13" t="n">
        <v>634.06</v>
      </c>
      <c r="N51" s="13" t="n">
        <v>634.06</v>
      </c>
      <c r="O51" s="13" t="n">
        <v>634.06</v>
      </c>
      <c r="P51" s="13" t="n">
        <v>634.06</v>
      </c>
      <c r="Q51" s="13" t="n">
        <v>634.06</v>
      </c>
      <c r="R51" s="13" t="n">
        <v>634.06</v>
      </c>
      <c r="S51" s="13" t="n">
        <v>634.06</v>
      </c>
      <c r="T51" s="13" t="n">
        <v>634.06</v>
      </c>
      <c r="U51" s="13" t="n">
        <v>350</v>
      </c>
      <c r="V51" s="13" t="n">
        <v>250</v>
      </c>
      <c r="W51" s="13" t="n">
        <f aca="false">U51+V51</f>
        <v>600</v>
      </c>
    </row>
    <row r="52" customFormat="false" ht="15" hidden="false" customHeight="false" outlineLevel="0" collapsed="false">
      <c r="A52" s="14" t="s">
        <v>1113</v>
      </c>
      <c r="B52" s="14" t="s">
        <v>1079</v>
      </c>
      <c r="C52" s="14" t="s">
        <v>852</v>
      </c>
      <c r="D52" s="14" t="s">
        <v>157</v>
      </c>
      <c r="E52" s="15" t="n">
        <v>570000</v>
      </c>
      <c r="F52" s="15" t="n">
        <v>9126.52</v>
      </c>
      <c r="G52" s="15" t="n">
        <v>1140.82</v>
      </c>
      <c r="H52" s="15" t="n">
        <v>1140.82</v>
      </c>
      <c r="I52" s="15" t="n">
        <f aca="false">SUM(K52:T52)</f>
        <v>6844.9</v>
      </c>
      <c r="J52" s="15" t="n">
        <f aca="false">F52-(G52+H52+I52)</f>
        <v>-0.0199999999986176</v>
      </c>
      <c r="K52" s="15" t="n">
        <v>684.49</v>
      </c>
      <c r="L52" s="15" t="n">
        <v>684.49</v>
      </c>
      <c r="M52" s="15" t="n">
        <v>684.49</v>
      </c>
      <c r="N52" s="15" t="n">
        <v>684.49</v>
      </c>
      <c r="O52" s="15" t="n">
        <v>684.49</v>
      </c>
      <c r="P52" s="15" t="n">
        <v>684.49</v>
      </c>
      <c r="Q52" s="15" t="n">
        <v>684.49</v>
      </c>
      <c r="R52" s="15" t="n">
        <v>684.49</v>
      </c>
      <c r="S52" s="15" t="n">
        <v>684.49</v>
      </c>
      <c r="T52" s="15" t="n">
        <v>684.49</v>
      </c>
      <c r="U52" s="15" t="n">
        <v>350</v>
      </c>
      <c r="V52" s="15" t="n">
        <v>0</v>
      </c>
      <c r="W52" s="15" t="n">
        <f aca="false">U52+V52</f>
        <v>350</v>
      </c>
    </row>
    <row r="53" customFormat="false" ht="15" hidden="false" customHeight="false" outlineLevel="0" collapsed="false">
      <c r="A53" s="3" t="s">
        <v>1114</v>
      </c>
      <c r="B53" s="3" t="s">
        <v>1115</v>
      </c>
      <c r="C53" s="3" t="s">
        <v>1116</v>
      </c>
      <c r="D53" s="3" t="s">
        <v>132</v>
      </c>
      <c r="E53" s="13" t="n">
        <v>595000</v>
      </c>
      <c r="F53" s="13" t="n">
        <v>6709.02</v>
      </c>
      <c r="G53" s="13" t="n">
        <v>838.63</v>
      </c>
      <c r="H53" s="13" t="n">
        <v>838.63</v>
      </c>
      <c r="I53" s="13" t="n">
        <f aca="false">SUM(K53:T53)</f>
        <v>5031.8</v>
      </c>
      <c r="J53" s="13" t="n">
        <f aca="false">F53-(G53+H53+I53)</f>
        <v>-0.0399999999999636</v>
      </c>
      <c r="K53" s="13" t="n">
        <v>503.18</v>
      </c>
      <c r="L53" s="13" t="n">
        <v>503.18</v>
      </c>
      <c r="M53" s="13" t="n">
        <v>503.18</v>
      </c>
      <c r="N53" s="13" t="n">
        <v>503.18</v>
      </c>
      <c r="O53" s="13" t="n">
        <v>503.18</v>
      </c>
      <c r="P53" s="13" t="n">
        <v>503.18</v>
      </c>
      <c r="Q53" s="13" t="n">
        <v>503.18</v>
      </c>
      <c r="R53" s="13" t="n">
        <v>503.18</v>
      </c>
      <c r="S53" s="13" t="n">
        <v>503.18</v>
      </c>
      <c r="T53" s="13" t="n">
        <v>503.18</v>
      </c>
      <c r="U53" s="13" t="n">
        <v>350</v>
      </c>
      <c r="V53" s="13" t="n">
        <v>0</v>
      </c>
      <c r="W53" s="13" t="n">
        <f aca="false">U53+V53</f>
        <v>350</v>
      </c>
    </row>
    <row r="54" customFormat="false" ht="15" hidden="false" customHeight="false" outlineLevel="0" collapsed="false">
      <c r="A54" s="14" t="s">
        <v>1117</v>
      </c>
      <c r="B54" s="14" t="s">
        <v>1118</v>
      </c>
      <c r="C54" s="14" t="s">
        <v>285</v>
      </c>
      <c r="D54" s="14" t="s">
        <v>138</v>
      </c>
      <c r="E54" s="15" t="n">
        <v>1195000</v>
      </c>
      <c r="F54" s="15" t="n">
        <v>19071.48</v>
      </c>
      <c r="G54" s="15" t="n">
        <v>2383.93</v>
      </c>
      <c r="H54" s="15" t="n">
        <v>2383.93</v>
      </c>
      <c r="I54" s="15" t="n">
        <f aca="false">SUM(K54:T54)</f>
        <v>14303.6</v>
      </c>
      <c r="J54" s="15" t="n">
        <f aca="false">F54-(G54+H54+I54)</f>
        <v>0.0200000000004366</v>
      </c>
      <c r="K54" s="15" t="n">
        <v>1430.36</v>
      </c>
      <c r="L54" s="15" t="n">
        <v>1430.36</v>
      </c>
      <c r="M54" s="15" t="n">
        <v>1430.36</v>
      </c>
      <c r="N54" s="15" t="n">
        <v>1430.36</v>
      </c>
      <c r="O54" s="15" t="n">
        <v>1430.36</v>
      </c>
      <c r="P54" s="15" t="n">
        <v>1430.36</v>
      </c>
      <c r="Q54" s="15" t="n">
        <v>1430.36</v>
      </c>
      <c r="R54" s="15" t="n">
        <v>1430.36</v>
      </c>
      <c r="S54" s="15" t="n">
        <v>1430.36</v>
      </c>
      <c r="T54" s="15" t="n">
        <v>1430.36</v>
      </c>
      <c r="U54" s="15" t="n">
        <v>350</v>
      </c>
      <c r="V54" s="15" t="n">
        <v>250</v>
      </c>
      <c r="W54" s="15" t="n">
        <f aca="false">U54+V54</f>
        <v>600</v>
      </c>
    </row>
    <row r="55" customFormat="false" ht="15" hidden="false" customHeight="false" outlineLevel="0" collapsed="false">
      <c r="A55" s="3" t="s">
        <v>1119</v>
      </c>
      <c r="B55" s="3" t="s">
        <v>1031</v>
      </c>
      <c r="C55" s="3" t="s">
        <v>1120</v>
      </c>
      <c r="D55" s="3" t="s">
        <v>208</v>
      </c>
      <c r="E55" s="13" t="n">
        <v>580000</v>
      </c>
      <c r="F55" s="13" t="n">
        <v>8501.85</v>
      </c>
      <c r="G55" s="13" t="n">
        <v>1062.73</v>
      </c>
      <c r="H55" s="13" t="n">
        <v>1062.73</v>
      </c>
      <c r="I55" s="13" t="n">
        <f aca="false">SUM(K55:T55)</f>
        <v>6376.4</v>
      </c>
      <c r="J55" s="13" t="n">
        <f aca="false">F55-(G55+H55+I55)</f>
        <v>-0.0100000000002183</v>
      </c>
      <c r="K55" s="13" t="n">
        <v>637.64</v>
      </c>
      <c r="L55" s="13" t="n">
        <v>637.64</v>
      </c>
      <c r="M55" s="13" t="n">
        <v>637.64</v>
      </c>
      <c r="N55" s="13" t="n">
        <v>637.64</v>
      </c>
      <c r="O55" s="13" t="n">
        <v>637.64</v>
      </c>
      <c r="P55" s="13" t="n">
        <v>637.64</v>
      </c>
      <c r="Q55" s="13" t="n">
        <v>637.64</v>
      </c>
      <c r="R55" s="13" t="n">
        <v>637.64</v>
      </c>
      <c r="S55" s="13" t="n">
        <v>637.64</v>
      </c>
      <c r="T55" s="13" t="n">
        <v>637.64</v>
      </c>
      <c r="U55" s="13" t="n">
        <v>350</v>
      </c>
      <c r="V55" s="13" t="n">
        <v>0</v>
      </c>
      <c r="W55" s="13" t="n">
        <f aca="false">U55+V55</f>
        <v>350</v>
      </c>
    </row>
    <row r="56" customFormat="false" ht="15" hidden="false" customHeight="false" outlineLevel="0" collapsed="false">
      <c r="A56" s="14" t="s">
        <v>1121</v>
      </c>
      <c r="B56" s="14" t="s">
        <v>1051</v>
      </c>
      <c r="C56" s="14" t="s">
        <v>1004</v>
      </c>
      <c r="D56" s="14" t="s">
        <v>132</v>
      </c>
      <c r="E56" s="15" t="n">
        <v>555000</v>
      </c>
      <c r="F56" s="15" t="n">
        <v>6257.99</v>
      </c>
      <c r="G56" s="15" t="n">
        <v>782.25</v>
      </c>
      <c r="H56" s="15" t="n">
        <v>782.25</v>
      </c>
      <c r="I56" s="15" t="n">
        <f aca="false">SUM(K56:T56)</f>
        <v>4693.5</v>
      </c>
      <c r="J56" s="15" t="n">
        <f aca="false">F56-(G56+H56+I56)</f>
        <v>-0.0100000000011278</v>
      </c>
      <c r="K56" s="15" t="n">
        <v>469.35</v>
      </c>
      <c r="L56" s="15" t="n">
        <v>469.35</v>
      </c>
      <c r="M56" s="15" t="n">
        <v>469.35</v>
      </c>
      <c r="N56" s="15" t="n">
        <v>469.35</v>
      </c>
      <c r="O56" s="15" t="n">
        <v>469.35</v>
      </c>
      <c r="P56" s="15" t="n">
        <v>469.35</v>
      </c>
      <c r="Q56" s="15" t="n">
        <v>469.35</v>
      </c>
      <c r="R56" s="15" t="n">
        <v>469.35</v>
      </c>
      <c r="S56" s="15" t="n">
        <v>469.35</v>
      </c>
      <c r="T56" s="15" t="n">
        <v>469.35</v>
      </c>
      <c r="U56" s="15" t="n">
        <v>350</v>
      </c>
      <c r="V56" s="15" t="n">
        <v>0</v>
      </c>
      <c r="W56" s="15" t="n">
        <f aca="false">U56+V56</f>
        <v>350</v>
      </c>
    </row>
    <row r="57" customFormat="false" ht="15" hidden="false" customHeight="false" outlineLevel="0" collapsed="false">
      <c r="A57" s="3" t="s">
        <v>1122</v>
      </c>
      <c r="B57" s="3" t="s">
        <v>1029</v>
      </c>
      <c r="C57" s="3" t="s">
        <v>1123</v>
      </c>
      <c r="D57" s="3" t="s">
        <v>911</v>
      </c>
      <c r="E57" s="13" t="n">
        <v>405000</v>
      </c>
      <c r="F57" s="13" t="n">
        <v>3642.07</v>
      </c>
      <c r="G57" s="13" t="n">
        <v>455.26</v>
      </c>
      <c r="H57" s="13" t="n">
        <v>455.26</v>
      </c>
      <c r="I57" s="13" t="n">
        <f aca="false">SUM(K57:T57)</f>
        <v>2731.6</v>
      </c>
      <c r="J57" s="13" t="n">
        <f aca="false">F57-(G57+H57+I57)</f>
        <v>-0.0499999999997272</v>
      </c>
      <c r="K57" s="13" t="n">
        <v>273.16</v>
      </c>
      <c r="L57" s="13" t="n">
        <v>273.16</v>
      </c>
      <c r="M57" s="13" t="n">
        <v>273.16</v>
      </c>
      <c r="N57" s="13" t="n">
        <v>273.16</v>
      </c>
      <c r="O57" s="13" t="n">
        <v>273.16</v>
      </c>
      <c r="P57" s="13" t="n">
        <v>273.16</v>
      </c>
      <c r="Q57" s="13" t="n">
        <v>273.16</v>
      </c>
      <c r="R57" s="13" t="n">
        <v>273.16</v>
      </c>
      <c r="S57" s="13" t="n">
        <v>273.16</v>
      </c>
      <c r="T57" s="13" t="n">
        <v>273.16</v>
      </c>
      <c r="U57" s="13" t="n">
        <v>350</v>
      </c>
      <c r="V57" s="13" t="n">
        <v>0</v>
      </c>
      <c r="W57" s="13" t="n">
        <f aca="false">U57+V57</f>
        <v>350</v>
      </c>
    </row>
    <row r="58" customFormat="false" ht="15" hidden="false" customHeight="false" outlineLevel="0" collapsed="false">
      <c r="A58" s="14" t="s">
        <v>1124</v>
      </c>
      <c r="B58" s="14" t="s">
        <v>1059</v>
      </c>
      <c r="C58" s="14" t="s">
        <v>1125</v>
      </c>
      <c r="D58" s="14" t="s">
        <v>153</v>
      </c>
      <c r="E58" s="15" t="n">
        <v>425000</v>
      </c>
      <c r="F58" s="15" t="n">
        <v>8570.58</v>
      </c>
      <c r="G58" s="15" t="n">
        <v>1071.32</v>
      </c>
      <c r="H58" s="15" t="n">
        <v>1071.32</v>
      </c>
      <c r="I58" s="15" t="n">
        <f aca="false">SUM(K58:T58)</f>
        <v>6427.9</v>
      </c>
      <c r="J58" s="15" t="n">
        <f aca="false">F58-(G58+H58+I58)</f>
        <v>0.0400000000008731</v>
      </c>
      <c r="K58" s="15" t="n">
        <v>642.79</v>
      </c>
      <c r="L58" s="15" t="n">
        <v>642.79</v>
      </c>
      <c r="M58" s="15" t="n">
        <v>642.79</v>
      </c>
      <c r="N58" s="15" t="n">
        <v>642.79</v>
      </c>
      <c r="O58" s="15" t="n">
        <v>642.79</v>
      </c>
      <c r="P58" s="15" t="n">
        <v>642.79</v>
      </c>
      <c r="Q58" s="15" t="n">
        <v>642.79</v>
      </c>
      <c r="R58" s="15" t="n">
        <v>642.79</v>
      </c>
      <c r="S58" s="15" t="n">
        <v>642.79</v>
      </c>
      <c r="T58" s="15" t="n">
        <v>642.79</v>
      </c>
      <c r="U58" s="15" t="n">
        <v>350</v>
      </c>
      <c r="V58" s="15" t="n">
        <v>0</v>
      </c>
      <c r="W58" s="15" t="n">
        <f aca="false">U58+V58</f>
        <v>350</v>
      </c>
    </row>
    <row r="59" customFormat="false" ht="15" hidden="false" customHeight="false" outlineLevel="0" collapsed="false">
      <c r="A59" s="3" t="s">
        <v>1126</v>
      </c>
      <c r="B59" s="3" t="s">
        <v>1076</v>
      </c>
      <c r="C59" s="3" t="s">
        <v>1127</v>
      </c>
      <c r="D59" s="3" t="s">
        <v>251</v>
      </c>
      <c r="E59" s="13" t="n">
        <v>445000</v>
      </c>
      <c r="F59" s="13" t="n">
        <v>6484.37</v>
      </c>
      <c r="G59" s="13" t="n">
        <v>810.55</v>
      </c>
      <c r="H59" s="13" t="n">
        <v>810.55</v>
      </c>
      <c r="I59" s="13" t="n">
        <f aca="false">SUM(K59:T59)</f>
        <v>4863.3</v>
      </c>
      <c r="J59" s="13" t="n">
        <f aca="false">F59-(G59+H59+I59)</f>
        <v>-0.0299999999997453</v>
      </c>
      <c r="K59" s="13" t="n">
        <v>486.33</v>
      </c>
      <c r="L59" s="13" t="n">
        <v>486.33</v>
      </c>
      <c r="M59" s="13" t="n">
        <v>486.33</v>
      </c>
      <c r="N59" s="13" t="n">
        <v>486.33</v>
      </c>
      <c r="O59" s="13" t="n">
        <v>486.33</v>
      </c>
      <c r="P59" s="13" t="n">
        <v>486.33</v>
      </c>
      <c r="Q59" s="13" t="n">
        <v>486.33</v>
      </c>
      <c r="R59" s="13" t="n">
        <v>486.33</v>
      </c>
      <c r="S59" s="13" t="n">
        <v>486.33</v>
      </c>
      <c r="T59" s="13" t="n">
        <v>486.33</v>
      </c>
      <c r="U59" s="13" t="n">
        <v>350</v>
      </c>
      <c r="V59" s="13" t="n">
        <v>0</v>
      </c>
      <c r="W59" s="13" t="n">
        <f aca="false">U59+V59</f>
        <v>350</v>
      </c>
    </row>
    <row r="60" customFormat="false" ht="15" hidden="false" customHeight="false" outlineLevel="0" collapsed="false">
      <c r="A60" s="14" t="s">
        <v>1128</v>
      </c>
      <c r="B60" s="14" t="s">
        <v>1129</v>
      </c>
      <c r="C60" s="14" t="s">
        <v>1130</v>
      </c>
      <c r="D60" s="14" t="s">
        <v>69</v>
      </c>
      <c r="E60" s="15" t="n">
        <v>570000</v>
      </c>
      <c r="F60" s="15" t="n">
        <v>6234.31</v>
      </c>
      <c r="G60" s="15" t="n">
        <v>779.29</v>
      </c>
      <c r="H60" s="15" t="n">
        <v>779.29</v>
      </c>
      <c r="I60" s="15" t="n">
        <f aca="false">SUM(K60:T60)</f>
        <v>4675.7</v>
      </c>
      <c r="J60" s="15" t="n">
        <f aca="false">F60-(G60+H60+I60)</f>
        <v>0.0300000000006548</v>
      </c>
      <c r="K60" s="15" t="n">
        <v>467.57</v>
      </c>
      <c r="L60" s="15" t="n">
        <v>467.57</v>
      </c>
      <c r="M60" s="15" t="n">
        <v>467.57</v>
      </c>
      <c r="N60" s="15" t="n">
        <v>467.57</v>
      </c>
      <c r="O60" s="15" t="n">
        <v>467.57</v>
      </c>
      <c r="P60" s="15" t="n">
        <v>467.57</v>
      </c>
      <c r="Q60" s="15" t="n">
        <v>467.57</v>
      </c>
      <c r="R60" s="15" t="n">
        <v>467.57</v>
      </c>
      <c r="S60" s="15" t="n">
        <v>467.57</v>
      </c>
      <c r="T60" s="15" t="n">
        <v>467.57</v>
      </c>
      <c r="U60" s="15" t="n">
        <v>350</v>
      </c>
      <c r="V60" s="15" t="n">
        <v>0</v>
      </c>
      <c r="W60" s="15" t="n">
        <f aca="false">U60+V60</f>
        <v>350</v>
      </c>
    </row>
    <row r="61" customFormat="false" ht="15" hidden="false" customHeight="false" outlineLevel="0" collapsed="false">
      <c r="A61" s="3" t="s">
        <v>1131</v>
      </c>
      <c r="B61" s="3" t="s">
        <v>1059</v>
      </c>
      <c r="C61" s="3" t="s">
        <v>684</v>
      </c>
      <c r="D61" s="3" t="s">
        <v>189</v>
      </c>
      <c r="E61" s="13" t="n">
        <v>710000</v>
      </c>
      <c r="F61" s="13" t="n">
        <v>8806.29</v>
      </c>
      <c r="G61" s="13" t="n">
        <v>1100.79</v>
      </c>
      <c r="H61" s="13" t="n">
        <v>1100.79</v>
      </c>
      <c r="I61" s="13" t="n">
        <f aca="false">SUM(K61:T61)</f>
        <v>6604.7</v>
      </c>
      <c r="J61" s="13" t="n">
        <f aca="false">F61-(G61+H61+I61)</f>
        <v>0.0100000000002183</v>
      </c>
      <c r="K61" s="13" t="n">
        <v>660.47</v>
      </c>
      <c r="L61" s="13" t="n">
        <v>660.47</v>
      </c>
      <c r="M61" s="13" t="n">
        <v>660.47</v>
      </c>
      <c r="N61" s="13" t="n">
        <v>660.47</v>
      </c>
      <c r="O61" s="13" t="n">
        <v>660.47</v>
      </c>
      <c r="P61" s="13" t="n">
        <v>660.47</v>
      </c>
      <c r="Q61" s="13" t="n">
        <v>660.47</v>
      </c>
      <c r="R61" s="13" t="n">
        <v>660.47</v>
      </c>
      <c r="S61" s="13" t="n">
        <v>660.47</v>
      </c>
      <c r="T61" s="13" t="n">
        <v>660.47</v>
      </c>
      <c r="U61" s="13" t="n">
        <v>350</v>
      </c>
      <c r="V61" s="13" t="n">
        <v>0</v>
      </c>
      <c r="W61" s="13" t="n">
        <f aca="false">U61+V61</f>
        <v>350</v>
      </c>
    </row>
    <row r="62" customFormat="false" ht="15" hidden="false" customHeight="false" outlineLevel="0" collapsed="false">
      <c r="A62" s="14" t="s">
        <v>1132</v>
      </c>
      <c r="B62" s="14" t="s">
        <v>1079</v>
      </c>
      <c r="C62" s="14" t="s">
        <v>681</v>
      </c>
      <c r="D62" s="14" t="s">
        <v>132</v>
      </c>
      <c r="E62" s="15" t="n">
        <v>550000</v>
      </c>
      <c r="F62" s="15" t="n">
        <v>6201.61</v>
      </c>
      <c r="G62" s="15" t="n">
        <v>775.2</v>
      </c>
      <c r="H62" s="15" t="n">
        <v>775.2</v>
      </c>
      <c r="I62" s="15" t="n">
        <f aca="false">SUM(K62:T62)</f>
        <v>4651.2</v>
      </c>
      <c r="J62" s="15" t="n">
        <f aca="false">F62-(G62+H62+I62)</f>
        <v>0.00999999999930878</v>
      </c>
      <c r="K62" s="15" t="n">
        <v>465.12</v>
      </c>
      <c r="L62" s="15" t="n">
        <v>465.12</v>
      </c>
      <c r="M62" s="15" t="n">
        <v>465.12</v>
      </c>
      <c r="N62" s="15" t="n">
        <v>465.12</v>
      </c>
      <c r="O62" s="15" t="n">
        <v>465.12</v>
      </c>
      <c r="P62" s="15" t="n">
        <v>465.12</v>
      </c>
      <c r="Q62" s="15" t="n">
        <v>465.12</v>
      </c>
      <c r="R62" s="15" t="n">
        <v>465.12</v>
      </c>
      <c r="S62" s="15" t="n">
        <v>465.12</v>
      </c>
      <c r="T62" s="15" t="n">
        <v>465.12</v>
      </c>
      <c r="U62" s="15" t="n">
        <v>350</v>
      </c>
      <c r="V62" s="15" t="n">
        <v>0</v>
      </c>
      <c r="W62" s="15" t="n">
        <f aca="false">U62+V62</f>
        <v>350</v>
      </c>
    </row>
    <row r="63" customFormat="false" ht="15" hidden="false" customHeight="false" outlineLevel="0" collapsed="false">
      <c r="A63" s="3" t="s">
        <v>1133</v>
      </c>
      <c r="B63" s="3" t="s">
        <v>1079</v>
      </c>
      <c r="C63" s="3" t="s">
        <v>330</v>
      </c>
      <c r="D63" s="3" t="s">
        <v>93</v>
      </c>
      <c r="E63" s="13" t="n">
        <v>325000</v>
      </c>
      <c r="F63" s="13" t="n">
        <v>5412.31</v>
      </c>
      <c r="G63" s="13" t="n">
        <v>676.54</v>
      </c>
      <c r="H63" s="13" t="n">
        <v>676.54</v>
      </c>
      <c r="I63" s="13" t="n">
        <f aca="false">SUM(K63:T63)</f>
        <v>4059.2</v>
      </c>
      <c r="J63" s="13" t="n">
        <f aca="false">F63-(G63+H63+I63)</f>
        <v>0.0299999999997453</v>
      </c>
      <c r="K63" s="13" t="n">
        <v>405.92</v>
      </c>
      <c r="L63" s="13" t="n">
        <v>405.92</v>
      </c>
      <c r="M63" s="13" t="n">
        <v>405.92</v>
      </c>
      <c r="N63" s="13" t="n">
        <v>405.92</v>
      </c>
      <c r="O63" s="13" t="n">
        <v>405.92</v>
      </c>
      <c r="P63" s="13" t="n">
        <v>405.92</v>
      </c>
      <c r="Q63" s="13" t="n">
        <v>405.92</v>
      </c>
      <c r="R63" s="13" t="n">
        <v>405.92</v>
      </c>
      <c r="S63" s="13" t="n">
        <v>405.92</v>
      </c>
      <c r="T63" s="13" t="n">
        <v>405.92</v>
      </c>
      <c r="U63" s="13" t="n">
        <v>350</v>
      </c>
      <c r="V63" s="13" t="n">
        <v>0</v>
      </c>
      <c r="W63" s="13" t="n">
        <f aca="false">U63+V63</f>
        <v>350</v>
      </c>
    </row>
    <row r="64" customFormat="false" ht="15" hidden="false" customHeight="false" outlineLevel="0" collapsed="false">
      <c r="A64" s="14" t="s">
        <v>1134</v>
      </c>
      <c r="B64" s="14" t="s">
        <v>1045</v>
      </c>
      <c r="C64" s="14" t="s">
        <v>358</v>
      </c>
      <c r="D64" s="14" t="s">
        <v>185</v>
      </c>
      <c r="E64" s="15" t="n">
        <v>685000</v>
      </c>
      <c r="F64" s="15" t="n">
        <v>4560.62</v>
      </c>
      <c r="G64" s="15" t="n">
        <v>570.08</v>
      </c>
      <c r="H64" s="15" t="n">
        <v>570.08</v>
      </c>
      <c r="I64" s="15" t="n">
        <f aca="false">SUM(K64:T64)</f>
        <v>3420.5</v>
      </c>
      <c r="J64" s="15" t="n">
        <f aca="false">F64-(G64+H64+I64)</f>
        <v>-0.0400000000008731</v>
      </c>
      <c r="K64" s="15" t="n">
        <v>342.05</v>
      </c>
      <c r="L64" s="15" t="n">
        <v>342.05</v>
      </c>
      <c r="M64" s="15" t="n">
        <v>342.05</v>
      </c>
      <c r="N64" s="15" t="n">
        <v>342.05</v>
      </c>
      <c r="O64" s="15" t="n">
        <v>342.05</v>
      </c>
      <c r="P64" s="15" t="n">
        <v>342.05</v>
      </c>
      <c r="Q64" s="15" t="n">
        <v>342.05</v>
      </c>
      <c r="R64" s="15" t="n">
        <v>342.05</v>
      </c>
      <c r="S64" s="15" t="n">
        <v>342.05</v>
      </c>
      <c r="T64" s="15" t="n">
        <v>342.05</v>
      </c>
      <c r="U64" s="15" t="n">
        <v>350</v>
      </c>
      <c r="V64" s="15" t="n">
        <v>0</v>
      </c>
      <c r="W64" s="15" t="n">
        <f aca="false">U64+V64</f>
        <v>350</v>
      </c>
    </row>
    <row r="65" customFormat="false" ht="15" hidden="false" customHeight="false" outlineLevel="0" collapsed="false">
      <c r="A65" s="3" t="s">
        <v>1135</v>
      </c>
      <c r="B65" s="3" t="s">
        <v>1062</v>
      </c>
      <c r="C65" s="3" t="s">
        <v>1136</v>
      </c>
      <c r="D65" s="3" t="s">
        <v>93</v>
      </c>
      <c r="E65" s="13" t="n">
        <v>1950000</v>
      </c>
      <c r="F65" s="13" t="n">
        <v>34638.83</v>
      </c>
      <c r="G65" s="13" t="n">
        <v>4329.85</v>
      </c>
      <c r="H65" s="13" t="n">
        <v>4329.85</v>
      </c>
      <c r="I65" s="13" t="n">
        <f aca="false">SUM(K65:T65)</f>
        <v>25979.1</v>
      </c>
      <c r="J65" s="13" t="n">
        <f aca="false">F65-(G65+H65+I65)</f>
        <v>0.0299999999988358</v>
      </c>
      <c r="K65" s="13" t="n">
        <v>2597.91</v>
      </c>
      <c r="L65" s="13" t="n">
        <v>2597.91</v>
      </c>
      <c r="M65" s="13" t="n">
        <v>2597.91</v>
      </c>
      <c r="N65" s="13" t="n">
        <v>2597.91</v>
      </c>
      <c r="O65" s="13" t="n">
        <v>2597.91</v>
      </c>
      <c r="P65" s="13" t="n">
        <v>2597.91</v>
      </c>
      <c r="Q65" s="13" t="n">
        <v>2597.91</v>
      </c>
      <c r="R65" s="13" t="n">
        <v>2597.91</v>
      </c>
      <c r="S65" s="13" t="n">
        <v>2597.91</v>
      </c>
      <c r="T65" s="13" t="n">
        <v>2597.91</v>
      </c>
      <c r="U65" s="13" t="n">
        <v>350</v>
      </c>
      <c r="V65" s="13" t="n">
        <v>250</v>
      </c>
      <c r="W65" s="13" t="n">
        <f aca="false">U65+V65</f>
        <v>600</v>
      </c>
    </row>
    <row r="66" customFormat="false" ht="15" hidden="false" customHeight="false" outlineLevel="0" collapsed="false">
      <c r="A66" s="14" t="s">
        <v>1137</v>
      </c>
      <c r="B66" s="14" t="s">
        <v>1029</v>
      </c>
      <c r="C66" s="14" t="s">
        <v>1130</v>
      </c>
      <c r="D66" s="14" t="s">
        <v>138</v>
      </c>
      <c r="E66" s="15" t="n">
        <v>1485000</v>
      </c>
      <c r="F66" s="15" t="n">
        <v>11257.36</v>
      </c>
      <c r="G66" s="15" t="n">
        <v>1407.17</v>
      </c>
      <c r="H66" s="15" t="n">
        <v>1407.17</v>
      </c>
      <c r="I66" s="15" t="n">
        <f aca="false">SUM(K66:T66)</f>
        <v>8443</v>
      </c>
      <c r="J66" s="15" t="n">
        <f aca="false">F66-(G66+H66+I66)</f>
        <v>0.0200000000004366</v>
      </c>
      <c r="K66" s="15" t="n">
        <v>844.3</v>
      </c>
      <c r="L66" s="15" t="n">
        <v>844.3</v>
      </c>
      <c r="M66" s="15" t="n">
        <v>844.3</v>
      </c>
      <c r="N66" s="15" t="n">
        <v>844.3</v>
      </c>
      <c r="O66" s="15" t="n">
        <v>844.3</v>
      </c>
      <c r="P66" s="15" t="n">
        <v>844.3</v>
      </c>
      <c r="Q66" s="15" t="n">
        <v>844.3</v>
      </c>
      <c r="R66" s="15" t="n">
        <v>844.3</v>
      </c>
      <c r="S66" s="15" t="n">
        <v>844.3</v>
      </c>
      <c r="T66" s="15" t="n">
        <v>844.3</v>
      </c>
      <c r="U66" s="15" t="n">
        <v>350</v>
      </c>
      <c r="V66" s="15" t="n">
        <v>250</v>
      </c>
      <c r="W66" s="15" t="n">
        <f aca="false">U66+V66</f>
        <v>600</v>
      </c>
    </row>
    <row r="67" customFormat="false" ht="15" hidden="false" customHeight="false" outlineLevel="0" collapsed="false">
      <c r="A67" s="3" t="s">
        <v>1138</v>
      </c>
      <c r="B67" s="3" t="s">
        <v>1056</v>
      </c>
      <c r="C67" s="3" t="s">
        <v>1139</v>
      </c>
      <c r="D67" s="3" t="s">
        <v>325</v>
      </c>
      <c r="E67" s="13" t="n">
        <v>1215000</v>
      </c>
      <c r="F67" s="13" t="n">
        <v>15997.3</v>
      </c>
      <c r="G67" s="13" t="n">
        <v>1999.66</v>
      </c>
      <c r="H67" s="13" t="n">
        <v>1999.66</v>
      </c>
      <c r="I67" s="13" t="n">
        <f aca="false">SUM(K67:T67)</f>
        <v>11998</v>
      </c>
      <c r="J67" s="13" t="n">
        <f aca="false">F67-(G67+H67+I67)</f>
        <v>-0.0199999999986176</v>
      </c>
      <c r="K67" s="13" t="n">
        <v>1199.8</v>
      </c>
      <c r="L67" s="13" t="n">
        <v>1199.8</v>
      </c>
      <c r="M67" s="13" t="n">
        <v>1199.8</v>
      </c>
      <c r="N67" s="13" t="n">
        <v>1199.8</v>
      </c>
      <c r="O67" s="13" t="n">
        <v>1199.8</v>
      </c>
      <c r="P67" s="13" t="n">
        <v>1199.8</v>
      </c>
      <c r="Q67" s="13" t="n">
        <v>1199.8</v>
      </c>
      <c r="R67" s="13" t="n">
        <v>1199.8</v>
      </c>
      <c r="S67" s="13" t="n">
        <v>1199.8</v>
      </c>
      <c r="T67" s="13" t="n">
        <v>1199.8</v>
      </c>
      <c r="U67" s="13" t="n">
        <v>350</v>
      </c>
      <c r="V67" s="13" t="n">
        <v>250</v>
      </c>
      <c r="W67" s="13" t="n">
        <f aca="false">U67+V67</f>
        <v>600</v>
      </c>
    </row>
    <row r="68" customFormat="false" ht="15" hidden="false" customHeight="false" outlineLevel="0" collapsed="false">
      <c r="A68" s="14" t="s">
        <v>1140</v>
      </c>
      <c r="B68" s="14" t="s">
        <v>1031</v>
      </c>
      <c r="C68" s="14" t="s">
        <v>1141</v>
      </c>
      <c r="D68" s="14" t="s">
        <v>157</v>
      </c>
      <c r="E68" s="15" t="n">
        <v>1950000</v>
      </c>
      <c r="F68" s="15" t="n">
        <v>16331.67</v>
      </c>
      <c r="G68" s="15" t="n">
        <v>2041.46</v>
      </c>
      <c r="H68" s="15" t="n">
        <v>2041.46</v>
      </c>
      <c r="I68" s="15" t="n">
        <f aca="false">SUM(K68:T68)</f>
        <v>12248.8</v>
      </c>
      <c r="J68" s="15" t="n">
        <f aca="false">F68-(G68+H68+I68)</f>
        <v>-0.0500000000029104</v>
      </c>
      <c r="K68" s="15" t="n">
        <v>1224.88</v>
      </c>
      <c r="L68" s="15" t="n">
        <v>1224.88</v>
      </c>
      <c r="M68" s="15" t="n">
        <v>1224.88</v>
      </c>
      <c r="N68" s="15" t="n">
        <v>1224.88</v>
      </c>
      <c r="O68" s="15" t="n">
        <v>1224.88</v>
      </c>
      <c r="P68" s="15" t="n">
        <v>1224.88</v>
      </c>
      <c r="Q68" s="15" t="n">
        <v>1224.88</v>
      </c>
      <c r="R68" s="15" t="n">
        <v>1224.88</v>
      </c>
      <c r="S68" s="15" t="n">
        <v>1224.88</v>
      </c>
      <c r="T68" s="15" t="n">
        <v>1224.88</v>
      </c>
      <c r="U68" s="15" t="n">
        <v>350</v>
      </c>
      <c r="V68" s="15" t="n">
        <v>250</v>
      </c>
      <c r="W68" s="15" t="n">
        <f aca="false">U68+V68</f>
        <v>600</v>
      </c>
    </row>
    <row r="69" customFormat="false" ht="15" hidden="false" customHeight="false" outlineLevel="0" collapsed="false">
      <c r="A69" s="3" t="s">
        <v>1142</v>
      </c>
      <c r="B69" s="3" t="s">
        <v>1143</v>
      </c>
      <c r="C69" s="3" t="s">
        <v>1144</v>
      </c>
      <c r="D69" s="3" t="s">
        <v>93</v>
      </c>
      <c r="E69" s="13" t="n">
        <v>405000</v>
      </c>
      <c r="F69" s="13" t="n">
        <v>6744.58</v>
      </c>
      <c r="G69" s="13" t="n">
        <v>843.07</v>
      </c>
      <c r="H69" s="13" t="n">
        <v>843.07</v>
      </c>
      <c r="I69" s="13" t="n">
        <f aca="false">SUM(K69:T69)</f>
        <v>5058.4</v>
      </c>
      <c r="J69" s="13" t="n">
        <f aca="false">F69-(G69+H69+I69)</f>
        <v>0.0399999999999636</v>
      </c>
      <c r="K69" s="13" t="n">
        <v>505.84</v>
      </c>
      <c r="L69" s="13" t="n">
        <v>505.84</v>
      </c>
      <c r="M69" s="13" t="n">
        <v>505.84</v>
      </c>
      <c r="N69" s="13" t="n">
        <v>505.84</v>
      </c>
      <c r="O69" s="13" t="n">
        <v>505.84</v>
      </c>
      <c r="P69" s="13" t="n">
        <v>505.84</v>
      </c>
      <c r="Q69" s="13" t="n">
        <v>505.84</v>
      </c>
      <c r="R69" s="13" t="n">
        <v>505.84</v>
      </c>
      <c r="S69" s="13" t="n">
        <v>505.84</v>
      </c>
      <c r="T69" s="13" t="n">
        <v>505.84</v>
      </c>
      <c r="U69" s="13" t="n">
        <v>350</v>
      </c>
      <c r="V69" s="13" t="n">
        <v>0</v>
      </c>
      <c r="W69" s="13" t="n">
        <f aca="false">U69+V69</f>
        <v>350</v>
      </c>
    </row>
    <row r="70" customFormat="false" ht="15" hidden="false" customHeight="false" outlineLevel="0" collapsed="false">
      <c r="A70" s="14" t="s">
        <v>1145</v>
      </c>
      <c r="B70" s="14" t="s">
        <v>1094</v>
      </c>
      <c r="C70" s="14" t="s">
        <v>1146</v>
      </c>
      <c r="D70" s="14" t="s">
        <v>911</v>
      </c>
      <c r="E70" s="15" t="n">
        <v>1060000</v>
      </c>
      <c r="F70" s="15" t="n">
        <v>10922.47</v>
      </c>
      <c r="G70" s="15" t="n">
        <v>1365.31</v>
      </c>
      <c r="H70" s="15" t="n">
        <v>1365.31</v>
      </c>
      <c r="I70" s="15" t="n">
        <f aca="false">SUM(K70:T70)</f>
        <v>8191.9</v>
      </c>
      <c r="J70" s="15" t="n">
        <f aca="false">F70-(G70+H70+I70)</f>
        <v>-0.0500000000010914</v>
      </c>
      <c r="K70" s="15" t="n">
        <v>819.19</v>
      </c>
      <c r="L70" s="15" t="n">
        <v>819.19</v>
      </c>
      <c r="M70" s="15" t="n">
        <v>819.19</v>
      </c>
      <c r="N70" s="15" t="n">
        <v>819.19</v>
      </c>
      <c r="O70" s="15" t="n">
        <v>819.19</v>
      </c>
      <c r="P70" s="15" t="n">
        <v>819.19</v>
      </c>
      <c r="Q70" s="15" t="n">
        <v>819.19</v>
      </c>
      <c r="R70" s="15" t="n">
        <v>819.19</v>
      </c>
      <c r="S70" s="15" t="n">
        <v>819.19</v>
      </c>
      <c r="T70" s="15" t="n">
        <v>819.19</v>
      </c>
      <c r="U70" s="15" t="n">
        <v>350</v>
      </c>
      <c r="V70" s="15" t="n">
        <v>250</v>
      </c>
      <c r="W70" s="15" t="n">
        <f aca="false">U70+V70</f>
        <v>600</v>
      </c>
    </row>
    <row r="71" customFormat="false" ht="15" hidden="false" customHeight="false" outlineLevel="0" collapsed="false">
      <c r="A71" s="3" t="s">
        <v>1147</v>
      </c>
      <c r="B71" s="3" t="s">
        <v>1062</v>
      </c>
      <c r="C71" s="3" t="s">
        <v>1148</v>
      </c>
      <c r="D71" s="3" t="s">
        <v>338</v>
      </c>
      <c r="E71" s="13" t="n">
        <v>995000</v>
      </c>
      <c r="F71" s="13" t="n">
        <v>20332.79</v>
      </c>
      <c r="G71" s="13" t="n">
        <v>2541.6</v>
      </c>
      <c r="H71" s="13" t="n">
        <v>2541.6</v>
      </c>
      <c r="I71" s="13" t="n">
        <f aca="false">SUM(K71:T71)</f>
        <v>15249.6</v>
      </c>
      <c r="J71" s="13" t="n">
        <f aca="false">F71-(G71+H71+I71)</f>
        <v>-0.00999999999839929</v>
      </c>
      <c r="K71" s="13" t="n">
        <v>1524.96</v>
      </c>
      <c r="L71" s="13" t="n">
        <v>1524.96</v>
      </c>
      <c r="M71" s="13" t="n">
        <v>1524.96</v>
      </c>
      <c r="N71" s="13" t="n">
        <v>1524.96</v>
      </c>
      <c r="O71" s="13" t="n">
        <v>1524.96</v>
      </c>
      <c r="P71" s="13" t="n">
        <v>1524.96</v>
      </c>
      <c r="Q71" s="13" t="n">
        <v>1524.96</v>
      </c>
      <c r="R71" s="13" t="n">
        <v>1524.96</v>
      </c>
      <c r="S71" s="13" t="n">
        <v>1524.96</v>
      </c>
      <c r="T71" s="13" t="n">
        <v>1524.96</v>
      </c>
      <c r="U71" s="13" t="n">
        <v>350</v>
      </c>
      <c r="V71" s="13" t="n">
        <v>0</v>
      </c>
      <c r="W71" s="13" t="n">
        <f aca="false">U71+V71</f>
        <v>350</v>
      </c>
    </row>
    <row r="72" customFormat="false" ht="15" hidden="false" customHeight="false" outlineLevel="0" collapsed="false">
      <c r="A72" s="14" t="s">
        <v>1149</v>
      </c>
      <c r="B72" s="14" t="s">
        <v>1043</v>
      </c>
      <c r="C72" s="14" t="s">
        <v>1150</v>
      </c>
      <c r="D72" s="14" t="s">
        <v>338</v>
      </c>
      <c r="E72" s="15" t="n">
        <v>580000</v>
      </c>
      <c r="F72" s="15" t="n">
        <v>11852.28</v>
      </c>
      <c r="G72" s="15" t="n">
        <v>1481.54</v>
      </c>
      <c r="H72" s="15" t="n">
        <v>1481.54</v>
      </c>
      <c r="I72" s="15" t="n">
        <f aca="false">SUM(K72:T72)</f>
        <v>8889.2</v>
      </c>
      <c r="J72" s="15" t="n">
        <f aca="false">F72-(G72+H72+I72)</f>
        <v>0</v>
      </c>
      <c r="K72" s="15" t="n">
        <v>888.92</v>
      </c>
      <c r="L72" s="15" t="n">
        <v>888.92</v>
      </c>
      <c r="M72" s="15" t="n">
        <v>888.92</v>
      </c>
      <c r="N72" s="15" t="n">
        <v>888.92</v>
      </c>
      <c r="O72" s="15" t="n">
        <v>888.92</v>
      </c>
      <c r="P72" s="15" t="n">
        <v>888.92</v>
      </c>
      <c r="Q72" s="15" t="n">
        <v>888.92</v>
      </c>
      <c r="R72" s="15" t="n">
        <v>888.92</v>
      </c>
      <c r="S72" s="15" t="n">
        <v>888.92</v>
      </c>
      <c r="T72" s="15" t="n">
        <v>888.92</v>
      </c>
      <c r="U72" s="15" t="n">
        <v>350</v>
      </c>
      <c r="V72" s="15" t="n">
        <v>0</v>
      </c>
      <c r="W72" s="15" t="n">
        <f aca="false">U72+V72</f>
        <v>350</v>
      </c>
    </row>
    <row r="73" customFormat="false" ht="15" hidden="false" customHeight="false" outlineLevel="0" collapsed="false">
      <c r="A73" s="3" t="s">
        <v>1151</v>
      </c>
      <c r="B73" s="3" t="s">
        <v>1039</v>
      </c>
      <c r="C73" s="3" t="s">
        <v>1152</v>
      </c>
      <c r="D73" s="3" t="s">
        <v>189</v>
      </c>
      <c r="E73" s="13" t="n">
        <v>405000</v>
      </c>
      <c r="F73" s="13" t="n">
        <v>5796.13</v>
      </c>
      <c r="G73" s="13" t="n">
        <v>724.52</v>
      </c>
      <c r="H73" s="13" t="n">
        <v>724.52</v>
      </c>
      <c r="I73" s="13" t="n">
        <f aca="false">SUM(K73:T73)</f>
        <v>4347.1</v>
      </c>
      <c r="J73" s="13" t="n">
        <f aca="false">F73-(G73+H73+I73)</f>
        <v>-0.00999999999930878</v>
      </c>
      <c r="K73" s="13" t="n">
        <v>434.71</v>
      </c>
      <c r="L73" s="13" t="n">
        <v>434.71</v>
      </c>
      <c r="M73" s="13" t="n">
        <v>434.71</v>
      </c>
      <c r="N73" s="13" t="n">
        <v>434.71</v>
      </c>
      <c r="O73" s="13" t="n">
        <v>434.71</v>
      </c>
      <c r="P73" s="13" t="n">
        <v>434.71</v>
      </c>
      <c r="Q73" s="13" t="n">
        <v>434.71</v>
      </c>
      <c r="R73" s="13" t="n">
        <v>434.71</v>
      </c>
      <c r="S73" s="13" t="n">
        <v>434.71</v>
      </c>
      <c r="T73" s="13" t="n">
        <v>434.71</v>
      </c>
      <c r="U73" s="13" t="n">
        <v>350</v>
      </c>
      <c r="V73" s="13" t="n">
        <v>0</v>
      </c>
      <c r="W73" s="13" t="n">
        <f aca="false">U73+V73</f>
        <v>350</v>
      </c>
    </row>
    <row r="74" customFormat="false" ht="15" hidden="false" customHeight="false" outlineLevel="0" collapsed="false">
      <c r="A74" s="14" t="s">
        <v>1153</v>
      </c>
      <c r="B74" s="14" t="s">
        <v>1115</v>
      </c>
      <c r="C74" s="14" t="s">
        <v>1154</v>
      </c>
      <c r="D74" s="14" t="s">
        <v>102</v>
      </c>
      <c r="E74" s="15" t="n">
        <v>775000</v>
      </c>
      <c r="F74" s="15" t="n">
        <v>10049.43</v>
      </c>
      <c r="G74" s="15" t="n">
        <v>1256.18</v>
      </c>
      <c r="H74" s="15" t="n">
        <v>1256.18</v>
      </c>
      <c r="I74" s="15" t="n">
        <f aca="false">SUM(K74:T74)</f>
        <v>7537.1</v>
      </c>
      <c r="J74" s="15" t="n">
        <f aca="false">F74-(G74+H74+I74)</f>
        <v>-0.0300000000006548</v>
      </c>
      <c r="K74" s="15" t="n">
        <v>753.71</v>
      </c>
      <c r="L74" s="15" t="n">
        <v>753.71</v>
      </c>
      <c r="M74" s="15" t="n">
        <v>753.71</v>
      </c>
      <c r="N74" s="15" t="n">
        <v>753.71</v>
      </c>
      <c r="O74" s="15" t="n">
        <v>753.71</v>
      </c>
      <c r="P74" s="15" t="n">
        <v>753.71</v>
      </c>
      <c r="Q74" s="15" t="n">
        <v>753.71</v>
      </c>
      <c r="R74" s="15" t="n">
        <v>753.71</v>
      </c>
      <c r="S74" s="15" t="n">
        <v>753.71</v>
      </c>
      <c r="T74" s="15" t="n">
        <v>753.71</v>
      </c>
      <c r="U74" s="15" t="n">
        <v>350</v>
      </c>
      <c r="V74" s="15" t="n">
        <v>0</v>
      </c>
      <c r="W74" s="15" t="n">
        <f aca="false">U74+V74</f>
        <v>350</v>
      </c>
    </row>
    <row r="75" customFormat="false" ht="15" hidden="false" customHeight="false" outlineLevel="0" collapsed="false">
      <c r="A75" s="3" t="s">
        <v>1155</v>
      </c>
      <c r="B75" s="3" t="s">
        <v>1056</v>
      </c>
      <c r="C75" s="3" t="s">
        <v>1156</v>
      </c>
      <c r="D75" s="3" t="s">
        <v>132</v>
      </c>
      <c r="E75" s="13" t="n">
        <v>380000</v>
      </c>
      <c r="F75" s="13" t="n">
        <v>4943.94</v>
      </c>
      <c r="G75" s="13" t="n">
        <v>617.99</v>
      </c>
      <c r="H75" s="13" t="n">
        <v>617.99</v>
      </c>
      <c r="I75" s="13" t="n">
        <f aca="false">SUM(K75:T75)</f>
        <v>3708</v>
      </c>
      <c r="J75" s="13" t="n">
        <f aca="false">F75-(G75+H75+I75)</f>
        <v>-0.0400000000008731</v>
      </c>
      <c r="K75" s="13" t="n">
        <v>370.8</v>
      </c>
      <c r="L75" s="13" t="n">
        <v>370.8</v>
      </c>
      <c r="M75" s="13" t="n">
        <v>370.8</v>
      </c>
      <c r="N75" s="13" t="n">
        <v>370.8</v>
      </c>
      <c r="O75" s="13" t="n">
        <v>370.8</v>
      </c>
      <c r="P75" s="13" t="n">
        <v>370.8</v>
      </c>
      <c r="Q75" s="13" t="n">
        <v>370.8</v>
      </c>
      <c r="R75" s="13" t="n">
        <v>370.8</v>
      </c>
      <c r="S75" s="13" t="n">
        <v>370.8</v>
      </c>
      <c r="T75" s="13" t="n">
        <v>370.8</v>
      </c>
      <c r="U75" s="13" t="n">
        <v>350</v>
      </c>
      <c r="V75" s="13" t="n">
        <v>0</v>
      </c>
      <c r="W75" s="13" t="n">
        <f aca="false">U75+V75</f>
        <v>350</v>
      </c>
    </row>
    <row r="76" customFormat="false" ht="15" hidden="false" customHeight="false" outlineLevel="0" collapsed="false">
      <c r="A76" s="14" t="s">
        <v>1157</v>
      </c>
      <c r="B76" s="14" t="s">
        <v>1084</v>
      </c>
      <c r="C76" s="14" t="s">
        <v>905</v>
      </c>
      <c r="D76" s="14" t="s">
        <v>89</v>
      </c>
      <c r="E76" s="15" t="n">
        <v>1175000</v>
      </c>
      <c r="F76" s="15" t="n">
        <v>15134.32</v>
      </c>
      <c r="G76" s="15" t="n">
        <v>1891.79</v>
      </c>
      <c r="H76" s="15" t="n">
        <v>1891.79</v>
      </c>
      <c r="I76" s="15" t="n">
        <f aca="false">SUM(K76:T76)</f>
        <v>11350.7</v>
      </c>
      <c r="J76" s="15" t="n">
        <f aca="false">F76-(G76+H76+I76)</f>
        <v>0.0400000000008731</v>
      </c>
      <c r="K76" s="15" t="n">
        <v>1135.07</v>
      </c>
      <c r="L76" s="15" t="n">
        <v>1135.07</v>
      </c>
      <c r="M76" s="15" t="n">
        <v>1135.07</v>
      </c>
      <c r="N76" s="15" t="n">
        <v>1135.07</v>
      </c>
      <c r="O76" s="15" t="n">
        <v>1135.07</v>
      </c>
      <c r="P76" s="15" t="n">
        <v>1135.07</v>
      </c>
      <c r="Q76" s="15" t="n">
        <v>1135.07</v>
      </c>
      <c r="R76" s="15" t="n">
        <v>1135.07</v>
      </c>
      <c r="S76" s="15" t="n">
        <v>1135.07</v>
      </c>
      <c r="T76" s="15" t="n">
        <v>1135.07</v>
      </c>
      <c r="U76" s="15" t="n">
        <v>350</v>
      </c>
      <c r="V76" s="15" t="n">
        <v>250</v>
      </c>
      <c r="W76" s="15" t="n">
        <f aca="false">U76+V76</f>
        <v>600</v>
      </c>
    </row>
    <row r="77" customFormat="false" ht="15" hidden="false" customHeight="false" outlineLevel="0" collapsed="false">
      <c r="A77" s="3" t="s">
        <v>1158</v>
      </c>
      <c r="B77" s="3" t="s">
        <v>1027</v>
      </c>
      <c r="C77" s="3" t="s">
        <v>1159</v>
      </c>
      <c r="D77" s="3" t="s">
        <v>81</v>
      </c>
      <c r="E77" s="13" t="n">
        <v>330000</v>
      </c>
      <c r="F77" s="13" t="n">
        <v>5495.58</v>
      </c>
      <c r="G77" s="13" t="n">
        <v>686.95</v>
      </c>
      <c r="H77" s="13" t="n">
        <v>686.95</v>
      </c>
      <c r="I77" s="13" t="n">
        <f aca="false">SUM(K77:T77)</f>
        <v>4121.7</v>
      </c>
      <c r="J77" s="13" t="n">
        <f aca="false">F77-(G77+H77+I77)</f>
        <v>-0.0200000000004366</v>
      </c>
      <c r="K77" s="13" t="n">
        <v>412.17</v>
      </c>
      <c r="L77" s="13" t="n">
        <v>412.17</v>
      </c>
      <c r="M77" s="13" t="n">
        <v>412.17</v>
      </c>
      <c r="N77" s="13" t="n">
        <v>412.17</v>
      </c>
      <c r="O77" s="13" t="n">
        <v>412.17</v>
      </c>
      <c r="P77" s="13" t="n">
        <v>412.17</v>
      </c>
      <c r="Q77" s="13" t="n">
        <v>412.17</v>
      </c>
      <c r="R77" s="13" t="n">
        <v>412.17</v>
      </c>
      <c r="S77" s="13" t="n">
        <v>412.17</v>
      </c>
      <c r="T77" s="13" t="n">
        <v>412.17</v>
      </c>
      <c r="U77" s="13" t="n">
        <v>350</v>
      </c>
      <c r="V77" s="13" t="n">
        <v>0</v>
      </c>
      <c r="W77" s="13" t="n">
        <f aca="false">U77+V77</f>
        <v>350</v>
      </c>
    </row>
    <row r="78" customFormat="false" ht="15" hidden="false" customHeight="false" outlineLevel="0" collapsed="false">
      <c r="A78" s="14" t="s">
        <v>1160</v>
      </c>
      <c r="B78" s="14" t="s">
        <v>1059</v>
      </c>
      <c r="C78" s="14" t="s">
        <v>657</v>
      </c>
      <c r="D78" s="14" t="s">
        <v>112</v>
      </c>
      <c r="E78" s="15" t="n">
        <v>720000</v>
      </c>
      <c r="F78" s="15" t="n">
        <v>11272.19</v>
      </c>
      <c r="G78" s="15" t="n">
        <v>1409.02</v>
      </c>
      <c r="H78" s="15" t="n">
        <v>1409.02</v>
      </c>
      <c r="I78" s="15" t="n">
        <f aca="false">SUM(K78:T78)</f>
        <v>8454.1</v>
      </c>
      <c r="J78" s="15" t="n">
        <f aca="false">F78-(G78+H78+I78)</f>
        <v>0.0500000000010914</v>
      </c>
      <c r="K78" s="15" t="n">
        <v>845.41</v>
      </c>
      <c r="L78" s="15" t="n">
        <v>845.41</v>
      </c>
      <c r="M78" s="15" t="n">
        <v>845.41</v>
      </c>
      <c r="N78" s="15" t="n">
        <v>845.41</v>
      </c>
      <c r="O78" s="15" t="n">
        <v>845.41</v>
      </c>
      <c r="P78" s="15" t="n">
        <v>845.41</v>
      </c>
      <c r="Q78" s="15" t="n">
        <v>845.41</v>
      </c>
      <c r="R78" s="15" t="n">
        <v>845.41</v>
      </c>
      <c r="S78" s="15" t="n">
        <v>845.41</v>
      </c>
      <c r="T78" s="15" t="n">
        <v>845.41</v>
      </c>
      <c r="U78" s="15" t="n">
        <v>350</v>
      </c>
      <c r="V78" s="15" t="n">
        <v>0</v>
      </c>
      <c r="W78" s="15" t="n">
        <f aca="false">U78+V78</f>
        <v>350</v>
      </c>
    </row>
    <row r="79" customFormat="false" ht="15" hidden="false" customHeight="false" outlineLevel="0" collapsed="false">
      <c r="A79" s="3" t="s">
        <v>1161</v>
      </c>
      <c r="B79" s="3" t="s">
        <v>1079</v>
      </c>
      <c r="C79" s="3" t="s">
        <v>150</v>
      </c>
      <c r="D79" s="3" t="s">
        <v>138</v>
      </c>
      <c r="E79" s="13" t="n">
        <v>920000</v>
      </c>
      <c r="F79" s="13" t="n">
        <v>11929.65</v>
      </c>
      <c r="G79" s="13" t="n">
        <v>1491.21</v>
      </c>
      <c r="H79" s="13" t="n">
        <v>1491.21</v>
      </c>
      <c r="I79" s="13" t="n">
        <f aca="false">SUM(K79:T79)</f>
        <v>8947.2</v>
      </c>
      <c r="J79" s="13" t="n">
        <f aca="false">F79-(G79+H79+I79)</f>
        <v>0.0299999999988358</v>
      </c>
      <c r="K79" s="13" t="n">
        <v>894.72</v>
      </c>
      <c r="L79" s="13" t="n">
        <v>894.72</v>
      </c>
      <c r="M79" s="13" t="n">
        <v>894.72</v>
      </c>
      <c r="N79" s="13" t="n">
        <v>894.72</v>
      </c>
      <c r="O79" s="13" t="n">
        <v>894.72</v>
      </c>
      <c r="P79" s="13" t="n">
        <v>894.72</v>
      </c>
      <c r="Q79" s="13" t="n">
        <v>894.72</v>
      </c>
      <c r="R79" s="13" t="n">
        <v>894.72</v>
      </c>
      <c r="S79" s="13" t="n">
        <v>894.72</v>
      </c>
      <c r="T79" s="13" t="n">
        <v>894.72</v>
      </c>
      <c r="U79" s="13" t="n">
        <v>350</v>
      </c>
      <c r="V79" s="13" t="n">
        <v>0</v>
      </c>
      <c r="W79" s="13" t="n">
        <f aca="false">U79+V79</f>
        <v>350</v>
      </c>
    </row>
    <row r="80" customFormat="false" ht="15" hidden="false" customHeight="false" outlineLevel="0" collapsed="false">
      <c r="A80" s="14" t="s">
        <v>1162</v>
      </c>
      <c r="B80" s="14" t="s">
        <v>1094</v>
      </c>
      <c r="C80" s="14" t="s">
        <v>1163</v>
      </c>
      <c r="D80" s="14" t="s">
        <v>157</v>
      </c>
      <c r="E80" s="15" t="n">
        <v>705000</v>
      </c>
      <c r="F80" s="15" t="n">
        <v>11288.06</v>
      </c>
      <c r="G80" s="15" t="n">
        <v>1411.01</v>
      </c>
      <c r="H80" s="15" t="n">
        <v>1411.01</v>
      </c>
      <c r="I80" s="15" t="n">
        <f aca="false">SUM(K80:T80)</f>
        <v>8466</v>
      </c>
      <c r="J80" s="15" t="n">
        <f aca="false">F80-(G80+H80+I80)</f>
        <v>0.0399999999990541</v>
      </c>
      <c r="K80" s="15" t="n">
        <v>846.6</v>
      </c>
      <c r="L80" s="15" t="n">
        <v>846.6</v>
      </c>
      <c r="M80" s="15" t="n">
        <v>846.6</v>
      </c>
      <c r="N80" s="15" t="n">
        <v>846.6</v>
      </c>
      <c r="O80" s="15" t="n">
        <v>846.6</v>
      </c>
      <c r="P80" s="15" t="n">
        <v>846.6</v>
      </c>
      <c r="Q80" s="15" t="n">
        <v>846.6</v>
      </c>
      <c r="R80" s="15" t="n">
        <v>846.6</v>
      </c>
      <c r="S80" s="15" t="n">
        <v>846.6</v>
      </c>
      <c r="T80" s="15" t="n">
        <v>846.6</v>
      </c>
      <c r="U80" s="15" t="n">
        <v>350</v>
      </c>
      <c r="V80" s="15" t="n">
        <v>0</v>
      </c>
      <c r="W80" s="15" t="n">
        <f aca="false">U80+V80</f>
        <v>350</v>
      </c>
    </row>
    <row r="81" customFormat="false" ht="15" hidden="false" customHeight="false" outlineLevel="0" collapsed="false">
      <c r="A81" s="3" t="s">
        <v>1164</v>
      </c>
      <c r="B81" s="3" t="s">
        <v>1035</v>
      </c>
      <c r="C81" s="3" t="s">
        <v>1165</v>
      </c>
      <c r="D81" s="3" t="s">
        <v>172</v>
      </c>
      <c r="E81" s="13" t="n">
        <v>1535000</v>
      </c>
      <c r="F81" s="13" t="n">
        <v>18831.25</v>
      </c>
      <c r="G81" s="13" t="n">
        <v>2353.91</v>
      </c>
      <c r="H81" s="13" t="n">
        <v>2353.91</v>
      </c>
      <c r="I81" s="13" t="n">
        <f aca="false">SUM(K81:T81)</f>
        <v>14123.4</v>
      </c>
      <c r="J81" s="13" t="n">
        <f aca="false">F81-(G81+H81+I81)</f>
        <v>0.0299999999988358</v>
      </c>
      <c r="K81" s="13" t="n">
        <v>1412.34</v>
      </c>
      <c r="L81" s="13" t="n">
        <v>1412.34</v>
      </c>
      <c r="M81" s="13" t="n">
        <v>1412.34</v>
      </c>
      <c r="N81" s="13" t="n">
        <v>1412.34</v>
      </c>
      <c r="O81" s="13" t="n">
        <v>1412.34</v>
      </c>
      <c r="P81" s="13" t="n">
        <v>1412.34</v>
      </c>
      <c r="Q81" s="13" t="n">
        <v>1412.34</v>
      </c>
      <c r="R81" s="13" t="n">
        <v>1412.34</v>
      </c>
      <c r="S81" s="13" t="n">
        <v>1412.34</v>
      </c>
      <c r="T81" s="13" t="n">
        <v>1412.34</v>
      </c>
      <c r="U81" s="13" t="n">
        <v>350</v>
      </c>
      <c r="V81" s="13" t="n">
        <v>250</v>
      </c>
      <c r="W81" s="13" t="n">
        <f aca="false">U81+V81</f>
        <v>600</v>
      </c>
    </row>
    <row r="82" customFormat="false" ht="15" hidden="false" customHeight="false" outlineLevel="0" collapsed="false">
      <c r="A82" s="14" t="s">
        <v>1166</v>
      </c>
      <c r="B82" s="14" t="s">
        <v>1053</v>
      </c>
      <c r="C82" s="14" t="s">
        <v>117</v>
      </c>
      <c r="D82" s="14" t="s">
        <v>298</v>
      </c>
      <c r="E82" s="15" t="n">
        <v>545000</v>
      </c>
      <c r="F82" s="15" t="n">
        <v>7742.99</v>
      </c>
      <c r="G82" s="15" t="n">
        <v>967.87</v>
      </c>
      <c r="H82" s="15" t="n">
        <v>967.87</v>
      </c>
      <c r="I82" s="15" t="n">
        <f aca="false">SUM(K82:T82)</f>
        <v>5807.2</v>
      </c>
      <c r="J82" s="15" t="n">
        <f aca="false">F82-(G82+H82+I82)</f>
        <v>0.0499999999992724</v>
      </c>
      <c r="K82" s="15" t="n">
        <v>580.72</v>
      </c>
      <c r="L82" s="15" t="n">
        <v>580.72</v>
      </c>
      <c r="M82" s="15" t="n">
        <v>580.72</v>
      </c>
      <c r="N82" s="15" t="n">
        <v>580.72</v>
      </c>
      <c r="O82" s="15" t="n">
        <v>580.72</v>
      </c>
      <c r="P82" s="15" t="n">
        <v>580.72</v>
      </c>
      <c r="Q82" s="15" t="n">
        <v>580.72</v>
      </c>
      <c r="R82" s="15" t="n">
        <v>580.72</v>
      </c>
      <c r="S82" s="15" t="n">
        <v>580.72</v>
      </c>
      <c r="T82" s="15" t="n">
        <v>580.72</v>
      </c>
      <c r="U82" s="15" t="n">
        <v>350</v>
      </c>
      <c r="V82" s="15" t="n">
        <v>0</v>
      </c>
      <c r="W82" s="15" t="n">
        <f aca="false">U82+V82</f>
        <v>350</v>
      </c>
    </row>
    <row r="83" customFormat="false" ht="15" hidden="false" customHeight="false" outlineLevel="0" collapsed="false">
      <c r="A83" s="3" t="s">
        <v>1167</v>
      </c>
      <c r="B83" s="3" t="s">
        <v>1129</v>
      </c>
      <c r="C83" s="3" t="s">
        <v>1168</v>
      </c>
      <c r="D83" s="3" t="s">
        <v>230</v>
      </c>
      <c r="E83" s="13" t="n">
        <v>415000</v>
      </c>
      <c r="F83" s="13" t="n">
        <v>6425.17</v>
      </c>
      <c r="G83" s="13" t="n">
        <v>803.15</v>
      </c>
      <c r="H83" s="13" t="n">
        <v>803.15</v>
      </c>
      <c r="I83" s="13" t="n">
        <f aca="false">SUM(K83:T83)</f>
        <v>4818.9</v>
      </c>
      <c r="J83" s="13" t="n">
        <f aca="false">F83-(G83+H83+I83)</f>
        <v>-0.0300000000006548</v>
      </c>
      <c r="K83" s="13" t="n">
        <v>481.89</v>
      </c>
      <c r="L83" s="13" t="n">
        <v>481.89</v>
      </c>
      <c r="M83" s="13" t="n">
        <v>481.89</v>
      </c>
      <c r="N83" s="13" t="n">
        <v>481.89</v>
      </c>
      <c r="O83" s="13" t="n">
        <v>481.89</v>
      </c>
      <c r="P83" s="13" t="n">
        <v>481.89</v>
      </c>
      <c r="Q83" s="13" t="n">
        <v>481.89</v>
      </c>
      <c r="R83" s="13" t="n">
        <v>481.89</v>
      </c>
      <c r="S83" s="13" t="n">
        <v>481.89</v>
      </c>
      <c r="T83" s="13" t="n">
        <v>481.89</v>
      </c>
      <c r="U83" s="13" t="n">
        <v>350</v>
      </c>
      <c r="V83" s="13" t="n">
        <v>0</v>
      </c>
      <c r="W83" s="13" t="n">
        <f aca="false">U83+V83</f>
        <v>350</v>
      </c>
    </row>
    <row r="84" customFormat="false" ht="15" hidden="false" customHeight="false" outlineLevel="0" collapsed="false">
      <c r="A84" s="14" t="s">
        <v>1169</v>
      </c>
      <c r="B84" s="14" t="s">
        <v>1059</v>
      </c>
      <c r="C84" s="14" t="s">
        <v>1170</v>
      </c>
      <c r="D84" s="14" t="s">
        <v>115</v>
      </c>
      <c r="E84" s="15" t="n">
        <v>340000</v>
      </c>
      <c r="F84" s="15" t="n">
        <v>3736.99</v>
      </c>
      <c r="G84" s="15" t="n">
        <v>467.12</v>
      </c>
      <c r="H84" s="15" t="n">
        <v>467.12</v>
      </c>
      <c r="I84" s="15" t="n">
        <f aca="false">SUM(K84:T84)</f>
        <v>2802.7</v>
      </c>
      <c r="J84" s="15" t="n">
        <f aca="false">F84-(G84+H84+I84)</f>
        <v>0.0500000000001819</v>
      </c>
      <c r="K84" s="15" t="n">
        <v>280.27</v>
      </c>
      <c r="L84" s="15" t="n">
        <v>280.27</v>
      </c>
      <c r="M84" s="15" t="n">
        <v>280.27</v>
      </c>
      <c r="N84" s="15" t="n">
        <v>280.27</v>
      </c>
      <c r="O84" s="15" t="n">
        <v>280.27</v>
      </c>
      <c r="P84" s="15" t="n">
        <v>280.27</v>
      </c>
      <c r="Q84" s="15" t="n">
        <v>280.27</v>
      </c>
      <c r="R84" s="15" t="n">
        <v>280.27</v>
      </c>
      <c r="S84" s="15" t="n">
        <v>280.27</v>
      </c>
      <c r="T84" s="15" t="n">
        <v>280.27</v>
      </c>
      <c r="U84" s="15" t="n">
        <v>350</v>
      </c>
      <c r="V84" s="15" t="n">
        <v>0</v>
      </c>
      <c r="W84" s="15" t="n">
        <f aca="false">U84+V84</f>
        <v>350</v>
      </c>
    </row>
    <row r="85" customFormat="false" ht="15" hidden="false" customHeight="false" outlineLevel="0" collapsed="false">
      <c r="A85" s="3" t="s">
        <v>1171</v>
      </c>
      <c r="B85" s="3" t="s">
        <v>1051</v>
      </c>
      <c r="C85" s="3" t="s">
        <v>1172</v>
      </c>
      <c r="D85" s="3" t="s">
        <v>118</v>
      </c>
      <c r="E85" s="13" t="n">
        <v>420000</v>
      </c>
      <c r="F85" s="13" t="n">
        <v>10305.78</v>
      </c>
      <c r="G85" s="13" t="n">
        <v>1288.22</v>
      </c>
      <c r="H85" s="13" t="n">
        <v>1288.22</v>
      </c>
      <c r="I85" s="13" t="n">
        <f aca="false">SUM(K85:T85)</f>
        <v>7729.3</v>
      </c>
      <c r="J85" s="13" t="n">
        <f aca="false">F85-(G85+H85+I85)</f>
        <v>0.0400000000008731</v>
      </c>
      <c r="K85" s="13" t="n">
        <v>772.93</v>
      </c>
      <c r="L85" s="13" t="n">
        <v>772.93</v>
      </c>
      <c r="M85" s="13" t="n">
        <v>772.93</v>
      </c>
      <c r="N85" s="13" t="n">
        <v>772.93</v>
      </c>
      <c r="O85" s="13" t="n">
        <v>772.93</v>
      </c>
      <c r="P85" s="13" t="n">
        <v>772.93</v>
      </c>
      <c r="Q85" s="13" t="n">
        <v>772.93</v>
      </c>
      <c r="R85" s="13" t="n">
        <v>772.93</v>
      </c>
      <c r="S85" s="13" t="n">
        <v>772.93</v>
      </c>
      <c r="T85" s="13" t="n">
        <v>772.93</v>
      </c>
      <c r="U85" s="13" t="n">
        <v>350</v>
      </c>
      <c r="V85" s="13" t="n">
        <v>0</v>
      </c>
      <c r="W85" s="13" t="n">
        <f aca="false">U85+V85</f>
        <v>350</v>
      </c>
    </row>
    <row r="86" customFormat="false" ht="15" hidden="false" customHeight="false" outlineLevel="0" collapsed="false">
      <c r="A86" s="14" t="s">
        <v>1173</v>
      </c>
      <c r="B86" s="14" t="s">
        <v>1041</v>
      </c>
      <c r="C86" s="14" t="s">
        <v>261</v>
      </c>
      <c r="D86" s="14" t="s">
        <v>328</v>
      </c>
      <c r="E86" s="15" t="n">
        <v>450000</v>
      </c>
      <c r="F86" s="15" t="n">
        <v>7611.07</v>
      </c>
      <c r="G86" s="15" t="n">
        <v>951.38</v>
      </c>
      <c r="H86" s="15" t="n">
        <v>951.38</v>
      </c>
      <c r="I86" s="15" t="n">
        <f aca="false">SUM(K86:T86)</f>
        <v>5708.3</v>
      </c>
      <c r="J86" s="15" t="n">
        <f aca="false">F86-(G86+H86+I86)</f>
        <v>0.00999999999930878</v>
      </c>
      <c r="K86" s="15" t="n">
        <v>570.83</v>
      </c>
      <c r="L86" s="15" t="n">
        <v>570.83</v>
      </c>
      <c r="M86" s="15" t="n">
        <v>570.83</v>
      </c>
      <c r="N86" s="15" t="n">
        <v>570.83</v>
      </c>
      <c r="O86" s="15" t="n">
        <v>570.83</v>
      </c>
      <c r="P86" s="15" t="n">
        <v>570.83</v>
      </c>
      <c r="Q86" s="15" t="n">
        <v>570.83</v>
      </c>
      <c r="R86" s="15" t="n">
        <v>570.83</v>
      </c>
      <c r="S86" s="15" t="n">
        <v>570.83</v>
      </c>
      <c r="T86" s="15" t="n">
        <v>570.83</v>
      </c>
      <c r="U86" s="15" t="n">
        <v>350</v>
      </c>
      <c r="V86" s="15" t="n">
        <v>0</v>
      </c>
      <c r="W86" s="15" t="n">
        <f aca="false">U86+V86</f>
        <v>350</v>
      </c>
    </row>
    <row r="87" customFormat="false" ht="15" hidden="false" customHeight="false" outlineLevel="0" collapsed="false">
      <c r="A87" s="3" t="s">
        <v>1174</v>
      </c>
      <c r="B87" s="3" t="s">
        <v>1115</v>
      </c>
      <c r="C87" s="3" t="s">
        <v>1175</v>
      </c>
      <c r="D87" s="3" t="s">
        <v>166</v>
      </c>
      <c r="E87" s="13" t="n">
        <v>790000</v>
      </c>
      <c r="F87" s="13" t="n">
        <v>7955.33</v>
      </c>
      <c r="G87" s="13" t="n">
        <v>994.42</v>
      </c>
      <c r="H87" s="13" t="n">
        <v>994.42</v>
      </c>
      <c r="I87" s="13" t="n">
        <f aca="false">SUM(K87:T87)</f>
        <v>5966.5</v>
      </c>
      <c r="J87" s="13" t="n">
        <f aca="false">F87-(G87+H87+I87)</f>
        <v>-0.00999999999930878</v>
      </c>
      <c r="K87" s="13" t="n">
        <v>596.65</v>
      </c>
      <c r="L87" s="13" t="n">
        <v>596.65</v>
      </c>
      <c r="M87" s="13" t="n">
        <v>596.65</v>
      </c>
      <c r="N87" s="13" t="n">
        <v>596.65</v>
      </c>
      <c r="O87" s="13" t="n">
        <v>596.65</v>
      </c>
      <c r="P87" s="13" t="n">
        <v>596.65</v>
      </c>
      <c r="Q87" s="13" t="n">
        <v>596.65</v>
      </c>
      <c r="R87" s="13" t="n">
        <v>596.65</v>
      </c>
      <c r="S87" s="13" t="n">
        <v>596.65</v>
      </c>
      <c r="T87" s="13" t="n">
        <v>596.65</v>
      </c>
      <c r="U87" s="13" t="n">
        <v>350</v>
      </c>
      <c r="V87" s="13" t="n">
        <v>0</v>
      </c>
      <c r="W87" s="13" t="n">
        <f aca="false">U87+V87</f>
        <v>350</v>
      </c>
    </row>
    <row r="88" customFormat="false" ht="15" hidden="false" customHeight="false" outlineLevel="0" collapsed="false">
      <c r="A88" s="14" t="s">
        <v>1176</v>
      </c>
      <c r="B88" s="14" t="s">
        <v>1027</v>
      </c>
      <c r="C88" s="14" t="s">
        <v>543</v>
      </c>
      <c r="D88" s="14" t="s">
        <v>89</v>
      </c>
      <c r="E88" s="15" t="n">
        <v>735000</v>
      </c>
      <c r="F88" s="15" t="n">
        <v>7401.47</v>
      </c>
      <c r="G88" s="15" t="n">
        <v>925.18</v>
      </c>
      <c r="H88" s="15" t="n">
        <v>925.18</v>
      </c>
      <c r="I88" s="15" t="n">
        <f aca="false">SUM(K88:T88)</f>
        <v>5551.1</v>
      </c>
      <c r="J88" s="15" t="n">
        <f aca="false">F88-(G88+H88+I88)</f>
        <v>0.0100000000011278</v>
      </c>
      <c r="K88" s="15" t="n">
        <v>555.11</v>
      </c>
      <c r="L88" s="15" t="n">
        <v>555.11</v>
      </c>
      <c r="M88" s="15" t="n">
        <v>555.11</v>
      </c>
      <c r="N88" s="15" t="n">
        <v>555.11</v>
      </c>
      <c r="O88" s="15" t="n">
        <v>555.11</v>
      </c>
      <c r="P88" s="15" t="n">
        <v>555.11</v>
      </c>
      <c r="Q88" s="15" t="n">
        <v>555.11</v>
      </c>
      <c r="R88" s="15" t="n">
        <v>555.11</v>
      </c>
      <c r="S88" s="15" t="n">
        <v>555.11</v>
      </c>
      <c r="T88" s="15" t="n">
        <v>555.11</v>
      </c>
      <c r="U88" s="15" t="n">
        <v>350</v>
      </c>
      <c r="V88" s="15" t="n">
        <v>0</v>
      </c>
      <c r="W88" s="15" t="n">
        <f aca="false">U88+V88</f>
        <v>350</v>
      </c>
    </row>
    <row r="89" customFormat="false" ht="15" hidden="false" customHeight="false" outlineLevel="0" collapsed="false">
      <c r="A89" s="3" t="s">
        <v>1177</v>
      </c>
      <c r="B89" s="3" t="s">
        <v>1051</v>
      </c>
      <c r="C89" s="3" t="s">
        <v>1178</v>
      </c>
      <c r="D89" s="3" t="s">
        <v>115</v>
      </c>
      <c r="E89" s="13" t="n">
        <v>205000</v>
      </c>
      <c r="F89" s="13" t="n">
        <v>4318.61</v>
      </c>
      <c r="G89" s="13" t="n">
        <v>539.83</v>
      </c>
      <c r="H89" s="13" t="n">
        <v>539.83</v>
      </c>
      <c r="I89" s="13" t="n">
        <f aca="false">SUM(K89:T89)</f>
        <v>3239</v>
      </c>
      <c r="J89" s="13" t="n">
        <f aca="false">F89-(G89+H89+I89)</f>
        <v>-0.0500000000001819</v>
      </c>
      <c r="K89" s="13" t="n">
        <v>323.9</v>
      </c>
      <c r="L89" s="13" t="n">
        <v>323.9</v>
      </c>
      <c r="M89" s="13" t="n">
        <v>323.9</v>
      </c>
      <c r="N89" s="13" t="n">
        <v>323.9</v>
      </c>
      <c r="O89" s="13" t="n">
        <v>323.9</v>
      </c>
      <c r="P89" s="13" t="n">
        <v>323.9</v>
      </c>
      <c r="Q89" s="13" t="n">
        <v>323.9</v>
      </c>
      <c r="R89" s="13" t="n">
        <v>323.9</v>
      </c>
      <c r="S89" s="13" t="n">
        <v>323.9</v>
      </c>
      <c r="T89" s="13" t="n">
        <v>323.9</v>
      </c>
      <c r="U89" s="13" t="n">
        <v>350</v>
      </c>
      <c r="V89" s="13" t="n">
        <v>0</v>
      </c>
      <c r="W89" s="13" t="n">
        <f aca="false">U89+V89</f>
        <v>350</v>
      </c>
    </row>
    <row r="90" customFormat="false" ht="15" hidden="false" customHeight="false" outlineLevel="0" collapsed="false">
      <c r="A90" s="14" t="s">
        <v>1179</v>
      </c>
      <c r="B90" s="14" t="s">
        <v>1076</v>
      </c>
      <c r="C90" s="14" t="s">
        <v>1074</v>
      </c>
      <c r="D90" s="14" t="s">
        <v>138</v>
      </c>
      <c r="E90" s="15" t="n">
        <v>430000</v>
      </c>
      <c r="F90" s="15" t="n">
        <v>6433.63</v>
      </c>
      <c r="G90" s="15" t="n">
        <v>804.2</v>
      </c>
      <c r="H90" s="15" t="n">
        <v>804.2</v>
      </c>
      <c r="I90" s="15" t="n">
        <f aca="false">SUM(K90:T90)</f>
        <v>4825.2</v>
      </c>
      <c r="J90" s="15" t="n">
        <f aca="false">F90-(G90+H90+I90)</f>
        <v>0.0299999999997453</v>
      </c>
      <c r="K90" s="15" t="n">
        <v>482.52</v>
      </c>
      <c r="L90" s="15" t="n">
        <v>482.52</v>
      </c>
      <c r="M90" s="15" t="n">
        <v>482.52</v>
      </c>
      <c r="N90" s="15" t="n">
        <v>482.52</v>
      </c>
      <c r="O90" s="15" t="n">
        <v>482.52</v>
      </c>
      <c r="P90" s="15" t="n">
        <v>482.52</v>
      </c>
      <c r="Q90" s="15" t="n">
        <v>482.52</v>
      </c>
      <c r="R90" s="15" t="n">
        <v>482.52</v>
      </c>
      <c r="S90" s="15" t="n">
        <v>482.52</v>
      </c>
      <c r="T90" s="15" t="n">
        <v>482.52</v>
      </c>
      <c r="U90" s="15" t="n">
        <v>350</v>
      </c>
      <c r="V90" s="15" t="n">
        <v>0</v>
      </c>
      <c r="W90" s="15" t="n">
        <f aca="false">U90+V90</f>
        <v>350</v>
      </c>
    </row>
    <row r="91" customFormat="false" ht="15" hidden="false" customHeight="false" outlineLevel="0" collapsed="false">
      <c r="A91" s="3" t="s">
        <v>1180</v>
      </c>
      <c r="B91" s="3" t="s">
        <v>1056</v>
      </c>
      <c r="C91" s="3" t="s">
        <v>793</v>
      </c>
      <c r="D91" s="3" t="s">
        <v>193</v>
      </c>
      <c r="E91" s="13" t="n">
        <v>1090000</v>
      </c>
      <c r="F91" s="13" t="n">
        <v>8981.5</v>
      </c>
      <c r="G91" s="13" t="n">
        <v>1122.69</v>
      </c>
      <c r="H91" s="13" t="n">
        <v>1122.69</v>
      </c>
      <c r="I91" s="13" t="n">
        <f aca="false">SUM(K91:T91)</f>
        <v>6736.1</v>
      </c>
      <c r="J91" s="13" t="n">
        <f aca="false">F91-(G91+H91+I91)</f>
        <v>0.0200000000004366</v>
      </c>
      <c r="K91" s="13" t="n">
        <v>673.61</v>
      </c>
      <c r="L91" s="13" t="n">
        <v>673.61</v>
      </c>
      <c r="M91" s="13" t="n">
        <v>673.61</v>
      </c>
      <c r="N91" s="13" t="n">
        <v>673.61</v>
      </c>
      <c r="O91" s="13" t="n">
        <v>673.61</v>
      </c>
      <c r="P91" s="13" t="n">
        <v>673.61</v>
      </c>
      <c r="Q91" s="13" t="n">
        <v>673.61</v>
      </c>
      <c r="R91" s="13" t="n">
        <v>673.61</v>
      </c>
      <c r="S91" s="13" t="n">
        <v>673.61</v>
      </c>
      <c r="T91" s="13" t="n">
        <v>673.61</v>
      </c>
      <c r="U91" s="13" t="n">
        <v>350</v>
      </c>
      <c r="V91" s="13" t="n">
        <v>250</v>
      </c>
      <c r="W91" s="13" t="n">
        <f aca="false">U91+V91</f>
        <v>600</v>
      </c>
    </row>
    <row r="92" customFormat="false" ht="15" hidden="false" customHeight="false" outlineLevel="0" collapsed="false">
      <c r="A92" s="14" t="s">
        <v>1181</v>
      </c>
      <c r="B92" s="14" t="s">
        <v>1053</v>
      </c>
      <c r="C92" s="14" t="s">
        <v>1120</v>
      </c>
      <c r="D92" s="14" t="s">
        <v>89</v>
      </c>
      <c r="E92" s="15" t="n">
        <v>320000</v>
      </c>
      <c r="F92" s="15" t="n">
        <v>5620.49</v>
      </c>
      <c r="G92" s="15" t="n">
        <v>702.56</v>
      </c>
      <c r="H92" s="15" t="n">
        <v>702.56</v>
      </c>
      <c r="I92" s="15" t="n">
        <f aca="false">SUM(K92:T92)</f>
        <v>4215.4</v>
      </c>
      <c r="J92" s="15" t="n">
        <f aca="false">F92-(G92+H92+I92)</f>
        <v>-0.0300000000006548</v>
      </c>
      <c r="K92" s="15" t="n">
        <v>421.54</v>
      </c>
      <c r="L92" s="15" t="n">
        <v>421.54</v>
      </c>
      <c r="M92" s="15" t="n">
        <v>421.54</v>
      </c>
      <c r="N92" s="15" t="n">
        <v>421.54</v>
      </c>
      <c r="O92" s="15" t="n">
        <v>421.54</v>
      </c>
      <c r="P92" s="15" t="n">
        <v>421.54</v>
      </c>
      <c r="Q92" s="15" t="n">
        <v>421.54</v>
      </c>
      <c r="R92" s="15" t="n">
        <v>421.54</v>
      </c>
      <c r="S92" s="15" t="n">
        <v>421.54</v>
      </c>
      <c r="T92" s="15" t="n">
        <v>421.54</v>
      </c>
      <c r="U92" s="15" t="n">
        <v>350</v>
      </c>
      <c r="V92" s="15" t="n">
        <v>0</v>
      </c>
      <c r="W92" s="15" t="n">
        <f aca="false">U92+V92</f>
        <v>350</v>
      </c>
    </row>
    <row r="93" customFormat="false" ht="15" hidden="false" customHeight="false" outlineLevel="0" collapsed="false">
      <c r="A93" s="3" t="s">
        <v>1182</v>
      </c>
      <c r="B93" s="3" t="s">
        <v>1045</v>
      </c>
      <c r="C93" s="3" t="s">
        <v>337</v>
      </c>
      <c r="D93" s="3" t="s">
        <v>157</v>
      </c>
      <c r="E93" s="13" t="n">
        <v>1290000</v>
      </c>
      <c r="F93" s="13" t="n">
        <v>25421.24</v>
      </c>
      <c r="G93" s="13" t="n">
        <v>3177.66</v>
      </c>
      <c r="H93" s="13" t="n">
        <v>3177.66</v>
      </c>
      <c r="I93" s="13" t="n">
        <f aca="false">SUM(K93:T93)</f>
        <v>19065.9</v>
      </c>
      <c r="J93" s="13" t="n">
        <f aca="false">F93-(G93+H93+I93)</f>
        <v>0.0200000000040745</v>
      </c>
      <c r="K93" s="13" t="n">
        <v>1906.59</v>
      </c>
      <c r="L93" s="13" t="n">
        <v>1906.59</v>
      </c>
      <c r="M93" s="13" t="n">
        <v>1906.59</v>
      </c>
      <c r="N93" s="13" t="n">
        <v>1906.59</v>
      </c>
      <c r="O93" s="13" t="n">
        <v>1906.59</v>
      </c>
      <c r="P93" s="13" t="n">
        <v>1906.59</v>
      </c>
      <c r="Q93" s="13" t="n">
        <v>1906.59</v>
      </c>
      <c r="R93" s="13" t="n">
        <v>1906.59</v>
      </c>
      <c r="S93" s="13" t="n">
        <v>1906.59</v>
      </c>
      <c r="T93" s="13" t="n">
        <v>1906.59</v>
      </c>
      <c r="U93" s="13" t="n">
        <v>350</v>
      </c>
      <c r="V93" s="13" t="n">
        <v>250</v>
      </c>
      <c r="W93" s="13" t="n">
        <f aca="false">U93+V93</f>
        <v>600</v>
      </c>
    </row>
    <row r="94" customFormat="false" ht="15" hidden="false" customHeight="false" outlineLevel="0" collapsed="false">
      <c r="A94" s="14" t="s">
        <v>1183</v>
      </c>
      <c r="B94" s="14" t="s">
        <v>1027</v>
      </c>
      <c r="C94" s="14" t="s">
        <v>1184</v>
      </c>
      <c r="D94" s="14" t="s">
        <v>112</v>
      </c>
      <c r="E94" s="15" t="n">
        <v>1220000</v>
      </c>
      <c r="F94" s="15" t="n">
        <v>11057.95</v>
      </c>
      <c r="G94" s="15" t="n">
        <v>1382.24</v>
      </c>
      <c r="H94" s="15" t="n">
        <v>1382.24</v>
      </c>
      <c r="I94" s="15" t="n">
        <f aca="false">SUM(K94:T94)</f>
        <v>8293.5</v>
      </c>
      <c r="J94" s="15" t="n">
        <f aca="false">F94-(G94+H94+I94)</f>
        <v>-0.0299999999988358</v>
      </c>
      <c r="K94" s="15" t="n">
        <v>829.35</v>
      </c>
      <c r="L94" s="15" t="n">
        <v>829.35</v>
      </c>
      <c r="M94" s="15" t="n">
        <v>829.35</v>
      </c>
      <c r="N94" s="15" t="n">
        <v>829.35</v>
      </c>
      <c r="O94" s="15" t="n">
        <v>829.35</v>
      </c>
      <c r="P94" s="15" t="n">
        <v>829.35</v>
      </c>
      <c r="Q94" s="15" t="n">
        <v>829.35</v>
      </c>
      <c r="R94" s="15" t="n">
        <v>829.35</v>
      </c>
      <c r="S94" s="15" t="n">
        <v>829.35</v>
      </c>
      <c r="T94" s="15" t="n">
        <v>829.35</v>
      </c>
      <c r="U94" s="15" t="n">
        <v>350</v>
      </c>
      <c r="V94" s="15" t="n">
        <v>250</v>
      </c>
      <c r="W94" s="15" t="n">
        <f aca="false">U94+V94</f>
        <v>600</v>
      </c>
    </row>
    <row r="95" customFormat="false" ht="15" hidden="false" customHeight="false" outlineLevel="0" collapsed="false">
      <c r="A95" s="3" t="s">
        <v>1185</v>
      </c>
      <c r="B95" s="3" t="s">
        <v>1053</v>
      </c>
      <c r="C95" s="3" t="s">
        <v>1186</v>
      </c>
      <c r="D95" s="3" t="s">
        <v>112</v>
      </c>
      <c r="E95" s="13" t="n">
        <v>545000</v>
      </c>
      <c r="F95" s="13" t="n">
        <v>5837.97</v>
      </c>
      <c r="G95" s="13" t="n">
        <v>729.75</v>
      </c>
      <c r="H95" s="13" t="n">
        <v>729.75</v>
      </c>
      <c r="I95" s="13" t="n">
        <f aca="false">SUM(K95:T95)</f>
        <v>4378.5</v>
      </c>
      <c r="J95" s="13" t="n">
        <f aca="false">F95-(G95+H95+I95)</f>
        <v>-0.0299999999997453</v>
      </c>
      <c r="K95" s="13" t="n">
        <v>437.85</v>
      </c>
      <c r="L95" s="13" t="n">
        <v>437.85</v>
      </c>
      <c r="M95" s="13" t="n">
        <v>437.85</v>
      </c>
      <c r="N95" s="13" t="n">
        <v>437.85</v>
      </c>
      <c r="O95" s="13" t="n">
        <v>437.85</v>
      </c>
      <c r="P95" s="13" t="n">
        <v>437.85</v>
      </c>
      <c r="Q95" s="13" t="n">
        <v>437.85</v>
      </c>
      <c r="R95" s="13" t="n">
        <v>437.85</v>
      </c>
      <c r="S95" s="13" t="n">
        <v>437.85</v>
      </c>
      <c r="T95" s="13" t="n">
        <v>437.85</v>
      </c>
      <c r="U95" s="13" t="n">
        <v>350</v>
      </c>
      <c r="V95" s="13" t="n">
        <v>0</v>
      </c>
      <c r="W95" s="13" t="n">
        <f aca="false">U95+V95</f>
        <v>350</v>
      </c>
    </row>
    <row r="96" customFormat="false" ht="15" hidden="false" customHeight="false" outlineLevel="0" collapsed="false">
      <c r="A96" s="14" t="s">
        <v>1187</v>
      </c>
      <c r="B96" s="14" t="s">
        <v>1035</v>
      </c>
      <c r="C96" s="14" t="s">
        <v>565</v>
      </c>
      <c r="D96" s="14" t="s">
        <v>138</v>
      </c>
      <c r="E96" s="15" t="n">
        <v>385000</v>
      </c>
      <c r="F96" s="15" t="n">
        <v>5760.34</v>
      </c>
      <c r="G96" s="15" t="n">
        <v>720.04</v>
      </c>
      <c r="H96" s="15" t="n">
        <v>720.04</v>
      </c>
      <c r="I96" s="15" t="n">
        <f aca="false">SUM(K96:T96)</f>
        <v>4320.3</v>
      </c>
      <c r="J96" s="15" t="n">
        <f aca="false">F96-(G96+H96+I96)</f>
        <v>-0.0399999999990541</v>
      </c>
      <c r="K96" s="15" t="n">
        <v>432.03</v>
      </c>
      <c r="L96" s="15" t="n">
        <v>432.03</v>
      </c>
      <c r="M96" s="15" t="n">
        <v>432.03</v>
      </c>
      <c r="N96" s="15" t="n">
        <v>432.03</v>
      </c>
      <c r="O96" s="15" t="n">
        <v>432.03</v>
      </c>
      <c r="P96" s="15" t="n">
        <v>432.03</v>
      </c>
      <c r="Q96" s="15" t="n">
        <v>432.03</v>
      </c>
      <c r="R96" s="15" t="n">
        <v>432.03</v>
      </c>
      <c r="S96" s="15" t="n">
        <v>432.03</v>
      </c>
      <c r="T96" s="15" t="n">
        <v>432.03</v>
      </c>
      <c r="U96" s="15" t="n">
        <v>350</v>
      </c>
      <c r="V96" s="15" t="n">
        <v>0</v>
      </c>
      <c r="W96" s="15" t="n">
        <f aca="false">U96+V96</f>
        <v>350</v>
      </c>
    </row>
    <row r="97" customFormat="false" ht="15" hidden="false" customHeight="false" outlineLevel="0" collapsed="false">
      <c r="A97" s="3" t="s">
        <v>1188</v>
      </c>
      <c r="B97" s="3" t="s">
        <v>1065</v>
      </c>
      <c r="C97" s="3" t="s">
        <v>1189</v>
      </c>
      <c r="D97" s="3" t="s">
        <v>118</v>
      </c>
      <c r="E97" s="13" t="n">
        <v>485000</v>
      </c>
      <c r="F97" s="13" t="n">
        <v>7761.34</v>
      </c>
      <c r="G97" s="13" t="n">
        <v>970.17</v>
      </c>
      <c r="H97" s="13" t="n">
        <v>970.17</v>
      </c>
      <c r="I97" s="13" t="n">
        <f aca="false">SUM(K97:T97)</f>
        <v>5821</v>
      </c>
      <c r="J97" s="13" t="n">
        <f aca="false">F97-(G97+H97+I97)</f>
        <v>0</v>
      </c>
      <c r="K97" s="13" t="n">
        <v>582.1</v>
      </c>
      <c r="L97" s="13" t="n">
        <v>582.1</v>
      </c>
      <c r="M97" s="13" t="n">
        <v>582.1</v>
      </c>
      <c r="N97" s="13" t="n">
        <v>582.1</v>
      </c>
      <c r="O97" s="13" t="n">
        <v>582.1</v>
      </c>
      <c r="P97" s="13" t="n">
        <v>582.1</v>
      </c>
      <c r="Q97" s="13" t="n">
        <v>582.1</v>
      </c>
      <c r="R97" s="13" t="n">
        <v>582.1</v>
      </c>
      <c r="S97" s="13" t="n">
        <v>582.1</v>
      </c>
      <c r="T97" s="13" t="n">
        <v>582.1</v>
      </c>
      <c r="U97" s="13" t="n">
        <v>350</v>
      </c>
      <c r="V97" s="13" t="n">
        <v>0</v>
      </c>
      <c r="W97" s="13" t="n">
        <f aca="false">U97+V97</f>
        <v>350</v>
      </c>
    </row>
    <row r="98" customFormat="false" ht="15" hidden="false" customHeight="false" outlineLevel="0" collapsed="false">
      <c r="A98" s="14" t="s">
        <v>1190</v>
      </c>
      <c r="B98" s="14" t="s">
        <v>1062</v>
      </c>
      <c r="C98" s="14" t="s">
        <v>1191</v>
      </c>
      <c r="D98" s="14" t="s">
        <v>147</v>
      </c>
      <c r="E98" s="15" t="n">
        <v>370000</v>
      </c>
      <c r="F98" s="15" t="n">
        <v>5150.81</v>
      </c>
      <c r="G98" s="15" t="n">
        <v>643.85</v>
      </c>
      <c r="H98" s="15" t="n">
        <v>643.85</v>
      </c>
      <c r="I98" s="15" t="n">
        <f aca="false">SUM(K98:T98)</f>
        <v>3863.1</v>
      </c>
      <c r="J98" s="15" t="n">
        <f aca="false">F98-(G98+H98+I98)</f>
        <v>0.0100000000002183</v>
      </c>
      <c r="K98" s="15" t="n">
        <v>386.31</v>
      </c>
      <c r="L98" s="15" t="n">
        <v>386.31</v>
      </c>
      <c r="M98" s="15" t="n">
        <v>386.31</v>
      </c>
      <c r="N98" s="15" t="n">
        <v>386.31</v>
      </c>
      <c r="O98" s="15" t="n">
        <v>386.31</v>
      </c>
      <c r="P98" s="15" t="n">
        <v>386.31</v>
      </c>
      <c r="Q98" s="15" t="n">
        <v>386.31</v>
      </c>
      <c r="R98" s="15" t="n">
        <v>386.31</v>
      </c>
      <c r="S98" s="15" t="n">
        <v>386.31</v>
      </c>
      <c r="T98" s="15" t="n">
        <v>386.31</v>
      </c>
      <c r="U98" s="15" t="n">
        <v>350</v>
      </c>
      <c r="V98" s="15" t="n">
        <v>0</v>
      </c>
      <c r="W98" s="15" t="n">
        <f aca="false">U98+V98</f>
        <v>350</v>
      </c>
    </row>
    <row r="99" customFormat="false" ht="15" hidden="false" customHeight="false" outlineLevel="0" collapsed="false">
      <c r="A99" s="3" t="s">
        <v>1192</v>
      </c>
      <c r="B99" s="3" t="s">
        <v>1053</v>
      </c>
      <c r="C99" s="3" t="s">
        <v>1193</v>
      </c>
      <c r="D99" s="3" t="s">
        <v>138</v>
      </c>
      <c r="E99" s="13" t="n">
        <v>815000</v>
      </c>
      <c r="F99" s="13" t="n">
        <v>10568.12</v>
      </c>
      <c r="G99" s="13" t="n">
        <v>1321.02</v>
      </c>
      <c r="H99" s="13" t="n">
        <v>1321.02</v>
      </c>
      <c r="I99" s="13" t="n">
        <f aca="false">SUM(K99:T99)</f>
        <v>7926.1</v>
      </c>
      <c r="J99" s="13" t="n">
        <f aca="false">F99-(G99+H99+I99)</f>
        <v>-0.0199999999986176</v>
      </c>
      <c r="K99" s="13" t="n">
        <v>792.61</v>
      </c>
      <c r="L99" s="13" t="n">
        <v>792.61</v>
      </c>
      <c r="M99" s="13" t="n">
        <v>792.61</v>
      </c>
      <c r="N99" s="13" t="n">
        <v>792.61</v>
      </c>
      <c r="O99" s="13" t="n">
        <v>792.61</v>
      </c>
      <c r="P99" s="13" t="n">
        <v>792.61</v>
      </c>
      <c r="Q99" s="13" t="n">
        <v>792.61</v>
      </c>
      <c r="R99" s="13" t="n">
        <v>792.61</v>
      </c>
      <c r="S99" s="13" t="n">
        <v>792.61</v>
      </c>
      <c r="T99" s="13" t="n">
        <v>792.61</v>
      </c>
      <c r="U99" s="13" t="n">
        <v>350</v>
      </c>
      <c r="V99" s="13" t="n">
        <v>0</v>
      </c>
      <c r="W99" s="13" t="n">
        <f aca="false">U99+V99</f>
        <v>350</v>
      </c>
    </row>
    <row r="100" customFormat="false" ht="15" hidden="false" customHeight="false" outlineLevel="0" collapsed="false">
      <c r="A100" s="14" t="s">
        <v>1194</v>
      </c>
      <c r="B100" s="14" t="s">
        <v>1029</v>
      </c>
      <c r="C100" s="14" t="s">
        <v>1195</v>
      </c>
      <c r="D100" s="14" t="s">
        <v>93</v>
      </c>
      <c r="E100" s="15" t="n">
        <v>600000</v>
      </c>
      <c r="F100" s="15" t="n">
        <v>8659.71</v>
      </c>
      <c r="G100" s="15" t="n">
        <v>1082.46</v>
      </c>
      <c r="H100" s="15" t="n">
        <v>1082.46</v>
      </c>
      <c r="I100" s="15" t="n">
        <f aca="false">SUM(K100:T100)</f>
        <v>6494.8</v>
      </c>
      <c r="J100" s="15" t="n">
        <f aca="false">F100-(G100+H100+I100)</f>
        <v>-0.0100000000002183</v>
      </c>
      <c r="K100" s="15" t="n">
        <v>649.48</v>
      </c>
      <c r="L100" s="15" t="n">
        <v>649.48</v>
      </c>
      <c r="M100" s="15" t="n">
        <v>649.48</v>
      </c>
      <c r="N100" s="15" t="n">
        <v>649.48</v>
      </c>
      <c r="O100" s="15" t="n">
        <v>649.48</v>
      </c>
      <c r="P100" s="15" t="n">
        <v>649.48</v>
      </c>
      <c r="Q100" s="15" t="n">
        <v>649.48</v>
      </c>
      <c r="R100" s="15" t="n">
        <v>649.48</v>
      </c>
      <c r="S100" s="15" t="n">
        <v>649.48</v>
      </c>
      <c r="T100" s="15" t="n">
        <v>649.48</v>
      </c>
      <c r="U100" s="15" t="n">
        <v>350</v>
      </c>
      <c r="V100" s="15" t="n">
        <v>0</v>
      </c>
      <c r="W100" s="15" t="n">
        <f aca="false">U100+V100</f>
        <v>350</v>
      </c>
    </row>
    <row r="101" customFormat="false" ht="15" hidden="false" customHeight="false" outlineLevel="0" collapsed="false">
      <c r="A101" s="3" t="s">
        <v>1196</v>
      </c>
      <c r="B101" s="3" t="s">
        <v>1084</v>
      </c>
      <c r="C101" s="3" t="s">
        <v>1139</v>
      </c>
      <c r="D101" s="3" t="s">
        <v>157</v>
      </c>
      <c r="E101" s="13" t="n">
        <v>410000</v>
      </c>
      <c r="F101" s="13" t="n">
        <v>7574.64</v>
      </c>
      <c r="G101" s="13" t="n">
        <v>946.83</v>
      </c>
      <c r="H101" s="13" t="n">
        <v>946.83</v>
      </c>
      <c r="I101" s="13" t="n">
        <f aca="false">SUM(K101:T101)</f>
        <v>5681</v>
      </c>
      <c r="J101" s="13" t="n">
        <f aca="false">F101-(G101+H101+I101)</f>
        <v>-0.0200000000004366</v>
      </c>
      <c r="K101" s="13" t="n">
        <v>568.1</v>
      </c>
      <c r="L101" s="13" t="n">
        <v>568.1</v>
      </c>
      <c r="M101" s="13" t="n">
        <v>568.1</v>
      </c>
      <c r="N101" s="13" t="n">
        <v>568.1</v>
      </c>
      <c r="O101" s="13" t="n">
        <v>568.1</v>
      </c>
      <c r="P101" s="13" t="n">
        <v>568.1</v>
      </c>
      <c r="Q101" s="13" t="n">
        <v>568.1</v>
      </c>
      <c r="R101" s="13" t="n">
        <v>568.1</v>
      </c>
      <c r="S101" s="13" t="n">
        <v>568.1</v>
      </c>
      <c r="T101" s="13" t="n">
        <v>568.1</v>
      </c>
      <c r="U101" s="13" t="n">
        <v>350</v>
      </c>
      <c r="V101" s="13" t="n">
        <v>0</v>
      </c>
      <c r="W101" s="13" t="n">
        <f aca="false">U101+V101</f>
        <v>350</v>
      </c>
    </row>
    <row r="102" customFormat="false" ht="15" hidden="false" customHeight="false" outlineLevel="0" collapsed="false">
      <c r="A102" s="14" t="s">
        <v>1197</v>
      </c>
      <c r="B102" s="14" t="s">
        <v>1118</v>
      </c>
      <c r="C102" s="14" t="s">
        <v>935</v>
      </c>
      <c r="D102" s="14" t="s">
        <v>109</v>
      </c>
      <c r="E102" s="15" t="n">
        <v>490000</v>
      </c>
      <c r="F102" s="15" t="n">
        <v>7968.85</v>
      </c>
      <c r="G102" s="15" t="n">
        <v>996.11</v>
      </c>
      <c r="H102" s="15" t="n">
        <v>996.11</v>
      </c>
      <c r="I102" s="15" t="n">
        <f aca="false">SUM(K102:T102)</f>
        <v>5976.6</v>
      </c>
      <c r="J102" s="15" t="n">
        <f aca="false">F102-(G102+H102+I102)</f>
        <v>0.0300000000006548</v>
      </c>
      <c r="K102" s="15" t="n">
        <v>597.66</v>
      </c>
      <c r="L102" s="15" t="n">
        <v>597.66</v>
      </c>
      <c r="M102" s="15" t="n">
        <v>597.66</v>
      </c>
      <c r="N102" s="15" t="n">
        <v>597.66</v>
      </c>
      <c r="O102" s="15" t="n">
        <v>597.66</v>
      </c>
      <c r="P102" s="15" t="n">
        <v>597.66</v>
      </c>
      <c r="Q102" s="15" t="n">
        <v>597.66</v>
      </c>
      <c r="R102" s="15" t="n">
        <v>597.66</v>
      </c>
      <c r="S102" s="15" t="n">
        <v>597.66</v>
      </c>
      <c r="T102" s="15" t="n">
        <v>597.66</v>
      </c>
      <c r="U102" s="15" t="n">
        <v>350</v>
      </c>
      <c r="V102" s="15" t="n">
        <v>0</v>
      </c>
      <c r="W102" s="15" t="n">
        <f aca="false">U102+V102</f>
        <v>350</v>
      </c>
    </row>
    <row r="103" customFormat="false" ht="15" hidden="false" customHeight="false" outlineLevel="0" collapsed="false">
      <c r="A103" s="3" t="s">
        <v>1198</v>
      </c>
      <c r="B103" s="3" t="s">
        <v>1053</v>
      </c>
      <c r="C103" s="3" t="s">
        <v>484</v>
      </c>
      <c r="D103" s="3" t="s">
        <v>193</v>
      </c>
      <c r="E103" s="13" t="n">
        <v>935000</v>
      </c>
      <c r="F103" s="13" t="n">
        <v>13178.43</v>
      </c>
      <c r="G103" s="13" t="n">
        <v>1647.3</v>
      </c>
      <c r="H103" s="13" t="n">
        <v>1647.3</v>
      </c>
      <c r="I103" s="13" t="n">
        <f aca="false">SUM(K103:T103)</f>
        <v>9883.8</v>
      </c>
      <c r="J103" s="13" t="n">
        <f aca="false">F103-(G103+H103+I103)</f>
        <v>0.0300000000006548</v>
      </c>
      <c r="K103" s="13" t="n">
        <v>988.38</v>
      </c>
      <c r="L103" s="13" t="n">
        <v>988.38</v>
      </c>
      <c r="M103" s="13" t="n">
        <v>988.38</v>
      </c>
      <c r="N103" s="13" t="n">
        <v>988.38</v>
      </c>
      <c r="O103" s="13" t="n">
        <v>988.38</v>
      </c>
      <c r="P103" s="13" t="n">
        <v>988.38</v>
      </c>
      <c r="Q103" s="13" t="n">
        <v>988.38</v>
      </c>
      <c r="R103" s="13" t="n">
        <v>988.38</v>
      </c>
      <c r="S103" s="13" t="n">
        <v>988.38</v>
      </c>
      <c r="T103" s="13" t="n">
        <v>988.38</v>
      </c>
      <c r="U103" s="13" t="n">
        <v>350</v>
      </c>
      <c r="V103" s="13" t="n">
        <v>0</v>
      </c>
      <c r="W103" s="13" t="n">
        <f aca="false">U103+V103</f>
        <v>350</v>
      </c>
    </row>
    <row r="104" customFormat="false" ht="15" hidden="false" customHeight="false" outlineLevel="0" collapsed="false">
      <c r="A104" s="14" t="s">
        <v>1199</v>
      </c>
      <c r="B104" s="14" t="s">
        <v>1094</v>
      </c>
      <c r="C104" s="14" t="s">
        <v>1116</v>
      </c>
      <c r="D104" s="14" t="s">
        <v>109</v>
      </c>
      <c r="E104" s="15" t="n">
        <v>1660000</v>
      </c>
      <c r="F104" s="15" t="n">
        <v>13678.24</v>
      </c>
      <c r="G104" s="15" t="n">
        <v>1709.78</v>
      </c>
      <c r="H104" s="15" t="n">
        <v>1709.78</v>
      </c>
      <c r="I104" s="15" t="n">
        <f aca="false">SUM(K104:T104)</f>
        <v>10258.7</v>
      </c>
      <c r="J104" s="15" t="n">
        <f aca="false">F104-(G104+H104+I104)</f>
        <v>-0.0199999999967986</v>
      </c>
      <c r="K104" s="15" t="n">
        <v>1025.87</v>
      </c>
      <c r="L104" s="15" t="n">
        <v>1025.87</v>
      </c>
      <c r="M104" s="15" t="n">
        <v>1025.87</v>
      </c>
      <c r="N104" s="15" t="n">
        <v>1025.87</v>
      </c>
      <c r="O104" s="15" t="n">
        <v>1025.87</v>
      </c>
      <c r="P104" s="15" t="n">
        <v>1025.87</v>
      </c>
      <c r="Q104" s="15" t="n">
        <v>1025.87</v>
      </c>
      <c r="R104" s="15" t="n">
        <v>1025.87</v>
      </c>
      <c r="S104" s="15" t="n">
        <v>1025.87</v>
      </c>
      <c r="T104" s="15" t="n">
        <v>1025.87</v>
      </c>
      <c r="U104" s="15" t="n">
        <v>350</v>
      </c>
      <c r="V104" s="15" t="n">
        <v>250</v>
      </c>
      <c r="W104" s="15" t="n">
        <f aca="false">U104+V104</f>
        <v>600</v>
      </c>
    </row>
    <row r="105" customFormat="false" ht="15" hidden="false" customHeight="false" outlineLevel="0" collapsed="false">
      <c r="A105" s="3" t="s">
        <v>1200</v>
      </c>
      <c r="B105" s="3" t="s">
        <v>1059</v>
      </c>
      <c r="C105" s="3" t="s">
        <v>570</v>
      </c>
      <c r="D105" s="3" t="s">
        <v>325</v>
      </c>
      <c r="E105" s="13" t="n">
        <v>215000</v>
      </c>
      <c r="F105" s="13" t="n">
        <v>4735.15</v>
      </c>
      <c r="G105" s="13" t="n">
        <v>591.89</v>
      </c>
      <c r="H105" s="13" t="n">
        <v>591.89</v>
      </c>
      <c r="I105" s="13" t="n">
        <f aca="false">SUM(K105:T105)</f>
        <v>3551.4</v>
      </c>
      <c r="J105" s="13" t="n">
        <f aca="false">F105-(G105+H105+I105)</f>
        <v>-0.0299999999997453</v>
      </c>
      <c r="K105" s="13" t="n">
        <v>355.14</v>
      </c>
      <c r="L105" s="13" t="n">
        <v>355.14</v>
      </c>
      <c r="M105" s="13" t="n">
        <v>355.14</v>
      </c>
      <c r="N105" s="13" t="n">
        <v>355.14</v>
      </c>
      <c r="O105" s="13" t="n">
        <v>355.14</v>
      </c>
      <c r="P105" s="13" t="n">
        <v>355.14</v>
      </c>
      <c r="Q105" s="13" t="n">
        <v>355.14</v>
      </c>
      <c r="R105" s="13" t="n">
        <v>355.14</v>
      </c>
      <c r="S105" s="13" t="n">
        <v>355.14</v>
      </c>
      <c r="T105" s="13" t="n">
        <v>355.14</v>
      </c>
      <c r="U105" s="13" t="n">
        <v>350</v>
      </c>
      <c r="V105" s="13" t="n">
        <v>0</v>
      </c>
      <c r="W105" s="13" t="n">
        <f aca="false">U105+V105</f>
        <v>350</v>
      </c>
    </row>
    <row r="106" customFormat="false" ht="15" hidden="false" customHeight="false" outlineLevel="0" collapsed="false">
      <c r="A106" s="14" t="s">
        <v>1201</v>
      </c>
      <c r="B106" s="14" t="s">
        <v>1118</v>
      </c>
      <c r="C106" s="14" t="s">
        <v>1202</v>
      </c>
      <c r="D106" s="14" t="s">
        <v>352</v>
      </c>
      <c r="E106" s="15" t="n">
        <v>560000</v>
      </c>
      <c r="F106" s="15" t="n">
        <v>4171.37</v>
      </c>
      <c r="G106" s="15" t="n">
        <v>521.42</v>
      </c>
      <c r="H106" s="15" t="n">
        <v>521.42</v>
      </c>
      <c r="I106" s="15" t="n">
        <f aca="false">SUM(K106:T106)</f>
        <v>3128.5</v>
      </c>
      <c r="J106" s="15" t="n">
        <f aca="false">F106-(G106+H106+I106)</f>
        <v>0.0299999999997453</v>
      </c>
      <c r="K106" s="15" t="n">
        <v>312.85</v>
      </c>
      <c r="L106" s="15" t="n">
        <v>312.85</v>
      </c>
      <c r="M106" s="15" t="n">
        <v>312.85</v>
      </c>
      <c r="N106" s="15" t="n">
        <v>312.85</v>
      </c>
      <c r="O106" s="15" t="n">
        <v>312.85</v>
      </c>
      <c r="P106" s="15" t="n">
        <v>312.85</v>
      </c>
      <c r="Q106" s="15" t="n">
        <v>312.85</v>
      </c>
      <c r="R106" s="15" t="n">
        <v>312.85</v>
      </c>
      <c r="S106" s="15" t="n">
        <v>312.85</v>
      </c>
      <c r="T106" s="15" t="n">
        <v>312.85</v>
      </c>
      <c r="U106" s="15" t="n">
        <v>350</v>
      </c>
      <c r="V106" s="15" t="n">
        <v>0</v>
      </c>
      <c r="W106" s="15" t="n">
        <f aca="false">U106+V106</f>
        <v>350</v>
      </c>
    </row>
    <row r="107" customFormat="false" ht="15" hidden="false" customHeight="false" outlineLevel="0" collapsed="false">
      <c r="A107" s="3" t="s">
        <v>1203</v>
      </c>
      <c r="B107" s="3" t="s">
        <v>1033</v>
      </c>
      <c r="C107" s="3" t="s">
        <v>1204</v>
      </c>
      <c r="D107" s="3" t="s">
        <v>89</v>
      </c>
      <c r="E107" s="13" t="n">
        <v>1950000</v>
      </c>
      <c r="F107" s="13" t="n">
        <v>17353.24</v>
      </c>
      <c r="G107" s="13" t="n">
        <v>2169.16</v>
      </c>
      <c r="H107" s="13" t="n">
        <v>2169.16</v>
      </c>
      <c r="I107" s="13" t="n">
        <f aca="false">SUM(K107:T107)</f>
        <v>13014.9</v>
      </c>
      <c r="J107" s="13" t="n">
        <f aca="false">F107-(G107+H107+I107)</f>
        <v>0.0200000000004366</v>
      </c>
      <c r="K107" s="13" t="n">
        <v>1301.49</v>
      </c>
      <c r="L107" s="13" t="n">
        <v>1301.49</v>
      </c>
      <c r="M107" s="13" t="n">
        <v>1301.49</v>
      </c>
      <c r="N107" s="13" t="n">
        <v>1301.49</v>
      </c>
      <c r="O107" s="13" t="n">
        <v>1301.49</v>
      </c>
      <c r="P107" s="13" t="n">
        <v>1301.49</v>
      </c>
      <c r="Q107" s="13" t="n">
        <v>1301.49</v>
      </c>
      <c r="R107" s="13" t="n">
        <v>1301.49</v>
      </c>
      <c r="S107" s="13" t="n">
        <v>1301.49</v>
      </c>
      <c r="T107" s="13" t="n">
        <v>1301.49</v>
      </c>
      <c r="U107" s="13" t="n">
        <v>350</v>
      </c>
      <c r="V107" s="13" t="n">
        <v>250</v>
      </c>
      <c r="W107" s="13" t="n">
        <f aca="false">U107+V107</f>
        <v>600</v>
      </c>
    </row>
    <row r="108" customFormat="false" ht="15" hidden="false" customHeight="false" outlineLevel="0" collapsed="false">
      <c r="A108" s="14" t="s">
        <v>1205</v>
      </c>
      <c r="B108" s="14" t="s">
        <v>1094</v>
      </c>
      <c r="C108" s="14" t="s">
        <v>337</v>
      </c>
      <c r="D108" s="14" t="s">
        <v>157</v>
      </c>
      <c r="E108" s="15" t="n">
        <v>1490000</v>
      </c>
      <c r="F108" s="15" t="n">
        <v>13947.2</v>
      </c>
      <c r="G108" s="15" t="n">
        <v>1743.4</v>
      </c>
      <c r="H108" s="15" t="n">
        <v>1743.4</v>
      </c>
      <c r="I108" s="15" t="n">
        <f aca="false">SUM(K108:T108)</f>
        <v>10460.4</v>
      </c>
      <c r="J108" s="15" t="n">
        <f aca="false">F108-(G108+H108+I108)</f>
        <v>0</v>
      </c>
      <c r="K108" s="15" t="n">
        <v>1046.04</v>
      </c>
      <c r="L108" s="15" t="n">
        <v>1046.04</v>
      </c>
      <c r="M108" s="15" t="n">
        <v>1046.04</v>
      </c>
      <c r="N108" s="15" t="n">
        <v>1046.04</v>
      </c>
      <c r="O108" s="15" t="n">
        <v>1046.04</v>
      </c>
      <c r="P108" s="15" t="n">
        <v>1046.04</v>
      </c>
      <c r="Q108" s="15" t="n">
        <v>1046.04</v>
      </c>
      <c r="R108" s="15" t="n">
        <v>1046.04</v>
      </c>
      <c r="S108" s="15" t="n">
        <v>1046.04</v>
      </c>
      <c r="T108" s="15" t="n">
        <v>1046.04</v>
      </c>
      <c r="U108" s="15" t="n">
        <v>350</v>
      </c>
      <c r="V108" s="15" t="n">
        <v>250</v>
      </c>
      <c r="W108" s="15" t="n">
        <f aca="false">U108+V108</f>
        <v>600</v>
      </c>
    </row>
    <row r="109" customFormat="false" ht="15" hidden="false" customHeight="false" outlineLevel="0" collapsed="false">
      <c r="A109" s="3" t="s">
        <v>1206</v>
      </c>
      <c r="B109" s="3" t="s">
        <v>1143</v>
      </c>
      <c r="C109" s="3" t="s">
        <v>1088</v>
      </c>
      <c r="D109" s="3" t="s">
        <v>153</v>
      </c>
      <c r="E109" s="13" t="n">
        <v>885000</v>
      </c>
      <c r="F109" s="13" t="n">
        <v>22606.18</v>
      </c>
      <c r="G109" s="13" t="n">
        <v>2825.77</v>
      </c>
      <c r="H109" s="13" t="n">
        <v>2825.77</v>
      </c>
      <c r="I109" s="13" t="n">
        <f aca="false">SUM(K109:T109)</f>
        <v>16954.6</v>
      </c>
      <c r="J109" s="13" t="n">
        <f aca="false">F109-(G109+H109+I109)</f>
        <v>0.0400000000008731</v>
      </c>
      <c r="K109" s="13" t="n">
        <v>1695.46</v>
      </c>
      <c r="L109" s="13" t="n">
        <v>1695.46</v>
      </c>
      <c r="M109" s="13" t="n">
        <v>1695.46</v>
      </c>
      <c r="N109" s="13" t="n">
        <v>1695.46</v>
      </c>
      <c r="O109" s="13" t="n">
        <v>1695.46</v>
      </c>
      <c r="P109" s="13" t="n">
        <v>1695.46</v>
      </c>
      <c r="Q109" s="13" t="n">
        <v>1695.46</v>
      </c>
      <c r="R109" s="13" t="n">
        <v>1695.46</v>
      </c>
      <c r="S109" s="13" t="n">
        <v>1695.46</v>
      </c>
      <c r="T109" s="13" t="n">
        <v>1695.46</v>
      </c>
      <c r="U109" s="13" t="n">
        <v>350</v>
      </c>
      <c r="V109" s="13" t="n">
        <v>0</v>
      </c>
      <c r="W109" s="13" t="n">
        <f aca="false">U109+V109</f>
        <v>350</v>
      </c>
    </row>
    <row r="110" customFormat="false" ht="15" hidden="false" customHeight="false" outlineLevel="0" collapsed="false">
      <c r="A110" s="14" t="s">
        <v>1207</v>
      </c>
      <c r="B110" s="14" t="s">
        <v>1027</v>
      </c>
      <c r="C110" s="14" t="s">
        <v>310</v>
      </c>
      <c r="D110" s="14" t="s">
        <v>233</v>
      </c>
      <c r="E110" s="15" t="n">
        <v>690000</v>
      </c>
      <c r="F110" s="15" t="n">
        <v>7624.6</v>
      </c>
      <c r="G110" s="15" t="n">
        <v>953.08</v>
      </c>
      <c r="H110" s="15" t="n">
        <v>953.08</v>
      </c>
      <c r="I110" s="15" t="n">
        <f aca="false">SUM(K110:T110)</f>
        <v>5718.5</v>
      </c>
      <c r="J110" s="15" t="n">
        <f aca="false">F110-(G110+H110+I110)</f>
        <v>-0.0600000000004002</v>
      </c>
      <c r="K110" s="15" t="n">
        <v>571.85</v>
      </c>
      <c r="L110" s="15" t="n">
        <v>571.85</v>
      </c>
      <c r="M110" s="15" t="n">
        <v>571.85</v>
      </c>
      <c r="N110" s="15" t="n">
        <v>571.85</v>
      </c>
      <c r="O110" s="15" t="n">
        <v>571.85</v>
      </c>
      <c r="P110" s="15" t="n">
        <v>571.85</v>
      </c>
      <c r="Q110" s="15" t="n">
        <v>571.85</v>
      </c>
      <c r="R110" s="15" t="n">
        <v>571.85</v>
      </c>
      <c r="S110" s="15" t="n">
        <v>571.85</v>
      </c>
      <c r="T110" s="15" t="n">
        <v>571.85</v>
      </c>
      <c r="U110" s="15" t="n">
        <v>350</v>
      </c>
      <c r="V110" s="15" t="n">
        <v>0</v>
      </c>
      <c r="W110" s="15" t="n">
        <f aca="false">U110+V110</f>
        <v>350</v>
      </c>
    </row>
    <row r="111" customFormat="false" ht="15" hidden="false" customHeight="false" outlineLevel="0" collapsed="false">
      <c r="A111" s="3" t="s">
        <v>1208</v>
      </c>
      <c r="B111" s="3" t="s">
        <v>1033</v>
      </c>
      <c r="C111" s="3" t="s">
        <v>176</v>
      </c>
      <c r="D111" s="3" t="s">
        <v>93</v>
      </c>
      <c r="E111" s="13" t="n">
        <v>1950000</v>
      </c>
      <c r="F111" s="13" t="n">
        <v>34638.83</v>
      </c>
      <c r="G111" s="13" t="n">
        <v>4329.85</v>
      </c>
      <c r="H111" s="13" t="n">
        <v>4329.85</v>
      </c>
      <c r="I111" s="13" t="n">
        <f aca="false">SUM(K111:T111)</f>
        <v>25979.1</v>
      </c>
      <c r="J111" s="13" t="n">
        <f aca="false">F111-(G111+H111+I111)</f>
        <v>0.0299999999988358</v>
      </c>
      <c r="K111" s="13" t="n">
        <v>2597.91</v>
      </c>
      <c r="L111" s="13" t="n">
        <v>2597.91</v>
      </c>
      <c r="M111" s="13" t="n">
        <v>2597.91</v>
      </c>
      <c r="N111" s="13" t="n">
        <v>2597.91</v>
      </c>
      <c r="O111" s="13" t="n">
        <v>2597.91</v>
      </c>
      <c r="P111" s="13" t="n">
        <v>2597.91</v>
      </c>
      <c r="Q111" s="13" t="n">
        <v>2597.91</v>
      </c>
      <c r="R111" s="13" t="n">
        <v>2597.91</v>
      </c>
      <c r="S111" s="13" t="n">
        <v>2597.91</v>
      </c>
      <c r="T111" s="13" t="n">
        <v>2597.91</v>
      </c>
      <c r="U111" s="13" t="n">
        <v>350</v>
      </c>
      <c r="V111" s="13" t="n">
        <v>250</v>
      </c>
      <c r="W111" s="13" t="n">
        <f aca="false">U111+V111</f>
        <v>600</v>
      </c>
    </row>
    <row r="112" customFormat="false" ht="15" hidden="false" customHeight="false" outlineLevel="0" collapsed="false">
      <c r="A112" s="14" t="s">
        <v>1209</v>
      </c>
      <c r="B112" s="14" t="s">
        <v>1037</v>
      </c>
      <c r="C112" s="14" t="s">
        <v>1210</v>
      </c>
      <c r="D112" s="14" t="s">
        <v>203</v>
      </c>
      <c r="E112" s="15" t="n">
        <v>705000</v>
      </c>
      <c r="F112" s="15" t="n">
        <v>9062.25</v>
      </c>
      <c r="G112" s="15" t="n">
        <v>1132.78</v>
      </c>
      <c r="H112" s="15" t="n">
        <v>1132.78</v>
      </c>
      <c r="I112" s="15" t="n">
        <f aca="false">SUM(K112:T112)</f>
        <v>6796.7</v>
      </c>
      <c r="J112" s="15" t="n">
        <f aca="false">F112-(G112+H112+I112)</f>
        <v>-0.0100000000002183</v>
      </c>
      <c r="K112" s="15" t="n">
        <v>679.67</v>
      </c>
      <c r="L112" s="15" t="n">
        <v>679.67</v>
      </c>
      <c r="M112" s="15" t="n">
        <v>679.67</v>
      </c>
      <c r="N112" s="15" t="n">
        <v>679.67</v>
      </c>
      <c r="O112" s="15" t="n">
        <v>679.67</v>
      </c>
      <c r="P112" s="15" t="n">
        <v>679.67</v>
      </c>
      <c r="Q112" s="15" t="n">
        <v>679.67</v>
      </c>
      <c r="R112" s="15" t="n">
        <v>679.67</v>
      </c>
      <c r="S112" s="15" t="n">
        <v>679.67</v>
      </c>
      <c r="T112" s="15" t="n">
        <v>679.67</v>
      </c>
      <c r="U112" s="15" t="n">
        <v>350</v>
      </c>
      <c r="V112" s="15" t="n">
        <v>0</v>
      </c>
      <c r="W112" s="15" t="n">
        <f aca="false">U112+V112</f>
        <v>350</v>
      </c>
    </row>
    <row r="113" customFormat="false" ht="15" hidden="false" customHeight="false" outlineLevel="0" collapsed="false">
      <c r="A113" s="3" t="s">
        <v>1211</v>
      </c>
      <c r="B113" s="3" t="s">
        <v>1107</v>
      </c>
      <c r="C113" s="3" t="s">
        <v>1103</v>
      </c>
      <c r="D113" s="3" t="s">
        <v>406</v>
      </c>
      <c r="E113" s="13" t="n">
        <v>210000</v>
      </c>
      <c r="F113" s="13" t="n">
        <v>1931.11</v>
      </c>
      <c r="G113" s="13" t="n">
        <v>241.39</v>
      </c>
      <c r="H113" s="13" t="n">
        <v>241.39</v>
      </c>
      <c r="I113" s="13" t="n">
        <f aca="false">SUM(K113:T113)</f>
        <v>1448.3</v>
      </c>
      <c r="J113" s="13" t="n">
        <f aca="false">F113-(G113+H113+I113)</f>
        <v>0.0299999999999727</v>
      </c>
      <c r="K113" s="13" t="n">
        <v>144.83</v>
      </c>
      <c r="L113" s="13" t="n">
        <v>144.83</v>
      </c>
      <c r="M113" s="13" t="n">
        <v>144.83</v>
      </c>
      <c r="N113" s="13" t="n">
        <v>144.83</v>
      </c>
      <c r="O113" s="13" t="n">
        <v>144.83</v>
      </c>
      <c r="P113" s="13" t="n">
        <v>144.83</v>
      </c>
      <c r="Q113" s="13" t="n">
        <v>144.83</v>
      </c>
      <c r="R113" s="13" t="n">
        <v>144.83</v>
      </c>
      <c r="S113" s="13" t="n">
        <v>144.83</v>
      </c>
      <c r="T113" s="13" t="n">
        <v>144.83</v>
      </c>
      <c r="U113" s="13" t="n">
        <v>350</v>
      </c>
      <c r="V113" s="13" t="n">
        <v>0</v>
      </c>
      <c r="W113" s="13" t="n">
        <f aca="false">U113+V113</f>
        <v>350</v>
      </c>
    </row>
    <row r="114" customFormat="false" ht="15" hidden="false" customHeight="false" outlineLevel="0" collapsed="false">
      <c r="A114" s="14" t="s">
        <v>1212</v>
      </c>
      <c r="B114" s="14" t="s">
        <v>1035</v>
      </c>
      <c r="C114" s="14" t="s">
        <v>1213</v>
      </c>
      <c r="D114" s="14" t="s">
        <v>230</v>
      </c>
      <c r="E114" s="15" t="n">
        <v>1170000</v>
      </c>
      <c r="F114" s="15" t="n">
        <v>9177.94</v>
      </c>
      <c r="G114" s="15" t="n">
        <v>1147.24</v>
      </c>
      <c r="H114" s="15" t="n">
        <v>1147.24</v>
      </c>
      <c r="I114" s="15" t="n">
        <f aca="false">SUM(K114:T114)</f>
        <v>6883.5</v>
      </c>
      <c r="J114" s="15" t="n">
        <f aca="false">F114-(G114+H114+I114)</f>
        <v>-0.0400000000008731</v>
      </c>
      <c r="K114" s="15" t="n">
        <v>688.35</v>
      </c>
      <c r="L114" s="15" t="n">
        <v>688.35</v>
      </c>
      <c r="M114" s="15" t="n">
        <v>688.35</v>
      </c>
      <c r="N114" s="15" t="n">
        <v>688.35</v>
      </c>
      <c r="O114" s="15" t="n">
        <v>688.35</v>
      </c>
      <c r="P114" s="15" t="n">
        <v>688.35</v>
      </c>
      <c r="Q114" s="15" t="n">
        <v>688.35</v>
      </c>
      <c r="R114" s="15" t="n">
        <v>688.35</v>
      </c>
      <c r="S114" s="15" t="n">
        <v>688.35</v>
      </c>
      <c r="T114" s="15" t="n">
        <v>688.35</v>
      </c>
      <c r="U114" s="15" t="n">
        <v>350</v>
      </c>
      <c r="V114" s="15" t="n">
        <v>250</v>
      </c>
      <c r="W114" s="15" t="n">
        <f aca="false">U114+V114</f>
        <v>600</v>
      </c>
    </row>
    <row r="115" customFormat="false" ht="15" hidden="false" customHeight="false" outlineLevel="0" collapsed="false">
      <c r="A115" s="3" t="s">
        <v>1214</v>
      </c>
      <c r="B115" s="3" t="s">
        <v>1065</v>
      </c>
      <c r="C115" s="3" t="s">
        <v>1215</v>
      </c>
      <c r="D115" s="3" t="s">
        <v>147</v>
      </c>
      <c r="E115" s="13" t="n">
        <v>1065000</v>
      </c>
      <c r="F115" s="13" t="n">
        <v>13442.22</v>
      </c>
      <c r="G115" s="13" t="n">
        <v>1680.28</v>
      </c>
      <c r="H115" s="13" t="n">
        <v>1680.28</v>
      </c>
      <c r="I115" s="13" t="n">
        <f aca="false">SUM(K115:T115)</f>
        <v>10081.7</v>
      </c>
      <c r="J115" s="13" t="n">
        <f aca="false">F115-(G115+H115+I115)</f>
        <v>-0.0399999999990541</v>
      </c>
      <c r="K115" s="13" t="n">
        <v>1008.17</v>
      </c>
      <c r="L115" s="13" t="n">
        <v>1008.17</v>
      </c>
      <c r="M115" s="13" t="n">
        <v>1008.17</v>
      </c>
      <c r="N115" s="13" t="n">
        <v>1008.17</v>
      </c>
      <c r="O115" s="13" t="n">
        <v>1008.17</v>
      </c>
      <c r="P115" s="13" t="n">
        <v>1008.17</v>
      </c>
      <c r="Q115" s="13" t="n">
        <v>1008.17</v>
      </c>
      <c r="R115" s="13" t="n">
        <v>1008.17</v>
      </c>
      <c r="S115" s="13" t="n">
        <v>1008.17</v>
      </c>
      <c r="T115" s="13" t="n">
        <v>1008.17</v>
      </c>
      <c r="U115" s="13" t="n">
        <v>350</v>
      </c>
      <c r="V115" s="13" t="n">
        <v>250</v>
      </c>
      <c r="W115" s="13" t="n">
        <f aca="false">U115+V115</f>
        <v>600</v>
      </c>
    </row>
    <row r="116" customFormat="false" ht="15" hidden="false" customHeight="false" outlineLevel="0" collapsed="false">
      <c r="A116" s="14" t="s">
        <v>1216</v>
      </c>
      <c r="B116" s="14" t="s">
        <v>1129</v>
      </c>
      <c r="C116" s="14" t="s">
        <v>858</v>
      </c>
      <c r="D116" s="14" t="s">
        <v>377</v>
      </c>
      <c r="E116" s="15" t="n">
        <v>405000</v>
      </c>
      <c r="F116" s="15" t="n">
        <v>7060.73</v>
      </c>
      <c r="G116" s="15" t="n">
        <v>882.59</v>
      </c>
      <c r="H116" s="15" t="n">
        <v>882.59</v>
      </c>
      <c r="I116" s="15" t="n">
        <f aca="false">SUM(K116:T116)</f>
        <v>5295.5</v>
      </c>
      <c r="J116" s="15" t="n">
        <f aca="false">F116-(G116+H116+I116)</f>
        <v>0.0499999999992724</v>
      </c>
      <c r="K116" s="15" t="n">
        <v>529.55</v>
      </c>
      <c r="L116" s="15" t="n">
        <v>529.55</v>
      </c>
      <c r="M116" s="15" t="n">
        <v>529.55</v>
      </c>
      <c r="N116" s="15" t="n">
        <v>529.55</v>
      </c>
      <c r="O116" s="15" t="n">
        <v>529.55</v>
      </c>
      <c r="P116" s="15" t="n">
        <v>529.55</v>
      </c>
      <c r="Q116" s="15" t="n">
        <v>529.55</v>
      </c>
      <c r="R116" s="15" t="n">
        <v>529.55</v>
      </c>
      <c r="S116" s="15" t="n">
        <v>529.55</v>
      </c>
      <c r="T116" s="15" t="n">
        <v>529.55</v>
      </c>
      <c r="U116" s="15" t="n">
        <v>350</v>
      </c>
      <c r="V116" s="15" t="n">
        <v>0</v>
      </c>
      <c r="W116" s="15" t="n">
        <f aca="false">U116+V116</f>
        <v>350</v>
      </c>
    </row>
    <row r="117" customFormat="false" ht="15" hidden="false" customHeight="false" outlineLevel="0" collapsed="false">
      <c r="A117" s="3" t="s">
        <v>1217</v>
      </c>
      <c r="B117" s="3" t="s">
        <v>1098</v>
      </c>
      <c r="C117" s="3" t="s">
        <v>381</v>
      </c>
      <c r="D117" s="3" t="s">
        <v>77</v>
      </c>
      <c r="E117" s="13" t="n">
        <v>970000</v>
      </c>
      <c r="F117" s="13" t="n">
        <v>9189.09</v>
      </c>
      <c r="G117" s="13" t="n">
        <v>1148.64</v>
      </c>
      <c r="H117" s="13" t="n">
        <v>1148.64</v>
      </c>
      <c r="I117" s="13" t="n">
        <f aca="false">SUM(K117:T117)</f>
        <v>6891.8</v>
      </c>
      <c r="J117" s="13" t="n">
        <f aca="false">F117-(G117+H117+I117)</f>
        <v>0.0100000000002183</v>
      </c>
      <c r="K117" s="13" t="n">
        <v>689.18</v>
      </c>
      <c r="L117" s="13" t="n">
        <v>689.18</v>
      </c>
      <c r="M117" s="13" t="n">
        <v>689.18</v>
      </c>
      <c r="N117" s="13" t="n">
        <v>689.18</v>
      </c>
      <c r="O117" s="13" t="n">
        <v>689.18</v>
      </c>
      <c r="P117" s="13" t="n">
        <v>689.18</v>
      </c>
      <c r="Q117" s="13" t="n">
        <v>689.18</v>
      </c>
      <c r="R117" s="13" t="n">
        <v>689.18</v>
      </c>
      <c r="S117" s="13" t="n">
        <v>689.18</v>
      </c>
      <c r="T117" s="13" t="n">
        <v>689.18</v>
      </c>
      <c r="U117" s="13" t="n">
        <v>350</v>
      </c>
      <c r="V117" s="13" t="n">
        <v>0</v>
      </c>
      <c r="W117" s="13" t="n">
        <f aca="false">U117+V117</f>
        <v>350</v>
      </c>
    </row>
    <row r="118" customFormat="false" ht="15" hidden="false" customHeight="false" outlineLevel="0" collapsed="false">
      <c r="A118" s="14" t="s">
        <v>1218</v>
      </c>
      <c r="B118" s="14" t="s">
        <v>1072</v>
      </c>
      <c r="C118" s="14" t="s">
        <v>1219</v>
      </c>
      <c r="D118" s="14" t="s">
        <v>85</v>
      </c>
      <c r="E118" s="15" t="n">
        <v>445000</v>
      </c>
      <c r="F118" s="15" t="n">
        <v>8047.57</v>
      </c>
      <c r="G118" s="15" t="n">
        <v>1005.95</v>
      </c>
      <c r="H118" s="15" t="n">
        <v>1005.95</v>
      </c>
      <c r="I118" s="15" t="n">
        <f aca="false">SUM(K118:T118)</f>
        <v>6035.7</v>
      </c>
      <c r="J118" s="15" t="n">
        <f aca="false">F118-(G118+H118+I118)</f>
        <v>-0.0300000000006548</v>
      </c>
      <c r="K118" s="15" t="n">
        <v>603.57</v>
      </c>
      <c r="L118" s="15" t="n">
        <v>603.57</v>
      </c>
      <c r="M118" s="15" t="n">
        <v>603.57</v>
      </c>
      <c r="N118" s="15" t="n">
        <v>603.57</v>
      </c>
      <c r="O118" s="15" t="n">
        <v>603.57</v>
      </c>
      <c r="P118" s="15" t="n">
        <v>603.57</v>
      </c>
      <c r="Q118" s="15" t="n">
        <v>603.57</v>
      </c>
      <c r="R118" s="15" t="n">
        <v>603.57</v>
      </c>
      <c r="S118" s="15" t="n">
        <v>603.57</v>
      </c>
      <c r="T118" s="15" t="n">
        <v>603.57</v>
      </c>
      <c r="U118" s="15" t="n">
        <v>350</v>
      </c>
      <c r="V118" s="15" t="n">
        <v>0</v>
      </c>
      <c r="W118" s="15" t="n">
        <f aca="false">U118+V118</f>
        <v>350</v>
      </c>
    </row>
    <row r="119" customFormat="false" ht="15" hidden="false" customHeight="false" outlineLevel="0" collapsed="false">
      <c r="A119" s="3" t="s">
        <v>1220</v>
      </c>
      <c r="B119" s="3" t="s">
        <v>1056</v>
      </c>
      <c r="C119" s="3" t="s">
        <v>1221</v>
      </c>
      <c r="D119" s="3" t="s">
        <v>153</v>
      </c>
      <c r="E119" s="13" t="n">
        <v>815000</v>
      </c>
      <c r="F119" s="13" t="n">
        <v>9422.94</v>
      </c>
      <c r="G119" s="13" t="n">
        <v>1177.87</v>
      </c>
      <c r="H119" s="13" t="n">
        <v>1177.87</v>
      </c>
      <c r="I119" s="13" t="n">
        <f aca="false">SUM(K119:T119)</f>
        <v>7067.2</v>
      </c>
      <c r="J119" s="13" t="n">
        <f aca="false">F119-(G119+H119+I119)</f>
        <v>0</v>
      </c>
      <c r="K119" s="13" t="n">
        <v>706.72</v>
      </c>
      <c r="L119" s="13" t="n">
        <v>706.72</v>
      </c>
      <c r="M119" s="13" t="n">
        <v>706.72</v>
      </c>
      <c r="N119" s="13" t="n">
        <v>706.72</v>
      </c>
      <c r="O119" s="13" t="n">
        <v>706.72</v>
      </c>
      <c r="P119" s="13" t="n">
        <v>706.72</v>
      </c>
      <c r="Q119" s="13" t="n">
        <v>706.72</v>
      </c>
      <c r="R119" s="13" t="n">
        <v>706.72</v>
      </c>
      <c r="S119" s="13" t="n">
        <v>706.72</v>
      </c>
      <c r="T119" s="13" t="n">
        <v>706.72</v>
      </c>
      <c r="U119" s="13" t="n">
        <v>350</v>
      </c>
      <c r="V119" s="13" t="n">
        <v>0</v>
      </c>
      <c r="W119" s="13" t="n">
        <f aca="false">U119+V119</f>
        <v>350</v>
      </c>
    </row>
    <row r="120" customFormat="false" ht="15" hidden="false" customHeight="false" outlineLevel="0" collapsed="false">
      <c r="A120" s="14" t="s">
        <v>1222</v>
      </c>
      <c r="B120" s="14" t="s">
        <v>1129</v>
      </c>
      <c r="C120" s="14" t="s">
        <v>289</v>
      </c>
      <c r="D120" s="14" t="s">
        <v>222</v>
      </c>
      <c r="E120" s="15" t="n">
        <v>105000</v>
      </c>
      <c r="F120" s="15" t="n">
        <v>1142.05</v>
      </c>
      <c r="G120" s="15" t="n">
        <v>142.76</v>
      </c>
      <c r="H120" s="15" t="n">
        <v>142.76</v>
      </c>
      <c r="I120" s="15" t="n">
        <f aca="false">SUM(K120:T120)</f>
        <v>856.5</v>
      </c>
      <c r="J120" s="15" t="n">
        <f aca="false">F120-(G120+H120+I120)</f>
        <v>0.0299999999999727</v>
      </c>
      <c r="K120" s="15" t="n">
        <v>85.65</v>
      </c>
      <c r="L120" s="15" t="n">
        <v>85.65</v>
      </c>
      <c r="M120" s="15" t="n">
        <v>85.65</v>
      </c>
      <c r="N120" s="15" t="n">
        <v>85.65</v>
      </c>
      <c r="O120" s="15" t="n">
        <v>85.65</v>
      </c>
      <c r="P120" s="15" t="n">
        <v>85.65</v>
      </c>
      <c r="Q120" s="15" t="n">
        <v>85.65</v>
      </c>
      <c r="R120" s="15" t="n">
        <v>85.65</v>
      </c>
      <c r="S120" s="15" t="n">
        <v>85.65</v>
      </c>
      <c r="T120" s="15" t="n">
        <v>85.65</v>
      </c>
      <c r="U120" s="15" t="n">
        <v>350</v>
      </c>
      <c r="V120" s="15" t="n">
        <v>0</v>
      </c>
      <c r="W120" s="15" t="n">
        <f aca="false">U120+V120</f>
        <v>350</v>
      </c>
    </row>
    <row r="121" customFormat="false" ht="15" hidden="false" customHeight="false" outlineLevel="0" collapsed="false">
      <c r="A121" s="3" t="s">
        <v>1223</v>
      </c>
      <c r="B121" s="3" t="s">
        <v>1059</v>
      </c>
      <c r="C121" s="3" t="s">
        <v>1224</v>
      </c>
      <c r="D121" s="3" t="s">
        <v>233</v>
      </c>
      <c r="E121" s="13" t="n">
        <v>825000</v>
      </c>
      <c r="F121" s="13" t="n">
        <v>13323.93</v>
      </c>
      <c r="G121" s="13" t="n">
        <v>1665.49</v>
      </c>
      <c r="H121" s="13" t="n">
        <v>1665.49</v>
      </c>
      <c r="I121" s="13" t="n">
        <f aca="false">SUM(K121:T121)</f>
        <v>9992.9</v>
      </c>
      <c r="J121" s="13" t="n">
        <f aca="false">F121-(G121+H121+I121)</f>
        <v>0.0499999999992724</v>
      </c>
      <c r="K121" s="13" t="n">
        <v>999.29</v>
      </c>
      <c r="L121" s="13" t="n">
        <v>999.29</v>
      </c>
      <c r="M121" s="13" t="n">
        <v>999.29</v>
      </c>
      <c r="N121" s="13" t="n">
        <v>999.29</v>
      </c>
      <c r="O121" s="13" t="n">
        <v>999.29</v>
      </c>
      <c r="P121" s="13" t="n">
        <v>999.29</v>
      </c>
      <c r="Q121" s="13" t="n">
        <v>999.29</v>
      </c>
      <c r="R121" s="13" t="n">
        <v>999.29</v>
      </c>
      <c r="S121" s="13" t="n">
        <v>999.29</v>
      </c>
      <c r="T121" s="13" t="n">
        <v>999.29</v>
      </c>
      <c r="U121" s="13" t="n">
        <v>350</v>
      </c>
      <c r="V121" s="13" t="n">
        <v>0</v>
      </c>
      <c r="W121" s="13" t="n">
        <f aca="false">U121+V121</f>
        <v>350</v>
      </c>
    </row>
    <row r="122" customFormat="false" ht="15" hidden="false" customHeight="false" outlineLevel="0" collapsed="false">
      <c r="A122" s="14" t="s">
        <v>1225</v>
      </c>
      <c r="B122" s="14" t="s">
        <v>1037</v>
      </c>
      <c r="C122" s="14" t="s">
        <v>370</v>
      </c>
      <c r="D122" s="14" t="s">
        <v>85</v>
      </c>
      <c r="E122" s="15" t="n">
        <v>1490000</v>
      </c>
      <c r="F122" s="15" t="n">
        <v>28742.18</v>
      </c>
      <c r="G122" s="15" t="n">
        <v>3592.77</v>
      </c>
      <c r="H122" s="15" t="n">
        <v>3592.77</v>
      </c>
      <c r="I122" s="15" t="n">
        <f aca="false">SUM(K122:T122)</f>
        <v>21556.6</v>
      </c>
      <c r="J122" s="15" t="n">
        <f aca="false">F122-(G122+H122+I122)</f>
        <v>0.0400000000008731</v>
      </c>
      <c r="K122" s="15" t="n">
        <v>2155.66</v>
      </c>
      <c r="L122" s="15" t="n">
        <v>2155.66</v>
      </c>
      <c r="M122" s="15" t="n">
        <v>2155.66</v>
      </c>
      <c r="N122" s="15" t="n">
        <v>2155.66</v>
      </c>
      <c r="O122" s="15" t="n">
        <v>2155.66</v>
      </c>
      <c r="P122" s="15" t="n">
        <v>2155.66</v>
      </c>
      <c r="Q122" s="15" t="n">
        <v>2155.66</v>
      </c>
      <c r="R122" s="15" t="n">
        <v>2155.66</v>
      </c>
      <c r="S122" s="15" t="n">
        <v>2155.66</v>
      </c>
      <c r="T122" s="15" t="n">
        <v>2155.66</v>
      </c>
      <c r="U122" s="15" t="n">
        <v>350</v>
      </c>
      <c r="V122" s="15" t="n">
        <v>250</v>
      </c>
      <c r="W122" s="15" t="n">
        <f aca="false">U122+V122</f>
        <v>600</v>
      </c>
    </row>
    <row r="123" customFormat="false" ht="15" hidden="false" customHeight="false" outlineLevel="0" collapsed="false">
      <c r="A123" s="3" t="s">
        <v>1226</v>
      </c>
      <c r="B123" s="3" t="s">
        <v>1045</v>
      </c>
      <c r="C123" s="3" t="s">
        <v>171</v>
      </c>
      <c r="D123" s="3" t="s">
        <v>208</v>
      </c>
      <c r="E123" s="13" t="n">
        <v>755000</v>
      </c>
      <c r="F123" s="13" t="n">
        <v>11067.06</v>
      </c>
      <c r="G123" s="13" t="n">
        <v>1383.38</v>
      </c>
      <c r="H123" s="13" t="n">
        <v>1383.38</v>
      </c>
      <c r="I123" s="13" t="n">
        <f aca="false">SUM(K123:T123)</f>
        <v>8300.3</v>
      </c>
      <c r="J123" s="13" t="n">
        <f aca="false">F123-(G123+H123+I123)</f>
        <v>0</v>
      </c>
      <c r="K123" s="13" t="n">
        <v>830.03</v>
      </c>
      <c r="L123" s="13" t="n">
        <v>830.03</v>
      </c>
      <c r="M123" s="13" t="n">
        <v>830.03</v>
      </c>
      <c r="N123" s="13" t="n">
        <v>830.03</v>
      </c>
      <c r="O123" s="13" t="n">
        <v>830.03</v>
      </c>
      <c r="P123" s="13" t="n">
        <v>830.03</v>
      </c>
      <c r="Q123" s="13" t="n">
        <v>830.03</v>
      </c>
      <c r="R123" s="13" t="n">
        <v>830.03</v>
      </c>
      <c r="S123" s="13" t="n">
        <v>830.03</v>
      </c>
      <c r="T123" s="13" t="n">
        <v>830.03</v>
      </c>
      <c r="U123" s="13" t="n">
        <v>350</v>
      </c>
      <c r="V123" s="13" t="n">
        <v>0</v>
      </c>
      <c r="W123" s="13" t="n">
        <f aca="false">U123+V123</f>
        <v>350</v>
      </c>
    </row>
    <row r="124" customFormat="false" ht="15" hidden="false" customHeight="false" outlineLevel="0" collapsed="false">
      <c r="A124" s="14" t="s">
        <v>1227</v>
      </c>
      <c r="B124" s="14" t="s">
        <v>1062</v>
      </c>
      <c r="C124" s="14" t="s">
        <v>269</v>
      </c>
      <c r="D124" s="14" t="s">
        <v>115</v>
      </c>
      <c r="E124" s="15" t="n">
        <v>375000</v>
      </c>
      <c r="F124" s="15" t="n">
        <v>6440.14</v>
      </c>
      <c r="G124" s="15" t="n">
        <v>805.02</v>
      </c>
      <c r="H124" s="15" t="n">
        <v>805.02</v>
      </c>
      <c r="I124" s="15" t="n">
        <f aca="false">SUM(K124:T124)</f>
        <v>4830.1</v>
      </c>
      <c r="J124" s="15" t="n">
        <f aca="false">F124-(G124+H124+I124)</f>
        <v>0</v>
      </c>
      <c r="K124" s="15" t="n">
        <v>483.01</v>
      </c>
      <c r="L124" s="15" t="n">
        <v>483.01</v>
      </c>
      <c r="M124" s="15" t="n">
        <v>483.01</v>
      </c>
      <c r="N124" s="15" t="n">
        <v>483.01</v>
      </c>
      <c r="O124" s="15" t="n">
        <v>483.01</v>
      </c>
      <c r="P124" s="15" t="n">
        <v>483.01</v>
      </c>
      <c r="Q124" s="15" t="n">
        <v>483.01</v>
      </c>
      <c r="R124" s="15" t="n">
        <v>483.01</v>
      </c>
      <c r="S124" s="15" t="n">
        <v>483.01</v>
      </c>
      <c r="T124" s="15" t="n">
        <v>483.01</v>
      </c>
      <c r="U124" s="15" t="n">
        <v>350</v>
      </c>
      <c r="V124" s="15" t="n">
        <v>0</v>
      </c>
      <c r="W124" s="15" t="n">
        <f aca="false">U124+V124</f>
        <v>350</v>
      </c>
    </row>
    <row r="125" customFormat="false" ht="15" hidden="false" customHeight="false" outlineLevel="0" collapsed="false">
      <c r="A125" s="3" t="s">
        <v>1228</v>
      </c>
      <c r="B125" s="3" t="s">
        <v>1079</v>
      </c>
      <c r="C125" s="3" t="s">
        <v>92</v>
      </c>
      <c r="D125" s="3" t="s">
        <v>89</v>
      </c>
      <c r="E125" s="13" t="n">
        <v>395000</v>
      </c>
      <c r="F125" s="13" t="n">
        <v>6937.78</v>
      </c>
      <c r="G125" s="13" t="n">
        <v>867.22</v>
      </c>
      <c r="H125" s="13" t="n">
        <v>867.22</v>
      </c>
      <c r="I125" s="13" t="n">
        <f aca="false">SUM(K125:T125)</f>
        <v>5203.3</v>
      </c>
      <c r="J125" s="13" t="n">
        <f aca="false">F125-(G125+H125+I125)</f>
        <v>0.0399999999999636</v>
      </c>
      <c r="K125" s="13" t="n">
        <v>520.33</v>
      </c>
      <c r="L125" s="13" t="n">
        <v>520.33</v>
      </c>
      <c r="M125" s="13" t="n">
        <v>520.33</v>
      </c>
      <c r="N125" s="13" t="n">
        <v>520.33</v>
      </c>
      <c r="O125" s="13" t="n">
        <v>520.33</v>
      </c>
      <c r="P125" s="13" t="n">
        <v>520.33</v>
      </c>
      <c r="Q125" s="13" t="n">
        <v>520.33</v>
      </c>
      <c r="R125" s="13" t="n">
        <v>520.33</v>
      </c>
      <c r="S125" s="13" t="n">
        <v>520.33</v>
      </c>
      <c r="T125" s="13" t="n">
        <v>520.33</v>
      </c>
      <c r="U125" s="13" t="n">
        <v>350</v>
      </c>
      <c r="V125" s="13" t="n">
        <v>0</v>
      </c>
      <c r="W125" s="13" t="n">
        <f aca="false">U125+V125</f>
        <v>350</v>
      </c>
    </row>
    <row r="126" customFormat="false" ht="15" hidden="false" customHeight="false" outlineLevel="0" collapsed="false">
      <c r="A126" s="14" t="s">
        <v>1229</v>
      </c>
      <c r="B126" s="14" t="s">
        <v>1043</v>
      </c>
      <c r="C126" s="14" t="s">
        <v>1202</v>
      </c>
      <c r="D126" s="14" t="s">
        <v>138</v>
      </c>
      <c r="E126" s="15" t="n">
        <v>675000</v>
      </c>
      <c r="F126" s="15" t="n">
        <v>8752.73</v>
      </c>
      <c r="G126" s="15" t="n">
        <v>1094.09</v>
      </c>
      <c r="H126" s="15" t="n">
        <v>1094.09</v>
      </c>
      <c r="I126" s="15" t="n">
        <f aca="false">SUM(K126:T126)</f>
        <v>6564.5</v>
      </c>
      <c r="J126" s="15" t="n">
        <f aca="false">F126-(G126+H126+I126)</f>
        <v>0.0499999999992724</v>
      </c>
      <c r="K126" s="15" t="n">
        <v>656.45</v>
      </c>
      <c r="L126" s="15" t="n">
        <v>656.45</v>
      </c>
      <c r="M126" s="15" t="n">
        <v>656.45</v>
      </c>
      <c r="N126" s="15" t="n">
        <v>656.45</v>
      </c>
      <c r="O126" s="15" t="n">
        <v>656.45</v>
      </c>
      <c r="P126" s="15" t="n">
        <v>656.45</v>
      </c>
      <c r="Q126" s="15" t="n">
        <v>656.45</v>
      </c>
      <c r="R126" s="15" t="n">
        <v>656.45</v>
      </c>
      <c r="S126" s="15" t="n">
        <v>656.45</v>
      </c>
      <c r="T126" s="15" t="n">
        <v>656.45</v>
      </c>
      <c r="U126" s="15" t="n">
        <v>350</v>
      </c>
      <c r="V126" s="15" t="n">
        <v>0</v>
      </c>
      <c r="W126" s="15" t="n">
        <f aca="false">U126+V126</f>
        <v>350</v>
      </c>
    </row>
    <row r="127" customFormat="false" ht="15" hidden="false" customHeight="false" outlineLevel="0" collapsed="false">
      <c r="A127" s="3" t="s">
        <v>1230</v>
      </c>
      <c r="B127" s="3" t="s">
        <v>1072</v>
      </c>
      <c r="C127" s="3" t="s">
        <v>335</v>
      </c>
      <c r="D127" s="3" t="s">
        <v>77</v>
      </c>
      <c r="E127" s="13" t="n">
        <v>360000</v>
      </c>
      <c r="F127" s="13" t="n">
        <v>5948.34</v>
      </c>
      <c r="G127" s="13" t="n">
        <v>743.54</v>
      </c>
      <c r="H127" s="13" t="n">
        <v>743.54</v>
      </c>
      <c r="I127" s="13" t="n">
        <f aca="false">SUM(K127:T127)</f>
        <v>4461.3</v>
      </c>
      <c r="J127" s="13" t="n">
        <f aca="false">F127-(G127+H127+I127)</f>
        <v>-0.0399999999999636</v>
      </c>
      <c r="K127" s="13" t="n">
        <v>446.13</v>
      </c>
      <c r="L127" s="13" t="n">
        <v>446.13</v>
      </c>
      <c r="M127" s="13" t="n">
        <v>446.13</v>
      </c>
      <c r="N127" s="13" t="n">
        <v>446.13</v>
      </c>
      <c r="O127" s="13" t="n">
        <v>446.13</v>
      </c>
      <c r="P127" s="13" t="n">
        <v>446.13</v>
      </c>
      <c r="Q127" s="13" t="n">
        <v>446.13</v>
      </c>
      <c r="R127" s="13" t="n">
        <v>446.13</v>
      </c>
      <c r="S127" s="13" t="n">
        <v>446.13</v>
      </c>
      <c r="T127" s="13" t="n">
        <v>446.13</v>
      </c>
      <c r="U127" s="13" t="n">
        <v>350</v>
      </c>
      <c r="V127" s="13" t="n">
        <v>0</v>
      </c>
      <c r="W127" s="13" t="n">
        <f aca="false">U127+V127</f>
        <v>350</v>
      </c>
    </row>
    <row r="128" customFormat="false" ht="15" hidden="false" customHeight="false" outlineLevel="0" collapsed="false">
      <c r="A128" s="14" t="s">
        <v>1231</v>
      </c>
      <c r="B128" s="14" t="s">
        <v>1059</v>
      </c>
      <c r="C128" s="14" t="s">
        <v>1232</v>
      </c>
      <c r="D128" s="14" t="s">
        <v>251</v>
      </c>
      <c r="E128" s="15" t="n">
        <v>805000</v>
      </c>
      <c r="F128" s="15" t="n">
        <v>10166.14</v>
      </c>
      <c r="G128" s="15" t="n">
        <v>1270.77</v>
      </c>
      <c r="H128" s="15" t="n">
        <v>1270.77</v>
      </c>
      <c r="I128" s="15" t="n">
        <f aca="false">SUM(K128:T128)</f>
        <v>7624.6</v>
      </c>
      <c r="J128" s="15" t="n">
        <f aca="false">F128-(G128+H128+I128)</f>
        <v>0</v>
      </c>
      <c r="K128" s="15" t="n">
        <v>762.46</v>
      </c>
      <c r="L128" s="15" t="n">
        <v>762.46</v>
      </c>
      <c r="M128" s="15" t="n">
        <v>762.46</v>
      </c>
      <c r="N128" s="15" t="n">
        <v>762.46</v>
      </c>
      <c r="O128" s="15" t="n">
        <v>762.46</v>
      </c>
      <c r="P128" s="15" t="n">
        <v>762.46</v>
      </c>
      <c r="Q128" s="15" t="n">
        <v>762.46</v>
      </c>
      <c r="R128" s="15" t="n">
        <v>762.46</v>
      </c>
      <c r="S128" s="15" t="n">
        <v>762.46</v>
      </c>
      <c r="T128" s="15" t="n">
        <v>762.46</v>
      </c>
      <c r="U128" s="15" t="n">
        <v>350</v>
      </c>
      <c r="V128" s="15" t="n">
        <v>0</v>
      </c>
      <c r="W128" s="15" t="n">
        <f aca="false">U128+V128</f>
        <v>350</v>
      </c>
    </row>
    <row r="129" customFormat="false" ht="15" hidden="false" customHeight="false" outlineLevel="0" collapsed="false">
      <c r="A129" s="3" t="s">
        <v>1233</v>
      </c>
      <c r="B129" s="3" t="s">
        <v>1029</v>
      </c>
      <c r="C129" s="3" t="s">
        <v>1234</v>
      </c>
      <c r="D129" s="3" t="s">
        <v>93</v>
      </c>
      <c r="E129" s="13" t="n">
        <v>700000</v>
      </c>
      <c r="F129" s="13" t="n">
        <v>10102.99</v>
      </c>
      <c r="G129" s="13" t="n">
        <v>1262.87</v>
      </c>
      <c r="H129" s="13" t="n">
        <v>1262.87</v>
      </c>
      <c r="I129" s="13" t="n">
        <f aca="false">SUM(K129:T129)</f>
        <v>7577.2</v>
      </c>
      <c r="J129" s="13" t="n">
        <f aca="false">F129-(G129+H129+I129)</f>
        <v>0.0499999999992724</v>
      </c>
      <c r="K129" s="13" t="n">
        <v>757.72</v>
      </c>
      <c r="L129" s="13" t="n">
        <v>757.72</v>
      </c>
      <c r="M129" s="13" t="n">
        <v>757.72</v>
      </c>
      <c r="N129" s="13" t="n">
        <v>757.72</v>
      </c>
      <c r="O129" s="13" t="n">
        <v>757.72</v>
      </c>
      <c r="P129" s="13" t="n">
        <v>757.72</v>
      </c>
      <c r="Q129" s="13" t="n">
        <v>757.72</v>
      </c>
      <c r="R129" s="13" t="n">
        <v>757.72</v>
      </c>
      <c r="S129" s="13" t="n">
        <v>757.72</v>
      </c>
      <c r="T129" s="13" t="n">
        <v>757.72</v>
      </c>
      <c r="U129" s="13" t="n">
        <v>350</v>
      </c>
      <c r="V129" s="13" t="n">
        <v>0</v>
      </c>
      <c r="W129" s="13" t="n">
        <f aca="false">U129+V129</f>
        <v>350</v>
      </c>
    </row>
    <row r="130" customFormat="false" ht="15" hidden="false" customHeight="false" outlineLevel="0" collapsed="false">
      <c r="A130" s="14" t="s">
        <v>1235</v>
      </c>
      <c r="B130" s="14" t="s">
        <v>1041</v>
      </c>
      <c r="C130" s="14" t="s">
        <v>1236</v>
      </c>
      <c r="D130" s="14" t="s">
        <v>89</v>
      </c>
      <c r="E130" s="15" t="n">
        <v>480000</v>
      </c>
      <c r="F130" s="15" t="n">
        <v>8430.72</v>
      </c>
      <c r="G130" s="15" t="n">
        <v>1053.84</v>
      </c>
      <c r="H130" s="15" t="n">
        <v>1053.84</v>
      </c>
      <c r="I130" s="15" t="n">
        <f aca="false">SUM(K130:T130)</f>
        <v>6323</v>
      </c>
      <c r="J130" s="15" t="n">
        <f aca="false">F130-(G130+H130+I130)</f>
        <v>0.0399999999990541</v>
      </c>
      <c r="K130" s="15" t="n">
        <v>632.3</v>
      </c>
      <c r="L130" s="15" t="n">
        <v>632.3</v>
      </c>
      <c r="M130" s="15" t="n">
        <v>632.3</v>
      </c>
      <c r="N130" s="15" t="n">
        <v>632.3</v>
      </c>
      <c r="O130" s="15" t="n">
        <v>632.3</v>
      </c>
      <c r="P130" s="15" t="n">
        <v>632.3</v>
      </c>
      <c r="Q130" s="15" t="n">
        <v>632.3</v>
      </c>
      <c r="R130" s="15" t="n">
        <v>632.3</v>
      </c>
      <c r="S130" s="15" t="n">
        <v>632.3</v>
      </c>
      <c r="T130" s="15" t="n">
        <v>632.3</v>
      </c>
      <c r="U130" s="15" t="n">
        <v>350</v>
      </c>
      <c r="V130" s="15" t="n">
        <v>0</v>
      </c>
      <c r="W130" s="15" t="n">
        <f aca="false">U130+V130</f>
        <v>350</v>
      </c>
    </row>
    <row r="131" customFormat="false" ht="15" hidden="false" customHeight="false" outlineLevel="0" collapsed="false">
      <c r="A131" s="3" t="s">
        <v>1237</v>
      </c>
      <c r="B131" s="3" t="s">
        <v>1100</v>
      </c>
      <c r="C131" s="3" t="s">
        <v>903</v>
      </c>
      <c r="D131" s="3" t="s">
        <v>208</v>
      </c>
      <c r="E131" s="13" t="n">
        <v>795000</v>
      </c>
      <c r="F131" s="13" t="n">
        <v>11653.4</v>
      </c>
      <c r="G131" s="13" t="n">
        <v>1456.67</v>
      </c>
      <c r="H131" s="13" t="n">
        <v>1456.67</v>
      </c>
      <c r="I131" s="13" t="n">
        <f aca="false">SUM(K131:T131)</f>
        <v>8740</v>
      </c>
      <c r="J131" s="13" t="n">
        <f aca="false">F131-(G131+H131+I131)</f>
        <v>0.0599999999994907</v>
      </c>
      <c r="K131" s="13" t="n">
        <v>874</v>
      </c>
      <c r="L131" s="13" t="n">
        <v>874</v>
      </c>
      <c r="M131" s="13" t="n">
        <v>874</v>
      </c>
      <c r="N131" s="13" t="n">
        <v>874</v>
      </c>
      <c r="O131" s="13" t="n">
        <v>874</v>
      </c>
      <c r="P131" s="13" t="n">
        <v>874</v>
      </c>
      <c r="Q131" s="13" t="n">
        <v>874</v>
      </c>
      <c r="R131" s="13" t="n">
        <v>874</v>
      </c>
      <c r="S131" s="13" t="n">
        <v>874</v>
      </c>
      <c r="T131" s="13" t="n">
        <v>874</v>
      </c>
      <c r="U131" s="13" t="n">
        <v>350</v>
      </c>
      <c r="V131" s="13" t="n">
        <v>0</v>
      </c>
      <c r="W131" s="13" t="n">
        <f aca="false">U131+V131</f>
        <v>350</v>
      </c>
    </row>
    <row r="132" customFormat="false" ht="15" hidden="false" customHeight="false" outlineLevel="0" collapsed="false">
      <c r="A132" s="14" t="s">
        <v>1238</v>
      </c>
      <c r="B132" s="14" t="s">
        <v>1115</v>
      </c>
      <c r="C132" s="14" t="s">
        <v>1239</v>
      </c>
      <c r="D132" s="14" t="s">
        <v>85</v>
      </c>
      <c r="E132" s="15" t="n">
        <v>420000</v>
      </c>
      <c r="F132" s="15" t="n">
        <v>8912</v>
      </c>
      <c r="G132" s="15" t="n">
        <v>1114</v>
      </c>
      <c r="H132" s="15" t="n">
        <v>1114</v>
      </c>
      <c r="I132" s="15" t="n">
        <f aca="false">SUM(K132:T132)</f>
        <v>6684</v>
      </c>
      <c r="J132" s="15" t="n">
        <f aca="false">F132-(G132+H132+I132)</f>
        <v>0</v>
      </c>
      <c r="K132" s="15" t="n">
        <v>668.4</v>
      </c>
      <c r="L132" s="15" t="n">
        <v>668.4</v>
      </c>
      <c r="M132" s="15" t="n">
        <v>668.4</v>
      </c>
      <c r="N132" s="15" t="n">
        <v>668.4</v>
      </c>
      <c r="O132" s="15" t="n">
        <v>668.4</v>
      </c>
      <c r="P132" s="15" t="n">
        <v>668.4</v>
      </c>
      <c r="Q132" s="15" t="n">
        <v>668.4</v>
      </c>
      <c r="R132" s="15" t="n">
        <v>668.4</v>
      </c>
      <c r="S132" s="15" t="n">
        <v>668.4</v>
      </c>
      <c r="T132" s="15" t="n">
        <v>668.4</v>
      </c>
      <c r="U132" s="15" t="n">
        <v>350</v>
      </c>
      <c r="V132" s="15" t="n">
        <v>0</v>
      </c>
      <c r="W132" s="15" t="n">
        <f aca="false">U132+V132</f>
        <v>350</v>
      </c>
    </row>
    <row r="133" customFormat="false" ht="15" hidden="false" customHeight="false" outlineLevel="0" collapsed="false">
      <c r="A133" s="3" t="s">
        <v>1240</v>
      </c>
      <c r="B133" s="3" t="s">
        <v>1035</v>
      </c>
      <c r="C133" s="3" t="s">
        <v>487</v>
      </c>
      <c r="D133" s="3" t="s">
        <v>102</v>
      </c>
      <c r="E133" s="13" t="n">
        <v>425000</v>
      </c>
      <c r="F133" s="13" t="n">
        <v>9750.19</v>
      </c>
      <c r="G133" s="13" t="n">
        <v>1218.77</v>
      </c>
      <c r="H133" s="13" t="n">
        <v>1218.77</v>
      </c>
      <c r="I133" s="13" t="n">
        <f aca="false">SUM(K133:T133)</f>
        <v>7312.6</v>
      </c>
      <c r="J133" s="13" t="n">
        <f aca="false">F133-(G133+H133+I133)</f>
        <v>0.0500000000010914</v>
      </c>
      <c r="K133" s="13" t="n">
        <v>731.26</v>
      </c>
      <c r="L133" s="13" t="n">
        <v>731.26</v>
      </c>
      <c r="M133" s="13" t="n">
        <v>731.26</v>
      </c>
      <c r="N133" s="13" t="n">
        <v>731.26</v>
      </c>
      <c r="O133" s="13" t="n">
        <v>731.26</v>
      </c>
      <c r="P133" s="13" t="n">
        <v>731.26</v>
      </c>
      <c r="Q133" s="13" t="n">
        <v>731.26</v>
      </c>
      <c r="R133" s="13" t="n">
        <v>731.26</v>
      </c>
      <c r="S133" s="13" t="n">
        <v>731.26</v>
      </c>
      <c r="T133" s="13" t="n">
        <v>731.26</v>
      </c>
      <c r="U133" s="13" t="n">
        <v>350</v>
      </c>
      <c r="V133" s="13" t="n">
        <v>0</v>
      </c>
      <c r="W133" s="13" t="n">
        <f aca="false">U133+V133</f>
        <v>350</v>
      </c>
    </row>
    <row r="134" customFormat="false" ht="15" hidden="false" customHeight="false" outlineLevel="0" collapsed="false">
      <c r="A134" s="14" t="s">
        <v>1241</v>
      </c>
      <c r="B134" s="14" t="s">
        <v>1107</v>
      </c>
      <c r="C134" s="14" t="s">
        <v>1242</v>
      </c>
      <c r="D134" s="14" t="s">
        <v>406</v>
      </c>
      <c r="E134" s="15" t="n">
        <v>1070000</v>
      </c>
      <c r="F134" s="15" t="n">
        <v>13809.74</v>
      </c>
      <c r="G134" s="15" t="n">
        <v>1726.22</v>
      </c>
      <c r="H134" s="15" t="n">
        <v>1726.22</v>
      </c>
      <c r="I134" s="15" t="n">
        <f aca="false">SUM(K134:T134)</f>
        <v>10357.3</v>
      </c>
      <c r="J134" s="15" t="n">
        <f aca="false">F134-(G134+H134+I134)</f>
        <v>0</v>
      </c>
      <c r="K134" s="15" t="n">
        <v>1035.73</v>
      </c>
      <c r="L134" s="15" t="n">
        <v>1035.73</v>
      </c>
      <c r="M134" s="15" t="n">
        <v>1035.73</v>
      </c>
      <c r="N134" s="15" t="n">
        <v>1035.73</v>
      </c>
      <c r="O134" s="15" t="n">
        <v>1035.73</v>
      </c>
      <c r="P134" s="15" t="n">
        <v>1035.73</v>
      </c>
      <c r="Q134" s="15" t="n">
        <v>1035.73</v>
      </c>
      <c r="R134" s="15" t="n">
        <v>1035.73</v>
      </c>
      <c r="S134" s="15" t="n">
        <v>1035.73</v>
      </c>
      <c r="T134" s="15" t="n">
        <v>1035.73</v>
      </c>
      <c r="U134" s="15" t="n">
        <v>350</v>
      </c>
      <c r="V134" s="15" t="n">
        <v>250</v>
      </c>
      <c r="W134" s="15" t="n">
        <f aca="false">U134+V134</f>
        <v>600</v>
      </c>
    </row>
    <row r="135" customFormat="false" ht="15" hidden="false" customHeight="false" outlineLevel="0" collapsed="false">
      <c r="A135" s="3" t="s">
        <v>1243</v>
      </c>
      <c r="B135" s="3" t="s">
        <v>1047</v>
      </c>
      <c r="C135" s="3" t="s">
        <v>1186</v>
      </c>
      <c r="D135" s="3" t="s">
        <v>279</v>
      </c>
      <c r="E135" s="13" t="n">
        <v>630000</v>
      </c>
      <c r="F135" s="13" t="n">
        <v>9447.87</v>
      </c>
      <c r="G135" s="13" t="n">
        <v>1180.98</v>
      </c>
      <c r="H135" s="13" t="n">
        <v>1180.98</v>
      </c>
      <c r="I135" s="13" t="n">
        <f aca="false">SUM(K135:T135)</f>
        <v>7085.9</v>
      </c>
      <c r="J135" s="13" t="n">
        <f aca="false">F135-(G135+H135+I135)</f>
        <v>0.0100000000002183</v>
      </c>
      <c r="K135" s="13" t="n">
        <v>708.59</v>
      </c>
      <c r="L135" s="13" t="n">
        <v>708.59</v>
      </c>
      <c r="M135" s="13" t="n">
        <v>708.59</v>
      </c>
      <c r="N135" s="13" t="n">
        <v>708.59</v>
      </c>
      <c r="O135" s="13" t="n">
        <v>708.59</v>
      </c>
      <c r="P135" s="13" t="n">
        <v>708.59</v>
      </c>
      <c r="Q135" s="13" t="n">
        <v>708.59</v>
      </c>
      <c r="R135" s="13" t="n">
        <v>708.59</v>
      </c>
      <c r="S135" s="13" t="n">
        <v>708.59</v>
      </c>
      <c r="T135" s="13" t="n">
        <v>708.59</v>
      </c>
      <c r="U135" s="13" t="n">
        <v>350</v>
      </c>
      <c r="V135" s="13" t="n">
        <v>0</v>
      </c>
      <c r="W135" s="13" t="n">
        <f aca="false">U135+V135</f>
        <v>350</v>
      </c>
    </row>
    <row r="136" customFormat="false" ht="15" hidden="false" customHeight="false" outlineLevel="0" collapsed="false">
      <c r="A136" s="14" t="s">
        <v>1244</v>
      </c>
      <c r="B136" s="14" t="s">
        <v>1029</v>
      </c>
      <c r="C136" s="14" t="s">
        <v>1002</v>
      </c>
      <c r="D136" s="14" t="s">
        <v>118</v>
      </c>
      <c r="E136" s="15" t="n">
        <v>1255000</v>
      </c>
      <c r="F136" s="15" t="n">
        <v>21422.37</v>
      </c>
      <c r="G136" s="15" t="n">
        <v>2677.8</v>
      </c>
      <c r="H136" s="15" t="n">
        <v>2677.8</v>
      </c>
      <c r="I136" s="15" t="n">
        <f aca="false">SUM(K136:T136)</f>
        <v>16066.8</v>
      </c>
      <c r="J136" s="15" t="n">
        <f aca="false">F136-(G136+H136+I136)</f>
        <v>-0.0300000000024738</v>
      </c>
      <c r="K136" s="15" t="n">
        <v>1606.68</v>
      </c>
      <c r="L136" s="15" t="n">
        <v>1606.68</v>
      </c>
      <c r="M136" s="15" t="n">
        <v>1606.68</v>
      </c>
      <c r="N136" s="15" t="n">
        <v>1606.68</v>
      </c>
      <c r="O136" s="15" t="n">
        <v>1606.68</v>
      </c>
      <c r="P136" s="15" t="n">
        <v>1606.68</v>
      </c>
      <c r="Q136" s="15" t="n">
        <v>1606.68</v>
      </c>
      <c r="R136" s="15" t="n">
        <v>1606.68</v>
      </c>
      <c r="S136" s="15" t="n">
        <v>1606.68</v>
      </c>
      <c r="T136" s="15" t="n">
        <v>1606.68</v>
      </c>
      <c r="U136" s="15" t="n">
        <v>350</v>
      </c>
      <c r="V136" s="15" t="n">
        <v>250</v>
      </c>
      <c r="W136" s="15" t="n">
        <f aca="false">U136+V136</f>
        <v>600</v>
      </c>
    </row>
    <row r="137" customFormat="false" ht="15" hidden="false" customHeight="false" outlineLevel="0" collapsed="false">
      <c r="A137" s="3" t="s">
        <v>1245</v>
      </c>
      <c r="B137" s="3" t="s">
        <v>1065</v>
      </c>
      <c r="C137" s="3" t="s">
        <v>484</v>
      </c>
      <c r="D137" s="3" t="s">
        <v>85</v>
      </c>
      <c r="E137" s="13" t="n">
        <v>1600000</v>
      </c>
      <c r="F137" s="13" t="n">
        <v>14660.44</v>
      </c>
      <c r="G137" s="13" t="n">
        <v>1832.56</v>
      </c>
      <c r="H137" s="13" t="n">
        <v>1832.56</v>
      </c>
      <c r="I137" s="13" t="n">
        <f aca="false">SUM(K137:T137)</f>
        <v>10995.3</v>
      </c>
      <c r="J137" s="13" t="n">
        <f aca="false">F137-(G137+H137+I137)</f>
        <v>0.0199999999986176</v>
      </c>
      <c r="K137" s="13" t="n">
        <v>1099.53</v>
      </c>
      <c r="L137" s="13" t="n">
        <v>1099.53</v>
      </c>
      <c r="M137" s="13" t="n">
        <v>1099.53</v>
      </c>
      <c r="N137" s="13" t="n">
        <v>1099.53</v>
      </c>
      <c r="O137" s="13" t="n">
        <v>1099.53</v>
      </c>
      <c r="P137" s="13" t="n">
        <v>1099.53</v>
      </c>
      <c r="Q137" s="13" t="n">
        <v>1099.53</v>
      </c>
      <c r="R137" s="13" t="n">
        <v>1099.53</v>
      </c>
      <c r="S137" s="13" t="n">
        <v>1099.53</v>
      </c>
      <c r="T137" s="13" t="n">
        <v>1099.53</v>
      </c>
      <c r="U137" s="13" t="n">
        <v>350</v>
      </c>
      <c r="V137" s="13" t="n">
        <v>250</v>
      </c>
      <c r="W137" s="13" t="n">
        <f aca="false">U137+V137</f>
        <v>600</v>
      </c>
    </row>
    <row r="138" customFormat="false" ht="15" hidden="false" customHeight="false" outlineLevel="0" collapsed="false">
      <c r="A138" s="14" t="s">
        <v>1246</v>
      </c>
      <c r="B138" s="14" t="s">
        <v>1045</v>
      </c>
      <c r="C138" s="14" t="s">
        <v>1247</v>
      </c>
      <c r="D138" s="14" t="s">
        <v>172</v>
      </c>
      <c r="E138" s="15" t="n">
        <v>600000</v>
      </c>
      <c r="F138" s="15" t="n">
        <v>10283.41</v>
      </c>
      <c r="G138" s="15" t="n">
        <v>1285.43</v>
      </c>
      <c r="H138" s="15" t="n">
        <v>1285.43</v>
      </c>
      <c r="I138" s="15" t="n">
        <f aca="false">SUM(K138:T138)</f>
        <v>7712.6</v>
      </c>
      <c r="J138" s="15" t="n">
        <f aca="false">F138-(G138+H138+I138)</f>
        <v>-0.0500000000010914</v>
      </c>
      <c r="K138" s="15" t="n">
        <v>771.26</v>
      </c>
      <c r="L138" s="15" t="n">
        <v>771.26</v>
      </c>
      <c r="M138" s="15" t="n">
        <v>771.26</v>
      </c>
      <c r="N138" s="15" t="n">
        <v>771.26</v>
      </c>
      <c r="O138" s="15" t="n">
        <v>771.26</v>
      </c>
      <c r="P138" s="15" t="n">
        <v>771.26</v>
      </c>
      <c r="Q138" s="15" t="n">
        <v>771.26</v>
      </c>
      <c r="R138" s="15" t="n">
        <v>771.26</v>
      </c>
      <c r="S138" s="15" t="n">
        <v>771.26</v>
      </c>
      <c r="T138" s="15" t="n">
        <v>771.26</v>
      </c>
      <c r="U138" s="15" t="n">
        <v>350</v>
      </c>
      <c r="V138" s="15" t="n">
        <v>0</v>
      </c>
      <c r="W138" s="15" t="n">
        <f aca="false">U138+V138</f>
        <v>350</v>
      </c>
    </row>
    <row r="139" customFormat="false" ht="15" hidden="false" customHeight="false" outlineLevel="0" collapsed="false">
      <c r="A139" s="3" t="s">
        <v>1248</v>
      </c>
      <c r="B139" s="3" t="s">
        <v>1118</v>
      </c>
      <c r="C139" s="3" t="s">
        <v>854</v>
      </c>
      <c r="D139" s="3" t="s">
        <v>89</v>
      </c>
      <c r="E139" s="13" t="n">
        <v>615000</v>
      </c>
      <c r="F139" s="13" t="n">
        <v>9361.62</v>
      </c>
      <c r="G139" s="13" t="n">
        <v>1170.2</v>
      </c>
      <c r="H139" s="13" t="n">
        <v>1170.2</v>
      </c>
      <c r="I139" s="13" t="n">
        <f aca="false">SUM(K139:T139)</f>
        <v>7021.2</v>
      </c>
      <c r="J139" s="13" t="n">
        <f aca="false">F139-(G139+H139+I139)</f>
        <v>0.0200000000004366</v>
      </c>
      <c r="K139" s="13" t="n">
        <v>702.12</v>
      </c>
      <c r="L139" s="13" t="n">
        <v>702.12</v>
      </c>
      <c r="M139" s="13" t="n">
        <v>702.12</v>
      </c>
      <c r="N139" s="13" t="n">
        <v>702.12</v>
      </c>
      <c r="O139" s="13" t="n">
        <v>702.12</v>
      </c>
      <c r="P139" s="13" t="n">
        <v>702.12</v>
      </c>
      <c r="Q139" s="13" t="n">
        <v>702.12</v>
      </c>
      <c r="R139" s="13" t="n">
        <v>702.12</v>
      </c>
      <c r="S139" s="13" t="n">
        <v>702.12</v>
      </c>
      <c r="T139" s="13" t="n">
        <v>702.12</v>
      </c>
      <c r="U139" s="13" t="n">
        <v>350</v>
      </c>
      <c r="V139" s="13" t="n">
        <v>0</v>
      </c>
      <c r="W139" s="13" t="n">
        <f aca="false">U139+V139</f>
        <v>350</v>
      </c>
    </row>
    <row r="140" customFormat="false" ht="15" hidden="false" customHeight="false" outlineLevel="0" collapsed="false">
      <c r="A140" s="14" t="s">
        <v>1249</v>
      </c>
      <c r="B140" s="14" t="s">
        <v>1129</v>
      </c>
      <c r="C140" s="14" t="s">
        <v>991</v>
      </c>
      <c r="D140" s="14" t="s">
        <v>89</v>
      </c>
      <c r="E140" s="15" t="n">
        <v>615000</v>
      </c>
      <c r="F140" s="15" t="n">
        <v>9361.62</v>
      </c>
      <c r="G140" s="15" t="n">
        <v>1170.2</v>
      </c>
      <c r="H140" s="15" t="n">
        <v>1170.2</v>
      </c>
      <c r="I140" s="15" t="n">
        <f aca="false">SUM(K140:T140)</f>
        <v>7021.2</v>
      </c>
      <c r="J140" s="15" t="n">
        <f aca="false">F140-(G140+H140+I140)</f>
        <v>0.0200000000004366</v>
      </c>
      <c r="K140" s="15" t="n">
        <v>702.12</v>
      </c>
      <c r="L140" s="15" t="n">
        <v>702.12</v>
      </c>
      <c r="M140" s="15" t="n">
        <v>702.12</v>
      </c>
      <c r="N140" s="15" t="n">
        <v>702.12</v>
      </c>
      <c r="O140" s="15" t="n">
        <v>702.12</v>
      </c>
      <c r="P140" s="15" t="n">
        <v>702.12</v>
      </c>
      <c r="Q140" s="15" t="n">
        <v>702.12</v>
      </c>
      <c r="R140" s="15" t="n">
        <v>702.12</v>
      </c>
      <c r="S140" s="15" t="n">
        <v>702.12</v>
      </c>
      <c r="T140" s="15" t="n">
        <v>702.12</v>
      </c>
      <c r="U140" s="15" t="n">
        <v>350</v>
      </c>
      <c r="V140" s="15" t="n">
        <v>0</v>
      </c>
      <c r="W140" s="15" t="n">
        <f aca="false">U140+V140</f>
        <v>350</v>
      </c>
    </row>
    <row r="141" customFormat="false" ht="15" hidden="false" customHeight="false" outlineLevel="0" collapsed="false">
      <c r="A141" s="3" t="s">
        <v>1250</v>
      </c>
      <c r="B141" s="3" t="s">
        <v>1072</v>
      </c>
      <c r="C141" s="3" t="s">
        <v>903</v>
      </c>
      <c r="D141" s="3" t="s">
        <v>256</v>
      </c>
      <c r="E141" s="13" t="n">
        <v>945000</v>
      </c>
      <c r="F141" s="13" t="n">
        <v>17006.18</v>
      </c>
      <c r="G141" s="13" t="n">
        <v>2125.77</v>
      </c>
      <c r="H141" s="13" t="n">
        <v>2125.77</v>
      </c>
      <c r="I141" s="13" t="n">
        <f aca="false">SUM(K141:T141)</f>
        <v>12754.6</v>
      </c>
      <c r="J141" s="13" t="n">
        <f aca="false">F141-(G141+H141+I141)</f>
        <v>0.0400000000008731</v>
      </c>
      <c r="K141" s="13" t="n">
        <v>1275.46</v>
      </c>
      <c r="L141" s="13" t="n">
        <v>1275.46</v>
      </c>
      <c r="M141" s="13" t="n">
        <v>1275.46</v>
      </c>
      <c r="N141" s="13" t="n">
        <v>1275.46</v>
      </c>
      <c r="O141" s="13" t="n">
        <v>1275.46</v>
      </c>
      <c r="P141" s="13" t="n">
        <v>1275.46</v>
      </c>
      <c r="Q141" s="13" t="n">
        <v>1275.46</v>
      </c>
      <c r="R141" s="13" t="n">
        <v>1275.46</v>
      </c>
      <c r="S141" s="13" t="n">
        <v>1275.46</v>
      </c>
      <c r="T141" s="13" t="n">
        <v>1275.46</v>
      </c>
      <c r="U141" s="13" t="n">
        <v>350</v>
      </c>
      <c r="V141" s="13" t="n">
        <v>0</v>
      </c>
      <c r="W141" s="13" t="n">
        <f aca="false">U141+V141</f>
        <v>350</v>
      </c>
    </row>
    <row r="142" customFormat="false" ht="15" hidden="false" customHeight="false" outlineLevel="0" collapsed="false">
      <c r="A142" s="14" t="s">
        <v>1251</v>
      </c>
      <c r="B142" s="14" t="s">
        <v>1079</v>
      </c>
      <c r="C142" s="14" t="s">
        <v>962</v>
      </c>
      <c r="D142" s="14" t="s">
        <v>193</v>
      </c>
      <c r="E142" s="15" t="n">
        <v>620000</v>
      </c>
      <c r="F142" s="15" t="n">
        <v>8738.64</v>
      </c>
      <c r="G142" s="15" t="n">
        <v>1092.33</v>
      </c>
      <c r="H142" s="15" t="n">
        <v>1092.33</v>
      </c>
      <c r="I142" s="15" t="n">
        <f aca="false">SUM(K142:T142)</f>
        <v>6554</v>
      </c>
      <c r="J142" s="15" t="n">
        <f aca="false">F142-(G142+H142+I142)</f>
        <v>-0.0200000000004366</v>
      </c>
      <c r="K142" s="15" t="n">
        <v>655.4</v>
      </c>
      <c r="L142" s="15" t="n">
        <v>655.4</v>
      </c>
      <c r="M142" s="15" t="n">
        <v>655.4</v>
      </c>
      <c r="N142" s="15" t="n">
        <v>655.4</v>
      </c>
      <c r="O142" s="15" t="n">
        <v>655.4</v>
      </c>
      <c r="P142" s="15" t="n">
        <v>655.4</v>
      </c>
      <c r="Q142" s="15" t="n">
        <v>655.4</v>
      </c>
      <c r="R142" s="15" t="n">
        <v>655.4</v>
      </c>
      <c r="S142" s="15" t="n">
        <v>655.4</v>
      </c>
      <c r="T142" s="15" t="n">
        <v>655.4</v>
      </c>
      <c r="U142" s="15" t="n">
        <v>350</v>
      </c>
      <c r="V142" s="15" t="n">
        <v>0</v>
      </c>
      <c r="W142" s="15" t="n">
        <f aca="false">U142+V142</f>
        <v>350</v>
      </c>
    </row>
    <row r="143" customFormat="false" ht="15" hidden="false" customHeight="false" outlineLevel="0" collapsed="false">
      <c r="A143" s="3" t="s">
        <v>1252</v>
      </c>
      <c r="B143" s="3" t="s">
        <v>1041</v>
      </c>
      <c r="C143" s="3" t="s">
        <v>471</v>
      </c>
      <c r="D143" s="3" t="s">
        <v>115</v>
      </c>
      <c r="E143" s="13" t="n">
        <v>290000</v>
      </c>
      <c r="F143" s="13" t="n">
        <v>4980.37</v>
      </c>
      <c r="G143" s="13" t="n">
        <v>622.55</v>
      </c>
      <c r="H143" s="13" t="n">
        <v>622.55</v>
      </c>
      <c r="I143" s="13" t="n">
        <f aca="false">SUM(K143:T143)</f>
        <v>3735.3</v>
      </c>
      <c r="J143" s="13" t="n">
        <f aca="false">F143-(G143+H143+I143)</f>
        <v>-0.0299999999997453</v>
      </c>
      <c r="K143" s="13" t="n">
        <v>373.53</v>
      </c>
      <c r="L143" s="13" t="n">
        <v>373.53</v>
      </c>
      <c r="M143" s="13" t="n">
        <v>373.53</v>
      </c>
      <c r="N143" s="13" t="n">
        <v>373.53</v>
      </c>
      <c r="O143" s="13" t="n">
        <v>373.53</v>
      </c>
      <c r="P143" s="13" t="n">
        <v>373.53</v>
      </c>
      <c r="Q143" s="13" t="n">
        <v>373.53</v>
      </c>
      <c r="R143" s="13" t="n">
        <v>373.53</v>
      </c>
      <c r="S143" s="13" t="n">
        <v>373.53</v>
      </c>
      <c r="T143" s="13" t="n">
        <v>373.53</v>
      </c>
      <c r="U143" s="13" t="n">
        <v>350</v>
      </c>
      <c r="V143" s="13" t="n">
        <v>0</v>
      </c>
      <c r="W143" s="13" t="n">
        <f aca="false">U143+V143</f>
        <v>350</v>
      </c>
    </row>
    <row r="144" customFormat="false" ht="15" hidden="false" customHeight="false" outlineLevel="0" collapsed="false">
      <c r="A144" s="14" t="s">
        <v>1253</v>
      </c>
      <c r="B144" s="14" t="s">
        <v>1143</v>
      </c>
      <c r="C144" s="14" t="s">
        <v>880</v>
      </c>
      <c r="D144" s="14" t="s">
        <v>69</v>
      </c>
      <c r="E144" s="15" t="n">
        <v>850000</v>
      </c>
      <c r="F144" s="15" t="n">
        <v>13587.6</v>
      </c>
      <c r="G144" s="15" t="n">
        <v>1698.45</v>
      </c>
      <c r="H144" s="15" t="n">
        <v>1698.45</v>
      </c>
      <c r="I144" s="15" t="n">
        <f aca="false">SUM(K144:T144)</f>
        <v>10190.7</v>
      </c>
      <c r="J144" s="15" t="n">
        <f aca="false">F144-(G144+H144+I144)</f>
        <v>0</v>
      </c>
      <c r="K144" s="15" t="n">
        <v>1019.07</v>
      </c>
      <c r="L144" s="15" t="n">
        <v>1019.07</v>
      </c>
      <c r="M144" s="15" t="n">
        <v>1019.07</v>
      </c>
      <c r="N144" s="15" t="n">
        <v>1019.07</v>
      </c>
      <c r="O144" s="15" t="n">
        <v>1019.07</v>
      </c>
      <c r="P144" s="15" t="n">
        <v>1019.07</v>
      </c>
      <c r="Q144" s="15" t="n">
        <v>1019.07</v>
      </c>
      <c r="R144" s="15" t="n">
        <v>1019.07</v>
      </c>
      <c r="S144" s="15" t="n">
        <v>1019.07</v>
      </c>
      <c r="T144" s="15" t="n">
        <v>1019.07</v>
      </c>
      <c r="U144" s="15" t="n">
        <v>350</v>
      </c>
      <c r="V144" s="15" t="n">
        <v>0</v>
      </c>
      <c r="W144" s="15" t="n">
        <f aca="false">U144+V144</f>
        <v>350</v>
      </c>
    </row>
    <row r="145" customFormat="false" ht="15" hidden="false" customHeight="false" outlineLevel="0" collapsed="false">
      <c r="A145" s="3" t="s">
        <v>1254</v>
      </c>
      <c r="B145" s="3" t="s">
        <v>1039</v>
      </c>
      <c r="C145" s="3" t="s">
        <v>1255</v>
      </c>
      <c r="D145" s="3" t="s">
        <v>112</v>
      </c>
      <c r="E145" s="13" t="n">
        <v>540000</v>
      </c>
      <c r="F145" s="13" t="n">
        <v>5784.41</v>
      </c>
      <c r="G145" s="13" t="n">
        <v>723.05</v>
      </c>
      <c r="H145" s="13" t="n">
        <v>723.05</v>
      </c>
      <c r="I145" s="13" t="n">
        <f aca="false">SUM(K145:T145)</f>
        <v>4338.3</v>
      </c>
      <c r="J145" s="13" t="n">
        <f aca="false">F145-(G145+H145+I145)</f>
        <v>0.0100000000002183</v>
      </c>
      <c r="K145" s="13" t="n">
        <v>433.83</v>
      </c>
      <c r="L145" s="13" t="n">
        <v>433.83</v>
      </c>
      <c r="M145" s="13" t="n">
        <v>433.83</v>
      </c>
      <c r="N145" s="13" t="n">
        <v>433.83</v>
      </c>
      <c r="O145" s="13" t="n">
        <v>433.83</v>
      </c>
      <c r="P145" s="13" t="n">
        <v>433.83</v>
      </c>
      <c r="Q145" s="13" t="n">
        <v>433.83</v>
      </c>
      <c r="R145" s="13" t="n">
        <v>433.83</v>
      </c>
      <c r="S145" s="13" t="n">
        <v>433.83</v>
      </c>
      <c r="T145" s="13" t="n">
        <v>433.83</v>
      </c>
      <c r="U145" s="13" t="n">
        <v>350</v>
      </c>
      <c r="V145" s="13" t="n">
        <v>0</v>
      </c>
      <c r="W145" s="13" t="n">
        <f aca="false">U145+V145</f>
        <v>350</v>
      </c>
    </row>
    <row r="146" customFormat="false" ht="15" hidden="false" customHeight="false" outlineLevel="0" collapsed="false">
      <c r="A146" s="14" t="s">
        <v>1256</v>
      </c>
      <c r="B146" s="14" t="s">
        <v>1062</v>
      </c>
      <c r="C146" s="14" t="s">
        <v>506</v>
      </c>
      <c r="D146" s="14" t="s">
        <v>147</v>
      </c>
      <c r="E146" s="15" t="n">
        <v>1670000</v>
      </c>
      <c r="F146" s="15" t="n">
        <v>10539.2</v>
      </c>
      <c r="G146" s="15" t="n">
        <v>1317.4</v>
      </c>
      <c r="H146" s="15" t="n">
        <v>1317.4</v>
      </c>
      <c r="I146" s="15" t="n">
        <f aca="false">SUM(K146:T146)</f>
        <v>7904.4</v>
      </c>
      <c r="J146" s="15" t="n">
        <f aca="false">F146-(G146+H146+I146)</f>
        <v>0</v>
      </c>
      <c r="K146" s="15" t="n">
        <v>790.44</v>
      </c>
      <c r="L146" s="15" t="n">
        <v>790.44</v>
      </c>
      <c r="M146" s="15" t="n">
        <v>790.44</v>
      </c>
      <c r="N146" s="15" t="n">
        <v>790.44</v>
      </c>
      <c r="O146" s="15" t="n">
        <v>790.44</v>
      </c>
      <c r="P146" s="15" t="n">
        <v>790.44</v>
      </c>
      <c r="Q146" s="15" t="n">
        <v>790.44</v>
      </c>
      <c r="R146" s="15" t="n">
        <v>790.44</v>
      </c>
      <c r="S146" s="15" t="n">
        <v>790.44</v>
      </c>
      <c r="T146" s="15" t="n">
        <v>790.44</v>
      </c>
      <c r="U146" s="15" t="n">
        <v>350</v>
      </c>
      <c r="V146" s="15" t="n">
        <v>250</v>
      </c>
      <c r="W146" s="15" t="n">
        <f aca="false">U146+V146</f>
        <v>600</v>
      </c>
    </row>
    <row r="147" customFormat="false" ht="15" hidden="false" customHeight="false" outlineLevel="0" collapsed="false">
      <c r="A147" s="3" t="s">
        <v>1257</v>
      </c>
      <c r="B147" s="3" t="s">
        <v>1031</v>
      </c>
      <c r="C147" s="3" t="s">
        <v>1258</v>
      </c>
      <c r="D147" s="3" t="s">
        <v>352</v>
      </c>
      <c r="E147" s="13" t="n">
        <v>490000</v>
      </c>
      <c r="F147" s="13" t="n">
        <v>7203.85</v>
      </c>
      <c r="G147" s="13" t="n">
        <v>900.48</v>
      </c>
      <c r="H147" s="13" t="n">
        <v>900.48</v>
      </c>
      <c r="I147" s="13" t="n">
        <f aca="false">SUM(K147:T147)</f>
        <v>5402.9</v>
      </c>
      <c r="J147" s="13" t="n">
        <f aca="false">F147-(G147+H147+I147)</f>
        <v>-0.00999999999930878</v>
      </c>
      <c r="K147" s="13" t="n">
        <v>540.29</v>
      </c>
      <c r="L147" s="13" t="n">
        <v>540.29</v>
      </c>
      <c r="M147" s="13" t="n">
        <v>540.29</v>
      </c>
      <c r="N147" s="13" t="n">
        <v>540.29</v>
      </c>
      <c r="O147" s="13" t="n">
        <v>540.29</v>
      </c>
      <c r="P147" s="13" t="n">
        <v>540.29</v>
      </c>
      <c r="Q147" s="13" t="n">
        <v>540.29</v>
      </c>
      <c r="R147" s="13" t="n">
        <v>540.29</v>
      </c>
      <c r="S147" s="13" t="n">
        <v>540.29</v>
      </c>
      <c r="T147" s="13" t="n">
        <v>540.29</v>
      </c>
      <c r="U147" s="13" t="n">
        <v>350</v>
      </c>
      <c r="V147" s="13" t="n">
        <v>0</v>
      </c>
      <c r="W147" s="13" t="n">
        <f aca="false">U147+V147</f>
        <v>350</v>
      </c>
    </row>
    <row r="148" customFormat="false" ht="15" hidden="false" customHeight="false" outlineLevel="0" collapsed="false">
      <c r="A148" s="14" t="s">
        <v>1259</v>
      </c>
      <c r="B148" s="14" t="s">
        <v>1053</v>
      </c>
      <c r="C148" s="14" t="s">
        <v>491</v>
      </c>
      <c r="D148" s="14" t="s">
        <v>85</v>
      </c>
      <c r="E148" s="15" t="n">
        <v>795000</v>
      </c>
      <c r="F148" s="15" t="n">
        <v>12460.17</v>
      </c>
      <c r="G148" s="15" t="n">
        <v>1557.52</v>
      </c>
      <c r="H148" s="15" t="n">
        <v>1557.52</v>
      </c>
      <c r="I148" s="15" t="n">
        <f aca="false">SUM(K148:T148)</f>
        <v>9345.1</v>
      </c>
      <c r="J148" s="15" t="n">
        <f aca="false">F148-(G148+H148+I148)</f>
        <v>0.0300000000006548</v>
      </c>
      <c r="K148" s="15" t="n">
        <v>934.51</v>
      </c>
      <c r="L148" s="15" t="n">
        <v>934.51</v>
      </c>
      <c r="M148" s="15" t="n">
        <v>934.51</v>
      </c>
      <c r="N148" s="15" t="n">
        <v>934.51</v>
      </c>
      <c r="O148" s="15" t="n">
        <v>934.51</v>
      </c>
      <c r="P148" s="15" t="n">
        <v>934.51</v>
      </c>
      <c r="Q148" s="15" t="n">
        <v>934.51</v>
      </c>
      <c r="R148" s="15" t="n">
        <v>934.51</v>
      </c>
      <c r="S148" s="15" t="n">
        <v>934.51</v>
      </c>
      <c r="T148" s="15" t="n">
        <v>934.51</v>
      </c>
      <c r="U148" s="15" t="n">
        <v>350</v>
      </c>
      <c r="V148" s="15" t="n">
        <v>0</v>
      </c>
      <c r="W148" s="15" t="n">
        <f aca="false">U148+V148</f>
        <v>350</v>
      </c>
    </row>
    <row r="149" customFormat="false" ht="15" hidden="false" customHeight="false" outlineLevel="0" collapsed="false">
      <c r="A149" s="3" t="s">
        <v>1260</v>
      </c>
      <c r="B149" s="3" t="s">
        <v>1056</v>
      </c>
      <c r="C149" s="3" t="s">
        <v>585</v>
      </c>
      <c r="D149" s="3" t="s">
        <v>121</v>
      </c>
      <c r="E149" s="13" t="n">
        <v>240000</v>
      </c>
      <c r="F149" s="13" t="n">
        <v>2895.17</v>
      </c>
      <c r="G149" s="13" t="n">
        <v>361.9</v>
      </c>
      <c r="H149" s="13" t="n">
        <v>361.9</v>
      </c>
      <c r="I149" s="13" t="n">
        <f aca="false">SUM(K149:T149)</f>
        <v>2171.4</v>
      </c>
      <c r="J149" s="13" t="n">
        <f aca="false">F149-(G149+H149+I149)</f>
        <v>-0.0299999999997453</v>
      </c>
      <c r="K149" s="13" t="n">
        <v>217.14</v>
      </c>
      <c r="L149" s="13" t="n">
        <v>217.14</v>
      </c>
      <c r="M149" s="13" t="n">
        <v>217.14</v>
      </c>
      <c r="N149" s="13" t="n">
        <v>217.14</v>
      </c>
      <c r="O149" s="13" t="n">
        <v>217.14</v>
      </c>
      <c r="P149" s="13" t="n">
        <v>217.14</v>
      </c>
      <c r="Q149" s="13" t="n">
        <v>217.14</v>
      </c>
      <c r="R149" s="13" t="n">
        <v>217.14</v>
      </c>
      <c r="S149" s="13" t="n">
        <v>217.14</v>
      </c>
      <c r="T149" s="13" t="n">
        <v>217.14</v>
      </c>
      <c r="U149" s="13" t="n">
        <v>350</v>
      </c>
      <c r="V149" s="13" t="n">
        <v>0</v>
      </c>
      <c r="W149" s="13" t="n">
        <f aca="false">U149+V149</f>
        <v>350</v>
      </c>
    </row>
    <row r="150" customFormat="false" ht="15" hidden="false" customHeight="false" outlineLevel="0" collapsed="false">
      <c r="A150" s="14" t="s">
        <v>1261</v>
      </c>
      <c r="B150" s="14" t="s">
        <v>1129</v>
      </c>
      <c r="C150" s="14" t="s">
        <v>335</v>
      </c>
      <c r="D150" s="14" t="s">
        <v>125</v>
      </c>
      <c r="E150" s="15" t="n">
        <v>545000</v>
      </c>
      <c r="F150" s="15" t="n">
        <v>5899.42</v>
      </c>
      <c r="G150" s="15" t="n">
        <v>737.43</v>
      </c>
      <c r="H150" s="15" t="n">
        <v>737.43</v>
      </c>
      <c r="I150" s="15" t="n">
        <f aca="false">SUM(K150:T150)</f>
        <v>4424.6</v>
      </c>
      <c r="J150" s="15" t="n">
        <f aca="false">F150-(G150+H150+I150)</f>
        <v>-0.0399999999990541</v>
      </c>
      <c r="K150" s="15" t="n">
        <v>442.46</v>
      </c>
      <c r="L150" s="15" t="n">
        <v>442.46</v>
      </c>
      <c r="M150" s="15" t="n">
        <v>442.46</v>
      </c>
      <c r="N150" s="15" t="n">
        <v>442.46</v>
      </c>
      <c r="O150" s="15" t="n">
        <v>442.46</v>
      </c>
      <c r="P150" s="15" t="n">
        <v>442.46</v>
      </c>
      <c r="Q150" s="15" t="n">
        <v>442.46</v>
      </c>
      <c r="R150" s="15" t="n">
        <v>442.46</v>
      </c>
      <c r="S150" s="15" t="n">
        <v>442.46</v>
      </c>
      <c r="T150" s="15" t="n">
        <v>442.46</v>
      </c>
      <c r="U150" s="15" t="n">
        <v>350</v>
      </c>
      <c r="V150" s="15" t="n">
        <v>0</v>
      </c>
      <c r="W150" s="15" t="n">
        <f aca="false">U150+V150</f>
        <v>350</v>
      </c>
    </row>
    <row r="151" customFormat="false" ht="15" hidden="false" customHeight="false" outlineLevel="0" collapsed="false">
      <c r="A151" s="3" t="s">
        <v>1262</v>
      </c>
      <c r="B151" s="3" t="s">
        <v>1115</v>
      </c>
      <c r="C151" s="3" t="s">
        <v>229</v>
      </c>
      <c r="D151" s="3" t="s">
        <v>279</v>
      </c>
      <c r="E151" s="13" t="n">
        <v>1120000</v>
      </c>
      <c r="F151" s="13" t="n">
        <v>6011.28</v>
      </c>
      <c r="G151" s="13" t="n">
        <v>751.41</v>
      </c>
      <c r="H151" s="13" t="n">
        <v>751.41</v>
      </c>
      <c r="I151" s="13" t="n">
        <f aca="false">SUM(K151:T151)</f>
        <v>4508.5</v>
      </c>
      <c r="J151" s="13" t="n">
        <f aca="false">F151-(G151+H151+I151)</f>
        <v>-0.0399999999999636</v>
      </c>
      <c r="K151" s="13" t="n">
        <v>450.85</v>
      </c>
      <c r="L151" s="13" t="n">
        <v>450.85</v>
      </c>
      <c r="M151" s="13" t="n">
        <v>450.85</v>
      </c>
      <c r="N151" s="13" t="n">
        <v>450.85</v>
      </c>
      <c r="O151" s="13" t="n">
        <v>450.85</v>
      </c>
      <c r="P151" s="13" t="n">
        <v>450.85</v>
      </c>
      <c r="Q151" s="13" t="n">
        <v>450.85</v>
      </c>
      <c r="R151" s="13" t="n">
        <v>450.85</v>
      </c>
      <c r="S151" s="13" t="n">
        <v>450.85</v>
      </c>
      <c r="T151" s="13" t="n">
        <v>450.85</v>
      </c>
      <c r="U151" s="13" t="n">
        <v>350</v>
      </c>
      <c r="V151" s="13" t="n">
        <v>250</v>
      </c>
      <c r="W151" s="13" t="n">
        <f aca="false">U151+V151</f>
        <v>600</v>
      </c>
    </row>
    <row r="152" customFormat="false" ht="15" hidden="false" customHeight="false" outlineLevel="0" collapsed="false">
      <c r="A152" s="14" t="s">
        <v>1263</v>
      </c>
      <c r="B152" s="14" t="s">
        <v>1047</v>
      </c>
      <c r="C152" s="14" t="s">
        <v>1264</v>
      </c>
      <c r="D152" s="14" t="s">
        <v>125</v>
      </c>
      <c r="E152" s="15" t="n">
        <v>185000</v>
      </c>
      <c r="F152" s="15" t="n">
        <v>2834.39</v>
      </c>
      <c r="G152" s="15" t="n">
        <v>354.3</v>
      </c>
      <c r="H152" s="15" t="n">
        <v>354.3</v>
      </c>
      <c r="I152" s="15" t="n">
        <f aca="false">SUM(K152:T152)</f>
        <v>2125.8</v>
      </c>
      <c r="J152" s="15" t="n">
        <f aca="false">F152-(G152+H152+I152)</f>
        <v>-0.0100000000002183</v>
      </c>
      <c r="K152" s="15" t="n">
        <v>212.58</v>
      </c>
      <c r="L152" s="15" t="n">
        <v>212.58</v>
      </c>
      <c r="M152" s="15" t="n">
        <v>212.58</v>
      </c>
      <c r="N152" s="15" t="n">
        <v>212.58</v>
      </c>
      <c r="O152" s="15" t="n">
        <v>212.58</v>
      </c>
      <c r="P152" s="15" t="n">
        <v>212.58</v>
      </c>
      <c r="Q152" s="15" t="n">
        <v>212.58</v>
      </c>
      <c r="R152" s="15" t="n">
        <v>212.58</v>
      </c>
      <c r="S152" s="15" t="n">
        <v>212.58</v>
      </c>
      <c r="T152" s="15" t="n">
        <v>212.58</v>
      </c>
      <c r="U152" s="15" t="n">
        <v>350</v>
      </c>
      <c r="V152" s="15" t="n">
        <v>0</v>
      </c>
      <c r="W152" s="15" t="n">
        <f aca="false">U152+V152</f>
        <v>350</v>
      </c>
    </row>
    <row r="153" customFormat="false" ht="15" hidden="false" customHeight="false" outlineLevel="0" collapsed="false">
      <c r="A153" s="3" t="s">
        <v>1265</v>
      </c>
      <c r="B153" s="3" t="s">
        <v>1084</v>
      </c>
      <c r="C153" s="3" t="s">
        <v>649</v>
      </c>
      <c r="D153" s="3" t="s">
        <v>911</v>
      </c>
      <c r="E153" s="13" t="n">
        <v>355000</v>
      </c>
      <c r="F153" s="13" t="n">
        <v>4988.18</v>
      </c>
      <c r="G153" s="13" t="n">
        <v>623.52</v>
      </c>
      <c r="H153" s="13" t="n">
        <v>623.52</v>
      </c>
      <c r="I153" s="13" t="n">
        <f aca="false">SUM(K153:T153)</f>
        <v>3741.1</v>
      </c>
      <c r="J153" s="13" t="n">
        <f aca="false">F153-(G153+H153+I153)</f>
        <v>0.0399999999999636</v>
      </c>
      <c r="K153" s="13" t="n">
        <v>374.11</v>
      </c>
      <c r="L153" s="13" t="n">
        <v>374.11</v>
      </c>
      <c r="M153" s="13" t="n">
        <v>374.11</v>
      </c>
      <c r="N153" s="13" t="n">
        <v>374.11</v>
      </c>
      <c r="O153" s="13" t="n">
        <v>374.11</v>
      </c>
      <c r="P153" s="13" t="n">
        <v>374.11</v>
      </c>
      <c r="Q153" s="13" t="n">
        <v>374.11</v>
      </c>
      <c r="R153" s="13" t="n">
        <v>374.11</v>
      </c>
      <c r="S153" s="13" t="n">
        <v>374.11</v>
      </c>
      <c r="T153" s="13" t="n">
        <v>374.11</v>
      </c>
      <c r="U153" s="13" t="n">
        <v>350</v>
      </c>
      <c r="V153" s="13" t="n">
        <v>0</v>
      </c>
      <c r="W153" s="13" t="n">
        <f aca="false">U153+V153</f>
        <v>350</v>
      </c>
    </row>
    <row r="154" customFormat="false" ht="15" hidden="false" customHeight="false" outlineLevel="0" collapsed="false">
      <c r="A154" s="14" t="s">
        <v>1266</v>
      </c>
      <c r="B154" s="14" t="s">
        <v>1062</v>
      </c>
      <c r="C154" s="14" t="s">
        <v>391</v>
      </c>
      <c r="D154" s="14" t="s">
        <v>153</v>
      </c>
      <c r="E154" s="15" t="n">
        <v>340000</v>
      </c>
      <c r="F154" s="15" t="n">
        <v>6856.47</v>
      </c>
      <c r="G154" s="15" t="n">
        <v>857.06</v>
      </c>
      <c r="H154" s="15" t="n">
        <v>857.06</v>
      </c>
      <c r="I154" s="15" t="n">
        <f aca="false">SUM(K154:T154)</f>
        <v>5142.4</v>
      </c>
      <c r="J154" s="15" t="n">
        <f aca="false">F154-(G154+H154+I154)</f>
        <v>-0.0499999999992724</v>
      </c>
      <c r="K154" s="15" t="n">
        <v>514.24</v>
      </c>
      <c r="L154" s="15" t="n">
        <v>514.24</v>
      </c>
      <c r="M154" s="15" t="n">
        <v>514.24</v>
      </c>
      <c r="N154" s="15" t="n">
        <v>514.24</v>
      </c>
      <c r="O154" s="15" t="n">
        <v>514.24</v>
      </c>
      <c r="P154" s="15" t="n">
        <v>514.24</v>
      </c>
      <c r="Q154" s="15" t="n">
        <v>514.24</v>
      </c>
      <c r="R154" s="15" t="n">
        <v>514.24</v>
      </c>
      <c r="S154" s="15" t="n">
        <v>514.24</v>
      </c>
      <c r="T154" s="15" t="n">
        <v>514.24</v>
      </c>
      <c r="U154" s="15" t="n">
        <v>350</v>
      </c>
      <c r="V154" s="15" t="n">
        <v>0</v>
      </c>
      <c r="W154" s="15" t="n">
        <f aca="false">U154+V154</f>
        <v>350</v>
      </c>
    </row>
    <row r="155" customFormat="false" ht="15" hidden="false" customHeight="false" outlineLevel="0" collapsed="false">
      <c r="A155" s="3" t="s">
        <v>1267</v>
      </c>
      <c r="B155" s="3" t="s">
        <v>1051</v>
      </c>
      <c r="C155" s="3" t="s">
        <v>547</v>
      </c>
      <c r="D155" s="3" t="s">
        <v>430</v>
      </c>
      <c r="E155" s="13" t="n">
        <v>800000</v>
      </c>
      <c r="F155" s="13" t="n">
        <v>8930.33</v>
      </c>
      <c r="G155" s="13" t="n">
        <v>1116.29</v>
      </c>
      <c r="H155" s="13" t="n">
        <v>1116.29</v>
      </c>
      <c r="I155" s="13" t="n">
        <f aca="false">SUM(K155:T155)</f>
        <v>6697.7</v>
      </c>
      <c r="J155" s="13" t="n">
        <f aca="false">F155-(G155+H155+I155)</f>
        <v>0.0499999999992724</v>
      </c>
      <c r="K155" s="13" t="n">
        <v>669.77</v>
      </c>
      <c r="L155" s="13" t="n">
        <v>669.77</v>
      </c>
      <c r="M155" s="13" t="n">
        <v>669.77</v>
      </c>
      <c r="N155" s="13" t="n">
        <v>669.77</v>
      </c>
      <c r="O155" s="13" t="n">
        <v>669.77</v>
      </c>
      <c r="P155" s="13" t="n">
        <v>669.77</v>
      </c>
      <c r="Q155" s="13" t="n">
        <v>669.77</v>
      </c>
      <c r="R155" s="13" t="n">
        <v>669.77</v>
      </c>
      <c r="S155" s="13" t="n">
        <v>669.77</v>
      </c>
      <c r="T155" s="13" t="n">
        <v>669.77</v>
      </c>
      <c r="U155" s="13" t="n">
        <v>350</v>
      </c>
      <c r="V155" s="13" t="n">
        <v>0</v>
      </c>
      <c r="W155" s="13" t="n">
        <f aca="false">U155+V155</f>
        <v>350</v>
      </c>
    </row>
    <row r="156" customFormat="false" ht="15" hidden="false" customHeight="false" outlineLevel="0" collapsed="false">
      <c r="A156" s="14" t="s">
        <v>1268</v>
      </c>
      <c r="B156" s="14" t="s">
        <v>1065</v>
      </c>
      <c r="C156" s="14" t="s">
        <v>458</v>
      </c>
      <c r="D156" s="14" t="s">
        <v>448</v>
      </c>
      <c r="E156" s="15" t="n">
        <v>875000</v>
      </c>
      <c r="F156" s="15" t="n">
        <v>10458.17</v>
      </c>
      <c r="G156" s="15" t="n">
        <v>1307.27</v>
      </c>
      <c r="H156" s="15" t="n">
        <v>1307.27</v>
      </c>
      <c r="I156" s="15" t="n">
        <f aca="false">SUM(K156:T156)</f>
        <v>7843.6</v>
      </c>
      <c r="J156" s="15" t="n">
        <f aca="false">F156-(G156+H156+I156)</f>
        <v>0.0300000000006548</v>
      </c>
      <c r="K156" s="15" t="n">
        <v>784.36</v>
      </c>
      <c r="L156" s="15" t="n">
        <v>784.36</v>
      </c>
      <c r="M156" s="15" t="n">
        <v>784.36</v>
      </c>
      <c r="N156" s="15" t="n">
        <v>784.36</v>
      </c>
      <c r="O156" s="15" t="n">
        <v>784.36</v>
      </c>
      <c r="P156" s="15" t="n">
        <v>784.36</v>
      </c>
      <c r="Q156" s="15" t="n">
        <v>784.36</v>
      </c>
      <c r="R156" s="15" t="n">
        <v>784.36</v>
      </c>
      <c r="S156" s="15" t="n">
        <v>784.36</v>
      </c>
      <c r="T156" s="15" t="n">
        <v>784.36</v>
      </c>
      <c r="U156" s="15" t="n">
        <v>350</v>
      </c>
      <c r="V156" s="15" t="n">
        <v>0</v>
      </c>
      <c r="W156" s="15" t="n">
        <f aca="false">U156+V156</f>
        <v>350</v>
      </c>
    </row>
    <row r="157" customFormat="false" ht="15" hidden="false" customHeight="false" outlineLevel="0" collapsed="false">
      <c r="A157" s="3" t="s">
        <v>1269</v>
      </c>
      <c r="B157" s="3" t="s">
        <v>1051</v>
      </c>
      <c r="C157" s="3" t="s">
        <v>526</v>
      </c>
      <c r="D157" s="3" t="s">
        <v>298</v>
      </c>
      <c r="E157" s="13" t="n">
        <v>635000</v>
      </c>
      <c r="F157" s="13" t="n">
        <v>9021.66</v>
      </c>
      <c r="G157" s="13" t="n">
        <v>1127.71</v>
      </c>
      <c r="H157" s="13" t="n">
        <v>1127.71</v>
      </c>
      <c r="I157" s="13" t="n">
        <f aca="false">SUM(K157:T157)</f>
        <v>6766.2</v>
      </c>
      <c r="J157" s="13" t="n">
        <f aca="false">F157-(G157+H157+I157)</f>
        <v>0.0400000000008731</v>
      </c>
      <c r="K157" s="13" t="n">
        <v>676.62</v>
      </c>
      <c r="L157" s="13" t="n">
        <v>676.62</v>
      </c>
      <c r="M157" s="13" t="n">
        <v>676.62</v>
      </c>
      <c r="N157" s="13" t="n">
        <v>676.62</v>
      </c>
      <c r="O157" s="13" t="n">
        <v>676.62</v>
      </c>
      <c r="P157" s="13" t="n">
        <v>676.62</v>
      </c>
      <c r="Q157" s="13" t="n">
        <v>676.62</v>
      </c>
      <c r="R157" s="13" t="n">
        <v>676.62</v>
      </c>
      <c r="S157" s="13" t="n">
        <v>676.62</v>
      </c>
      <c r="T157" s="13" t="n">
        <v>676.62</v>
      </c>
      <c r="U157" s="13" t="n">
        <v>350</v>
      </c>
      <c r="V157" s="13" t="n">
        <v>0</v>
      </c>
      <c r="W157" s="13" t="n">
        <f aca="false">U157+V157</f>
        <v>350</v>
      </c>
    </row>
    <row r="158" customFormat="false" ht="15" hidden="false" customHeight="false" outlineLevel="0" collapsed="false">
      <c r="A158" s="14" t="s">
        <v>1270</v>
      </c>
      <c r="B158" s="14" t="s">
        <v>1045</v>
      </c>
      <c r="C158" s="14" t="s">
        <v>1271</v>
      </c>
      <c r="D158" s="14" t="s">
        <v>89</v>
      </c>
      <c r="E158" s="15" t="n">
        <v>610000</v>
      </c>
      <c r="F158" s="15" t="n">
        <v>6142.72</v>
      </c>
      <c r="G158" s="15" t="n">
        <v>767.84</v>
      </c>
      <c r="H158" s="15" t="n">
        <v>767.84</v>
      </c>
      <c r="I158" s="15" t="n">
        <f aca="false">SUM(K158:T158)</f>
        <v>4607</v>
      </c>
      <c r="J158" s="15" t="n">
        <f aca="false">F158-(G158+H158+I158)</f>
        <v>0.0399999999999636</v>
      </c>
      <c r="K158" s="15" t="n">
        <v>460.7</v>
      </c>
      <c r="L158" s="15" t="n">
        <v>460.7</v>
      </c>
      <c r="M158" s="15" t="n">
        <v>460.7</v>
      </c>
      <c r="N158" s="15" t="n">
        <v>460.7</v>
      </c>
      <c r="O158" s="15" t="n">
        <v>460.7</v>
      </c>
      <c r="P158" s="15" t="n">
        <v>460.7</v>
      </c>
      <c r="Q158" s="15" t="n">
        <v>460.7</v>
      </c>
      <c r="R158" s="15" t="n">
        <v>460.7</v>
      </c>
      <c r="S158" s="15" t="n">
        <v>460.7</v>
      </c>
      <c r="T158" s="15" t="n">
        <v>460.7</v>
      </c>
      <c r="U158" s="15" t="n">
        <v>350</v>
      </c>
      <c r="V158" s="15" t="n">
        <v>0</v>
      </c>
      <c r="W158" s="15" t="n">
        <f aca="false">U158+V158</f>
        <v>350</v>
      </c>
    </row>
    <row r="159" customFormat="false" ht="15" hidden="false" customHeight="false" outlineLevel="0" collapsed="false">
      <c r="A159" s="3" t="s">
        <v>1272</v>
      </c>
      <c r="B159" s="3" t="s">
        <v>1035</v>
      </c>
      <c r="C159" s="3" t="s">
        <v>1273</v>
      </c>
      <c r="D159" s="3" t="s">
        <v>698</v>
      </c>
      <c r="E159" s="13" t="n">
        <v>700000</v>
      </c>
      <c r="F159" s="13" t="n">
        <v>10813.36</v>
      </c>
      <c r="G159" s="13" t="n">
        <v>1351.67</v>
      </c>
      <c r="H159" s="13" t="n">
        <v>1351.67</v>
      </c>
      <c r="I159" s="13" t="n">
        <f aca="false">SUM(K159:T159)</f>
        <v>8110</v>
      </c>
      <c r="J159" s="13" t="n">
        <f aca="false">F159-(G159+H159+I159)</f>
        <v>0.0200000000004366</v>
      </c>
      <c r="K159" s="13" t="n">
        <v>811</v>
      </c>
      <c r="L159" s="13" t="n">
        <v>811</v>
      </c>
      <c r="M159" s="13" t="n">
        <v>811</v>
      </c>
      <c r="N159" s="13" t="n">
        <v>811</v>
      </c>
      <c r="O159" s="13" t="n">
        <v>811</v>
      </c>
      <c r="P159" s="13" t="n">
        <v>811</v>
      </c>
      <c r="Q159" s="13" t="n">
        <v>811</v>
      </c>
      <c r="R159" s="13" t="n">
        <v>811</v>
      </c>
      <c r="S159" s="13" t="n">
        <v>811</v>
      </c>
      <c r="T159" s="13" t="n">
        <v>811</v>
      </c>
      <c r="U159" s="13" t="n">
        <v>350</v>
      </c>
      <c r="V159" s="13" t="n">
        <v>0</v>
      </c>
      <c r="W159" s="13" t="n">
        <f aca="false">U159+V159</f>
        <v>350</v>
      </c>
    </row>
    <row r="160" customFormat="false" ht="15" hidden="false" customHeight="false" outlineLevel="0" collapsed="false">
      <c r="A160" s="14" t="s">
        <v>1274</v>
      </c>
      <c r="B160" s="14" t="s">
        <v>1072</v>
      </c>
      <c r="C160" s="14" t="s">
        <v>1101</v>
      </c>
      <c r="D160" s="14" t="s">
        <v>203</v>
      </c>
      <c r="E160" s="15" t="n">
        <v>1365000</v>
      </c>
      <c r="F160" s="15" t="n">
        <v>21595.14</v>
      </c>
      <c r="G160" s="15" t="n">
        <v>2699.39</v>
      </c>
      <c r="H160" s="15" t="n">
        <v>2699.39</v>
      </c>
      <c r="I160" s="15" t="n">
        <f aca="false">SUM(K160:T160)</f>
        <v>16196.4</v>
      </c>
      <c r="J160" s="15" t="n">
        <f aca="false">F160-(G160+H160+I160)</f>
        <v>-0.0400000000008731</v>
      </c>
      <c r="K160" s="15" t="n">
        <v>1619.64</v>
      </c>
      <c r="L160" s="15" t="n">
        <v>1619.64</v>
      </c>
      <c r="M160" s="15" t="n">
        <v>1619.64</v>
      </c>
      <c r="N160" s="15" t="n">
        <v>1619.64</v>
      </c>
      <c r="O160" s="15" t="n">
        <v>1619.64</v>
      </c>
      <c r="P160" s="15" t="n">
        <v>1619.64</v>
      </c>
      <c r="Q160" s="15" t="n">
        <v>1619.64</v>
      </c>
      <c r="R160" s="15" t="n">
        <v>1619.64</v>
      </c>
      <c r="S160" s="15" t="n">
        <v>1619.64</v>
      </c>
      <c r="T160" s="15" t="n">
        <v>1619.64</v>
      </c>
      <c r="U160" s="15" t="n">
        <v>350</v>
      </c>
      <c r="V160" s="15" t="n">
        <v>250</v>
      </c>
      <c r="W160" s="15" t="n">
        <f aca="false">U160+V160</f>
        <v>600</v>
      </c>
    </row>
    <row r="161" customFormat="false" ht="15" hidden="false" customHeight="false" outlineLevel="0" collapsed="false">
      <c r="A161" s="3" t="s">
        <v>1275</v>
      </c>
      <c r="B161" s="3" t="s">
        <v>1029</v>
      </c>
      <c r="C161" s="3" t="s">
        <v>810</v>
      </c>
      <c r="D161" s="3" t="s">
        <v>138</v>
      </c>
      <c r="E161" s="13" t="n">
        <v>145000</v>
      </c>
      <c r="F161" s="13" t="n">
        <v>2661.23</v>
      </c>
      <c r="G161" s="13" t="n">
        <v>332.65</v>
      </c>
      <c r="H161" s="13" t="n">
        <v>332.65</v>
      </c>
      <c r="I161" s="13" t="n">
        <f aca="false">SUM(K161:T161)</f>
        <v>1995.9</v>
      </c>
      <c r="J161" s="13" t="n">
        <f aca="false">F161-(G161+H161+I161)</f>
        <v>0.0300000000002001</v>
      </c>
      <c r="K161" s="13" t="n">
        <v>199.59</v>
      </c>
      <c r="L161" s="13" t="n">
        <v>199.59</v>
      </c>
      <c r="M161" s="13" t="n">
        <v>199.59</v>
      </c>
      <c r="N161" s="13" t="n">
        <v>199.59</v>
      </c>
      <c r="O161" s="13" t="n">
        <v>199.59</v>
      </c>
      <c r="P161" s="13" t="n">
        <v>199.59</v>
      </c>
      <c r="Q161" s="13" t="n">
        <v>199.59</v>
      </c>
      <c r="R161" s="13" t="n">
        <v>199.59</v>
      </c>
      <c r="S161" s="13" t="n">
        <v>199.59</v>
      </c>
      <c r="T161" s="13" t="n">
        <v>199.59</v>
      </c>
      <c r="U161" s="13" t="n">
        <v>350</v>
      </c>
      <c r="V161" s="13" t="n">
        <v>0</v>
      </c>
      <c r="W161" s="13" t="n">
        <f aca="false">U161+V161</f>
        <v>350</v>
      </c>
    </row>
    <row r="162" customFormat="false" ht="15" hidden="false" customHeight="false" outlineLevel="0" collapsed="false">
      <c r="A162" s="14" t="s">
        <v>1276</v>
      </c>
      <c r="B162" s="14" t="s">
        <v>1037</v>
      </c>
      <c r="C162" s="14" t="s">
        <v>702</v>
      </c>
      <c r="D162" s="14" t="s">
        <v>246</v>
      </c>
      <c r="E162" s="15" t="n">
        <v>1185000</v>
      </c>
      <c r="F162" s="15" t="n">
        <v>9373.72</v>
      </c>
      <c r="G162" s="15" t="n">
        <v>1171.71</v>
      </c>
      <c r="H162" s="15" t="n">
        <v>1171.71</v>
      </c>
      <c r="I162" s="15" t="n">
        <f aca="false">SUM(K162:T162)</f>
        <v>7030.3</v>
      </c>
      <c r="J162" s="15" t="n">
        <f aca="false">F162-(G162+H162+I162)</f>
        <v>0</v>
      </c>
      <c r="K162" s="15" t="n">
        <v>703.03</v>
      </c>
      <c r="L162" s="15" t="n">
        <v>703.03</v>
      </c>
      <c r="M162" s="15" t="n">
        <v>703.03</v>
      </c>
      <c r="N162" s="15" t="n">
        <v>703.03</v>
      </c>
      <c r="O162" s="15" t="n">
        <v>703.03</v>
      </c>
      <c r="P162" s="15" t="n">
        <v>703.03</v>
      </c>
      <c r="Q162" s="15" t="n">
        <v>703.03</v>
      </c>
      <c r="R162" s="15" t="n">
        <v>703.03</v>
      </c>
      <c r="S162" s="15" t="n">
        <v>703.03</v>
      </c>
      <c r="T162" s="15" t="n">
        <v>703.03</v>
      </c>
      <c r="U162" s="15" t="n">
        <v>350</v>
      </c>
      <c r="V162" s="15" t="n">
        <v>250</v>
      </c>
      <c r="W162" s="15" t="n">
        <f aca="false">U162+V162</f>
        <v>600</v>
      </c>
    </row>
    <row r="163" customFormat="false" ht="15" hidden="false" customHeight="false" outlineLevel="0" collapsed="false">
      <c r="A163" s="3" t="s">
        <v>1277</v>
      </c>
      <c r="B163" s="3" t="s">
        <v>1047</v>
      </c>
      <c r="C163" s="3" t="s">
        <v>608</v>
      </c>
      <c r="D163" s="3" t="s">
        <v>99</v>
      </c>
      <c r="E163" s="13" t="n">
        <v>1455000</v>
      </c>
      <c r="F163" s="13" t="n">
        <v>18879.62</v>
      </c>
      <c r="G163" s="13" t="n">
        <v>2359.95</v>
      </c>
      <c r="H163" s="13" t="n">
        <v>2359.95</v>
      </c>
      <c r="I163" s="13" t="n">
        <f aca="false">SUM(K163:T163)</f>
        <v>14159.7</v>
      </c>
      <c r="J163" s="13" t="n">
        <f aca="false">F163-(G163+H163+I163)</f>
        <v>0.0200000000004366</v>
      </c>
      <c r="K163" s="13" t="n">
        <v>1415.97</v>
      </c>
      <c r="L163" s="13" t="n">
        <v>1415.97</v>
      </c>
      <c r="M163" s="13" t="n">
        <v>1415.97</v>
      </c>
      <c r="N163" s="13" t="n">
        <v>1415.97</v>
      </c>
      <c r="O163" s="13" t="n">
        <v>1415.97</v>
      </c>
      <c r="P163" s="13" t="n">
        <v>1415.97</v>
      </c>
      <c r="Q163" s="13" t="n">
        <v>1415.97</v>
      </c>
      <c r="R163" s="13" t="n">
        <v>1415.97</v>
      </c>
      <c r="S163" s="13" t="n">
        <v>1415.97</v>
      </c>
      <c r="T163" s="13" t="n">
        <v>1415.97</v>
      </c>
      <c r="U163" s="13" t="n">
        <v>350</v>
      </c>
      <c r="V163" s="13" t="n">
        <v>250</v>
      </c>
      <c r="W163" s="13" t="n">
        <f aca="false">U163+V163</f>
        <v>600</v>
      </c>
    </row>
    <row r="164" customFormat="false" ht="15" hidden="false" customHeight="false" outlineLevel="0" collapsed="false">
      <c r="A164" s="14" t="s">
        <v>1278</v>
      </c>
      <c r="B164" s="14" t="s">
        <v>1084</v>
      </c>
      <c r="C164" s="14" t="s">
        <v>1279</v>
      </c>
      <c r="D164" s="14" t="s">
        <v>89</v>
      </c>
      <c r="E164" s="15" t="n">
        <v>200000</v>
      </c>
      <c r="F164" s="15" t="n">
        <v>4309.03</v>
      </c>
      <c r="G164" s="15" t="n">
        <v>538.63</v>
      </c>
      <c r="H164" s="15" t="n">
        <v>538.63</v>
      </c>
      <c r="I164" s="15" t="n">
        <f aca="false">SUM(K164:T164)</f>
        <v>3231.8</v>
      </c>
      <c r="J164" s="15" t="n">
        <f aca="false">F164-(G164+H164+I164)</f>
        <v>-0.0299999999997453</v>
      </c>
      <c r="K164" s="15" t="n">
        <v>323.18</v>
      </c>
      <c r="L164" s="15" t="n">
        <v>323.18</v>
      </c>
      <c r="M164" s="15" t="n">
        <v>323.18</v>
      </c>
      <c r="N164" s="15" t="n">
        <v>323.18</v>
      </c>
      <c r="O164" s="15" t="n">
        <v>323.18</v>
      </c>
      <c r="P164" s="15" t="n">
        <v>323.18</v>
      </c>
      <c r="Q164" s="15" t="n">
        <v>323.18</v>
      </c>
      <c r="R164" s="15" t="n">
        <v>323.18</v>
      </c>
      <c r="S164" s="15" t="n">
        <v>323.18</v>
      </c>
      <c r="T164" s="15" t="n">
        <v>323.18</v>
      </c>
      <c r="U164" s="15" t="n">
        <v>350</v>
      </c>
      <c r="V164" s="15" t="n">
        <v>0</v>
      </c>
      <c r="W164" s="15" t="n">
        <f aca="false">U164+V164</f>
        <v>350</v>
      </c>
    </row>
    <row r="165" customFormat="false" ht="15" hidden="false" customHeight="false" outlineLevel="0" collapsed="false">
      <c r="A165" s="3" t="s">
        <v>1280</v>
      </c>
      <c r="B165" s="3" t="s">
        <v>1065</v>
      </c>
      <c r="C165" s="3" t="s">
        <v>1281</v>
      </c>
      <c r="D165" s="3" t="s">
        <v>448</v>
      </c>
      <c r="E165" s="13" t="n">
        <v>585000</v>
      </c>
      <c r="F165" s="13" t="n">
        <v>6992.04</v>
      </c>
      <c r="G165" s="13" t="n">
        <v>874</v>
      </c>
      <c r="H165" s="13" t="n">
        <v>874</v>
      </c>
      <c r="I165" s="13" t="n">
        <f aca="false">SUM(K165:T165)</f>
        <v>5244</v>
      </c>
      <c r="J165" s="13" t="n">
        <f aca="false">F165-(G165+H165+I165)</f>
        <v>0.0400000000008731</v>
      </c>
      <c r="K165" s="13" t="n">
        <v>524.4</v>
      </c>
      <c r="L165" s="13" t="n">
        <v>524.4</v>
      </c>
      <c r="M165" s="13" t="n">
        <v>524.4</v>
      </c>
      <c r="N165" s="13" t="n">
        <v>524.4</v>
      </c>
      <c r="O165" s="13" t="n">
        <v>524.4</v>
      </c>
      <c r="P165" s="13" t="n">
        <v>524.4</v>
      </c>
      <c r="Q165" s="13" t="n">
        <v>524.4</v>
      </c>
      <c r="R165" s="13" t="n">
        <v>524.4</v>
      </c>
      <c r="S165" s="13" t="n">
        <v>524.4</v>
      </c>
      <c r="T165" s="13" t="n">
        <v>524.4</v>
      </c>
      <c r="U165" s="13" t="n">
        <v>350</v>
      </c>
      <c r="V165" s="13" t="n">
        <v>0</v>
      </c>
      <c r="W165" s="13" t="n">
        <f aca="false">U165+V165</f>
        <v>350</v>
      </c>
    </row>
    <row r="166" customFormat="false" ht="15" hidden="false" customHeight="false" outlineLevel="0" collapsed="false">
      <c r="A166" s="14" t="s">
        <v>1282</v>
      </c>
      <c r="B166" s="14" t="s">
        <v>1039</v>
      </c>
      <c r="C166" s="14" t="s">
        <v>152</v>
      </c>
      <c r="D166" s="14" t="s">
        <v>189</v>
      </c>
      <c r="E166" s="15" t="n">
        <v>700000</v>
      </c>
      <c r="F166" s="15" t="n">
        <v>8682.26</v>
      </c>
      <c r="G166" s="15" t="n">
        <v>1085.28</v>
      </c>
      <c r="H166" s="15" t="n">
        <v>1085.28</v>
      </c>
      <c r="I166" s="15" t="n">
        <f aca="false">SUM(K166:T166)</f>
        <v>6511.7</v>
      </c>
      <c r="J166" s="15" t="n">
        <f aca="false">F166-(G166+H166+I166)</f>
        <v>0</v>
      </c>
      <c r="K166" s="15" t="n">
        <v>651.17</v>
      </c>
      <c r="L166" s="15" t="n">
        <v>651.17</v>
      </c>
      <c r="M166" s="15" t="n">
        <v>651.17</v>
      </c>
      <c r="N166" s="15" t="n">
        <v>651.17</v>
      </c>
      <c r="O166" s="15" t="n">
        <v>651.17</v>
      </c>
      <c r="P166" s="15" t="n">
        <v>651.17</v>
      </c>
      <c r="Q166" s="15" t="n">
        <v>651.17</v>
      </c>
      <c r="R166" s="15" t="n">
        <v>651.17</v>
      </c>
      <c r="S166" s="15" t="n">
        <v>651.17</v>
      </c>
      <c r="T166" s="15" t="n">
        <v>651.17</v>
      </c>
      <c r="U166" s="15" t="n">
        <v>350</v>
      </c>
      <c r="V166" s="15" t="n">
        <v>0</v>
      </c>
      <c r="W166" s="15" t="n">
        <f aca="false">U166+V166</f>
        <v>350</v>
      </c>
    </row>
    <row r="167" customFormat="false" ht="15" hidden="false" customHeight="false" outlineLevel="0" collapsed="false">
      <c r="A167" s="3" t="s">
        <v>1283</v>
      </c>
      <c r="B167" s="3" t="s">
        <v>1143</v>
      </c>
      <c r="C167" s="3" t="s">
        <v>1120</v>
      </c>
      <c r="D167" s="3" t="s">
        <v>138</v>
      </c>
      <c r="E167" s="13" t="n">
        <v>760000</v>
      </c>
      <c r="F167" s="13" t="n">
        <v>6519.41</v>
      </c>
      <c r="G167" s="13" t="n">
        <v>814.93</v>
      </c>
      <c r="H167" s="13" t="n">
        <v>814.93</v>
      </c>
      <c r="I167" s="13" t="n">
        <f aca="false">SUM(K167:T167)</f>
        <v>4889.6</v>
      </c>
      <c r="J167" s="13" t="n">
        <f aca="false">F167-(G167+H167+I167)</f>
        <v>-0.0499999999992724</v>
      </c>
      <c r="K167" s="13" t="n">
        <v>488.96</v>
      </c>
      <c r="L167" s="13" t="n">
        <v>488.96</v>
      </c>
      <c r="M167" s="13" t="n">
        <v>488.96</v>
      </c>
      <c r="N167" s="13" t="n">
        <v>488.96</v>
      </c>
      <c r="O167" s="13" t="n">
        <v>488.96</v>
      </c>
      <c r="P167" s="13" t="n">
        <v>488.96</v>
      </c>
      <c r="Q167" s="13" t="n">
        <v>488.96</v>
      </c>
      <c r="R167" s="13" t="n">
        <v>488.96</v>
      </c>
      <c r="S167" s="13" t="n">
        <v>488.96</v>
      </c>
      <c r="T167" s="13" t="n">
        <v>488.96</v>
      </c>
      <c r="U167" s="13" t="n">
        <v>350</v>
      </c>
      <c r="V167" s="13" t="n">
        <v>0</v>
      </c>
      <c r="W167" s="13" t="n">
        <f aca="false">U167+V167</f>
        <v>350</v>
      </c>
    </row>
    <row r="168" customFormat="false" ht="15" hidden="false" customHeight="false" outlineLevel="0" collapsed="false">
      <c r="A168" s="14" t="s">
        <v>1284</v>
      </c>
      <c r="B168" s="14" t="s">
        <v>1037</v>
      </c>
      <c r="C168" s="14" t="s">
        <v>1285</v>
      </c>
      <c r="D168" s="14" t="s">
        <v>147</v>
      </c>
      <c r="E168" s="15" t="n">
        <v>505000</v>
      </c>
      <c r="F168" s="15" t="n">
        <v>6092.8</v>
      </c>
      <c r="G168" s="15" t="n">
        <v>761.6</v>
      </c>
      <c r="H168" s="15" t="n">
        <v>761.6</v>
      </c>
      <c r="I168" s="15" t="n">
        <f aca="false">SUM(K168:T168)</f>
        <v>4569.6</v>
      </c>
      <c r="J168" s="15" t="n">
        <f aca="false">F168-(G168+H168+I168)</f>
        <v>0</v>
      </c>
      <c r="K168" s="15" t="n">
        <v>456.96</v>
      </c>
      <c r="L168" s="15" t="n">
        <v>456.96</v>
      </c>
      <c r="M168" s="15" t="n">
        <v>456.96</v>
      </c>
      <c r="N168" s="15" t="n">
        <v>456.96</v>
      </c>
      <c r="O168" s="15" t="n">
        <v>456.96</v>
      </c>
      <c r="P168" s="15" t="n">
        <v>456.96</v>
      </c>
      <c r="Q168" s="15" t="n">
        <v>456.96</v>
      </c>
      <c r="R168" s="15" t="n">
        <v>456.96</v>
      </c>
      <c r="S168" s="15" t="n">
        <v>456.96</v>
      </c>
      <c r="T168" s="15" t="n">
        <v>456.96</v>
      </c>
      <c r="U168" s="15" t="n">
        <v>350</v>
      </c>
      <c r="V168" s="15" t="n">
        <v>0</v>
      </c>
      <c r="W168" s="15" t="n">
        <f aca="false">U168+V168</f>
        <v>350</v>
      </c>
    </row>
    <row r="169" customFormat="false" ht="15" hidden="false" customHeight="false" outlineLevel="0" collapsed="false">
      <c r="A169" s="3" t="s">
        <v>1286</v>
      </c>
      <c r="B169" s="3" t="s">
        <v>1043</v>
      </c>
      <c r="C169" s="3" t="s">
        <v>679</v>
      </c>
      <c r="D169" s="3" t="s">
        <v>246</v>
      </c>
      <c r="E169" s="13" t="n">
        <v>505000</v>
      </c>
      <c r="F169" s="13" t="n">
        <v>6833.05</v>
      </c>
      <c r="G169" s="13" t="n">
        <v>854.13</v>
      </c>
      <c r="H169" s="13" t="n">
        <v>854.13</v>
      </c>
      <c r="I169" s="13" t="n">
        <f aca="false">SUM(K169:T169)</f>
        <v>5124.8</v>
      </c>
      <c r="J169" s="13" t="n">
        <f aca="false">F169-(G169+H169+I169)</f>
        <v>-0.00999999999930878</v>
      </c>
      <c r="K169" s="13" t="n">
        <v>512.48</v>
      </c>
      <c r="L169" s="13" t="n">
        <v>512.48</v>
      </c>
      <c r="M169" s="13" t="n">
        <v>512.48</v>
      </c>
      <c r="N169" s="13" t="n">
        <v>512.48</v>
      </c>
      <c r="O169" s="13" t="n">
        <v>512.48</v>
      </c>
      <c r="P169" s="13" t="n">
        <v>512.48</v>
      </c>
      <c r="Q169" s="13" t="n">
        <v>512.48</v>
      </c>
      <c r="R169" s="13" t="n">
        <v>512.48</v>
      </c>
      <c r="S169" s="13" t="n">
        <v>512.48</v>
      </c>
      <c r="T169" s="13" t="n">
        <v>512.48</v>
      </c>
      <c r="U169" s="13" t="n">
        <v>350</v>
      </c>
      <c r="V169" s="13" t="n">
        <v>0</v>
      </c>
      <c r="W169" s="13" t="n">
        <f aca="false">U169+V169</f>
        <v>350</v>
      </c>
    </row>
    <row r="170" customFormat="false" ht="15" hidden="false" customHeight="false" outlineLevel="0" collapsed="false">
      <c r="A170" s="14" t="s">
        <v>1287</v>
      </c>
      <c r="B170" s="14" t="s">
        <v>1118</v>
      </c>
      <c r="C170" s="14" t="s">
        <v>219</v>
      </c>
      <c r="D170" s="14" t="s">
        <v>157</v>
      </c>
      <c r="E170" s="15" t="n">
        <v>690000</v>
      </c>
      <c r="F170" s="15" t="n">
        <v>11047.9</v>
      </c>
      <c r="G170" s="15" t="n">
        <v>1380.99</v>
      </c>
      <c r="H170" s="15" t="n">
        <v>1380.99</v>
      </c>
      <c r="I170" s="15" t="n">
        <f aca="false">SUM(K170:T170)</f>
        <v>8285.9</v>
      </c>
      <c r="J170" s="15" t="n">
        <f aca="false">F170-(G170+H170+I170)</f>
        <v>0.0200000000004366</v>
      </c>
      <c r="K170" s="15" t="n">
        <v>828.59</v>
      </c>
      <c r="L170" s="15" t="n">
        <v>828.59</v>
      </c>
      <c r="M170" s="15" t="n">
        <v>828.59</v>
      </c>
      <c r="N170" s="15" t="n">
        <v>828.59</v>
      </c>
      <c r="O170" s="15" t="n">
        <v>828.59</v>
      </c>
      <c r="P170" s="15" t="n">
        <v>828.59</v>
      </c>
      <c r="Q170" s="15" t="n">
        <v>828.59</v>
      </c>
      <c r="R170" s="15" t="n">
        <v>828.59</v>
      </c>
      <c r="S170" s="15" t="n">
        <v>828.59</v>
      </c>
      <c r="T170" s="15" t="n">
        <v>828.59</v>
      </c>
      <c r="U170" s="15" t="n">
        <v>350</v>
      </c>
      <c r="V170" s="15" t="n">
        <v>0</v>
      </c>
      <c r="W170" s="15" t="n">
        <f aca="false">U170+V170</f>
        <v>350</v>
      </c>
    </row>
    <row r="171" customFormat="false" ht="15" hidden="false" customHeight="false" outlineLevel="0" collapsed="false">
      <c r="A171" s="3" t="s">
        <v>1288</v>
      </c>
      <c r="B171" s="3" t="s">
        <v>1056</v>
      </c>
      <c r="C171" s="3" t="s">
        <v>1289</v>
      </c>
      <c r="D171" s="3" t="s">
        <v>132</v>
      </c>
      <c r="E171" s="13" t="n">
        <v>315000</v>
      </c>
      <c r="F171" s="13" t="n">
        <v>4098.27</v>
      </c>
      <c r="G171" s="13" t="n">
        <v>512.28</v>
      </c>
      <c r="H171" s="13" t="n">
        <v>512.28</v>
      </c>
      <c r="I171" s="13" t="n">
        <f aca="false">SUM(K171:T171)</f>
        <v>3073.7</v>
      </c>
      <c r="J171" s="13" t="n">
        <f aca="false">F171-(G171+H171+I171)</f>
        <v>0.0100000000002183</v>
      </c>
      <c r="K171" s="13" t="n">
        <v>307.37</v>
      </c>
      <c r="L171" s="13" t="n">
        <v>307.37</v>
      </c>
      <c r="M171" s="13" t="n">
        <v>307.37</v>
      </c>
      <c r="N171" s="13" t="n">
        <v>307.37</v>
      </c>
      <c r="O171" s="13" t="n">
        <v>307.37</v>
      </c>
      <c r="P171" s="13" t="n">
        <v>307.37</v>
      </c>
      <c r="Q171" s="13" t="n">
        <v>307.37</v>
      </c>
      <c r="R171" s="13" t="n">
        <v>307.37</v>
      </c>
      <c r="S171" s="13" t="n">
        <v>307.37</v>
      </c>
      <c r="T171" s="13" t="n">
        <v>307.37</v>
      </c>
      <c r="U171" s="13" t="n">
        <v>350</v>
      </c>
      <c r="V171" s="13" t="n">
        <v>0</v>
      </c>
      <c r="W171" s="13" t="n">
        <f aca="false">U171+V171</f>
        <v>350</v>
      </c>
    </row>
    <row r="172" customFormat="false" ht="15" hidden="false" customHeight="false" outlineLevel="0" collapsed="false">
      <c r="A172" s="14" t="s">
        <v>1290</v>
      </c>
      <c r="B172" s="14" t="s">
        <v>1056</v>
      </c>
      <c r="C172" s="14" t="s">
        <v>327</v>
      </c>
      <c r="D172" s="14" t="s">
        <v>138</v>
      </c>
      <c r="E172" s="15" t="n">
        <v>770000</v>
      </c>
      <c r="F172" s="15" t="n">
        <v>9984.6</v>
      </c>
      <c r="G172" s="15" t="n">
        <v>1248.08</v>
      </c>
      <c r="H172" s="15" t="n">
        <v>1248.08</v>
      </c>
      <c r="I172" s="15" t="n">
        <f aca="false">SUM(K172:T172)</f>
        <v>7488.5</v>
      </c>
      <c r="J172" s="15" t="n">
        <f aca="false">F172-(G172+H172+I172)</f>
        <v>-0.0599999999994907</v>
      </c>
      <c r="K172" s="15" t="n">
        <v>748.85</v>
      </c>
      <c r="L172" s="15" t="n">
        <v>748.85</v>
      </c>
      <c r="M172" s="15" t="n">
        <v>748.85</v>
      </c>
      <c r="N172" s="15" t="n">
        <v>748.85</v>
      </c>
      <c r="O172" s="15" t="n">
        <v>748.85</v>
      </c>
      <c r="P172" s="15" t="n">
        <v>748.85</v>
      </c>
      <c r="Q172" s="15" t="n">
        <v>748.85</v>
      </c>
      <c r="R172" s="15" t="n">
        <v>748.85</v>
      </c>
      <c r="S172" s="15" t="n">
        <v>748.85</v>
      </c>
      <c r="T172" s="15" t="n">
        <v>748.85</v>
      </c>
      <c r="U172" s="15" t="n">
        <v>350</v>
      </c>
      <c r="V172" s="15" t="n">
        <v>0</v>
      </c>
      <c r="W172" s="15" t="n">
        <f aca="false">U172+V172</f>
        <v>350</v>
      </c>
    </row>
    <row r="173" customFormat="false" ht="15" hidden="false" customHeight="false" outlineLevel="0" collapsed="false">
      <c r="A173" s="3" t="s">
        <v>1291</v>
      </c>
      <c r="B173" s="3" t="s">
        <v>1039</v>
      </c>
      <c r="C173" s="3" t="s">
        <v>1292</v>
      </c>
      <c r="D173" s="3" t="s">
        <v>382</v>
      </c>
      <c r="E173" s="13" t="n">
        <v>575000</v>
      </c>
      <c r="F173" s="13" t="n">
        <v>7261.52</v>
      </c>
      <c r="G173" s="13" t="n">
        <v>907.69</v>
      </c>
      <c r="H173" s="13" t="n">
        <v>907.69</v>
      </c>
      <c r="I173" s="13" t="n">
        <f aca="false">SUM(K173:T173)</f>
        <v>5446.1</v>
      </c>
      <c r="J173" s="13" t="n">
        <f aca="false">F173-(G173+H173+I173)</f>
        <v>0.0400000000008731</v>
      </c>
      <c r="K173" s="13" t="n">
        <v>544.61</v>
      </c>
      <c r="L173" s="13" t="n">
        <v>544.61</v>
      </c>
      <c r="M173" s="13" t="n">
        <v>544.61</v>
      </c>
      <c r="N173" s="13" t="n">
        <v>544.61</v>
      </c>
      <c r="O173" s="13" t="n">
        <v>544.61</v>
      </c>
      <c r="P173" s="13" t="n">
        <v>544.61</v>
      </c>
      <c r="Q173" s="13" t="n">
        <v>544.61</v>
      </c>
      <c r="R173" s="13" t="n">
        <v>544.61</v>
      </c>
      <c r="S173" s="13" t="n">
        <v>544.61</v>
      </c>
      <c r="T173" s="13" t="n">
        <v>544.61</v>
      </c>
      <c r="U173" s="13" t="n">
        <v>350</v>
      </c>
      <c r="V173" s="13" t="n">
        <v>0</v>
      </c>
      <c r="W173" s="13" t="n">
        <f aca="false">U173+V173</f>
        <v>350</v>
      </c>
    </row>
    <row r="174" customFormat="false" ht="15" hidden="false" customHeight="false" outlineLevel="0" collapsed="false">
      <c r="A174" s="14" t="s">
        <v>1293</v>
      </c>
      <c r="B174" s="14" t="s">
        <v>1084</v>
      </c>
      <c r="C174" s="14" t="s">
        <v>819</v>
      </c>
      <c r="D174" s="14" t="s">
        <v>132</v>
      </c>
      <c r="E174" s="15" t="n">
        <v>780000</v>
      </c>
      <c r="F174" s="15" t="n">
        <v>8795.02</v>
      </c>
      <c r="G174" s="15" t="n">
        <v>1099.38</v>
      </c>
      <c r="H174" s="15" t="n">
        <v>1099.38</v>
      </c>
      <c r="I174" s="15" t="n">
        <f aca="false">SUM(K174:T174)</f>
        <v>6596.3</v>
      </c>
      <c r="J174" s="15" t="n">
        <f aca="false">F174-(G174+H174+I174)</f>
        <v>-0.0400000000008731</v>
      </c>
      <c r="K174" s="15" t="n">
        <v>659.63</v>
      </c>
      <c r="L174" s="15" t="n">
        <v>659.63</v>
      </c>
      <c r="M174" s="15" t="n">
        <v>659.63</v>
      </c>
      <c r="N174" s="15" t="n">
        <v>659.63</v>
      </c>
      <c r="O174" s="15" t="n">
        <v>659.63</v>
      </c>
      <c r="P174" s="15" t="n">
        <v>659.63</v>
      </c>
      <c r="Q174" s="15" t="n">
        <v>659.63</v>
      </c>
      <c r="R174" s="15" t="n">
        <v>659.63</v>
      </c>
      <c r="S174" s="15" t="n">
        <v>659.63</v>
      </c>
      <c r="T174" s="15" t="n">
        <v>659.63</v>
      </c>
      <c r="U174" s="15" t="n">
        <v>350</v>
      </c>
      <c r="V174" s="15" t="n">
        <v>0</v>
      </c>
      <c r="W174" s="15" t="n">
        <f aca="false">U174+V174</f>
        <v>350</v>
      </c>
    </row>
    <row r="175" customFormat="false" ht="15" hidden="false" customHeight="false" outlineLevel="0" collapsed="false">
      <c r="A175" s="3" t="s">
        <v>1294</v>
      </c>
      <c r="B175" s="3" t="s">
        <v>1041</v>
      </c>
      <c r="C175" s="3" t="s">
        <v>784</v>
      </c>
      <c r="D175" s="3" t="s">
        <v>328</v>
      </c>
      <c r="E175" s="13" t="n">
        <v>250000</v>
      </c>
      <c r="F175" s="13" t="n">
        <v>4228.38</v>
      </c>
      <c r="G175" s="13" t="n">
        <v>528.55</v>
      </c>
      <c r="H175" s="13" t="n">
        <v>528.55</v>
      </c>
      <c r="I175" s="13" t="n">
        <f aca="false">SUM(K175:T175)</f>
        <v>3171.3</v>
      </c>
      <c r="J175" s="13" t="n">
        <f aca="false">F175-(G175+H175+I175)</f>
        <v>-0.0199999999995271</v>
      </c>
      <c r="K175" s="13" t="n">
        <v>317.13</v>
      </c>
      <c r="L175" s="13" t="n">
        <v>317.13</v>
      </c>
      <c r="M175" s="13" t="n">
        <v>317.13</v>
      </c>
      <c r="N175" s="13" t="n">
        <v>317.13</v>
      </c>
      <c r="O175" s="13" t="n">
        <v>317.13</v>
      </c>
      <c r="P175" s="13" t="n">
        <v>317.13</v>
      </c>
      <c r="Q175" s="13" t="n">
        <v>317.13</v>
      </c>
      <c r="R175" s="13" t="n">
        <v>317.13</v>
      </c>
      <c r="S175" s="13" t="n">
        <v>317.13</v>
      </c>
      <c r="T175" s="13" t="n">
        <v>317.13</v>
      </c>
      <c r="U175" s="13" t="n">
        <v>350</v>
      </c>
      <c r="V175" s="13" t="n">
        <v>0</v>
      </c>
      <c r="W175" s="13" t="n">
        <f aca="false">U175+V175</f>
        <v>350</v>
      </c>
    </row>
    <row r="176" customFormat="false" ht="15" hidden="false" customHeight="false" outlineLevel="0" collapsed="false">
      <c r="A176" s="14" t="s">
        <v>1295</v>
      </c>
      <c r="B176" s="14" t="s">
        <v>1115</v>
      </c>
      <c r="C176" s="14" t="s">
        <v>243</v>
      </c>
      <c r="D176" s="14" t="s">
        <v>138</v>
      </c>
      <c r="E176" s="15" t="n">
        <v>885000</v>
      </c>
      <c r="F176" s="15" t="n">
        <v>11475.8</v>
      </c>
      <c r="G176" s="15" t="n">
        <v>1434.47</v>
      </c>
      <c r="H176" s="15" t="n">
        <v>1434.47</v>
      </c>
      <c r="I176" s="15" t="n">
        <f aca="false">SUM(K176:T176)</f>
        <v>8606.8</v>
      </c>
      <c r="J176" s="15" t="n">
        <f aca="false">F176-(G176+H176+I176)</f>
        <v>0.0599999999994907</v>
      </c>
      <c r="K176" s="15" t="n">
        <v>860.68</v>
      </c>
      <c r="L176" s="15" t="n">
        <v>860.68</v>
      </c>
      <c r="M176" s="15" t="n">
        <v>860.68</v>
      </c>
      <c r="N176" s="15" t="n">
        <v>860.68</v>
      </c>
      <c r="O176" s="15" t="n">
        <v>860.68</v>
      </c>
      <c r="P176" s="15" t="n">
        <v>860.68</v>
      </c>
      <c r="Q176" s="15" t="n">
        <v>860.68</v>
      </c>
      <c r="R176" s="15" t="n">
        <v>860.68</v>
      </c>
      <c r="S176" s="15" t="n">
        <v>860.68</v>
      </c>
      <c r="T176" s="15" t="n">
        <v>860.68</v>
      </c>
      <c r="U176" s="15" t="n">
        <v>350</v>
      </c>
      <c r="V176" s="15" t="n">
        <v>0</v>
      </c>
      <c r="W176" s="15" t="n">
        <f aca="false">U176+V176</f>
        <v>350</v>
      </c>
    </row>
    <row r="177" customFormat="false" ht="15" hidden="false" customHeight="false" outlineLevel="0" collapsed="false">
      <c r="A177" s="3" t="s">
        <v>1296</v>
      </c>
      <c r="B177" s="3" t="s">
        <v>1053</v>
      </c>
      <c r="C177" s="3" t="s">
        <v>917</v>
      </c>
      <c r="D177" s="3" t="s">
        <v>157</v>
      </c>
      <c r="E177" s="13" t="n">
        <v>130000</v>
      </c>
      <c r="F177" s="13" t="n">
        <v>3362.4</v>
      </c>
      <c r="G177" s="13" t="n">
        <v>420.3</v>
      </c>
      <c r="H177" s="13" t="n">
        <v>420.3</v>
      </c>
      <c r="I177" s="13" t="n">
        <f aca="false">SUM(K177:T177)</f>
        <v>2521.8</v>
      </c>
      <c r="J177" s="13" t="n">
        <f aca="false">F177-(G177+H177+I177)</f>
        <v>0</v>
      </c>
      <c r="K177" s="13" t="n">
        <v>252.18</v>
      </c>
      <c r="L177" s="13" t="n">
        <v>252.18</v>
      </c>
      <c r="M177" s="13" t="n">
        <v>252.18</v>
      </c>
      <c r="N177" s="13" t="n">
        <v>252.18</v>
      </c>
      <c r="O177" s="13" t="n">
        <v>252.18</v>
      </c>
      <c r="P177" s="13" t="n">
        <v>252.18</v>
      </c>
      <c r="Q177" s="13" t="n">
        <v>252.18</v>
      </c>
      <c r="R177" s="13" t="n">
        <v>252.18</v>
      </c>
      <c r="S177" s="13" t="n">
        <v>252.18</v>
      </c>
      <c r="T177" s="13" t="n">
        <v>252.18</v>
      </c>
      <c r="U177" s="13" t="n">
        <v>350</v>
      </c>
      <c r="V177" s="13" t="n">
        <v>0</v>
      </c>
      <c r="W177" s="13" t="n">
        <f aca="false">U177+V177</f>
        <v>350</v>
      </c>
    </row>
    <row r="178" customFormat="false" ht="15" hidden="false" customHeight="false" outlineLevel="0" collapsed="false">
      <c r="A178" s="14" t="s">
        <v>1297</v>
      </c>
      <c r="B178" s="14" t="s">
        <v>1045</v>
      </c>
      <c r="C178" s="14" t="s">
        <v>283</v>
      </c>
      <c r="D178" s="14" t="s">
        <v>132</v>
      </c>
      <c r="E178" s="15" t="n">
        <v>1780000</v>
      </c>
      <c r="F178" s="15" t="n">
        <v>24702.37</v>
      </c>
      <c r="G178" s="15" t="n">
        <v>3087.8</v>
      </c>
      <c r="H178" s="15" t="n">
        <v>3087.8</v>
      </c>
      <c r="I178" s="15" t="n">
        <f aca="false">SUM(K178:T178)</f>
        <v>18526.8</v>
      </c>
      <c r="J178" s="15" t="n">
        <f aca="false">F178-(G178+H178+I178)</f>
        <v>-0.0300000000024738</v>
      </c>
      <c r="K178" s="15" t="n">
        <v>1852.68</v>
      </c>
      <c r="L178" s="15" t="n">
        <v>1852.68</v>
      </c>
      <c r="M178" s="15" t="n">
        <v>1852.68</v>
      </c>
      <c r="N178" s="15" t="n">
        <v>1852.68</v>
      </c>
      <c r="O178" s="15" t="n">
        <v>1852.68</v>
      </c>
      <c r="P178" s="15" t="n">
        <v>1852.68</v>
      </c>
      <c r="Q178" s="15" t="n">
        <v>1852.68</v>
      </c>
      <c r="R178" s="15" t="n">
        <v>1852.68</v>
      </c>
      <c r="S178" s="15" t="n">
        <v>1852.68</v>
      </c>
      <c r="T178" s="15" t="n">
        <v>1852.68</v>
      </c>
      <c r="U178" s="15" t="n">
        <v>350</v>
      </c>
      <c r="V178" s="15" t="n">
        <v>250</v>
      </c>
      <c r="W178" s="15" t="n">
        <f aca="false">U178+V178</f>
        <v>600</v>
      </c>
    </row>
    <row r="179" customFormat="false" ht="15" hidden="false" customHeight="false" outlineLevel="0" collapsed="false">
      <c r="A179" s="3" t="s">
        <v>1298</v>
      </c>
      <c r="B179" s="3" t="s">
        <v>1079</v>
      </c>
      <c r="C179" s="3" t="s">
        <v>1299</v>
      </c>
      <c r="D179" s="3" t="s">
        <v>69</v>
      </c>
      <c r="E179" s="13" t="n">
        <v>475000</v>
      </c>
      <c r="F179" s="13" t="n">
        <v>9191.62</v>
      </c>
      <c r="G179" s="13" t="n">
        <v>1148.95</v>
      </c>
      <c r="H179" s="13" t="n">
        <v>1148.95</v>
      </c>
      <c r="I179" s="13" t="n">
        <f aca="false">SUM(K179:T179)</f>
        <v>6893.7</v>
      </c>
      <c r="J179" s="13" t="n">
        <f aca="false">F179-(G179+H179+I179)</f>
        <v>0.0200000000004366</v>
      </c>
      <c r="K179" s="13" t="n">
        <v>689.37</v>
      </c>
      <c r="L179" s="13" t="n">
        <v>689.37</v>
      </c>
      <c r="M179" s="13" t="n">
        <v>689.37</v>
      </c>
      <c r="N179" s="13" t="n">
        <v>689.37</v>
      </c>
      <c r="O179" s="13" t="n">
        <v>689.37</v>
      </c>
      <c r="P179" s="13" t="n">
        <v>689.37</v>
      </c>
      <c r="Q179" s="13" t="n">
        <v>689.37</v>
      </c>
      <c r="R179" s="13" t="n">
        <v>689.37</v>
      </c>
      <c r="S179" s="13" t="n">
        <v>689.37</v>
      </c>
      <c r="T179" s="13" t="n">
        <v>689.37</v>
      </c>
      <c r="U179" s="13" t="n">
        <v>350</v>
      </c>
      <c r="V179" s="13" t="n">
        <v>0</v>
      </c>
      <c r="W179" s="13" t="n">
        <f aca="false">U179+V179</f>
        <v>350</v>
      </c>
    </row>
    <row r="180" customFormat="false" ht="15" hidden="false" customHeight="false" outlineLevel="0" collapsed="false">
      <c r="A180" s="14" t="s">
        <v>1300</v>
      </c>
      <c r="B180" s="14" t="s">
        <v>1076</v>
      </c>
      <c r="C180" s="14" t="s">
        <v>1204</v>
      </c>
      <c r="D180" s="14" t="s">
        <v>185</v>
      </c>
      <c r="E180" s="15" t="n">
        <v>600000</v>
      </c>
      <c r="F180" s="15" t="n">
        <v>4520.32</v>
      </c>
      <c r="G180" s="15" t="n">
        <v>565.04</v>
      </c>
      <c r="H180" s="15" t="n">
        <v>565.04</v>
      </c>
      <c r="I180" s="15" t="n">
        <f aca="false">SUM(K180:T180)</f>
        <v>3390.2</v>
      </c>
      <c r="J180" s="15" t="n">
        <f aca="false">F180-(G180+H180+I180)</f>
        <v>0.0399999999999636</v>
      </c>
      <c r="K180" s="15" t="n">
        <v>339.02</v>
      </c>
      <c r="L180" s="15" t="n">
        <v>339.02</v>
      </c>
      <c r="M180" s="15" t="n">
        <v>339.02</v>
      </c>
      <c r="N180" s="15" t="n">
        <v>339.02</v>
      </c>
      <c r="O180" s="15" t="n">
        <v>339.02</v>
      </c>
      <c r="P180" s="15" t="n">
        <v>339.02</v>
      </c>
      <c r="Q180" s="15" t="n">
        <v>339.02</v>
      </c>
      <c r="R180" s="15" t="n">
        <v>339.02</v>
      </c>
      <c r="S180" s="15" t="n">
        <v>339.02</v>
      </c>
      <c r="T180" s="15" t="n">
        <v>339.02</v>
      </c>
      <c r="U180" s="15" t="n">
        <v>350</v>
      </c>
      <c r="V180" s="15" t="n">
        <v>0</v>
      </c>
      <c r="W180" s="15" t="n">
        <f aca="false">U180+V180</f>
        <v>350</v>
      </c>
    </row>
    <row r="181" customFormat="false" ht="15" hidden="false" customHeight="false" outlineLevel="0" collapsed="false">
      <c r="A181" s="3" t="s">
        <v>1301</v>
      </c>
      <c r="B181" s="3" t="s">
        <v>1027</v>
      </c>
      <c r="C181" s="3" t="s">
        <v>761</v>
      </c>
      <c r="D181" s="3" t="s">
        <v>180</v>
      </c>
      <c r="E181" s="13" t="n">
        <v>1280000</v>
      </c>
      <c r="F181" s="13" t="n">
        <v>14777.01</v>
      </c>
      <c r="G181" s="13" t="n">
        <v>1847.13</v>
      </c>
      <c r="H181" s="13" t="n">
        <v>1847.13</v>
      </c>
      <c r="I181" s="13" t="n">
        <f aca="false">SUM(K181:T181)</f>
        <v>11082.8</v>
      </c>
      <c r="J181" s="13" t="n">
        <f aca="false">F181-(G181+H181+I181)</f>
        <v>-0.0500000000010914</v>
      </c>
      <c r="K181" s="13" t="n">
        <v>1108.28</v>
      </c>
      <c r="L181" s="13" t="n">
        <v>1108.28</v>
      </c>
      <c r="M181" s="13" t="n">
        <v>1108.28</v>
      </c>
      <c r="N181" s="13" t="n">
        <v>1108.28</v>
      </c>
      <c r="O181" s="13" t="n">
        <v>1108.28</v>
      </c>
      <c r="P181" s="13" t="n">
        <v>1108.28</v>
      </c>
      <c r="Q181" s="13" t="n">
        <v>1108.28</v>
      </c>
      <c r="R181" s="13" t="n">
        <v>1108.28</v>
      </c>
      <c r="S181" s="13" t="n">
        <v>1108.28</v>
      </c>
      <c r="T181" s="13" t="n">
        <v>1108.28</v>
      </c>
      <c r="U181" s="13" t="n">
        <v>350</v>
      </c>
      <c r="V181" s="13" t="n">
        <v>250</v>
      </c>
      <c r="W181" s="13" t="n">
        <f aca="false">U181+V181</f>
        <v>600</v>
      </c>
    </row>
    <row r="182" customFormat="false" ht="15" hidden="false" customHeight="false" outlineLevel="0" collapsed="false">
      <c r="A182" s="14" t="s">
        <v>1302</v>
      </c>
      <c r="B182" s="14" t="s">
        <v>1047</v>
      </c>
      <c r="C182" s="14" t="s">
        <v>1303</v>
      </c>
      <c r="D182" s="14" t="s">
        <v>138</v>
      </c>
      <c r="E182" s="15" t="n">
        <v>320000</v>
      </c>
      <c r="F182" s="15" t="n">
        <v>4787.82</v>
      </c>
      <c r="G182" s="15" t="n">
        <v>598.48</v>
      </c>
      <c r="H182" s="15" t="n">
        <v>598.48</v>
      </c>
      <c r="I182" s="15" t="n">
        <f aca="false">SUM(K182:T182)</f>
        <v>3590.9</v>
      </c>
      <c r="J182" s="15" t="n">
        <f aca="false">F182-(G182+H182+I182)</f>
        <v>-0.0400000000008731</v>
      </c>
      <c r="K182" s="15" t="n">
        <v>359.09</v>
      </c>
      <c r="L182" s="15" t="n">
        <v>359.09</v>
      </c>
      <c r="M182" s="15" t="n">
        <v>359.09</v>
      </c>
      <c r="N182" s="15" t="n">
        <v>359.09</v>
      </c>
      <c r="O182" s="15" t="n">
        <v>359.09</v>
      </c>
      <c r="P182" s="15" t="n">
        <v>359.09</v>
      </c>
      <c r="Q182" s="15" t="n">
        <v>359.09</v>
      </c>
      <c r="R182" s="15" t="n">
        <v>359.09</v>
      </c>
      <c r="S182" s="15" t="n">
        <v>359.09</v>
      </c>
      <c r="T182" s="15" t="n">
        <v>359.09</v>
      </c>
      <c r="U182" s="15" t="n">
        <v>350</v>
      </c>
      <c r="V182" s="15" t="n">
        <v>0</v>
      </c>
      <c r="W182" s="15" t="n">
        <f aca="false">U182+V182</f>
        <v>350</v>
      </c>
    </row>
    <row r="183" customFormat="false" ht="15" hidden="false" customHeight="false" outlineLevel="0" collapsed="false">
      <c r="A183" s="3" t="s">
        <v>1304</v>
      </c>
      <c r="B183" s="3" t="s">
        <v>1143</v>
      </c>
      <c r="C183" s="3" t="s">
        <v>1191</v>
      </c>
      <c r="D183" s="3" t="s">
        <v>85</v>
      </c>
      <c r="E183" s="13" t="n">
        <v>565000</v>
      </c>
      <c r="F183" s="13" t="n">
        <v>8855.34</v>
      </c>
      <c r="G183" s="13" t="n">
        <v>1106.92</v>
      </c>
      <c r="H183" s="13" t="n">
        <v>1106.92</v>
      </c>
      <c r="I183" s="13" t="n">
        <f aca="false">SUM(K183:T183)</f>
        <v>6641.5</v>
      </c>
      <c r="J183" s="13" t="n">
        <f aca="false">F183-(G183+H183+I183)</f>
        <v>0</v>
      </c>
      <c r="K183" s="13" t="n">
        <v>664.15</v>
      </c>
      <c r="L183" s="13" t="n">
        <v>664.15</v>
      </c>
      <c r="M183" s="13" t="n">
        <v>664.15</v>
      </c>
      <c r="N183" s="13" t="n">
        <v>664.15</v>
      </c>
      <c r="O183" s="13" t="n">
        <v>664.15</v>
      </c>
      <c r="P183" s="13" t="n">
        <v>664.15</v>
      </c>
      <c r="Q183" s="13" t="n">
        <v>664.15</v>
      </c>
      <c r="R183" s="13" t="n">
        <v>664.15</v>
      </c>
      <c r="S183" s="13" t="n">
        <v>664.15</v>
      </c>
      <c r="T183" s="13" t="n">
        <v>664.15</v>
      </c>
      <c r="U183" s="13" t="n">
        <v>350</v>
      </c>
      <c r="V183" s="13" t="n">
        <v>0</v>
      </c>
      <c r="W183" s="13" t="n">
        <f aca="false">U183+V183</f>
        <v>350</v>
      </c>
    </row>
    <row r="184" customFormat="false" ht="15" hidden="false" customHeight="false" outlineLevel="0" collapsed="false">
      <c r="A184" s="14" t="s">
        <v>1305</v>
      </c>
      <c r="B184" s="14" t="s">
        <v>1029</v>
      </c>
      <c r="C184" s="14" t="s">
        <v>684</v>
      </c>
      <c r="D184" s="14" t="s">
        <v>166</v>
      </c>
      <c r="E184" s="15" t="n">
        <v>950000</v>
      </c>
      <c r="F184" s="15" t="n">
        <v>14461.03</v>
      </c>
      <c r="G184" s="15" t="n">
        <v>1807.63</v>
      </c>
      <c r="H184" s="15" t="n">
        <v>1807.63</v>
      </c>
      <c r="I184" s="15" t="n">
        <f aca="false">SUM(K184:T184)</f>
        <v>10845.8</v>
      </c>
      <c r="J184" s="15" t="n">
        <f aca="false">F184-(G184+H184+I184)</f>
        <v>-0.0299999999988358</v>
      </c>
      <c r="K184" s="15" t="n">
        <v>1084.58</v>
      </c>
      <c r="L184" s="15" t="n">
        <v>1084.58</v>
      </c>
      <c r="M184" s="15" t="n">
        <v>1084.58</v>
      </c>
      <c r="N184" s="15" t="n">
        <v>1084.58</v>
      </c>
      <c r="O184" s="15" t="n">
        <v>1084.58</v>
      </c>
      <c r="P184" s="15" t="n">
        <v>1084.58</v>
      </c>
      <c r="Q184" s="15" t="n">
        <v>1084.58</v>
      </c>
      <c r="R184" s="15" t="n">
        <v>1084.58</v>
      </c>
      <c r="S184" s="15" t="n">
        <v>1084.58</v>
      </c>
      <c r="T184" s="15" t="n">
        <v>1084.58</v>
      </c>
      <c r="U184" s="15" t="n">
        <v>350</v>
      </c>
      <c r="V184" s="15" t="n">
        <v>0</v>
      </c>
      <c r="W184" s="15" t="n">
        <f aca="false">U184+V184</f>
        <v>350</v>
      </c>
    </row>
    <row r="185" customFormat="false" ht="15" hidden="false" customHeight="false" outlineLevel="0" collapsed="false">
      <c r="A185" s="3" t="s">
        <v>1306</v>
      </c>
      <c r="B185" s="3" t="s">
        <v>1115</v>
      </c>
      <c r="C185" s="3" t="s">
        <v>1184</v>
      </c>
      <c r="D185" s="3" t="s">
        <v>325</v>
      </c>
      <c r="E185" s="13" t="n">
        <v>725000</v>
      </c>
      <c r="F185" s="13" t="n">
        <v>11281.3</v>
      </c>
      <c r="G185" s="13" t="n">
        <v>1410.16</v>
      </c>
      <c r="H185" s="13" t="n">
        <v>1410.16</v>
      </c>
      <c r="I185" s="13" t="n">
        <f aca="false">SUM(K185:T185)</f>
        <v>8461</v>
      </c>
      <c r="J185" s="13" t="n">
        <f aca="false">F185-(G185+H185+I185)</f>
        <v>-0.0200000000004366</v>
      </c>
      <c r="K185" s="13" t="n">
        <v>846.1</v>
      </c>
      <c r="L185" s="13" t="n">
        <v>846.1</v>
      </c>
      <c r="M185" s="13" t="n">
        <v>846.1</v>
      </c>
      <c r="N185" s="13" t="n">
        <v>846.1</v>
      </c>
      <c r="O185" s="13" t="n">
        <v>846.1</v>
      </c>
      <c r="P185" s="13" t="n">
        <v>846.1</v>
      </c>
      <c r="Q185" s="13" t="n">
        <v>846.1</v>
      </c>
      <c r="R185" s="13" t="n">
        <v>846.1</v>
      </c>
      <c r="S185" s="13" t="n">
        <v>846.1</v>
      </c>
      <c r="T185" s="13" t="n">
        <v>846.1</v>
      </c>
      <c r="U185" s="13" t="n">
        <v>350</v>
      </c>
      <c r="V185" s="13" t="n">
        <v>0</v>
      </c>
      <c r="W185" s="13" t="n">
        <f aca="false">U185+V185</f>
        <v>350</v>
      </c>
    </row>
    <row r="186" customFormat="false" ht="15" hidden="false" customHeight="false" outlineLevel="0" collapsed="false">
      <c r="A186" s="14" t="s">
        <v>1307</v>
      </c>
      <c r="B186" s="14" t="s">
        <v>1051</v>
      </c>
      <c r="C186" s="14" t="s">
        <v>1308</v>
      </c>
      <c r="D186" s="14" t="s">
        <v>89</v>
      </c>
      <c r="E186" s="15" t="n">
        <v>495000</v>
      </c>
      <c r="F186" s="15" t="n">
        <v>8694.19</v>
      </c>
      <c r="G186" s="15" t="n">
        <v>1086.77</v>
      </c>
      <c r="H186" s="15" t="n">
        <v>1086.77</v>
      </c>
      <c r="I186" s="15" t="n">
        <f aca="false">SUM(K186:T186)</f>
        <v>6520.6</v>
      </c>
      <c r="J186" s="15" t="n">
        <f aca="false">F186-(G186+H186+I186)</f>
        <v>0.0500000000010914</v>
      </c>
      <c r="K186" s="15" t="n">
        <v>652.06</v>
      </c>
      <c r="L186" s="15" t="n">
        <v>652.06</v>
      </c>
      <c r="M186" s="15" t="n">
        <v>652.06</v>
      </c>
      <c r="N186" s="15" t="n">
        <v>652.06</v>
      </c>
      <c r="O186" s="15" t="n">
        <v>652.06</v>
      </c>
      <c r="P186" s="15" t="n">
        <v>652.06</v>
      </c>
      <c r="Q186" s="15" t="n">
        <v>652.06</v>
      </c>
      <c r="R186" s="15" t="n">
        <v>652.06</v>
      </c>
      <c r="S186" s="15" t="n">
        <v>652.06</v>
      </c>
      <c r="T186" s="15" t="n">
        <v>652.06</v>
      </c>
      <c r="U186" s="15" t="n">
        <v>350</v>
      </c>
      <c r="V186" s="15" t="n">
        <v>0</v>
      </c>
      <c r="W186" s="15" t="n">
        <f aca="false">U186+V186</f>
        <v>350</v>
      </c>
    </row>
    <row r="187" customFormat="false" ht="15" hidden="false" customHeight="false" outlineLevel="0" collapsed="false">
      <c r="A187" s="3" t="s">
        <v>1309</v>
      </c>
      <c r="B187" s="3" t="s">
        <v>1059</v>
      </c>
      <c r="C187" s="3" t="s">
        <v>1299</v>
      </c>
      <c r="D187" s="3" t="s">
        <v>352</v>
      </c>
      <c r="E187" s="13" t="n">
        <v>535000</v>
      </c>
      <c r="F187" s="13" t="n">
        <v>9962.87</v>
      </c>
      <c r="G187" s="13" t="n">
        <v>1245.36</v>
      </c>
      <c r="H187" s="13" t="n">
        <v>1245.36</v>
      </c>
      <c r="I187" s="13" t="n">
        <f aca="false">SUM(K187:T187)</f>
        <v>7472.2</v>
      </c>
      <c r="J187" s="13" t="n">
        <f aca="false">F187-(G187+H187+I187)</f>
        <v>-0.0499999999992724</v>
      </c>
      <c r="K187" s="13" t="n">
        <v>747.22</v>
      </c>
      <c r="L187" s="13" t="n">
        <v>747.22</v>
      </c>
      <c r="M187" s="13" t="n">
        <v>747.22</v>
      </c>
      <c r="N187" s="13" t="n">
        <v>747.22</v>
      </c>
      <c r="O187" s="13" t="n">
        <v>747.22</v>
      </c>
      <c r="P187" s="13" t="n">
        <v>747.22</v>
      </c>
      <c r="Q187" s="13" t="n">
        <v>747.22</v>
      </c>
      <c r="R187" s="13" t="n">
        <v>747.22</v>
      </c>
      <c r="S187" s="13" t="n">
        <v>747.22</v>
      </c>
      <c r="T187" s="13" t="n">
        <v>747.22</v>
      </c>
      <c r="U187" s="13" t="n">
        <v>350</v>
      </c>
      <c r="V187" s="13" t="n">
        <v>0</v>
      </c>
      <c r="W187" s="13" t="n">
        <f aca="false">U187+V187</f>
        <v>350</v>
      </c>
    </row>
    <row r="188" customFormat="false" ht="15" hidden="false" customHeight="false" outlineLevel="0" collapsed="false">
      <c r="A188" s="8" t="s">
        <v>459</v>
      </c>
      <c r="E188" s="9" t="n">
        <f aca="false">SUM(E5:E187)</f>
        <v>134090000</v>
      </c>
      <c r="F188" s="9" t="n">
        <f aca="false">SUM(F5:F187)</f>
        <v>1830245.47</v>
      </c>
      <c r="G188" s="9" t="n">
        <f aca="false">SUM(G5:G187)</f>
        <v>228780.67</v>
      </c>
      <c r="H188" s="9" t="n">
        <f aca="false">SUM(H5:H187)</f>
        <v>228780.67</v>
      </c>
      <c r="I188" s="9" t="n">
        <f aca="false">SUM(I5:I187)</f>
        <v>1372684</v>
      </c>
      <c r="J188" s="9" t="n">
        <f aca="false">SUM(J5:J187)</f>
        <v>0.129999999996016</v>
      </c>
      <c r="K188" s="9" t="n">
        <f aca="false">SUM(K5:K187)</f>
        <v>137268.4</v>
      </c>
      <c r="L188" s="9" t="n">
        <f aca="false">SUM(L5:L187)</f>
        <v>137268.4</v>
      </c>
      <c r="M188" s="9" t="n">
        <f aca="false">SUM(M5:M187)</f>
        <v>137268.4</v>
      </c>
      <c r="N188" s="9" t="n">
        <f aca="false">SUM(N5:N187)</f>
        <v>137268.4</v>
      </c>
      <c r="O188" s="9" t="n">
        <f aca="false">SUM(O5:O187)</f>
        <v>137268.4</v>
      </c>
      <c r="P188" s="9" t="n">
        <f aca="false">SUM(P5:P187)</f>
        <v>137268.4</v>
      </c>
      <c r="Q188" s="9" t="n">
        <f aca="false">SUM(Q5:Q187)</f>
        <v>137268.4</v>
      </c>
      <c r="R188" s="9" t="n">
        <f aca="false">SUM(R5:R187)</f>
        <v>137268.4</v>
      </c>
      <c r="S188" s="9" t="n">
        <f aca="false">SUM(S5:S187)</f>
        <v>137268.4</v>
      </c>
      <c r="T188" s="9" t="n">
        <f aca="false">SUM(T5:T187)</f>
        <v>137268.4</v>
      </c>
      <c r="U188" s="9" t="n">
        <f aca="false">SUM(U5:U187)</f>
        <v>64050</v>
      </c>
      <c r="V188" s="9" t="n">
        <f aca="false">SUM(V5:V187)</f>
        <v>9250</v>
      </c>
      <c r="W188" s="9" t="n">
        <f aca="false">SUM(W5:W187)</f>
        <v>73300</v>
      </c>
    </row>
    <row r="189" customFormat="false" ht="15" hidden="false" customHeight="false" outlineLevel="0" collapsed="false">
      <c r="A189" s="4" t="s">
        <v>460</v>
      </c>
      <c r="F189" s="16" t="n">
        <f aca="false">F188-(G188+H188+I188+J188)</f>
        <v>0</v>
      </c>
    </row>
    <row r="190" customFormat="false" ht="15" hidden="false" customHeight="false" outlineLevel="0" collapsed="false">
      <c r="A190" s="4" t="s">
        <v>461</v>
      </c>
      <c r="I190" s="16" t="n">
        <f aca="false">I188-SUM(K188:T188)</f>
        <v>0</v>
      </c>
    </row>
  </sheetData>
  <autoFilter ref="A4:W18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21" min="11" style="0" width="11"/>
    <col collapsed="false" customWidth="true" hidden="false" outlineLevel="0" max="22" min="22" style="0" width="13"/>
    <col collapsed="false" customWidth="true" hidden="false" outlineLevel="0" max="23" min="23" style="0" width="11"/>
  </cols>
  <sheetData>
    <row r="1" customFormat="false" ht="17.35" hidden="false" customHeight="false" outlineLevel="0" collapsed="false">
      <c r="A1" s="1" t="s">
        <v>1310</v>
      </c>
    </row>
    <row r="2" customFormat="false" ht="15" hidden="false" customHeight="false" outlineLevel="0" collapsed="false">
      <c r="A2" s="4" t="s">
        <v>60</v>
      </c>
    </row>
    <row r="4" customFormat="false" ht="15" hidden="false" customHeight="false" outlineLevel="0" collapsed="false">
      <c r="A4" s="5" t="s">
        <v>61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15</v>
      </c>
      <c r="G4" s="5" t="s">
        <v>16</v>
      </c>
      <c r="H4" s="5" t="s">
        <v>17</v>
      </c>
      <c r="I4" s="5" t="s">
        <v>18</v>
      </c>
      <c r="J4" s="5" t="s">
        <v>19</v>
      </c>
      <c r="K4" s="5" t="s">
        <v>20</v>
      </c>
      <c r="L4" s="5" t="s">
        <v>21</v>
      </c>
      <c r="M4" s="5" t="s">
        <v>22</v>
      </c>
      <c r="N4" s="5" t="s">
        <v>23</v>
      </c>
      <c r="O4" s="5" t="s">
        <v>24</v>
      </c>
      <c r="P4" s="5" t="s">
        <v>25</v>
      </c>
      <c r="Q4" s="5" t="s">
        <v>26</v>
      </c>
      <c r="R4" s="5" t="s">
        <v>27</v>
      </c>
      <c r="S4" s="5" t="s">
        <v>28</v>
      </c>
      <c r="T4" s="5" t="s">
        <v>29</v>
      </c>
      <c r="U4" s="5" t="s">
        <v>30</v>
      </c>
      <c r="V4" s="5" t="s">
        <v>31</v>
      </c>
      <c r="W4" s="5" t="s">
        <v>32</v>
      </c>
    </row>
    <row r="5" customFormat="false" ht="15" hidden="false" customHeight="false" outlineLevel="0" collapsed="false">
      <c r="A5" s="3" t="s">
        <v>1311</v>
      </c>
      <c r="B5" s="3" t="s">
        <v>1312</v>
      </c>
      <c r="C5" s="3" t="s">
        <v>1313</v>
      </c>
      <c r="D5" s="3" t="s">
        <v>197</v>
      </c>
      <c r="E5" s="13" t="n">
        <v>720000</v>
      </c>
      <c r="F5" s="13" t="n">
        <v>8823.15</v>
      </c>
      <c r="G5" s="13" t="n">
        <v>1102.89</v>
      </c>
      <c r="H5" s="13" t="n">
        <v>1102.89</v>
      </c>
      <c r="I5" s="13" t="n">
        <f aca="false">SUM(K5:T5)</f>
        <v>6617.4</v>
      </c>
      <c r="J5" s="13" t="n">
        <f aca="false">F5-(G5+H5+I5)</f>
        <v>-0.0300000000006548</v>
      </c>
      <c r="K5" s="13" t="n">
        <v>661.74</v>
      </c>
      <c r="L5" s="13" t="n">
        <v>661.74</v>
      </c>
      <c r="M5" s="13" t="n">
        <v>661.74</v>
      </c>
      <c r="N5" s="13" t="n">
        <v>661.74</v>
      </c>
      <c r="O5" s="13" t="n">
        <v>661.74</v>
      </c>
      <c r="P5" s="13" t="n">
        <v>661.74</v>
      </c>
      <c r="Q5" s="13" t="n">
        <v>661.74</v>
      </c>
      <c r="R5" s="13" t="n">
        <v>661.74</v>
      </c>
      <c r="S5" s="13" t="n">
        <v>661.74</v>
      </c>
      <c r="T5" s="13" t="n">
        <v>661.74</v>
      </c>
      <c r="U5" s="13" t="n">
        <v>350</v>
      </c>
      <c r="V5" s="13" t="n">
        <v>0</v>
      </c>
      <c r="W5" s="13" t="n">
        <f aca="false">U5+V5</f>
        <v>350</v>
      </c>
    </row>
    <row r="6" customFormat="false" ht="15" hidden="false" customHeight="false" outlineLevel="0" collapsed="false">
      <c r="A6" s="14" t="s">
        <v>1314</v>
      </c>
      <c r="B6" s="14" t="s">
        <v>1315</v>
      </c>
      <c r="C6" s="14" t="s">
        <v>810</v>
      </c>
      <c r="D6" s="14" t="s">
        <v>256</v>
      </c>
      <c r="E6" s="15" t="n">
        <v>370000</v>
      </c>
      <c r="F6" s="15" t="n">
        <v>6383.61</v>
      </c>
      <c r="G6" s="15" t="n">
        <v>797.95</v>
      </c>
      <c r="H6" s="15" t="n">
        <v>797.95</v>
      </c>
      <c r="I6" s="15" t="n">
        <f aca="false">SUM(K6:T6)</f>
        <v>4787.7</v>
      </c>
      <c r="J6" s="15" t="n">
        <f aca="false">F6-(G6+H6+I6)</f>
        <v>0.00999999999930878</v>
      </c>
      <c r="K6" s="15" t="n">
        <v>478.77</v>
      </c>
      <c r="L6" s="15" t="n">
        <v>478.77</v>
      </c>
      <c r="M6" s="15" t="n">
        <v>478.77</v>
      </c>
      <c r="N6" s="15" t="n">
        <v>478.77</v>
      </c>
      <c r="O6" s="15" t="n">
        <v>478.77</v>
      </c>
      <c r="P6" s="15" t="n">
        <v>478.77</v>
      </c>
      <c r="Q6" s="15" t="n">
        <v>478.77</v>
      </c>
      <c r="R6" s="15" t="n">
        <v>478.77</v>
      </c>
      <c r="S6" s="15" t="n">
        <v>478.77</v>
      </c>
      <c r="T6" s="15" t="n">
        <v>478.77</v>
      </c>
      <c r="U6" s="15" t="n">
        <v>350</v>
      </c>
      <c r="V6" s="15" t="n">
        <v>0</v>
      </c>
      <c r="W6" s="15" t="n">
        <f aca="false">U6+V6</f>
        <v>350</v>
      </c>
    </row>
    <row r="7" customFormat="false" ht="15" hidden="false" customHeight="false" outlineLevel="0" collapsed="false">
      <c r="A7" s="3" t="s">
        <v>1316</v>
      </c>
      <c r="B7" s="3" t="s">
        <v>1317</v>
      </c>
      <c r="C7" s="3" t="s">
        <v>1191</v>
      </c>
      <c r="D7" s="3" t="s">
        <v>77</v>
      </c>
      <c r="E7" s="13" t="n">
        <v>385000</v>
      </c>
      <c r="F7" s="13" t="n">
        <v>6342.74</v>
      </c>
      <c r="G7" s="13" t="n">
        <v>792.84</v>
      </c>
      <c r="H7" s="13" t="n">
        <v>792.84</v>
      </c>
      <c r="I7" s="13" t="n">
        <f aca="false">SUM(K7:T7)</f>
        <v>4757.1</v>
      </c>
      <c r="J7" s="13" t="n">
        <f aca="false">F7-(G7+H7+I7)</f>
        <v>-0.0399999999999636</v>
      </c>
      <c r="K7" s="13" t="n">
        <v>475.71</v>
      </c>
      <c r="L7" s="13" t="n">
        <v>475.71</v>
      </c>
      <c r="M7" s="13" t="n">
        <v>475.71</v>
      </c>
      <c r="N7" s="13" t="n">
        <v>475.71</v>
      </c>
      <c r="O7" s="13" t="n">
        <v>475.71</v>
      </c>
      <c r="P7" s="13" t="n">
        <v>475.71</v>
      </c>
      <c r="Q7" s="13" t="n">
        <v>475.71</v>
      </c>
      <c r="R7" s="13" t="n">
        <v>475.71</v>
      </c>
      <c r="S7" s="13" t="n">
        <v>475.71</v>
      </c>
      <c r="T7" s="13" t="n">
        <v>475.71</v>
      </c>
      <c r="U7" s="13" t="n">
        <v>350</v>
      </c>
      <c r="V7" s="13" t="n">
        <v>0</v>
      </c>
      <c r="W7" s="13" t="n">
        <f aca="false">U7+V7</f>
        <v>350</v>
      </c>
    </row>
    <row r="8" customFormat="false" ht="15" hidden="false" customHeight="false" outlineLevel="0" collapsed="false">
      <c r="A8" s="14" t="s">
        <v>1318</v>
      </c>
      <c r="B8" s="14" t="s">
        <v>1319</v>
      </c>
      <c r="C8" s="14" t="s">
        <v>843</v>
      </c>
      <c r="D8" s="14" t="s">
        <v>328</v>
      </c>
      <c r="E8" s="15" t="n">
        <v>360000</v>
      </c>
      <c r="F8" s="15" t="n">
        <v>9308.83</v>
      </c>
      <c r="G8" s="15" t="n">
        <v>1163.6</v>
      </c>
      <c r="H8" s="15" t="n">
        <v>1163.6</v>
      </c>
      <c r="I8" s="15" t="n">
        <f aca="false">SUM(K8:T8)</f>
        <v>6981.6</v>
      </c>
      <c r="J8" s="15" t="n">
        <f aca="false">F8-(G8+H8+I8)</f>
        <v>0.0300000000006548</v>
      </c>
      <c r="K8" s="15" t="n">
        <v>698.16</v>
      </c>
      <c r="L8" s="15" t="n">
        <v>698.16</v>
      </c>
      <c r="M8" s="15" t="n">
        <v>698.16</v>
      </c>
      <c r="N8" s="15" t="n">
        <v>698.16</v>
      </c>
      <c r="O8" s="15" t="n">
        <v>698.16</v>
      </c>
      <c r="P8" s="15" t="n">
        <v>698.16</v>
      </c>
      <c r="Q8" s="15" t="n">
        <v>698.16</v>
      </c>
      <c r="R8" s="15" t="n">
        <v>698.16</v>
      </c>
      <c r="S8" s="15" t="n">
        <v>698.16</v>
      </c>
      <c r="T8" s="15" t="n">
        <v>698.16</v>
      </c>
      <c r="U8" s="15" t="n">
        <v>350</v>
      </c>
      <c r="V8" s="15" t="n">
        <v>0</v>
      </c>
      <c r="W8" s="15" t="n">
        <f aca="false">U8+V8</f>
        <v>350</v>
      </c>
    </row>
    <row r="9" customFormat="false" ht="15" hidden="false" customHeight="false" outlineLevel="0" collapsed="false">
      <c r="A9" s="3" t="s">
        <v>1320</v>
      </c>
      <c r="B9" s="3" t="s">
        <v>1321</v>
      </c>
      <c r="C9" s="3" t="s">
        <v>1322</v>
      </c>
      <c r="D9" s="3" t="s">
        <v>112</v>
      </c>
      <c r="E9" s="13" t="n">
        <v>355000</v>
      </c>
      <c r="F9" s="13" t="n">
        <v>4374.87</v>
      </c>
      <c r="G9" s="13" t="n">
        <v>546.86</v>
      </c>
      <c r="H9" s="13" t="n">
        <v>546.86</v>
      </c>
      <c r="I9" s="13" t="n">
        <f aca="false">SUM(K9:T9)</f>
        <v>3281.2</v>
      </c>
      <c r="J9" s="13" t="n">
        <f aca="false">F9-(G9+H9+I9)</f>
        <v>-0.0500000000001819</v>
      </c>
      <c r="K9" s="13" t="n">
        <v>328.12</v>
      </c>
      <c r="L9" s="13" t="n">
        <v>328.12</v>
      </c>
      <c r="M9" s="13" t="n">
        <v>328.12</v>
      </c>
      <c r="N9" s="13" t="n">
        <v>328.12</v>
      </c>
      <c r="O9" s="13" t="n">
        <v>328.12</v>
      </c>
      <c r="P9" s="13" t="n">
        <v>328.12</v>
      </c>
      <c r="Q9" s="13" t="n">
        <v>328.12</v>
      </c>
      <c r="R9" s="13" t="n">
        <v>328.12</v>
      </c>
      <c r="S9" s="13" t="n">
        <v>328.12</v>
      </c>
      <c r="T9" s="13" t="n">
        <v>328.12</v>
      </c>
      <c r="U9" s="13" t="n">
        <v>350</v>
      </c>
      <c r="V9" s="13" t="n">
        <v>0</v>
      </c>
      <c r="W9" s="13" t="n">
        <f aca="false">U9+V9</f>
        <v>350</v>
      </c>
    </row>
    <row r="10" customFormat="false" ht="15" hidden="false" customHeight="false" outlineLevel="0" collapsed="false">
      <c r="A10" s="14" t="s">
        <v>1323</v>
      </c>
      <c r="B10" s="14" t="s">
        <v>1324</v>
      </c>
      <c r="C10" s="14" t="s">
        <v>1325</v>
      </c>
      <c r="D10" s="14" t="s">
        <v>193</v>
      </c>
      <c r="E10" s="15" t="n">
        <v>700000</v>
      </c>
      <c r="F10" s="15" t="n">
        <v>14377.49</v>
      </c>
      <c r="G10" s="15" t="n">
        <v>1797.19</v>
      </c>
      <c r="H10" s="15" t="n">
        <v>1797.19</v>
      </c>
      <c r="I10" s="15" t="n">
        <f aca="false">SUM(K10:T10)</f>
        <v>10783.1</v>
      </c>
      <c r="J10" s="15" t="n">
        <f aca="false">F10-(G10+H10+I10)</f>
        <v>0.0100000000002183</v>
      </c>
      <c r="K10" s="15" t="n">
        <v>1078.31</v>
      </c>
      <c r="L10" s="15" t="n">
        <v>1078.31</v>
      </c>
      <c r="M10" s="15" t="n">
        <v>1078.31</v>
      </c>
      <c r="N10" s="15" t="n">
        <v>1078.31</v>
      </c>
      <c r="O10" s="15" t="n">
        <v>1078.31</v>
      </c>
      <c r="P10" s="15" t="n">
        <v>1078.31</v>
      </c>
      <c r="Q10" s="15" t="n">
        <v>1078.31</v>
      </c>
      <c r="R10" s="15" t="n">
        <v>1078.31</v>
      </c>
      <c r="S10" s="15" t="n">
        <v>1078.31</v>
      </c>
      <c r="T10" s="15" t="n">
        <v>1078.31</v>
      </c>
      <c r="U10" s="15" t="n">
        <v>350</v>
      </c>
      <c r="V10" s="15" t="n">
        <v>0</v>
      </c>
      <c r="W10" s="15" t="n">
        <f aca="false">U10+V10</f>
        <v>350</v>
      </c>
    </row>
    <row r="11" customFormat="false" ht="15" hidden="false" customHeight="false" outlineLevel="0" collapsed="false">
      <c r="A11" s="3" t="s">
        <v>1326</v>
      </c>
      <c r="B11" s="3" t="s">
        <v>1312</v>
      </c>
      <c r="C11" s="3" t="s">
        <v>1327</v>
      </c>
      <c r="D11" s="3" t="s">
        <v>208</v>
      </c>
      <c r="E11" s="13" t="n">
        <v>245000</v>
      </c>
      <c r="F11" s="13" t="n">
        <v>5068.14</v>
      </c>
      <c r="G11" s="13" t="n">
        <v>633.52</v>
      </c>
      <c r="H11" s="13" t="n">
        <v>633.52</v>
      </c>
      <c r="I11" s="13" t="n">
        <f aca="false">SUM(K11:T11)</f>
        <v>3801.1</v>
      </c>
      <c r="J11" s="13" t="n">
        <f aca="false">F11-(G11+H11+I11)</f>
        <v>0</v>
      </c>
      <c r="K11" s="13" t="n">
        <v>380.11</v>
      </c>
      <c r="L11" s="13" t="n">
        <v>380.11</v>
      </c>
      <c r="M11" s="13" t="n">
        <v>380.11</v>
      </c>
      <c r="N11" s="13" t="n">
        <v>380.11</v>
      </c>
      <c r="O11" s="13" t="n">
        <v>380.11</v>
      </c>
      <c r="P11" s="13" t="n">
        <v>380.11</v>
      </c>
      <c r="Q11" s="13" t="n">
        <v>380.11</v>
      </c>
      <c r="R11" s="13" t="n">
        <v>380.11</v>
      </c>
      <c r="S11" s="13" t="n">
        <v>380.11</v>
      </c>
      <c r="T11" s="13" t="n">
        <v>380.11</v>
      </c>
      <c r="U11" s="13" t="n">
        <v>350</v>
      </c>
      <c r="V11" s="13" t="n">
        <v>0</v>
      </c>
      <c r="W11" s="13" t="n">
        <f aca="false">U11+V11</f>
        <v>350</v>
      </c>
    </row>
    <row r="12" customFormat="false" ht="15" hidden="false" customHeight="false" outlineLevel="0" collapsed="false">
      <c r="A12" s="14" t="s">
        <v>1328</v>
      </c>
      <c r="B12" s="14" t="s">
        <v>1324</v>
      </c>
      <c r="C12" s="14" t="s">
        <v>1329</v>
      </c>
      <c r="D12" s="14" t="s">
        <v>163</v>
      </c>
      <c r="E12" s="15" t="n">
        <v>370000</v>
      </c>
      <c r="F12" s="15" t="n">
        <v>4895.7</v>
      </c>
      <c r="G12" s="15" t="n">
        <v>611.96</v>
      </c>
      <c r="H12" s="15" t="n">
        <v>611.96</v>
      </c>
      <c r="I12" s="15" t="n">
        <f aca="false">SUM(K12:T12)</f>
        <v>3671.8</v>
      </c>
      <c r="J12" s="15" t="n">
        <f aca="false">F12-(G12+H12+I12)</f>
        <v>-0.0199999999995271</v>
      </c>
      <c r="K12" s="15" t="n">
        <v>367.18</v>
      </c>
      <c r="L12" s="15" t="n">
        <v>367.18</v>
      </c>
      <c r="M12" s="15" t="n">
        <v>367.18</v>
      </c>
      <c r="N12" s="15" t="n">
        <v>367.18</v>
      </c>
      <c r="O12" s="15" t="n">
        <v>367.18</v>
      </c>
      <c r="P12" s="15" t="n">
        <v>367.18</v>
      </c>
      <c r="Q12" s="15" t="n">
        <v>367.18</v>
      </c>
      <c r="R12" s="15" t="n">
        <v>367.18</v>
      </c>
      <c r="S12" s="15" t="n">
        <v>367.18</v>
      </c>
      <c r="T12" s="15" t="n">
        <v>367.18</v>
      </c>
      <c r="U12" s="15" t="n">
        <v>350</v>
      </c>
      <c r="V12" s="15" t="n">
        <v>0</v>
      </c>
      <c r="W12" s="15" t="n">
        <f aca="false">U12+V12</f>
        <v>350</v>
      </c>
    </row>
    <row r="13" customFormat="false" ht="15" hidden="false" customHeight="false" outlineLevel="0" collapsed="false">
      <c r="A13" s="3" t="s">
        <v>1330</v>
      </c>
      <c r="B13" s="3" t="s">
        <v>1331</v>
      </c>
      <c r="C13" s="3" t="s">
        <v>604</v>
      </c>
      <c r="D13" s="3" t="s">
        <v>89</v>
      </c>
      <c r="E13" s="13" t="n">
        <v>490000</v>
      </c>
      <c r="F13" s="13" t="n">
        <v>8581.09</v>
      </c>
      <c r="G13" s="13" t="n">
        <v>1072.64</v>
      </c>
      <c r="H13" s="13" t="n">
        <v>1072.64</v>
      </c>
      <c r="I13" s="13" t="n">
        <f aca="false">SUM(K13:T13)</f>
        <v>6435.8</v>
      </c>
      <c r="J13" s="13" t="n">
        <f aca="false">F13-(G13+H13+I13)</f>
        <v>0.0100000000002183</v>
      </c>
      <c r="K13" s="13" t="n">
        <v>643.58</v>
      </c>
      <c r="L13" s="13" t="n">
        <v>643.58</v>
      </c>
      <c r="M13" s="13" t="n">
        <v>643.58</v>
      </c>
      <c r="N13" s="13" t="n">
        <v>643.58</v>
      </c>
      <c r="O13" s="13" t="n">
        <v>643.58</v>
      </c>
      <c r="P13" s="13" t="n">
        <v>643.58</v>
      </c>
      <c r="Q13" s="13" t="n">
        <v>643.58</v>
      </c>
      <c r="R13" s="13" t="n">
        <v>643.58</v>
      </c>
      <c r="S13" s="13" t="n">
        <v>643.58</v>
      </c>
      <c r="T13" s="13" t="n">
        <v>643.58</v>
      </c>
      <c r="U13" s="13" t="n">
        <v>350</v>
      </c>
      <c r="V13" s="13" t="n">
        <v>0</v>
      </c>
      <c r="W13" s="13" t="n">
        <f aca="false">U13+V13</f>
        <v>350</v>
      </c>
    </row>
    <row r="14" customFormat="false" ht="15" hidden="false" customHeight="false" outlineLevel="0" collapsed="false">
      <c r="A14" s="14" t="s">
        <v>1332</v>
      </c>
      <c r="B14" s="14" t="s">
        <v>1333</v>
      </c>
      <c r="C14" s="14" t="s">
        <v>649</v>
      </c>
      <c r="D14" s="14" t="s">
        <v>125</v>
      </c>
      <c r="E14" s="15" t="n">
        <v>390000</v>
      </c>
      <c r="F14" s="15" t="n">
        <v>4856.78</v>
      </c>
      <c r="G14" s="15" t="n">
        <v>607.1</v>
      </c>
      <c r="H14" s="15" t="n">
        <v>607.1</v>
      </c>
      <c r="I14" s="15" t="n">
        <f aca="false">SUM(K14:T14)</f>
        <v>3642.6</v>
      </c>
      <c r="J14" s="15" t="n">
        <f aca="false">F14-(G14+H14+I14)</f>
        <v>-0.0200000000004366</v>
      </c>
      <c r="K14" s="15" t="n">
        <v>364.26</v>
      </c>
      <c r="L14" s="15" t="n">
        <v>364.26</v>
      </c>
      <c r="M14" s="15" t="n">
        <v>364.26</v>
      </c>
      <c r="N14" s="15" t="n">
        <v>364.26</v>
      </c>
      <c r="O14" s="15" t="n">
        <v>364.26</v>
      </c>
      <c r="P14" s="15" t="n">
        <v>364.26</v>
      </c>
      <c r="Q14" s="15" t="n">
        <v>364.26</v>
      </c>
      <c r="R14" s="15" t="n">
        <v>364.26</v>
      </c>
      <c r="S14" s="15" t="n">
        <v>364.26</v>
      </c>
      <c r="T14" s="15" t="n">
        <v>364.26</v>
      </c>
      <c r="U14" s="15" t="n">
        <v>350</v>
      </c>
      <c r="V14" s="15" t="n">
        <v>0</v>
      </c>
      <c r="W14" s="15" t="n">
        <f aca="false">U14+V14</f>
        <v>350</v>
      </c>
    </row>
    <row r="15" customFormat="false" ht="15" hidden="false" customHeight="false" outlineLevel="0" collapsed="false">
      <c r="A15" s="3" t="s">
        <v>1334</v>
      </c>
      <c r="B15" s="3" t="s">
        <v>1335</v>
      </c>
      <c r="C15" s="3" t="s">
        <v>436</v>
      </c>
      <c r="D15" s="3" t="s">
        <v>382</v>
      </c>
      <c r="E15" s="13" t="n">
        <v>1190000</v>
      </c>
      <c r="F15" s="13" t="n">
        <v>8759.91</v>
      </c>
      <c r="G15" s="13" t="n">
        <v>1094.99</v>
      </c>
      <c r="H15" s="13" t="n">
        <v>1094.99</v>
      </c>
      <c r="I15" s="13" t="n">
        <f aca="false">SUM(K15:T15)</f>
        <v>6569.9</v>
      </c>
      <c r="J15" s="13" t="n">
        <f aca="false">F15-(G15+H15+I15)</f>
        <v>0.0300000000006548</v>
      </c>
      <c r="K15" s="13" t="n">
        <v>656.99</v>
      </c>
      <c r="L15" s="13" t="n">
        <v>656.99</v>
      </c>
      <c r="M15" s="13" t="n">
        <v>656.99</v>
      </c>
      <c r="N15" s="13" t="n">
        <v>656.99</v>
      </c>
      <c r="O15" s="13" t="n">
        <v>656.99</v>
      </c>
      <c r="P15" s="13" t="n">
        <v>656.99</v>
      </c>
      <c r="Q15" s="13" t="n">
        <v>656.99</v>
      </c>
      <c r="R15" s="13" t="n">
        <v>656.99</v>
      </c>
      <c r="S15" s="13" t="n">
        <v>656.99</v>
      </c>
      <c r="T15" s="13" t="n">
        <v>656.99</v>
      </c>
      <c r="U15" s="13" t="n">
        <v>350</v>
      </c>
      <c r="V15" s="13" t="n">
        <v>250</v>
      </c>
      <c r="W15" s="13" t="n">
        <f aca="false">U15+V15</f>
        <v>600</v>
      </c>
    </row>
    <row r="16" customFormat="false" ht="15" hidden="false" customHeight="false" outlineLevel="0" collapsed="false">
      <c r="A16" s="14" t="s">
        <v>1336</v>
      </c>
      <c r="B16" s="14" t="s">
        <v>1337</v>
      </c>
      <c r="C16" s="14" t="s">
        <v>287</v>
      </c>
      <c r="D16" s="14" t="s">
        <v>298</v>
      </c>
      <c r="E16" s="15" t="n">
        <v>535000</v>
      </c>
      <c r="F16" s="15" t="n">
        <v>11076.41</v>
      </c>
      <c r="G16" s="15" t="n">
        <v>1384.55</v>
      </c>
      <c r="H16" s="15" t="n">
        <v>1384.55</v>
      </c>
      <c r="I16" s="15" t="n">
        <f aca="false">SUM(K16:T16)</f>
        <v>8307.3</v>
      </c>
      <c r="J16" s="15" t="n">
        <f aca="false">F16-(G16+H16+I16)</f>
        <v>0.0100000000002183</v>
      </c>
      <c r="K16" s="15" t="n">
        <v>830.73</v>
      </c>
      <c r="L16" s="15" t="n">
        <v>830.73</v>
      </c>
      <c r="M16" s="15" t="n">
        <v>830.73</v>
      </c>
      <c r="N16" s="15" t="n">
        <v>830.73</v>
      </c>
      <c r="O16" s="15" t="n">
        <v>830.73</v>
      </c>
      <c r="P16" s="15" t="n">
        <v>830.73</v>
      </c>
      <c r="Q16" s="15" t="n">
        <v>830.73</v>
      </c>
      <c r="R16" s="15" t="n">
        <v>830.73</v>
      </c>
      <c r="S16" s="15" t="n">
        <v>830.73</v>
      </c>
      <c r="T16" s="15" t="n">
        <v>830.73</v>
      </c>
      <c r="U16" s="15" t="n">
        <v>350</v>
      </c>
      <c r="V16" s="15" t="n">
        <v>0</v>
      </c>
      <c r="W16" s="15" t="n">
        <f aca="false">U16+V16</f>
        <v>350</v>
      </c>
    </row>
    <row r="17" customFormat="false" ht="15" hidden="false" customHeight="false" outlineLevel="0" collapsed="false">
      <c r="A17" s="3" t="s">
        <v>1338</v>
      </c>
      <c r="B17" s="3" t="s">
        <v>1335</v>
      </c>
      <c r="C17" s="3" t="s">
        <v>1303</v>
      </c>
      <c r="D17" s="3" t="s">
        <v>430</v>
      </c>
      <c r="E17" s="13" t="n">
        <v>190000</v>
      </c>
      <c r="F17" s="13" t="n">
        <v>2993.14</v>
      </c>
      <c r="G17" s="13" t="n">
        <v>374.14</v>
      </c>
      <c r="H17" s="13" t="n">
        <v>374.14</v>
      </c>
      <c r="I17" s="13" t="n">
        <f aca="false">SUM(K17:T17)</f>
        <v>2244.9</v>
      </c>
      <c r="J17" s="13" t="n">
        <f aca="false">F17-(G17+H17+I17)</f>
        <v>-0.0400000000004184</v>
      </c>
      <c r="K17" s="13" t="n">
        <v>224.49</v>
      </c>
      <c r="L17" s="13" t="n">
        <v>224.49</v>
      </c>
      <c r="M17" s="13" t="n">
        <v>224.49</v>
      </c>
      <c r="N17" s="13" t="n">
        <v>224.49</v>
      </c>
      <c r="O17" s="13" t="n">
        <v>224.49</v>
      </c>
      <c r="P17" s="13" t="n">
        <v>224.49</v>
      </c>
      <c r="Q17" s="13" t="n">
        <v>224.49</v>
      </c>
      <c r="R17" s="13" t="n">
        <v>224.49</v>
      </c>
      <c r="S17" s="13" t="n">
        <v>224.49</v>
      </c>
      <c r="T17" s="13" t="n">
        <v>224.49</v>
      </c>
      <c r="U17" s="13" t="n">
        <v>350</v>
      </c>
      <c r="V17" s="13" t="n">
        <v>0</v>
      </c>
      <c r="W17" s="13" t="n">
        <f aca="false">U17+V17</f>
        <v>350</v>
      </c>
    </row>
    <row r="18" customFormat="false" ht="15" hidden="false" customHeight="false" outlineLevel="0" collapsed="false">
      <c r="A18" s="14" t="s">
        <v>1339</v>
      </c>
      <c r="B18" s="14" t="s">
        <v>1340</v>
      </c>
      <c r="C18" s="14" t="s">
        <v>68</v>
      </c>
      <c r="D18" s="14" t="s">
        <v>279</v>
      </c>
      <c r="E18" s="15" t="n">
        <v>825000</v>
      </c>
      <c r="F18" s="15" t="n">
        <v>12335.89</v>
      </c>
      <c r="G18" s="15" t="n">
        <v>1541.99</v>
      </c>
      <c r="H18" s="15" t="n">
        <v>1541.99</v>
      </c>
      <c r="I18" s="15" t="n">
        <f aca="false">SUM(K18:T18)</f>
        <v>9251.9</v>
      </c>
      <c r="J18" s="15" t="n">
        <f aca="false">F18-(G18+H18+I18)</f>
        <v>0.00999999999839929</v>
      </c>
      <c r="K18" s="15" t="n">
        <v>925.19</v>
      </c>
      <c r="L18" s="15" t="n">
        <v>925.19</v>
      </c>
      <c r="M18" s="15" t="n">
        <v>925.19</v>
      </c>
      <c r="N18" s="15" t="n">
        <v>925.19</v>
      </c>
      <c r="O18" s="15" t="n">
        <v>925.19</v>
      </c>
      <c r="P18" s="15" t="n">
        <v>925.19</v>
      </c>
      <c r="Q18" s="15" t="n">
        <v>925.19</v>
      </c>
      <c r="R18" s="15" t="n">
        <v>925.19</v>
      </c>
      <c r="S18" s="15" t="n">
        <v>925.19</v>
      </c>
      <c r="T18" s="15" t="n">
        <v>925.19</v>
      </c>
      <c r="U18" s="15" t="n">
        <v>350</v>
      </c>
      <c r="V18" s="15" t="n">
        <v>0</v>
      </c>
      <c r="W18" s="15" t="n">
        <f aca="false">U18+V18</f>
        <v>350</v>
      </c>
    </row>
    <row r="19" customFormat="false" ht="15" hidden="false" customHeight="false" outlineLevel="0" collapsed="false">
      <c r="A19" s="3" t="s">
        <v>1341</v>
      </c>
      <c r="B19" s="3" t="s">
        <v>1312</v>
      </c>
      <c r="C19" s="3" t="s">
        <v>543</v>
      </c>
      <c r="D19" s="3" t="s">
        <v>109</v>
      </c>
      <c r="E19" s="13" t="n">
        <v>215000</v>
      </c>
      <c r="F19" s="13" t="n">
        <v>4276.49</v>
      </c>
      <c r="G19" s="13" t="n">
        <v>534.56</v>
      </c>
      <c r="H19" s="13" t="n">
        <v>534.56</v>
      </c>
      <c r="I19" s="13" t="n">
        <f aca="false">SUM(K19:T19)</f>
        <v>3207.4</v>
      </c>
      <c r="J19" s="13" t="n">
        <f aca="false">F19-(G19+H19+I19)</f>
        <v>-0.0299999999997453</v>
      </c>
      <c r="K19" s="13" t="n">
        <v>320.74</v>
      </c>
      <c r="L19" s="13" t="n">
        <v>320.74</v>
      </c>
      <c r="M19" s="13" t="n">
        <v>320.74</v>
      </c>
      <c r="N19" s="13" t="n">
        <v>320.74</v>
      </c>
      <c r="O19" s="13" t="n">
        <v>320.74</v>
      </c>
      <c r="P19" s="13" t="n">
        <v>320.74</v>
      </c>
      <c r="Q19" s="13" t="n">
        <v>320.74</v>
      </c>
      <c r="R19" s="13" t="n">
        <v>320.74</v>
      </c>
      <c r="S19" s="13" t="n">
        <v>320.74</v>
      </c>
      <c r="T19" s="13" t="n">
        <v>320.74</v>
      </c>
      <c r="U19" s="13" t="n">
        <v>350</v>
      </c>
      <c r="V19" s="13" t="n">
        <v>0</v>
      </c>
      <c r="W19" s="13" t="n">
        <f aca="false">U19+V19</f>
        <v>350</v>
      </c>
    </row>
    <row r="20" customFormat="false" ht="15" hidden="false" customHeight="false" outlineLevel="0" collapsed="false">
      <c r="A20" s="14" t="s">
        <v>1342</v>
      </c>
      <c r="B20" s="14" t="s">
        <v>1343</v>
      </c>
      <c r="C20" s="14" t="s">
        <v>614</v>
      </c>
      <c r="D20" s="14" t="s">
        <v>911</v>
      </c>
      <c r="E20" s="15" t="n">
        <v>105000</v>
      </c>
      <c r="F20" s="15" t="n">
        <v>1804.48</v>
      </c>
      <c r="G20" s="15" t="n">
        <v>225.56</v>
      </c>
      <c r="H20" s="15" t="n">
        <v>225.56</v>
      </c>
      <c r="I20" s="15" t="n">
        <f aca="false">SUM(K20:T20)</f>
        <v>1353.4</v>
      </c>
      <c r="J20" s="15" t="n">
        <f aca="false">F20-(G20+H20+I20)</f>
        <v>-0.0399999999999636</v>
      </c>
      <c r="K20" s="15" t="n">
        <v>135.34</v>
      </c>
      <c r="L20" s="15" t="n">
        <v>135.34</v>
      </c>
      <c r="M20" s="15" t="n">
        <v>135.34</v>
      </c>
      <c r="N20" s="15" t="n">
        <v>135.34</v>
      </c>
      <c r="O20" s="15" t="n">
        <v>135.34</v>
      </c>
      <c r="P20" s="15" t="n">
        <v>135.34</v>
      </c>
      <c r="Q20" s="15" t="n">
        <v>135.34</v>
      </c>
      <c r="R20" s="15" t="n">
        <v>135.34</v>
      </c>
      <c r="S20" s="15" t="n">
        <v>135.34</v>
      </c>
      <c r="T20" s="15" t="n">
        <v>135.34</v>
      </c>
      <c r="U20" s="15" t="n">
        <v>350</v>
      </c>
      <c r="V20" s="15" t="n">
        <v>0</v>
      </c>
      <c r="W20" s="15" t="n">
        <f aca="false">U20+V20</f>
        <v>350</v>
      </c>
    </row>
    <row r="21" customFormat="false" ht="15" hidden="false" customHeight="false" outlineLevel="0" collapsed="false">
      <c r="A21" s="3" t="s">
        <v>1344</v>
      </c>
      <c r="B21" s="3" t="s">
        <v>1324</v>
      </c>
      <c r="C21" s="3" t="s">
        <v>1322</v>
      </c>
      <c r="D21" s="3" t="s">
        <v>99</v>
      </c>
      <c r="E21" s="13" t="n">
        <v>610000</v>
      </c>
      <c r="F21" s="13" t="n">
        <v>5452.6</v>
      </c>
      <c r="G21" s="13" t="n">
        <v>681.58</v>
      </c>
      <c r="H21" s="13" t="n">
        <v>681.58</v>
      </c>
      <c r="I21" s="13" t="n">
        <f aca="false">SUM(K21:T21)</f>
        <v>4089.4</v>
      </c>
      <c r="J21" s="13" t="n">
        <f aca="false">F21-(G21+H21+I21)</f>
        <v>0.0399999999999636</v>
      </c>
      <c r="K21" s="13" t="n">
        <v>408.94</v>
      </c>
      <c r="L21" s="13" t="n">
        <v>408.94</v>
      </c>
      <c r="M21" s="13" t="n">
        <v>408.94</v>
      </c>
      <c r="N21" s="13" t="n">
        <v>408.94</v>
      </c>
      <c r="O21" s="13" t="n">
        <v>408.94</v>
      </c>
      <c r="P21" s="13" t="n">
        <v>408.94</v>
      </c>
      <c r="Q21" s="13" t="n">
        <v>408.94</v>
      </c>
      <c r="R21" s="13" t="n">
        <v>408.94</v>
      </c>
      <c r="S21" s="13" t="n">
        <v>408.94</v>
      </c>
      <c r="T21" s="13" t="n">
        <v>408.94</v>
      </c>
      <c r="U21" s="13" t="n">
        <v>350</v>
      </c>
      <c r="V21" s="13" t="n">
        <v>0</v>
      </c>
      <c r="W21" s="13" t="n">
        <f aca="false">U21+V21</f>
        <v>350</v>
      </c>
    </row>
    <row r="22" customFormat="false" ht="15" hidden="false" customHeight="false" outlineLevel="0" collapsed="false">
      <c r="A22" s="14" t="s">
        <v>1345</v>
      </c>
      <c r="B22" s="14" t="s">
        <v>1346</v>
      </c>
      <c r="C22" s="14" t="s">
        <v>1347</v>
      </c>
      <c r="D22" s="14" t="s">
        <v>153</v>
      </c>
      <c r="E22" s="15" t="n">
        <v>690000</v>
      </c>
      <c r="F22" s="15" t="n">
        <v>14428.68</v>
      </c>
      <c r="G22" s="15" t="n">
        <v>1803.59</v>
      </c>
      <c r="H22" s="15" t="n">
        <v>1803.59</v>
      </c>
      <c r="I22" s="15" t="n">
        <f aca="false">SUM(K22:T22)</f>
        <v>10821.5</v>
      </c>
      <c r="J22" s="15" t="n">
        <f aca="false">F22-(G22+H22+I22)</f>
        <v>0</v>
      </c>
      <c r="K22" s="15" t="n">
        <v>1082.15</v>
      </c>
      <c r="L22" s="15" t="n">
        <v>1082.15</v>
      </c>
      <c r="M22" s="15" t="n">
        <v>1082.15</v>
      </c>
      <c r="N22" s="15" t="n">
        <v>1082.15</v>
      </c>
      <c r="O22" s="15" t="n">
        <v>1082.15</v>
      </c>
      <c r="P22" s="15" t="n">
        <v>1082.15</v>
      </c>
      <c r="Q22" s="15" t="n">
        <v>1082.15</v>
      </c>
      <c r="R22" s="15" t="n">
        <v>1082.15</v>
      </c>
      <c r="S22" s="15" t="n">
        <v>1082.15</v>
      </c>
      <c r="T22" s="15" t="n">
        <v>1082.15</v>
      </c>
      <c r="U22" s="15" t="n">
        <v>350</v>
      </c>
      <c r="V22" s="15" t="n">
        <v>0</v>
      </c>
      <c r="W22" s="15" t="n">
        <f aca="false">U22+V22</f>
        <v>350</v>
      </c>
    </row>
    <row r="23" customFormat="false" ht="15" hidden="false" customHeight="false" outlineLevel="0" collapsed="false">
      <c r="A23" s="3" t="s">
        <v>1348</v>
      </c>
      <c r="B23" s="3" t="s">
        <v>1340</v>
      </c>
      <c r="C23" s="3" t="s">
        <v>1247</v>
      </c>
      <c r="D23" s="3" t="s">
        <v>112</v>
      </c>
      <c r="E23" s="13" t="n">
        <v>1135000</v>
      </c>
      <c r="F23" s="13" t="n">
        <v>6340.89</v>
      </c>
      <c r="G23" s="13" t="n">
        <v>792.61</v>
      </c>
      <c r="H23" s="13" t="n">
        <v>792.61</v>
      </c>
      <c r="I23" s="13" t="n">
        <f aca="false">SUM(K23:T23)</f>
        <v>4755.7</v>
      </c>
      <c r="J23" s="13" t="n">
        <f aca="false">F23-(G23+H23+I23)</f>
        <v>-0.0299999999997453</v>
      </c>
      <c r="K23" s="13" t="n">
        <v>475.57</v>
      </c>
      <c r="L23" s="13" t="n">
        <v>475.57</v>
      </c>
      <c r="M23" s="13" t="n">
        <v>475.57</v>
      </c>
      <c r="N23" s="13" t="n">
        <v>475.57</v>
      </c>
      <c r="O23" s="13" t="n">
        <v>475.57</v>
      </c>
      <c r="P23" s="13" t="n">
        <v>475.57</v>
      </c>
      <c r="Q23" s="13" t="n">
        <v>475.57</v>
      </c>
      <c r="R23" s="13" t="n">
        <v>475.57</v>
      </c>
      <c r="S23" s="13" t="n">
        <v>475.57</v>
      </c>
      <c r="T23" s="13" t="n">
        <v>475.57</v>
      </c>
      <c r="U23" s="13" t="n">
        <v>350</v>
      </c>
      <c r="V23" s="13" t="n">
        <v>250</v>
      </c>
      <c r="W23" s="13" t="n">
        <f aca="false">U23+V23</f>
        <v>600</v>
      </c>
    </row>
    <row r="24" customFormat="false" ht="15" hidden="false" customHeight="false" outlineLevel="0" collapsed="false">
      <c r="A24" s="14" t="s">
        <v>1349</v>
      </c>
      <c r="B24" s="14" t="s">
        <v>1350</v>
      </c>
      <c r="C24" s="14" t="s">
        <v>1351</v>
      </c>
      <c r="D24" s="14" t="s">
        <v>233</v>
      </c>
      <c r="E24" s="15" t="n">
        <v>390000</v>
      </c>
      <c r="F24" s="15" t="n">
        <v>4957.96</v>
      </c>
      <c r="G24" s="15" t="n">
        <v>619.75</v>
      </c>
      <c r="H24" s="15" t="n">
        <v>619.75</v>
      </c>
      <c r="I24" s="15" t="n">
        <f aca="false">SUM(K24:T24)</f>
        <v>3718.5</v>
      </c>
      <c r="J24" s="15" t="n">
        <f aca="false">F24-(G24+H24+I24)</f>
        <v>-0.0399999999999636</v>
      </c>
      <c r="K24" s="15" t="n">
        <v>371.85</v>
      </c>
      <c r="L24" s="15" t="n">
        <v>371.85</v>
      </c>
      <c r="M24" s="15" t="n">
        <v>371.85</v>
      </c>
      <c r="N24" s="15" t="n">
        <v>371.85</v>
      </c>
      <c r="O24" s="15" t="n">
        <v>371.85</v>
      </c>
      <c r="P24" s="15" t="n">
        <v>371.85</v>
      </c>
      <c r="Q24" s="15" t="n">
        <v>371.85</v>
      </c>
      <c r="R24" s="15" t="n">
        <v>371.85</v>
      </c>
      <c r="S24" s="15" t="n">
        <v>371.85</v>
      </c>
      <c r="T24" s="15" t="n">
        <v>371.85</v>
      </c>
      <c r="U24" s="15" t="n">
        <v>350</v>
      </c>
      <c r="V24" s="15" t="n">
        <v>0</v>
      </c>
      <c r="W24" s="15" t="n">
        <f aca="false">U24+V24</f>
        <v>350</v>
      </c>
    </row>
    <row r="25" customFormat="false" ht="15" hidden="false" customHeight="false" outlineLevel="0" collapsed="false">
      <c r="A25" s="3" t="s">
        <v>1352</v>
      </c>
      <c r="B25" s="3" t="s">
        <v>1350</v>
      </c>
      <c r="C25" s="3" t="s">
        <v>1353</v>
      </c>
      <c r="D25" s="3" t="s">
        <v>115</v>
      </c>
      <c r="E25" s="13" t="n">
        <v>555000</v>
      </c>
      <c r="F25" s="13" t="n">
        <v>9883.55</v>
      </c>
      <c r="G25" s="13" t="n">
        <v>1235.44</v>
      </c>
      <c r="H25" s="13" t="n">
        <v>1235.44</v>
      </c>
      <c r="I25" s="13" t="n">
        <f aca="false">SUM(K25:T25)</f>
        <v>7412.7</v>
      </c>
      <c r="J25" s="13" t="n">
        <f aca="false">F25-(G25+H25+I25)</f>
        <v>-0.0300000000024738</v>
      </c>
      <c r="K25" s="13" t="n">
        <v>741.27</v>
      </c>
      <c r="L25" s="13" t="n">
        <v>741.27</v>
      </c>
      <c r="M25" s="13" t="n">
        <v>741.27</v>
      </c>
      <c r="N25" s="13" t="n">
        <v>741.27</v>
      </c>
      <c r="O25" s="13" t="n">
        <v>741.27</v>
      </c>
      <c r="P25" s="13" t="n">
        <v>741.27</v>
      </c>
      <c r="Q25" s="13" t="n">
        <v>741.27</v>
      </c>
      <c r="R25" s="13" t="n">
        <v>741.27</v>
      </c>
      <c r="S25" s="13" t="n">
        <v>741.27</v>
      </c>
      <c r="T25" s="13" t="n">
        <v>741.27</v>
      </c>
      <c r="U25" s="13" t="n">
        <v>350</v>
      </c>
      <c r="V25" s="13" t="n">
        <v>0</v>
      </c>
      <c r="W25" s="13" t="n">
        <f aca="false">U25+V25</f>
        <v>350</v>
      </c>
    </row>
    <row r="26" customFormat="false" ht="15" hidden="false" customHeight="false" outlineLevel="0" collapsed="false">
      <c r="A26" s="14" t="s">
        <v>1354</v>
      </c>
      <c r="B26" s="14" t="s">
        <v>1333</v>
      </c>
      <c r="C26" s="14" t="s">
        <v>810</v>
      </c>
      <c r="D26" s="14" t="s">
        <v>132</v>
      </c>
      <c r="E26" s="15" t="n">
        <v>595000</v>
      </c>
      <c r="F26" s="15" t="n">
        <v>6689.32</v>
      </c>
      <c r="G26" s="15" t="n">
        <v>836.16</v>
      </c>
      <c r="H26" s="15" t="n">
        <v>836.16</v>
      </c>
      <c r="I26" s="15" t="n">
        <f aca="false">SUM(K26:T26)</f>
        <v>5017</v>
      </c>
      <c r="J26" s="15" t="n">
        <f aca="false">F26-(G26+H26+I26)</f>
        <v>0</v>
      </c>
      <c r="K26" s="15" t="n">
        <v>501.7</v>
      </c>
      <c r="L26" s="15" t="n">
        <v>501.7</v>
      </c>
      <c r="M26" s="15" t="n">
        <v>501.7</v>
      </c>
      <c r="N26" s="15" t="n">
        <v>501.7</v>
      </c>
      <c r="O26" s="15" t="n">
        <v>501.7</v>
      </c>
      <c r="P26" s="15" t="n">
        <v>501.7</v>
      </c>
      <c r="Q26" s="15" t="n">
        <v>501.7</v>
      </c>
      <c r="R26" s="15" t="n">
        <v>501.7</v>
      </c>
      <c r="S26" s="15" t="n">
        <v>501.7</v>
      </c>
      <c r="T26" s="15" t="n">
        <v>501.7</v>
      </c>
      <c r="U26" s="15" t="n">
        <v>350</v>
      </c>
      <c r="V26" s="15" t="n">
        <v>0</v>
      </c>
      <c r="W26" s="15" t="n">
        <f aca="false">U26+V26</f>
        <v>350</v>
      </c>
    </row>
    <row r="27" customFormat="false" ht="15" hidden="false" customHeight="false" outlineLevel="0" collapsed="false">
      <c r="A27" s="3" t="s">
        <v>1355</v>
      </c>
      <c r="B27" s="3" t="s">
        <v>1340</v>
      </c>
      <c r="C27" s="3" t="s">
        <v>1356</v>
      </c>
      <c r="D27" s="3" t="s">
        <v>230</v>
      </c>
      <c r="E27" s="13" t="n">
        <v>360000</v>
      </c>
      <c r="F27" s="13" t="n">
        <v>5557.27</v>
      </c>
      <c r="G27" s="13" t="n">
        <v>694.66</v>
      </c>
      <c r="H27" s="13" t="n">
        <v>694.66</v>
      </c>
      <c r="I27" s="13" t="n">
        <f aca="false">SUM(K27:T27)</f>
        <v>4168</v>
      </c>
      <c r="J27" s="13" t="n">
        <f aca="false">F27-(G27+H27+I27)</f>
        <v>-0.0499999999992724</v>
      </c>
      <c r="K27" s="13" t="n">
        <v>416.8</v>
      </c>
      <c r="L27" s="13" t="n">
        <v>416.8</v>
      </c>
      <c r="M27" s="13" t="n">
        <v>416.8</v>
      </c>
      <c r="N27" s="13" t="n">
        <v>416.8</v>
      </c>
      <c r="O27" s="13" t="n">
        <v>416.8</v>
      </c>
      <c r="P27" s="13" t="n">
        <v>416.8</v>
      </c>
      <c r="Q27" s="13" t="n">
        <v>416.8</v>
      </c>
      <c r="R27" s="13" t="n">
        <v>416.8</v>
      </c>
      <c r="S27" s="13" t="n">
        <v>416.8</v>
      </c>
      <c r="T27" s="13" t="n">
        <v>416.8</v>
      </c>
      <c r="U27" s="13" t="n">
        <v>350</v>
      </c>
      <c r="V27" s="13" t="n">
        <v>0</v>
      </c>
      <c r="W27" s="13" t="n">
        <f aca="false">U27+V27</f>
        <v>350</v>
      </c>
    </row>
    <row r="28" customFormat="false" ht="15" hidden="false" customHeight="false" outlineLevel="0" collapsed="false">
      <c r="A28" s="14" t="s">
        <v>1357</v>
      </c>
      <c r="B28" s="14" t="s">
        <v>1358</v>
      </c>
      <c r="C28" s="14" t="s">
        <v>281</v>
      </c>
      <c r="D28" s="14" t="s">
        <v>180</v>
      </c>
      <c r="E28" s="15" t="n">
        <v>290000</v>
      </c>
      <c r="F28" s="15" t="n">
        <v>4551.94</v>
      </c>
      <c r="G28" s="15" t="n">
        <v>568.99</v>
      </c>
      <c r="H28" s="15" t="n">
        <v>568.99</v>
      </c>
      <c r="I28" s="15" t="n">
        <f aca="false">SUM(K28:T28)</f>
        <v>3414</v>
      </c>
      <c r="J28" s="15" t="n">
        <f aca="false">F28-(G28+H28+I28)</f>
        <v>-0.0399999999999636</v>
      </c>
      <c r="K28" s="15" t="n">
        <v>341.4</v>
      </c>
      <c r="L28" s="15" t="n">
        <v>341.4</v>
      </c>
      <c r="M28" s="15" t="n">
        <v>341.4</v>
      </c>
      <c r="N28" s="15" t="n">
        <v>341.4</v>
      </c>
      <c r="O28" s="15" t="n">
        <v>341.4</v>
      </c>
      <c r="P28" s="15" t="n">
        <v>341.4</v>
      </c>
      <c r="Q28" s="15" t="n">
        <v>341.4</v>
      </c>
      <c r="R28" s="15" t="n">
        <v>341.4</v>
      </c>
      <c r="S28" s="15" t="n">
        <v>341.4</v>
      </c>
      <c r="T28" s="15" t="n">
        <v>341.4</v>
      </c>
      <c r="U28" s="15" t="n">
        <v>350</v>
      </c>
      <c r="V28" s="15" t="n">
        <v>0</v>
      </c>
      <c r="W28" s="15" t="n">
        <f aca="false">U28+V28</f>
        <v>350</v>
      </c>
    </row>
    <row r="29" customFormat="false" ht="15" hidden="false" customHeight="false" outlineLevel="0" collapsed="false">
      <c r="A29" s="3" t="s">
        <v>1359</v>
      </c>
      <c r="B29" s="3" t="s">
        <v>1333</v>
      </c>
      <c r="C29" s="3" t="s">
        <v>1360</v>
      </c>
      <c r="D29" s="3" t="s">
        <v>406</v>
      </c>
      <c r="E29" s="13" t="n">
        <v>345000</v>
      </c>
      <c r="F29" s="13" t="n">
        <v>6381.92</v>
      </c>
      <c r="G29" s="13" t="n">
        <v>797.74</v>
      </c>
      <c r="H29" s="13" t="n">
        <v>797.74</v>
      </c>
      <c r="I29" s="13" t="n">
        <f aca="false">SUM(K29:T29)</f>
        <v>4786.4</v>
      </c>
      <c r="J29" s="13" t="n">
        <f aca="false">F29-(G29+H29+I29)</f>
        <v>0.0399999999990541</v>
      </c>
      <c r="K29" s="13" t="n">
        <v>478.64</v>
      </c>
      <c r="L29" s="13" t="n">
        <v>478.64</v>
      </c>
      <c r="M29" s="13" t="n">
        <v>478.64</v>
      </c>
      <c r="N29" s="13" t="n">
        <v>478.64</v>
      </c>
      <c r="O29" s="13" t="n">
        <v>478.64</v>
      </c>
      <c r="P29" s="13" t="n">
        <v>478.64</v>
      </c>
      <c r="Q29" s="13" t="n">
        <v>478.64</v>
      </c>
      <c r="R29" s="13" t="n">
        <v>478.64</v>
      </c>
      <c r="S29" s="13" t="n">
        <v>478.64</v>
      </c>
      <c r="T29" s="13" t="n">
        <v>478.64</v>
      </c>
      <c r="U29" s="13" t="n">
        <v>350</v>
      </c>
      <c r="V29" s="13" t="n">
        <v>0</v>
      </c>
      <c r="W29" s="13" t="n">
        <f aca="false">U29+V29</f>
        <v>350</v>
      </c>
    </row>
    <row r="30" customFormat="false" ht="15" hidden="false" customHeight="false" outlineLevel="0" collapsed="false">
      <c r="A30" s="14" t="s">
        <v>1361</v>
      </c>
      <c r="B30" s="14" t="s">
        <v>1321</v>
      </c>
      <c r="C30" s="14" t="s">
        <v>349</v>
      </c>
      <c r="D30" s="14" t="s">
        <v>180</v>
      </c>
      <c r="E30" s="15" t="n">
        <v>420000</v>
      </c>
      <c r="F30" s="15" t="n">
        <v>6592.46</v>
      </c>
      <c r="G30" s="15" t="n">
        <v>824.06</v>
      </c>
      <c r="H30" s="15" t="n">
        <v>824.06</v>
      </c>
      <c r="I30" s="15" t="n">
        <f aca="false">SUM(K30:T30)</f>
        <v>4944.3</v>
      </c>
      <c r="J30" s="15" t="n">
        <f aca="false">F30-(G30+H30+I30)</f>
        <v>0.0399999999999636</v>
      </c>
      <c r="K30" s="15" t="n">
        <v>494.43</v>
      </c>
      <c r="L30" s="15" t="n">
        <v>494.43</v>
      </c>
      <c r="M30" s="15" t="n">
        <v>494.43</v>
      </c>
      <c r="N30" s="15" t="n">
        <v>494.43</v>
      </c>
      <c r="O30" s="15" t="n">
        <v>494.43</v>
      </c>
      <c r="P30" s="15" t="n">
        <v>494.43</v>
      </c>
      <c r="Q30" s="15" t="n">
        <v>494.43</v>
      </c>
      <c r="R30" s="15" t="n">
        <v>494.43</v>
      </c>
      <c r="S30" s="15" t="n">
        <v>494.43</v>
      </c>
      <c r="T30" s="15" t="n">
        <v>494.43</v>
      </c>
      <c r="U30" s="15" t="n">
        <v>350</v>
      </c>
      <c r="V30" s="15" t="n">
        <v>0</v>
      </c>
      <c r="W30" s="15" t="n">
        <f aca="false">U30+V30</f>
        <v>350</v>
      </c>
    </row>
    <row r="31" customFormat="false" ht="15" hidden="false" customHeight="false" outlineLevel="0" collapsed="false">
      <c r="A31" s="3" t="s">
        <v>1362</v>
      </c>
      <c r="B31" s="3" t="s">
        <v>1363</v>
      </c>
      <c r="C31" s="3" t="s">
        <v>1364</v>
      </c>
      <c r="D31" s="3" t="s">
        <v>157</v>
      </c>
      <c r="E31" s="13" t="n">
        <v>440000</v>
      </c>
      <c r="F31" s="13" t="n">
        <v>9509.88</v>
      </c>
      <c r="G31" s="13" t="n">
        <v>1188.73</v>
      </c>
      <c r="H31" s="13" t="n">
        <v>1188.73</v>
      </c>
      <c r="I31" s="13" t="n">
        <f aca="false">SUM(K31:T31)</f>
        <v>7132.4</v>
      </c>
      <c r="J31" s="13" t="n">
        <f aca="false">F31-(G31+H31+I31)</f>
        <v>0.0199999999986176</v>
      </c>
      <c r="K31" s="13" t="n">
        <v>713.24</v>
      </c>
      <c r="L31" s="13" t="n">
        <v>713.24</v>
      </c>
      <c r="M31" s="13" t="n">
        <v>713.24</v>
      </c>
      <c r="N31" s="13" t="n">
        <v>713.24</v>
      </c>
      <c r="O31" s="13" t="n">
        <v>713.24</v>
      </c>
      <c r="P31" s="13" t="n">
        <v>713.24</v>
      </c>
      <c r="Q31" s="13" t="n">
        <v>713.24</v>
      </c>
      <c r="R31" s="13" t="n">
        <v>713.24</v>
      </c>
      <c r="S31" s="13" t="n">
        <v>713.24</v>
      </c>
      <c r="T31" s="13" t="n">
        <v>713.24</v>
      </c>
      <c r="U31" s="13" t="n">
        <v>350</v>
      </c>
      <c r="V31" s="13" t="n">
        <v>0</v>
      </c>
      <c r="W31" s="13" t="n">
        <f aca="false">U31+V31</f>
        <v>350</v>
      </c>
    </row>
    <row r="32" customFormat="false" ht="15" hidden="false" customHeight="false" outlineLevel="0" collapsed="false">
      <c r="A32" s="14" t="s">
        <v>1365</v>
      </c>
      <c r="B32" s="14" t="s">
        <v>1321</v>
      </c>
      <c r="C32" s="14" t="s">
        <v>484</v>
      </c>
      <c r="D32" s="14" t="s">
        <v>157</v>
      </c>
      <c r="E32" s="15" t="n">
        <v>455000</v>
      </c>
      <c r="F32" s="15" t="n">
        <v>8381.31</v>
      </c>
      <c r="G32" s="15" t="n">
        <v>1047.66</v>
      </c>
      <c r="H32" s="15" t="n">
        <v>1047.66</v>
      </c>
      <c r="I32" s="15" t="n">
        <f aca="false">SUM(K32:T32)</f>
        <v>6286</v>
      </c>
      <c r="J32" s="15" t="n">
        <f aca="false">F32-(G32+H32+I32)</f>
        <v>-0.0100000000020373</v>
      </c>
      <c r="K32" s="15" t="n">
        <v>628.6</v>
      </c>
      <c r="L32" s="15" t="n">
        <v>628.6</v>
      </c>
      <c r="M32" s="15" t="n">
        <v>628.6</v>
      </c>
      <c r="N32" s="15" t="n">
        <v>628.6</v>
      </c>
      <c r="O32" s="15" t="n">
        <v>628.6</v>
      </c>
      <c r="P32" s="15" t="n">
        <v>628.6</v>
      </c>
      <c r="Q32" s="15" t="n">
        <v>628.6</v>
      </c>
      <c r="R32" s="15" t="n">
        <v>628.6</v>
      </c>
      <c r="S32" s="15" t="n">
        <v>628.6</v>
      </c>
      <c r="T32" s="15" t="n">
        <v>628.6</v>
      </c>
      <c r="U32" s="15" t="n">
        <v>350</v>
      </c>
      <c r="V32" s="15" t="n">
        <v>0</v>
      </c>
      <c r="W32" s="15" t="n">
        <f aca="false">U32+V32</f>
        <v>350</v>
      </c>
    </row>
    <row r="33" customFormat="false" ht="15" hidden="false" customHeight="false" outlineLevel="0" collapsed="false">
      <c r="A33" s="3" t="s">
        <v>1366</v>
      </c>
      <c r="B33" s="3" t="s">
        <v>1367</v>
      </c>
      <c r="C33" s="3" t="s">
        <v>835</v>
      </c>
      <c r="D33" s="3" t="s">
        <v>256</v>
      </c>
      <c r="E33" s="13" t="n">
        <v>200000</v>
      </c>
      <c r="F33" s="13" t="n">
        <v>4232.73</v>
      </c>
      <c r="G33" s="13" t="n">
        <v>529.09</v>
      </c>
      <c r="H33" s="13" t="n">
        <v>529.09</v>
      </c>
      <c r="I33" s="13" t="n">
        <f aca="false">SUM(K33:T33)</f>
        <v>3174.5</v>
      </c>
      <c r="J33" s="13" t="n">
        <f aca="false">F33-(G33+H33+I33)</f>
        <v>0.0500000000001819</v>
      </c>
      <c r="K33" s="13" t="n">
        <v>317.45</v>
      </c>
      <c r="L33" s="13" t="n">
        <v>317.45</v>
      </c>
      <c r="M33" s="13" t="n">
        <v>317.45</v>
      </c>
      <c r="N33" s="13" t="n">
        <v>317.45</v>
      </c>
      <c r="O33" s="13" t="n">
        <v>317.45</v>
      </c>
      <c r="P33" s="13" t="n">
        <v>317.45</v>
      </c>
      <c r="Q33" s="13" t="n">
        <v>317.45</v>
      </c>
      <c r="R33" s="13" t="n">
        <v>317.45</v>
      </c>
      <c r="S33" s="13" t="n">
        <v>317.45</v>
      </c>
      <c r="T33" s="13" t="n">
        <v>317.45</v>
      </c>
      <c r="U33" s="13" t="n">
        <v>350</v>
      </c>
      <c r="V33" s="13" t="n">
        <v>0</v>
      </c>
      <c r="W33" s="13" t="n">
        <f aca="false">U33+V33</f>
        <v>350</v>
      </c>
    </row>
    <row r="34" customFormat="false" ht="15" hidden="false" customHeight="false" outlineLevel="0" collapsed="false">
      <c r="A34" s="14" t="s">
        <v>1368</v>
      </c>
      <c r="B34" s="14" t="s">
        <v>1369</v>
      </c>
      <c r="C34" s="14" t="s">
        <v>1063</v>
      </c>
      <c r="D34" s="14" t="s">
        <v>102</v>
      </c>
      <c r="E34" s="15" t="n">
        <v>1050000</v>
      </c>
      <c r="F34" s="15" t="n">
        <v>11486.86</v>
      </c>
      <c r="G34" s="15" t="n">
        <v>1435.86</v>
      </c>
      <c r="H34" s="15" t="n">
        <v>1435.86</v>
      </c>
      <c r="I34" s="15" t="n">
        <f aca="false">SUM(K34:T34)</f>
        <v>8615.1</v>
      </c>
      <c r="J34" s="15" t="n">
        <f aca="false">F34-(G34+H34+I34)</f>
        <v>0.0400000000008731</v>
      </c>
      <c r="K34" s="15" t="n">
        <v>861.51</v>
      </c>
      <c r="L34" s="15" t="n">
        <v>861.51</v>
      </c>
      <c r="M34" s="15" t="n">
        <v>861.51</v>
      </c>
      <c r="N34" s="15" t="n">
        <v>861.51</v>
      </c>
      <c r="O34" s="15" t="n">
        <v>861.51</v>
      </c>
      <c r="P34" s="15" t="n">
        <v>861.51</v>
      </c>
      <c r="Q34" s="15" t="n">
        <v>861.51</v>
      </c>
      <c r="R34" s="15" t="n">
        <v>861.51</v>
      </c>
      <c r="S34" s="15" t="n">
        <v>861.51</v>
      </c>
      <c r="T34" s="15" t="n">
        <v>861.51</v>
      </c>
      <c r="U34" s="15" t="n">
        <v>350</v>
      </c>
      <c r="V34" s="15" t="n">
        <v>250</v>
      </c>
      <c r="W34" s="15" t="n">
        <f aca="false">U34+V34</f>
        <v>600</v>
      </c>
    </row>
    <row r="35" customFormat="false" ht="15" hidden="false" customHeight="false" outlineLevel="0" collapsed="false">
      <c r="A35" s="3" t="s">
        <v>1370</v>
      </c>
      <c r="B35" s="3" t="s">
        <v>1371</v>
      </c>
      <c r="C35" s="3" t="s">
        <v>237</v>
      </c>
      <c r="D35" s="3" t="s">
        <v>406</v>
      </c>
      <c r="E35" s="13" t="n">
        <v>455000</v>
      </c>
      <c r="F35" s="13" t="n">
        <v>5489.17</v>
      </c>
      <c r="G35" s="13" t="n">
        <v>686.15</v>
      </c>
      <c r="H35" s="13" t="n">
        <v>686.15</v>
      </c>
      <c r="I35" s="13" t="n">
        <f aca="false">SUM(K35:T35)</f>
        <v>4116.9</v>
      </c>
      <c r="J35" s="13" t="n">
        <f aca="false">F35-(G35+H35+I35)</f>
        <v>-0.0299999999997453</v>
      </c>
      <c r="K35" s="13" t="n">
        <v>411.69</v>
      </c>
      <c r="L35" s="13" t="n">
        <v>411.69</v>
      </c>
      <c r="M35" s="13" t="n">
        <v>411.69</v>
      </c>
      <c r="N35" s="13" t="n">
        <v>411.69</v>
      </c>
      <c r="O35" s="13" t="n">
        <v>411.69</v>
      </c>
      <c r="P35" s="13" t="n">
        <v>411.69</v>
      </c>
      <c r="Q35" s="13" t="n">
        <v>411.69</v>
      </c>
      <c r="R35" s="13" t="n">
        <v>411.69</v>
      </c>
      <c r="S35" s="13" t="n">
        <v>411.69</v>
      </c>
      <c r="T35" s="13" t="n">
        <v>411.69</v>
      </c>
      <c r="U35" s="13" t="n">
        <v>350</v>
      </c>
      <c r="V35" s="13" t="n">
        <v>0</v>
      </c>
      <c r="W35" s="13" t="n">
        <f aca="false">U35+V35</f>
        <v>350</v>
      </c>
    </row>
    <row r="36" customFormat="false" ht="15" hidden="false" customHeight="false" outlineLevel="0" collapsed="false">
      <c r="A36" s="14" t="s">
        <v>1372</v>
      </c>
      <c r="B36" s="14" t="s">
        <v>1373</v>
      </c>
      <c r="C36" s="14" t="s">
        <v>432</v>
      </c>
      <c r="D36" s="14" t="s">
        <v>138</v>
      </c>
      <c r="E36" s="15" t="n">
        <v>820000</v>
      </c>
      <c r="F36" s="15" t="n">
        <v>7013.44</v>
      </c>
      <c r="G36" s="15" t="n">
        <v>876.68</v>
      </c>
      <c r="H36" s="15" t="n">
        <v>876.68</v>
      </c>
      <c r="I36" s="15" t="n">
        <f aca="false">SUM(K36:T36)</f>
        <v>5260.1</v>
      </c>
      <c r="J36" s="15" t="n">
        <f aca="false">F36-(G36+H36+I36)</f>
        <v>-0.0200000000004366</v>
      </c>
      <c r="K36" s="15" t="n">
        <v>526.01</v>
      </c>
      <c r="L36" s="15" t="n">
        <v>526.01</v>
      </c>
      <c r="M36" s="15" t="n">
        <v>526.01</v>
      </c>
      <c r="N36" s="15" t="n">
        <v>526.01</v>
      </c>
      <c r="O36" s="15" t="n">
        <v>526.01</v>
      </c>
      <c r="P36" s="15" t="n">
        <v>526.01</v>
      </c>
      <c r="Q36" s="15" t="n">
        <v>526.01</v>
      </c>
      <c r="R36" s="15" t="n">
        <v>526.01</v>
      </c>
      <c r="S36" s="15" t="n">
        <v>526.01</v>
      </c>
      <c r="T36" s="15" t="n">
        <v>526.01</v>
      </c>
      <c r="U36" s="15" t="n">
        <v>350</v>
      </c>
      <c r="V36" s="15" t="n">
        <v>0</v>
      </c>
      <c r="W36" s="15" t="n">
        <f aca="false">U36+V36</f>
        <v>350</v>
      </c>
    </row>
    <row r="37" customFormat="false" ht="15" hidden="false" customHeight="false" outlineLevel="0" collapsed="false">
      <c r="A37" s="3" t="s">
        <v>1374</v>
      </c>
      <c r="B37" s="3" t="s">
        <v>1375</v>
      </c>
      <c r="C37" s="3" t="s">
        <v>1112</v>
      </c>
      <c r="D37" s="3" t="s">
        <v>125</v>
      </c>
      <c r="E37" s="13" t="n">
        <v>305000</v>
      </c>
      <c r="F37" s="13" t="n">
        <v>3798.25</v>
      </c>
      <c r="G37" s="13" t="n">
        <v>474.78</v>
      </c>
      <c r="H37" s="13" t="n">
        <v>474.78</v>
      </c>
      <c r="I37" s="13" t="n">
        <f aca="false">SUM(K37:T37)</f>
        <v>2848.7</v>
      </c>
      <c r="J37" s="13" t="n">
        <f aca="false">F37-(G37+H37+I37)</f>
        <v>-0.00999999999976353</v>
      </c>
      <c r="K37" s="13" t="n">
        <v>284.87</v>
      </c>
      <c r="L37" s="13" t="n">
        <v>284.87</v>
      </c>
      <c r="M37" s="13" t="n">
        <v>284.87</v>
      </c>
      <c r="N37" s="13" t="n">
        <v>284.87</v>
      </c>
      <c r="O37" s="13" t="n">
        <v>284.87</v>
      </c>
      <c r="P37" s="13" t="n">
        <v>284.87</v>
      </c>
      <c r="Q37" s="13" t="n">
        <v>284.87</v>
      </c>
      <c r="R37" s="13" t="n">
        <v>284.87</v>
      </c>
      <c r="S37" s="13" t="n">
        <v>284.87</v>
      </c>
      <c r="T37" s="13" t="n">
        <v>284.87</v>
      </c>
      <c r="U37" s="13" t="n">
        <v>350</v>
      </c>
      <c r="V37" s="13" t="n">
        <v>0</v>
      </c>
      <c r="W37" s="13" t="n">
        <f aca="false">U37+V37</f>
        <v>350</v>
      </c>
    </row>
    <row r="38" customFormat="false" ht="15" hidden="false" customHeight="false" outlineLevel="0" collapsed="false">
      <c r="A38" s="14" t="s">
        <v>1376</v>
      </c>
      <c r="B38" s="14" t="s">
        <v>1371</v>
      </c>
      <c r="C38" s="14" t="s">
        <v>1377</v>
      </c>
      <c r="D38" s="14" t="s">
        <v>99</v>
      </c>
      <c r="E38" s="15" t="n">
        <v>415000</v>
      </c>
      <c r="F38" s="15" t="n">
        <v>7321.49</v>
      </c>
      <c r="G38" s="15" t="n">
        <v>915.19</v>
      </c>
      <c r="H38" s="15" t="n">
        <v>915.19</v>
      </c>
      <c r="I38" s="15" t="n">
        <f aca="false">SUM(K38:T38)</f>
        <v>5491.1</v>
      </c>
      <c r="J38" s="15" t="n">
        <f aca="false">F38-(G38+H38+I38)</f>
        <v>0.0100000000002183</v>
      </c>
      <c r="K38" s="15" t="n">
        <v>549.11</v>
      </c>
      <c r="L38" s="15" t="n">
        <v>549.11</v>
      </c>
      <c r="M38" s="15" t="n">
        <v>549.11</v>
      </c>
      <c r="N38" s="15" t="n">
        <v>549.11</v>
      </c>
      <c r="O38" s="15" t="n">
        <v>549.11</v>
      </c>
      <c r="P38" s="15" t="n">
        <v>549.11</v>
      </c>
      <c r="Q38" s="15" t="n">
        <v>549.11</v>
      </c>
      <c r="R38" s="15" t="n">
        <v>549.11</v>
      </c>
      <c r="S38" s="15" t="n">
        <v>549.11</v>
      </c>
      <c r="T38" s="15" t="n">
        <v>549.11</v>
      </c>
      <c r="U38" s="15" t="n">
        <v>350</v>
      </c>
      <c r="V38" s="15" t="n">
        <v>0</v>
      </c>
      <c r="W38" s="15" t="n">
        <f aca="false">U38+V38</f>
        <v>350</v>
      </c>
    </row>
    <row r="39" customFormat="false" ht="15" hidden="false" customHeight="false" outlineLevel="0" collapsed="false">
      <c r="A39" s="3" t="s">
        <v>1378</v>
      </c>
      <c r="B39" s="3" t="s">
        <v>1315</v>
      </c>
      <c r="C39" s="3" t="s">
        <v>827</v>
      </c>
      <c r="D39" s="3" t="s">
        <v>125</v>
      </c>
      <c r="E39" s="13" t="n">
        <v>470000</v>
      </c>
      <c r="F39" s="13" t="n">
        <v>8974.67</v>
      </c>
      <c r="G39" s="13" t="n">
        <v>1121.83</v>
      </c>
      <c r="H39" s="13" t="n">
        <v>1121.83</v>
      </c>
      <c r="I39" s="13" t="n">
        <f aca="false">SUM(K39:T39)</f>
        <v>6731</v>
      </c>
      <c r="J39" s="13" t="n">
        <f aca="false">F39-(G39+H39+I39)</f>
        <v>0.0100000000002183</v>
      </c>
      <c r="K39" s="13" t="n">
        <v>673.1</v>
      </c>
      <c r="L39" s="13" t="n">
        <v>673.1</v>
      </c>
      <c r="M39" s="13" t="n">
        <v>673.1</v>
      </c>
      <c r="N39" s="13" t="n">
        <v>673.1</v>
      </c>
      <c r="O39" s="13" t="n">
        <v>673.1</v>
      </c>
      <c r="P39" s="13" t="n">
        <v>673.1</v>
      </c>
      <c r="Q39" s="13" t="n">
        <v>673.1</v>
      </c>
      <c r="R39" s="13" t="n">
        <v>673.1</v>
      </c>
      <c r="S39" s="13" t="n">
        <v>673.1</v>
      </c>
      <c r="T39" s="13" t="n">
        <v>673.1</v>
      </c>
      <c r="U39" s="13" t="n">
        <v>350</v>
      </c>
      <c r="V39" s="13" t="n">
        <v>0</v>
      </c>
      <c r="W39" s="13" t="n">
        <f aca="false">U39+V39</f>
        <v>350</v>
      </c>
    </row>
    <row r="40" customFormat="false" ht="15" hidden="false" customHeight="false" outlineLevel="0" collapsed="false">
      <c r="A40" s="14" t="s">
        <v>1379</v>
      </c>
      <c r="B40" s="14" t="s">
        <v>1380</v>
      </c>
      <c r="C40" s="14" t="s">
        <v>1381</v>
      </c>
      <c r="D40" s="14" t="s">
        <v>325</v>
      </c>
      <c r="E40" s="15" t="n">
        <v>595000</v>
      </c>
      <c r="F40" s="15" t="n">
        <v>9231.25</v>
      </c>
      <c r="G40" s="15" t="n">
        <v>1153.91</v>
      </c>
      <c r="H40" s="15" t="n">
        <v>1153.91</v>
      </c>
      <c r="I40" s="15" t="n">
        <f aca="false">SUM(K40:T40)</f>
        <v>6923.4</v>
      </c>
      <c r="J40" s="15" t="n">
        <f aca="false">F40-(G40+H40+I40)</f>
        <v>0.0299999999988358</v>
      </c>
      <c r="K40" s="15" t="n">
        <v>692.34</v>
      </c>
      <c r="L40" s="15" t="n">
        <v>692.34</v>
      </c>
      <c r="M40" s="15" t="n">
        <v>692.34</v>
      </c>
      <c r="N40" s="15" t="n">
        <v>692.34</v>
      </c>
      <c r="O40" s="15" t="n">
        <v>692.34</v>
      </c>
      <c r="P40" s="15" t="n">
        <v>692.34</v>
      </c>
      <c r="Q40" s="15" t="n">
        <v>692.34</v>
      </c>
      <c r="R40" s="15" t="n">
        <v>692.34</v>
      </c>
      <c r="S40" s="15" t="n">
        <v>692.34</v>
      </c>
      <c r="T40" s="15" t="n">
        <v>692.34</v>
      </c>
      <c r="U40" s="15" t="n">
        <v>350</v>
      </c>
      <c r="V40" s="15" t="n">
        <v>0</v>
      </c>
      <c r="W40" s="15" t="n">
        <f aca="false">U40+V40</f>
        <v>350</v>
      </c>
    </row>
    <row r="41" customFormat="false" ht="15" hidden="false" customHeight="false" outlineLevel="0" collapsed="false">
      <c r="A41" s="3" t="s">
        <v>1382</v>
      </c>
      <c r="B41" s="3" t="s">
        <v>1358</v>
      </c>
      <c r="C41" s="3" t="s">
        <v>526</v>
      </c>
      <c r="D41" s="3" t="s">
        <v>208</v>
      </c>
      <c r="E41" s="13" t="n">
        <v>940000</v>
      </c>
      <c r="F41" s="13" t="n">
        <v>20079.19</v>
      </c>
      <c r="G41" s="13" t="n">
        <v>2509.9</v>
      </c>
      <c r="H41" s="13" t="n">
        <v>2509.9</v>
      </c>
      <c r="I41" s="13" t="n">
        <f aca="false">SUM(K41:T41)</f>
        <v>15059.4</v>
      </c>
      <c r="J41" s="13" t="n">
        <f aca="false">F41-(G41+H41+I41)</f>
        <v>-0.0100000000020373</v>
      </c>
      <c r="K41" s="13" t="n">
        <v>1505.94</v>
      </c>
      <c r="L41" s="13" t="n">
        <v>1505.94</v>
      </c>
      <c r="M41" s="13" t="n">
        <v>1505.94</v>
      </c>
      <c r="N41" s="13" t="n">
        <v>1505.94</v>
      </c>
      <c r="O41" s="13" t="n">
        <v>1505.94</v>
      </c>
      <c r="P41" s="13" t="n">
        <v>1505.94</v>
      </c>
      <c r="Q41" s="13" t="n">
        <v>1505.94</v>
      </c>
      <c r="R41" s="13" t="n">
        <v>1505.94</v>
      </c>
      <c r="S41" s="13" t="n">
        <v>1505.94</v>
      </c>
      <c r="T41" s="13" t="n">
        <v>1505.94</v>
      </c>
      <c r="U41" s="13" t="n">
        <v>350</v>
      </c>
      <c r="V41" s="13" t="n">
        <v>0</v>
      </c>
      <c r="W41" s="13" t="n">
        <f aca="false">U41+V41</f>
        <v>350</v>
      </c>
    </row>
    <row r="42" customFormat="false" ht="15" hidden="false" customHeight="false" outlineLevel="0" collapsed="false">
      <c r="A42" s="14" t="s">
        <v>1383</v>
      </c>
      <c r="B42" s="14" t="s">
        <v>1375</v>
      </c>
      <c r="C42" s="14" t="s">
        <v>749</v>
      </c>
      <c r="D42" s="14" t="s">
        <v>157</v>
      </c>
      <c r="E42" s="15" t="n">
        <v>855000</v>
      </c>
      <c r="F42" s="15" t="n">
        <v>16379.49</v>
      </c>
      <c r="G42" s="15" t="n">
        <v>2047.44</v>
      </c>
      <c r="H42" s="15" t="n">
        <v>2047.44</v>
      </c>
      <c r="I42" s="15" t="n">
        <f aca="false">SUM(K42:T42)</f>
        <v>12284.6</v>
      </c>
      <c r="J42" s="15" t="n">
        <f aca="false">F42-(G42+H42+I42)</f>
        <v>0.0100000000002183</v>
      </c>
      <c r="K42" s="15" t="n">
        <v>1228.46</v>
      </c>
      <c r="L42" s="15" t="n">
        <v>1228.46</v>
      </c>
      <c r="M42" s="15" t="n">
        <v>1228.46</v>
      </c>
      <c r="N42" s="15" t="n">
        <v>1228.46</v>
      </c>
      <c r="O42" s="15" t="n">
        <v>1228.46</v>
      </c>
      <c r="P42" s="15" t="n">
        <v>1228.46</v>
      </c>
      <c r="Q42" s="15" t="n">
        <v>1228.46</v>
      </c>
      <c r="R42" s="15" t="n">
        <v>1228.46</v>
      </c>
      <c r="S42" s="15" t="n">
        <v>1228.46</v>
      </c>
      <c r="T42" s="15" t="n">
        <v>1228.46</v>
      </c>
      <c r="U42" s="15" t="n">
        <v>350</v>
      </c>
      <c r="V42" s="15" t="n">
        <v>0</v>
      </c>
      <c r="W42" s="15" t="n">
        <f aca="false">U42+V42</f>
        <v>350</v>
      </c>
    </row>
    <row r="43" customFormat="false" ht="15" hidden="false" customHeight="false" outlineLevel="0" collapsed="false">
      <c r="A43" s="3" t="s">
        <v>1384</v>
      </c>
      <c r="B43" s="3" t="s">
        <v>1371</v>
      </c>
      <c r="C43" s="3" t="s">
        <v>232</v>
      </c>
      <c r="D43" s="3" t="s">
        <v>180</v>
      </c>
      <c r="E43" s="13" t="n">
        <v>745000</v>
      </c>
      <c r="F43" s="13" t="n">
        <v>10134.6</v>
      </c>
      <c r="G43" s="13" t="n">
        <v>1266.83</v>
      </c>
      <c r="H43" s="13" t="n">
        <v>1266.83</v>
      </c>
      <c r="I43" s="13" t="n">
        <f aca="false">SUM(K43:T43)</f>
        <v>7601</v>
      </c>
      <c r="J43" s="13" t="n">
        <f aca="false">F43-(G43+H43+I43)</f>
        <v>-0.0599999999994907</v>
      </c>
      <c r="K43" s="13" t="n">
        <v>760.1</v>
      </c>
      <c r="L43" s="13" t="n">
        <v>760.1</v>
      </c>
      <c r="M43" s="13" t="n">
        <v>760.1</v>
      </c>
      <c r="N43" s="13" t="n">
        <v>760.1</v>
      </c>
      <c r="O43" s="13" t="n">
        <v>760.1</v>
      </c>
      <c r="P43" s="13" t="n">
        <v>760.1</v>
      </c>
      <c r="Q43" s="13" t="n">
        <v>760.1</v>
      </c>
      <c r="R43" s="13" t="n">
        <v>760.1</v>
      </c>
      <c r="S43" s="13" t="n">
        <v>760.1</v>
      </c>
      <c r="T43" s="13" t="n">
        <v>760.1</v>
      </c>
      <c r="U43" s="13" t="n">
        <v>350</v>
      </c>
      <c r="V43" s="13" t="n">
        <v>0</v>
      </c>
      <c r="W43" s="13" t="n">
        <f aca="false">U43+V43</f>
        <v>350</v>
      </c>
    </row>
    <row r="44" customFormat="false" ht="15" hidden="false" customHeight="false" outlineLevel="0" collapsed="false">
      <c r="A44" s="14" t="s">
        <v>1385</v>
      </c>
      <c r="B44" s="14" t="s">
        <v>1346</v>
      </c>
      <c r="C44" s="14" t="s">
        <v>582</v>
      </c>
      <c r="D44" s="14" t="s">
        <v>77</v>
      </c>
      <c r="E44" s="15" t="n">
        <v>210000</v>
      </c>
      <c r="F44" s="15" t="n">
        <v>6550.33</v>
      </c>
      <c r="G44" s="15" t="n">
        <v>818.79</v>
      </c>
      <c r="H44" s="15" t="n">
        <v>818.79</v>
      </c>
      <c r="I44" s="15" t="n">
        <f aca="false">SUM(K44:T44)</f>
        <v>4912.7</v>
      </c>
      <c r="J44" s="15" t="n">
        <f aca="false">F44-(G44+H44+I44)</f>
        <v>0.0499999999992724</v>
      </c>
      <c r="K44" s="15" t="n">
        <v>491.27</v>
      </c>
      <c r="L44" s="15" t="n">
        <v>491.27</v>
      </c>
      <c r="M44" s="15" t="n">
        <v>491.27</v>
      </c>
      <c r="N44" s="15" t="n">
        <v>491.27</v>
      </c>
      <c r="O44" s="15" t="n">
        <v>491.27</v>
      </c>
      <c r="P44" s="15" t="n">
        <v>491.27</v>
      </c>
      <c r="Q44" s="15" t="n">
        <v>491.27</v>
      </c>
      <c r="R44" s="15" t="n">
        <v>491.27</v>
      </c>
      <c r="S44" s="15" t="n">
        <v>491.27</v>
      </c>
      <c r="T44" s="15" t="n">
        <v>491.27</v>
      </c>
      <c r="U44" s="15" t="n">
        <v>350</v>
      </c>
      <c r="V44" s="15" t="n">
        <v>0</v>
      </c>
      <c r="W44" s="15" t="n">
        <f aca="false">U44+V44</f>
        <v>350</v>
      </c>
    </row>
    <row r="45" customFormat="false" ht="15" hidden="false" customHeight="false" outlineLevel="0" collapsed="false">
      <c r="A45" s="3" t="s">
        <v>1386</v>
      </c>
      <c r="B45" s="3" t="s">
        <v>1358</v>
      </c>
      <c r="C45" s="3" t="s">
        <v>366</v>
      </c>
      <c r="D45" s="3" t="s">
        <v>93</v>
      </c>
      <c r="E45" s="13" t="n">
        <v>535000</v>
      </c>
      <c r="F45" s="13" t="n">
        <v>7698.9</v>
      </c>
      <c r="G45" s="13" t="n">
        <v>962.36</v>
      </c>
      <c r="H45" s="13" t="n">
        <v>962.36</v>
      </c>
      <c r="I45" s="13" t="n">
        <f aca="false">SUM(K45:T45)</f>
        <v>5774.2</v>
      </c>
      <c r="J45" s="13" t="n">
        <f aca="false">F45-(G45+H45+I45)</f>
        <v>-0.0200000000004366</v>
      </c>
      <c r="K45" s="13" t="n">
        <v>577.42</v>
      </c>
      <c r="L45" s="13" t="n">
        <v>577.42</v>
      </c>
      <c r="M45" s="13" t="n">
        <v>577.42</v>
      </c>
      <c r="N45" s="13" t="n">
        <v>577.42</v>
      </c>
      <c r="O45" s="13" t="n">
        <v>577.42</v>
      </c>
      <c r="P45" s="13" t="n">
        <v>577.42</v>
      </c>
      <c r="Q45" s="13" t="n">
        <v>577.42</v>
      </c>
      <c r="R45" s="13" t="n">
        <v>577.42</v>
      </c>
      <c r="S45" s="13" t="n">
        <v>577.42</v>
      </c>
      <c r="T45" s="13" t="n">
        <v>577.42</v>
      </c>
      <c r="U45" s="13" t="n">
        <v>350</v>
      </c>
      <c r="V45" s="13" t="n">
        <v>0</v>
      </c>
      <c r="W45" s="13" t="n">
        <f aca="false">U45+V45</f>
        <v>350</v>
      </c>
    </row>
    <row r="46" customFormat="false" ht="15" hidden="false" customHeight="false" outlineLevel="0" collapsed="false">
      <c r="A46" s="14" t="s">
        <v>1387</v>
      </c>
      <c r="B46" s="14" t="s">
        <v>1358</v>
      </c>
      <c r="C46" s="14" t="s">
        <v>679</v>
      </c>
      <c r="D46" s="14" t="s">
        <v>109</v>
      </c>
      <c r="E46" s="15" t="n">
        <v>390000</v>
      </c>
      <c r="F46" s="15" t="n">
        <v>6323.93</v>
      </c>
      <c r="G46" s="15" t="n">
        <v>790.49</v>
      </c>
      <c r="H46" s="15" t="n">
        <v>790.49</v>
      </c>
      <c r="I46" s="15" t="n">
        <f aca="false">SUM(K46:T46)</f>
        <v>4742.9</v>
      </c>
      <c r="J46" s="15" t="n">
        <f aca="false">F46-(G46+H46+I46)</f>
        <v>0.0499999999992724</v>
      </c>
      <c r="K46" s="15" t="n">
        <v>474.29</v>
      </c>
      <c r="L46" s="15" t="n">
        <v>474.29</v>
      </c>
      <c r="M46" s="15" t="n">
        <v>474.29</v>
      </c>
      <c r="N46" s="15" t="n">
        <v>474.29</v>
      </c>
      <c r="O46" s="15" t="n">
        <v>474.29</v>
      </c>
      <c r="P46" s="15" t="n">
        <v>474.29</v>
      </c>
      <c r="Q46" s="15" t="n">
        <v>474.29</v>
      </c>
      <c r="R46" s="15" t="n">
        <v>474.29</v>
      </c>
      <c r="S46" s="15" t="n">
        <v>474.29</v>
      </c>
      <c r="T46" s="15" t="n">
        <v>474.29</v>
      </c>
      <c r="U46" s="15" t="n">
        <v>350</v>
      </c>
      <c r="V46" s="15" t="n">
        <v>0</v>
      </c>
      <c r="W46" s="15" t="n">
        <f aca="false">U46+V46</f>
        <v>350</v>
      </c>
    </row>
    <row r="47" customFormat="false" ht="15" hidden="false" customHeight="false" outlineLevel="0" collapsed="false">
      <c r="A47" s="3" t="s">
        <v>1388</v>
      </c>
      <c r="B47" s="3" t="s">
        <v>1389</v>
      </c>
      <c r="C47" s="3" t="s">
        <v>333</v>
      </c>
      <c r="D47" s="3" t="s">
        <v>85</v>
      </c>
      <c r="E47" s="13" t="n">
        <v>330000</v>
      </c>
      <c r="F47" s="13" t="n">
        <v>5950.34</v>
      </c>
      <c r="G47" s="13" t="n">
        <v>743.79</v>
      </c>
      <c r="H47" s="13" t="n">
        <v>743.79</v>
      </c>
      <c r="I47" s="13" t="n">
        <f aca="false">SUM(K47:T47)</f>
        <v>4462.8</v>
      </c>
      <c r="J47" s="13" t="n">
        <f aca="false">F47-(G47+H47+I47)</f>
        <v>-0.0399999999990541</v>
      </c>
      <c r="K47" s="13" t="n">
        <v>446.28</v>
      </c>
      <c r="L47" s="13" t="n">
        <v>446.28</v>
      </c>
      <c r="M47" s="13" t="n">
        <v>446.28</v>
      </c>
      <c r="N47" s="13" t="n">
        <v>446.28</v>
      </c>
      <c r="O47" s="13" t="n">
        <v>446.28</v>
      </c>
      <c r="P47" s="13" t="n">
        <v>446.28</v>
      </c>
      <c r="Q47" s="13" t="n">
        <v>446.28</v>
      </c>
      <c r="R47" s="13" t="n">
        <v>446.28</v>
      </c>
      <c r="S47" s="13" t="n">
        <v>446.28</v>
      </c>
      <c r="T47" s="13" t="n">
        <v>446.28</v>
      </c>
      <c r="U47" s="13" t="n">
        <v>350</v>
      </c>
      <c r="V47" s="13" t="n">
        <v>0</v>
      </c>
      <c r="W47" s="13" t="n">
        <f aca="false">U47+V47</f>
        <v>350</v>
      </c>
    </row>
    <row r="48" customFormat="false" ht="15" hidden="false" customHeight="false" outlineLevel="0" collapsed="false">
      <c r="A48" s="14" t="s">
        <v>1390</v>
      </c>
      <c r="B48" s="14" t="s">
        <v>1337</v>
      </c>
      <c r="C48" s="14" t="s">
        <v>1391</v>
      </c>
      <c r="D48" s="14" t="s">
        <v>93</v>
      </c>
      <c r="E48" s="15" t="n">
        <v>385000</v>
      </c>
      <c r="F48" s="15" t="n">
        <v>4091.31</v>
      </c>
      <c r="G48" s="15" t="n">
        <v>511.41</v>
      </c>
      <c r="H48" s="15" t="n">
        <v>511.41</v>
      </c>
      <c r="I48" s="15" t="n">
        <f aca="false">SUM(K48:T48)</f>
        <v>3068.5</v>
      </c>
      <c r="J48" s="15" t="n">
        <f aca="false">F48-(G48+H48+I48)</f>
        <v>-0.0100000000002183</v>
      </c>
      <c r="K48" s="15" t="n">
        <v>306.85</v>
      </c>
      <c r="L48" s="15" t="n">
        <v>306.85</v>
      </c>
      <c r="M48" s="15" t="n">
        <v>306.85</v>
      </c>
      <c r="N48" s="15" t="n">
        <v>306.85</v>
      </c>
      <c r="O48" s="15" t="n">
        <v>306.85</v>
      </c>
      <c r="P48" s="15" t="n">
        <v>306.85</v>
      </c>
      <c r="Q48" s="15" t="n">
        <v>306.85</v>
      </c>
      <c r="R48" s="15" t="n">
        <v>306.85</v>
      </c>
      <c r="S48" s="15" t="n">
        <v>306.85</v>
      </c>
      <c r="T48" s="15" t="n">
        <v>306.85</v>
      </c>
      <c r="U48" s="15" t="n">
        <v>350</v>
      </c>
      <c r="V48" s="15" t="n">
        <v>0</v>
      </c>
      <c r="W48" s="15" t="n">
        <f aca="false">U48+V48</f>
        <v>350</v>
      </c>
    </row>
    <row r="49" customFormat="false" ht="15" hidden="false" customHeight="false" outlineLevel="0" collapsed="false">
      <c r="A49" s="3" t="s">
        <v>1392</v>
      </c>
      <c r="B49" s="3" t="s">
        <v>1350</v>
      </c>
      <c r="C49" s="3" t="s">
        <v>702</v>
      </c>
      <c r="D49" s="3" t="s">
        <v>279</v>
      </c>
      <c r="E49" s="13" t="n">
        <v>340000</v>
      </c>
      <c r="F49" s="13" t="n">
        <v>4013.59</v>
      </c>
      <c r="G49" s="13" t="n">
        <v>501.7</v>
      </c>
      <c r="H49" s="13" t="n">
        <v>501.7</v>
      </c>
      <c r="I49" s="13" t="n">
        <f aca="false">SUM(K49:T49)</f>
        <v>3010.2</v>
      </c>
      <c r="J49" s="13" t="n">
        <f aca="false">F49-(G49+H49+I49)</f>
        <v>-0.00999999999976353</v>
      </c>
      <c r="K49" s="13" t="n">
        <v>301.02</v>
      </c>
      <c r="L49" s="13" t="n">
        <v>301.02</v>
      </c>
      <c r="M49" s="13" t="n">
        <v>301.02</v>
      </c>
      <c r="N49" s="13" t="n">
        <v>301.02</v>
      </c>
      <c r="O49" s="13" t="n">
        <v>301.02</v>
      </c>
      <c r="P49" s="13" t="n">
        <v>301.02</v>
      </c>
      <c r="Q49" s="13" t="n">
        <v>301.02</v>
      </c>
      <c r="R49" s="13" t="n">
        <v>301.02</v>
      </c>
      <c r="S49" s="13" t="n">
        <v>301.02</v>
      </c>
      <c r="T49" s="13" t="n">
        <v>301.02</v>
      </c>
      <c r="U49" s="13" t="n">
        <v>350</v>
      </c>
      <c r="V49" s="13" t="n">
        <v>0</v>
      </c>
      <c r="W49" s="13" t="n">
        <f aca="false">U49+V49</f>
        <v>350</v>
      </c>
    </row>
    <row r="50" customFormat="false" ht="15" hidden="false" customHeight="false" outlineLevel="0" collapsed="false">
      <c r="A50" s="14" t="s">
        <v>1393</v>
      </c>
      <c r="B50" s="14" t="s">
        <v>1333</v>
      </c>
      <c r="C50" s="14" t="s">
        <v>1356</v>
      </c>
      <c r="D50" s="14" t="s">
        <v>230</v>
      </c>
      <c r="E50" s="15" t="n">
        <v>265000</v>
      </c>
      <c r="F50" s="15" t="n">
        <v>4090.77</v>
      </c>
      <c r="G50" s="15" t="n">
        <v>511.35</v>
      </c>
      <c r="H50" s="15" t="n">
        <v>511.35</v>
      </c>
      <c r="I50" s="15" t="n">
        <f aca="false">SUM(K50:T50)</f>
        <v>3068.1</v>
      </c>
      <c r="J50" s="15" t="n">
        <f aca="false">F50-(G50+H50+I50)</f>
        <v>-0.0300000000002001</v>
      </c>
      <c r="K50" s="15" t="n">
        <v>306.81</v>
      </c>
      <c r="L50" s="15" t="n">
        <v>306.81</v>
      </c>
      <c r="M50" s="15" t="n">
        <v>306.81</v>
      </c>
      <c r="N50" s="15" t="n">
        <v>306.81</v>
      </c>
      <c r="O50" s="15" t="n">
        <v>306.81</v>
      </c>
      <c r="P50" s="15" t="n">
        <v>306.81</v>
      </c>
      <c r="Q50" s="15" t="n">
        <v>306.81</v>
      </c>
      <c r="R50" s="15" t="n">
        <v>306.81</v>
      </c>
      <c r="S50" s="15" t="n">
        <v>306.81</v>
      </c>
      <c r="T50" s="15" t="n">
        <v>306.81</v>
      </c>
      <c r="U50" s="15" t="n">
        <v>350</v>
      </c>
      <c r="V50" s="15" t="n">
        <v>0</v>
      </c>
      <c r="W50" s="15" t="n">
        <f aca="false">U50+V50</f>
        <v>350</v>
      </c>
    </row>
    <row r="51" customFormat="false" ht="15" hidden="false" customHeight="false" outlineLevel="0" collapsed="false">
      <c r="A51" s="3" t="s">
        <v>1394</v>
      </c>
      <c r="B51" s="3" t="s">
        <v>1389</v>
      </c>
      <c r="C51" s="3" t="s">
        <v>769</v>
      </c>
      <c r="D51" s="3" t="s">
        <v>112</v>
      </c>
      <c r="E51" s="13" t="n">
        <v>770000</v>
      </c>
      <c r="F51" s="13" t="n">
        <v>12019.58</v>
      </c>
      <c r="G51" s="13" t="n">
        <v>1502.45</v>
      </c>
      <c r="H51" s="13" t="n">
        <v>1502.45</v>
      </c>
      <c r="I51" s="13" t="n">
        <f aca="false">SUM(K51:T51)</f>
        <v>9014.7</v>
      </c>
      <c r="J51" s="13" t="n">
        <f aca="false">F51-(G51+H51+I51)</f>
        <v>-0.0200000000004366</v>
      </c>
      <c r="K51" s="13" t="n">
        <v>901.47</v>
      </c>
      <c r="L51" s="13" t="n">
        <v>901.47</v>
      </c>
      <c r="M51" s="13" t="n">
        <v>901.47</v>
      </c>
      <c r="N51" s="13" t="n">
        <v>901.47</v>
      </c>
      <c r="O51" s="13" t="n">
        <v>901.47</v>
      </c>
      <c r="P51" s="13" t="n">
        <v>901.47</v>
      </c>
      <c r="Q51" s="13" t="n">
        <v>901.47</v>
      </c>
      <c r="R51" s="13" t="n">
        <v>901.47</v>
      </c>
      <c r="S51" s="13" t="n">
        <v>901.47</v>
      </c>
      <c r="T51" s="13" t="n">
        <v>901.47</v>
      </c>
      <c r="U51" s="13" t="n">
        <v>350</v>
      </c>
      <c r="V51" s="13" t="n">
        <v>0</v>
      </c>
      <c r="W51" s="13" t="n">
        <f aca="false">U51+V51</f>
        <v>350</v>
      </c>
    </row>
    <row r="52" customFormat="false" ht="15" hidden="false" customHeight="false" outlineLevel="0" collapsed="false">
      <c r="A52" s="14" t="s">
        <v>1395</v>
      </c>
      <c r="B52" s="14" t="s">
        <v>1350</v>
      </c>
      <c r="C52" s="14" t="s">
        <v>1396</v>
      </c>
      <c r="D52" s="14" t="s">
        <v>147</v>
      </c>
      <c r="E52" s="15" t="n">
        <v>680000</v>
      </c>
      <c r="F52" s="15" t="n">
        <v>5411.44</v>
      </c>
      <c r="G52" s="15" t="n">
        <v>676.43</v>
      </c>
      <c r="H52" s="15" t="n">
        <v>676.43</v>
      </c>
      <c r="I52" s="15" t="n">
        <f aca="false">SUM(K52:T52)</f>
        <v>4058.6</v>
      </c>
      <c r="J52" s="15" t="n">
        <f aca="false">F52-(G52+H52+I52)</f>
        <v>-0.0200000000004366</v>
      </c>
      <c r="K52" s="15" t="n">
        <v>405.86</v>
      </c>
      <c r="L52" s="15" t="n">
        <v>405.86</v>
      </c>
      <c r="M52" s="15" t="n">
        <v>405.86</v>
      </c>
      <c r="N52" s="15" t="n">
        <v>405.86</v>
      </c>
      <c r="O52" s="15" t="n">
        <v>405.86</v>
      </c>
      <c r="P52" s="15" t="n">
        <v>405.86</v>
      </c>
      <c r="Q52" s="15" t="n">
        <v>405.86</v>
      </c>
      <c r="R52" s="15" t="n">
        <v>405.86</v>
      </c>
      <c r="S52" s="15" t="n">
        <v>405.86</v>
      </c>
      <c r="T52" s="15" t="n">
        <v>405.86</v>
      </c>
      <c r="U52" s="15" t="n">
        <v>350</v>
      </c>
      <c r="V52" s="15" t="n">
        <v>0</v>
      </c>
      <c r="W52" s="15" t="n">
        <f aca="false">U52+V52</f>
        <v>350</v>
      </c>
    </row>
    <row r="53" customFormat="false" ht="15" hidden="false" customHeight="false" outlineLevel="0" collapsed="false">
      <c r="A53" s="3" t="s">
        <v>1397</v>
      </c>
      <c r="B53" s="3" t="s">
        <v>1389</v>
      </c>
      <c r="C53" s="3" t="s">
        <v>1054</v>
      </c>
      <c r="D53" s="3" t="s">
        <v>69</v>
      </c>
      <c r="E53" s="13" t="n">
        <v>1065000</v>
      </c>
      <c r="F53" s="13" t="n">
        <v>9827.33</v>
      </c>
      <c r="G53" s="13" t="n">
        <v>1228.42</v>
      </c>
      <c r="H53" s="13" t="n">
        <v>1228.42</v>
      </c>
      <c r="I53" s="13" t="n">
        <f aca="false">SUM(K53:T53)</f>
        <v>7370.5</v>
      </c>
      <c r="J53" s="13" t="n">
        <f aca="false">F53-(G53+H53+I53)</f>
        <v>-0.0100000000002183</v>
      </c>
      <c r="K53" s="13" t="n">
        <v>737.05</v>
      </c>
      <c r="L53" s="13" t="n">
        <v>737.05</v>
      </c>
      <c r="M53" s="13" t="n">
        <v>737.05</v>
      </c>
      <c r="N53" s="13" t="n">
        <v>737.05</v>
      </c>
      <c r="O53" s="13" t="n">
        <v>737.05</v>
      </c>
      <c r="P53" s="13" t="n">
        <v>737.05</v>
      </c>
      <c r="Q53" s="13" t="n">
        <v>737.05</v>
      </c>
      <c r="R53" s="13" t="n">
        <v>737.05</v>
      </c>
      <c r="S53" s="13" t="n">
        <v>737.05</v>
      </c>
      <c r="T53" s="13" t="n">
        <v>737.05</v>
      </c>
      <c r="U53" s="13" t="n">
        <v>350</v>
      </c>
      <c r="V53" s="13" t="n">
        <v>250</v>
      </c>
      <c r="W53" s="13" t="n">
        <f aca="false">U53+V53</f>
        <v>600</v>
      </c>
    </row>
    <row r="54" customFormat="false" ht="15" hidden="false" customHeight="false" outlineLevel="0" collapsed="false">
      <c r="A54" s="14" t="s">
        <v>1398</v>
      </c>
      <c r="B54" s="14" t="s">
        <v>1358</v>
      </c>
      <c r="C54" s="14" t="s">
        <v>551</v>
      </c>
      <c r="D54" s="14" t="s">
        <v>193</v>
      </c>
      <c r="E54" s="15" t="n">
        <v>900000</v>
      </c>
      <c r="F54" s="15" t="n">
        <v>18485.34</v>
      </c>
      <c r="G54" s="15" t="n">
        <v>2310.67</v>
      </c>
      <c r="H54" s="15" t="n">
        <v>2310.67</v>
      </c>
      <c r="I54" s="15" t="n">
        <f aca="false">SUM(K54:T54)</f>
        <v>13864</v>
      </c>
      <c r="J54" s="15" t="n">
        <f aca="false">F54-(G54+H54+I54)</f>
        <v>0</v>
      </c>
      <c r="K54" s="15" t="n">
        <v>1386.4</v>
      </c>
      <c r="L54" s="15" t="n">
        <v>1386.4</v>
      </c>
      <c r="M54" s="15" t="n">
        <v>1386.4</v>
      </c>
      <c r="N54" s="15" t="n">
        <v>1386.4</v>
      </c>
      <c r="O54" s="15" t="n">
        <v>1386.4</v>
      </c>
      <c r="P54" s="15" t="n">
        <v>1386.4</v>
      </c>
      <c r="Q54" s="15" t="n">
        <v>1386.4</v>
      </c>
      <c r="R54" s="15" t="n">
        <v>1386.4</v>
      </c>
      <c r="S54" s="15" t="n">
        <v>1386.4</v>
      </c>
      <c r="T54" s="15" t="n">
        <v>1386.4</v>
      </c>
      <c r="U54" s="15" t="n">
        <v>350</v>
      </c>
      <c r="V54" s="15" t="n">
        <v>0</v>
      </c>
      <c r="W54" s="15" t="n">
        <f aca="false">U54+V54</f>
        <v>350</v>
      </c>
    </row>
    <row r="55" customFormat="false" ht="15" hidden="false" customHeight="false" outlineLevel="0" collapsed="false">
      <c r="A55" s="3" t="s">
        <v>1399</v>
      </c>
      <c r="B55" s="3" t="s">
        <v>1343</v>
      </c>
      <c r="C55" s="3" t="s">
        <v>1400</v>
      </c>
      <c r="D55" s="3" t="s">
        <v>115</v>
      </c>
      <c r="E55" s="13" t="n">
        <v>325000</v>
      </c>
      <c r="F55" s="13" t="n">
        <v>5565.06</v>
      </c>
      <c r="G55" s="13" t="n">
        <v>695.63</v>
      </c>
      <c r="H55" s="13" t="n">
        <v>695.63</v>
      </c>
      <c r="I55" s="13" t="n">
        <f aca="false">SUM(K55:T55)</f>
        <v>4173.8</v>
      </c>
      <c r="J55" s="13" t="n">
        <f aca="false">F55-(G55+H55+I55)</f>
        <v>0</v>
      </c>
      <c r="K55" s="13" t="n">
        <v>417.38</v>
      </c>
      <c r="L55" s="13" t="n">
        <v>417.38</v>
      </c>
      <c r="M55" s="13" t="n">
        <v>417.38</v>
      </c>
      <c r="N55" s="13" t="n">
        <v>417.38</v>
      </c>
      <c r="O55" s="13" t="n">
        <v>417.38</v>
      </c>
      <c r="P55" s="13" t="n">
        <v>417.38</v>
      </c>
      <c r="Q55" s="13" t="n">
        <v>417.38</v>
      </c>
      <c r="R55" s="13" t="n">
        <v>417.38</v>
      </c>
      <c r="S55" s="13" t="n">
        <v>417.38</v>
      </c>
      <c r="T55" s="13" t="n">
        <v>417.38</v>
      </c>
      <c r="U55" s="13" t="n">
        <v>350</v>
      </c>
      <c r="V55" s="13" t="n">
        <v>0</v>
      </c>
      <c r="W55" s="13" t="n">
        <f aca="false">U55+V55</f>
        <v>350</v>
      </c>
    </row>
    <row r="56" customFormat="false" ht="15" hidden="false" customHeight="false" outlineLevel="0" collapsed="false">
      <c r="A56" s="14" t="s">
        <v>1401</v>
      </c>
      <c r="B56" s="14" t="s">
        <v>1315</v>
      </c>
      <c r="C56" s="14" t="s">
        <v>156</v>
      </c>
      <c r="D56" s="14" t="s">
        <v>185</v>
      </c>
      <c r="E56" s="15" t="n">
        <v>545000</v>
      </c>
      <c r="F56" s="15" t="n">
        <v>6188.46</v>
      </c>
      <c r="G56" s="15" t="n">
        <v>773.56</v>
      </c>
      <c r="H56" s="15" t="n">
        <v>773.56</v>
      </c>
      <c r="I56" s="15" t="n">
        <f aca="false">SUM(K56:T56)</f>
        <v>4641.3</v>
      </c>
      <c r="J56" s="15" t="n">
        <f aca="false">F56-(G56+H56+I56)</f>
        <v>0.0399999999999636</v>
      </c>
      <c r="K56" s="15" t="n">
        <v>464.13</v>
      </c>
      <c r="L56" s="15" t="n">
        <v>464.13</v>
      </c>
      <c r="M56" s="15" t="n">
        <v>464.13</v>
      </c>
      <c r="N56" s="15" t="n">
        <v>464.13</v>
      </c>
      <c r="O56" s="15" t="n">
        <v>464.13</v>
      </c>
      <c r="P56" s="15" t="n">
        <v>464.13</v>
      </c>
      <c r="Q56" s="15" t="n">
        <v>464.13</v>
      </c>
      <c r="R56" s="15" t="n">
        <v>464.13</v>
      </c>
      <c r="S56" s="15" t="n">
        <v>464.13</v>
      </c>
      <c r="T56" s="15" t="n">
        <v>464.13</v>
      </c>
      <c r="U56" s="15" t="n">
        <v>350</v>
      </c>
      <c r="V56" s="15" t="n">
        <v>0</v>
      </c>
      <c r="W56" s="15" t="n">
        <f aca="false">U56+V56</f>
        <v>350</v>
      </c>
    </row>
    <row r="57" customFormat="false" ht="15" hidden="false" customHeight="false" outlineLevel="0" collapsed="false">
      <c r="A57" s="3" t="s">
        <v>1402</v>
      </c>
      <c r="B57" s="3" t="s">
        <v>1335</v>
      </c>
      <c r="C57" s="3" t="s">
        <v>551</v>
      </c>
      <c r="D57" s="3" t="s">
        <v>163</v>
      </c>
      <c r="E57" s="13" t="n">
        <v>645000</v>
      </c>
      <c r="F57" s="13" t="n">
        <v>7396.47</v>
      </c>
      <c r="G57" s="13" t="n">
        <v>924.56</v>
      </c>
      <c r="H57" s="13" t="n">
        <v>924.56</v>
      </c>
      <c r="I57" s="13" t="n">
        <f aca="false">SUM(K57:T57)</f>
        <v>5547.4</v>
      </c>
      <c r="J57" s="13" t="n">
        <f aca="false">F57-(G57+H57+I57)</f>
        <v>-0.0499999999992724</v>
      </c>
      <c r="K57" s="13" t="n">
        <v>554.74</v>
      </c>
      <c r="L57" s="13" t="n">
        <v>554.74</v>
      </c>
      <c r="M57" s="13" t="n">
        <v>554.74</v>
      </c>
      <c r="N57" s="13" t="n">
        <v>554.74</v>
      </c>
      <c r="O57" s="13" t="n">
        <v>554.74</v>
      </c>
      <c r="P57" s="13" t="n">
        <v>554.74</v>
      </c>
      <c r="Q57" s="13" t="n">
        <v>554.74</v>
      </c>
      <c r="R57" s="13" t="n">
        <v>554.74</v>
      </c>
      <c r="S57" s="13" t="n">
        <v>554.74</v>
      </c>
      <c r="T57" s="13" t="n">
        <v>554.74</v>
      </c>
      <c r="U57" s="13" t="n">
        <v>350</v>
      </c>
      <c r="V57" s="13" t="n">
        <v>0</v>
      </c>
      <c r="W57" s="13" t="n">
        <f aca="false">U57+V57</f>
        <v>350</v>
      </c>
    </row>
    <row r="58" customFormat="false" ht="15" hidden="false" customHeight="false" outlineLevel="0" collapsed="false">
      <c r="A58" s="14" t="s">
        <v>1403</v>
      </c>
      <c r="B58" s="14" t="s">
        <v>1337</v>
      </c>
      <c r="C58" s="14" t="s">
        <v>1247</v>
      </c>
      <c r="D58" s="14" t="s">
        <v>382</v>
      </c>
      <c r="E58" s="15" t="n">
        <v>330000</v>
      </c>
      <c r="F58" s="15" t="n">
        <v>4794.52</v>
      </c>
      <c r="G58" s="15" t="n">
        <v>599.32</v>
      </c>
      <c r="H58" s="15" t="n">
        <v>599.32</v>
      </c>
      <c r="I58" s="15" t="n">
        <f aca="false">SUM(K58:T58)</f>
        <v>3595.9</v>
      </c>
      <c r="J58" s="15" t="n">
        <f aca="false">F58-(G58+H58+I58)</f>
        <v>-0.0199999999995271</v>
      </c>
      <c r="K58" s="15" t="n">
        <v>359.59</v>
      </c>
      <c r="L58" s="15" t="n">
        <v>359.59</v>
      </c>
      <c r="M58" s="15" t="n">
        <v>359.59</v>
      </c>
      <c r="N58" s="15" t="n">
        <v>359.59</v>
      </c>
      <c r="O58" s="15" t="n">
        <v>359.59</v>
      </c>
      <c r="P58" s="15" t="n">
        <v>359.59</v>
      </c>
      <c r="Q58" s="15" t="n">
        <v>359.59</v>
      </c>
      <c r="R58" s="15" t="n">
        <v>359.59</v>
      </c>
      <c r="S58" s="15" t="n">
        <v>359.59</v>
      </c>
      <c r="T58" s="15" t="n">
        <v>359.59</v>
      </c>
      <c r="U58" s="15" t="n">
        <v>350</v>
      </c>
      <c r="V58" s="15" t="n">
        <v>0</v>
      </c>
      <c r="W58" s="15" t="n">
        <f aca="false">U58+V58</f>
        <v>350</v>
      </c>
    </row>
    <row r="59" customFormat="false" ht="15" hidden="false" customHeight="false" outlineLevel="0" collapsed="false">
      <c r="A59" s="3" t="s">
        <v>1404</v>
      </c>
      <c r="B59" s="3" t="s">
        <v>1373</v>
      </c>
      <c r="C59" s="3" t="s">
        <v>1405</v>
      </c>
      <c r="D59" s="3" t="s">
        <v>89</v>
      </c>
      <c r="E59" s="13" t="n">
        <v>1675000</v>
      </c>
      <c r="F59" s="13" t="n">
        <v>31288.88</v>
      </c>
      <c r="G59" s="13" t="n">
        <v>3911.11</v>
      </c>
      <c r="H59" s="13" t="n">
        <v>3911.11</v>
      </c>
      <c r="I59" s="13" t="n">
        <f aca="false">SUM(K59:T59)</f>
        <v>23466.7</v>
      </c>
      <c r="J59" s="13" t="n">
        <f aca="false">F59-(G59+H59+I59)</f>
        <v>-0.0399999999972351</v>
      </c>
      <c r="K59" s="13" t="n">
        <v>2346.67</v>
      </c>
      <c r="L59" s="13" t="n">
        <v>2346.67</v>
      </c>
      <c r="M59" s="13" t="n">
        <v>2346.67</v>
      </c>
      <c r="N59" s="13" t="n">
        <v>2346.67</v>
      </c>
      <c r="O59" s="13" t="n">
        <v>2346.67</v>
      </c>
      <c r="P59" s="13" t="n">
        <v>2346.67</v>
      </c>
      <c r="Q59" s="13" t="n">
        <v>2346.67</v>
      </c>
      <c r="R59" s="13" t="n">
        <v>2346.67</v>
      </c>
      <c r="S59" s="13" t="n">
        <v>2346.67</v>
      </c>
      <c r="T59" s="13" t="n">
        <v>2346.67</v>
      </c>
      <c r="U59" s="13" t="n">
        <v>350</v>
      </c>
      <c r="V59" s="13" t="n">
        <v>250</v>
      </c>
      <c r="W59" s="13" t="n">
        <f aca="false">U59+V59</f>
        <v>600</v>
      </c>
    </row>
    <row r="60" customFormat="false" ht="15" hidden="false" customHeight="false" outlineLevel="0" collapsed="false">
      <c r="A60" s="14" t="s">
        <v>1406</v>
      </c>
      <c r="B60" s="14" t="s">
        <v>1407</v>
      </c>
      <c r="C60" s="14" t="s">
        <v>1408</v>
      </c>
      <c r="D60" s="14" t="s">
        <v>77</v>
      </c>
      <c r="E60" s="15" t="n">
        <v>500000</v>
      </c>
      <c r="F60" s="15" t="n">
        <v>10433.95</v>
      </c>
      <c r="G60" s="15" t="n">
        <v>1304.24</v>
      </c>
      <c r="H60" s="15" t="n">
        <v>1304.24</v>
      </c>
      <c r="I60" s="15" t="n">
        <f aca="false">SUM(K60:T60)</f>
        <v>7825.5</v>
      </c>
      <c r="J60" s="15" t="n">
        <f aca="false">F60-(G60+H60+I60)</f>
        <v>-0.0299999999988358</v>
      </c>
      <c r="K60" s="15" t="n">
        <v>782.55</v>
      </c>
      <c r="L60" s="15" t="n">
        <v>782.55</v>
      </c>
      <c r="M60" s="15" t="n">
        <v>782.55</v>
      </c>
      <c r="N60" s="15" t="n">
        <v>782.55</v>
      </c>
      <c r="O60" s="15" t="n">
        <v>782.55</v>
      </c>
      <c r="P60" s="15" t="n">
        <v>782.55</v>
      </c>
      <c r="Q60" s="15" t="n">
        <v>782.55</v>
      </c>
      <c r="R60" s="15" t="n">
        <v>782.55</v>
      </c>
      <c r="S60" s="15" t="n">
        <v>782.55</v>
      </c>
      <c r="T60" s="15" t="n">
        <v>782.55</v>
      </c>
      <c r="U60" s="15" t="n">
        <v>350</v>
      </c>
      <c r="V60" s="15" t="n">
        <v>0</v>
      </c>
      <c r="W60" s="15" t="n">
        <f aca="false">U60+V60</f>
        <v>350</v>
      </c>
    </row>
    <row r="61" customFormat="false" ht="15" hidden="false" customHeight="false" outlineLevel="0" collapsed="false">
      <c r="A61" s="3" t="s">
        <v>1409</v>
      </c>
      <c r="B61" s="3" t="s">
        <v>1363</v>
      </c>
      <c r="C61" s="3" t="s">
        <v>822</v>
      </c>
      <c r="D61" s="3" t="s">
        <v>197</v>
      </c>
      <c r="E61" s="13" t="n">
        <v>245000</v>
      </c>
      <c r="F61" s="13" t="n">
        <v>4249.44</v>
      </c>
      <c r="G61" s="13" t="n">
        <v>531.18</v>
      </c>
      <c r="H61" s="13" t="n">
        <v>531.18</v>
      </c>
      <c r="I61" s="13" t="n">
        <f aca="false">SUM(K61:T61)</f>
        <v>3187.1</v>
      </c>
      <c r="J61" s="13" t="n">
        <f aca="false">F61-(G61+H61+I61)</f>
        <v>-0.0200000000004366</v>
      </c>
      <c r="K61" s="13" t="n">
        <v>318.71</v>
      </c>
      <c r="L61" s="13" t="n">
        <v>318.71</v>
      </c>
      <c r="M61" s="13" t="n">
        <v>318.71</v>
      </c>
      <c r="N61" s="13" t="n">
        <v>318.71</v>
      </c>
      <c r="O61" s="13" t="n">
        <v>318.71</v>
      </c>
      <c r="P61" s="13" t="n">
        <v>318.71</v>
      </c>
      <c r="Q61" s="13" t="n">
        <v>318.71</v>
      </c>
      <c r="R61" s="13" t="n">
        <v>318.71</v>
      </c>
      <c r="S61" s="13" t="n">
        <v>318.71</v>
      </c>
      <c r="T61" s="13" t="n">
        <v>318.71</v>
      </c>
      <c r="U61" s="13" t="n">
        <v>350</v>
      </c>
      <c r="V61" s="13" t="n">
        <v>0</v>
      </c>
      <c r="W61" s="13" t="n">
        <f aca="false">U61+V61</f>
        <v>350</v>
      </c>
    </row>
    <row r="62" customFormat="false" ht="15" hidden="false" customHeight="false" outlineLevel="0" collapsed="false">
      <c r="A62" s="14" t="s">
        <v>1410</v>
      </c>
      <c r="B62" s="14" t="s">
        <v>1346</v>
      </c>
      <c r="C62" s="14" t="s">
        <v>1411</v>
      </c>
      <c r="D62" s="14" t="s">
        <v>118</v>
      </c>
      <c r="E62" s="15" t="n">
        <v>985000</v>
      </c>
      <c r="F62" s="15" t="n">
        <v>19907.48</v>
      </c>
      <c r="G62" s="15" t="n">
        <v>2488.43</v>
      </c>
      <c r="H62" s="15" t="n">
        <v>2488.43</v>
      </c>
      <c r="I62" s="15" t="n">
        <f aca="false">SUM(K62:T62)</f>
        <v>14930.6</v>
      </c>
      <c r="J62" s="15" t="n">
        <f aca="false">F62-(G62+H62+I62)</f>
        <v>0.0200000000004366</v>
      </c>
      <c r="K62" s="15" t="n">
        <v>1493.06</v>
      </c>
      <c r="L62" s="15" t="n">
        <v>1493.06</v>
      </c>
      <c r="M62" s="15" t="n">
        <v>1493.06</v>
      </c>
      <c r="N62" s="15" t="n">
        <v>1493.06</v>
      </c>
      <c r="O62" s="15" t="n">
        <v>1493.06</v>
      </c>
      <c r="P62" s="15" t="n">
        <v>1493.06</v>
      </c>
      <c r="Q62" s="15" t="n">
        <v>1493.06</v>
      </c>
      <c r="R62" s="15" t="n">
        <v>1493.06</v>
      </c>
      <c r="S62" s="15" t="n">
        <v>1493.06</v>
      </c>
      <c r="T62" s="15" t="n">
        <v>1493.06</v>
      </c>
      <c r="U62" s="15" t="n">
        <v>350</v>
      </c>
      <c r="V62" s="15" t="n">
        <v>0</v>
      </c>
      <c r="W62" s="15" t="n">
        <f aca="false">U62+V62</f>
        <v>350</v>
      </c>
    </row>
    <row r="63" customFormat="false" ht="15" hidden="false" customHeight="false" outlineLevel="0" collapsed="false">
      <c r="A63" s="3" t="s">
        <v>1412</v>
      </c>
      <c r="B63" s="3" t="s">
        <v>1317</v>
      </c>
      <c r="C63" s="3" t="s">
        <v>1413</v>
      </c>
      <c r="D63" s="3" t="s">
        <v>69</v>
      </c>
      <c r="E63" s="13" t="n">
        <v>175000</v>
      </c>
      <c r="F63" s="13" t="n">
        <v>2701.15</v>
      </c>
      <c r="G63" s="13" t="n">
        <v>337.64</v>
      </c>
      <c r="H63" s="13" t="n">
        <v>337.64</v>
      </c>
      <c r="I63" s="13" t="n">
        <f aca="false">SUM(K63:T63)</f>
        <v>2025.9</v>
      </c>
      <c r="J63" s="13" t="n">
        <f aca="false">F63-(G63+H63+I63)</f>
        <v>-0.0299999999997453</v>
      </c>
      <c r="K63" s="13" t="n">
        <v>202.59</v>
      </c>
      <c r="L63" s="13" t="n">
        <v>202.59</v>
      </c>
      <c r="M63" s="13" t="n">
        <v>202.59</v>
      </c>
      <c r="N63" s="13" t="n">
        <v>202.59</v>
      </c>
      <c r="O63" s="13" t="n">
        <v>202.59</v>
      </c>
      <c r="P63" s="13" t="n">
        <v>202.59</v>
      </c>
      <c r="Q63" s="13" t="n">
        <v>202.59</v>
      </c>
      <c r="R63" s="13" t="n">
        <v>202.59</v>
      </c>
      <c r="S63" s="13" t="n">
        <v>202.59</v>
      </c>
      <c r="T63" s="13" t="n">
        <v>202.59</v>
      </c>
      <c r="U63" s="13" t="n">
        <v>350</v>
      </c>
      <c r="V63" s="13" t="n">
        <v>0</v>
      </c>
      <c r="W63" s="13" t="n">
        <f aca="false">U63+V63</f>
        <v>350</v>
      </c>
    </row>
    <row r="64" customFormat="false" ht="15" hidden="false" customHeight="false" outlineLevel="0" collapsed="false">
      <c r="A64" s="14" t="s">
        <v>1414</v>
      </c>
      <c r="B64" s="14" t="s">
        <v>1358</v>
      </c>
      <c r="C64" s="14" t="s">
        <v>891</v>
      </c>
      <c r="D64" s="14" t="s">
        <v>109</v>
      </c>
      <c r="E64" s="15" t="n">
        <v>200000</v>
      </c>
      <c r="F64" s="15" t="n">
        <v>3978.13</v>
      </c>
      <c r="G64" s="15" t="n">
        <v>497.27</v>
      </c>
      <c r="H64" s="15" t="n">
        <v>497.27</v>
      </c>
      <c r="I64" s="15" t="n">
        <f aca="false">SUM(K64:T64)</f>
        <v>2983.6</v>
      </c>
      <c r="J64" s="15" t="n">
        <f aca="false">F64-(G64+H64+I64)</f>
        <v>-0.0100000000002183</v>
      </c>
      <c r="K64" s="15" t="n">
        <v>298.36</v>
      </c>
      <c r="L64" s="15" t="n">
        <v>298.36</v>
      </c>
      <c r="M64" s="15" t="n">
        <v>298.36</v>
      </c>
      <c r="N64" s="15" t="n">
        <v>298.36</v>
      </c>
      <c r="O64" s="15" t="n">
        <v>298.36</v>
      </c>
      <c r="P64" s="15" t="n">
        <v>298.36</v>
      </c>
      <c r="Q64" s="15" t="n">
        <v>298.36</v>
      </c>
      <c r="R64" s="15" t="n">
        <v>298.36</v>
      </c>
      <c r="S64" s="15" t="n">
        <v>298.36</v>
      </c>
      <c r="T64" s="15" t="n">
        <v>298.36</v>
      </c>
      <c r="U64" s="15" t="n">
        <v>350</v>
      </c>
      <c r="V64" s="15" t="n">
        <v>0</v>
      </c>
      <c r="W64" s="15" t="n">
        <f aca="false">U64+V64</f>
        <v>350</v>
      </c>
    </row>
    <row r="65" customFormat="false" ht="15" hidden="false" customHeight="false" outlineLevel="0" collapsed="false">
      <c r="A65" s="3" t="s">
        <v>1415</v>
      </c>
      <c r="B65" s="3" t="s">
        <v>1416</v>
      </c>
      <c r="C65" s="3" t="s">
        <v>608</v>
      </c>
      <c r="D65" s="3" t="s">
        <v>193</v>
      </c>
      <c r="E65" s="13" t="n">
        <v>335000</v>
      </c>
      <c r="F65" s="13" t="n">
        <v>5432.1</v>
      </c>
      <c r="G65" s="13" t="n">
        <v>679.01</v>
      </c>
      <c r="H65" s="13" t="n">
        <v>679.01</v>
      </c>
      <c r="I65" s="13" t="n">
        <f aca="false">SUM(K65:T65)</f>
        <v>4074.1</v>
      </c>
      <c r="J65" s="13" t="n">
        <f aca="false">F65-(G65+H65+I65)</f>
        <v>-0.0199999999995271</v>
      </c>
      <c r="K65" s="13" t="n">
        <v>407.41</v>
      </c>
      <c r="L65" s="13" t="n">
        <v>407.41</v>
      </c>
      <c r="M65" s="13" t="n">
        <v>407.41</v>
      </c>
      <c r="N65" s="13" t="n">
        <v>407.41</v>
      </c>
      <c r="O65" s="13" t="n">
        <v>407.41</v>
      </c>
      <c r="P65" s="13" t="n">
        <v>407.41</v>
      </c>
      <c r="Q65" s="13" t="n">
        <v>407.41</v>
      </c>
      <c r="R65" s="13" t="n">
        <v>407.41</v>
      </c>
      <c r="S65" s="13" t="n">
        <v>407.41</v>
      </c>
      <c r="T65" s="13" t="n">
        <v>407.41</v>
      </c>
      <c r="U65" s="13" t="n">
        <v>350</v>
      </c>
      <c r="V65" s="13" t="n">
        <v>0</v>
      </c>
      <c r="W65" s="13" t="n">
        <f aca="false">U65+V65</f>
        <v>350</v>
      </c>
    </row>
    <row r="66" customFormat="false" ht="15" hidden="false" customHeight="false" outlineLevel="0" collapsed="false">
      <c r="A66" s="14" t="s">
        <v>1417</v>
      </c>
      <c r="B66" s="14" t="s">
        <v>1418</v>
      </c>
      <c r="C66" s="14" t="s">
        <v>523</v>
      </c>
      <c r="D66" s="14" t="s">
        <v>193</v>
      </c>
      <c r="E66" s="15" t="n">
        <v>105000</v>
      </c>
      <c r="F66" s="15" t="n">
        <v>2088.52</v>
      </c>
      <c r="G66" s="15" t="n">
        <v>261.06</v>
      </c>
      <c r="H66" s="15" t="n">
        <v>261.06</v>
      </c>
      <c r="I66" s="15" t="n">
        <f aca="false">SUM(K66:T66)</f>
        <v>1566.4</v>
      </c>
      <c r="J66" s="15" t="n">
        <f aca="false">F66-(G66+H66+I66)</f>
        <v>0</v>
      </c>
      <c r="K66" s="15" t="n">
        <v>156.64</v>
      </c>
      <c r="L66" s="15" t="n">
        <v>156.64</v>
      </c>
      <c r="M66" s="15" t="n">
        <v>156.64</v>
      </c>
      <c r="N66" s="15" t="n">
        <v>156.64</v>
      </c>
      <c r="O66" s="15" t="n">
        <v>156.64</v>
      </c>
      <c r="P66" s="15" t="n">
        <v>156.64</v>
      </c>
      <c r="Q66" s="15" t="n">
        <v>156.64</v>
      </c>
      <c r="R66" s="15" t="n">
        <v>156.64</v>
      </c>
      <c r="S66" s="15" t="n">
        <v>156.64</v>
      </c>
      <c r="T66" s="15" t="n">
        <v>156.64</v>
      </c>
      <c r="U66" s="15" t="n">
        <v>350</v>
      </c>
      <c r="V66" s="15" t="n">
        <v>0</v>
      </c>
      <c r="W66" s="15" t="n">
        <f aca="false">U66+V66</f>
        <v>350</v>
      </c>
    </row>
    <row r="67" customFormat="false" ht="15" hidden="false" customHeight="false" outlineLevel="0" collapsed="false">
      <c r="A67" s="3" t="s">
        <v>1419</v>
      </c>
      <c r="B67" s="3" t="s">
        <v>1343</v>
      </c>
      <c r="C67" s="3" t="s">
        <v>1215</v>
      </c>
      <c r="D67" s="3" t="s">
        <v>89</v>
      </c>
      <c r="E67" s="13" t="n">
        <v>1950000</v>
      </c>
      <c r="F67" s="13" t="n">
        <v>17302.28</v>
      </c>
      <c r="G67" s="13" t="n">
        <v>2162.78</v>
      </c>
      <c r="H67" s="13" t="n">
        <v>2162.78</v>
      </c>
      <c r="I67" s="13" t="n">
        <f aca="false">SUM(K67:T67)</f>
        <v>12976.7</v>
      </c>
      <c r="J67" s="13" t="n">
        <f aca="false">F67-(G67+H67+I67)</f>
        <v>0.0199999999967986</v>
      </c>
      <c r="K67" s="13" t="n">
        <v>1297.67</v>
      </c>
      <c r="L67" s="13" t="n">
        <v>1297.67</v>
      </c>
      <c r="M67" s="13" t="n">
        <v>1297.67</v>
      </c>
      <c r="N67" s="13" t="n">
        <v>1297.67</v>
      </c>
      <c r="O67" s="13" t="n">
        <v>1297.67</v>
      </c>
      <c r="P67" s="13" t="n">
        <v>1297.67</v>
      </c>
      <c r="Q67" s="13" t="n">
        <v>1297.67</v>
      </c>
      <c r="R67" s="13" t="n">
        <v>1297.67</v>
      </c>
      <c r="S67" s="13" t="n">
        <v>1297.67</v>
      </c>
      <c r="T67" s="13" t="n">
        <v>1297.67</v>
      </c>
      <c r="U67" s="13" t="n">
        <v>350</v>
      </c>
      <c r="V67" s="13" t="n">
        <v>250</v>
      </c>
      <c r="W67" s="13" t="n">
        <f aca="false">U67+V67</f>
        <v>600</v>
      </c>
    </row>
    <row r="68" customFormat="false" ht="15" hidden="false" customHeight="false" outlineLevel="0" collapsed="false">
      <c r="A68" s="14" t="s">
        <v>1420</v>
      </c>
      <c r="B68" s="14" t="s">
        <v>1331</v>
      </c>
      <c r="C68" s="14" t="s">
        <v>410</v>
      </c>
      <c r="D68" s="14" t="s">
        <v>279</v>
      </c>
      <c r="E68" s="15" t="n">
        <v>470000</v>
      </c>
      <c r="F68" s="15" t="n">
        <v>6509.88</v>
      </c>
      <c r="G68" s="15" t="n">
        <v>813.74</v>
      </c>
      <c r="H68" s="15" t="n">
        <v>813.74</v>
      </c>
      <c r="I68" s="15" t="n">
        <f aca="false">SUM(K68:T68)</f>
        <v>4882.4</v>
      </c>
      <c r="J68" s="15" t="n">
        <f aca="false">F68-(G68+H68+I68)</f>
        <v>0</v>
      </c>
      <c r="K68" s="15" t="n">
        <v>488.24</v>
      </c>
      <c r="L68" s="15" t="n">
        <v>488.24</v>
      </c>
      <c r="M68" s="15" t="n">
        <v>488.24</v>
      </c>
      <c r="N68" s="15" t="n">
        <v>488.24</v>
      </c>
      <c r="O68" s="15" t="n">
        <v>488.24</v>
      </c>
      <c r="P68" s="15" t="n">
        <v>488.24</v>
      </c>
      <c r="Q68" s="15" t="n">
        <v>488.24</v>
      </c>
      <c r="R68" s="15" t="n">
        <v>488.24</v>
      </c>
      <c r="S68" s="15" t="n">
        <v>488.24</v>
      </c>
      <c r="T68" s="15" t="n">
        <v>488.24</v>
      </c>
      <c r="U68" s="15" t="n">
        <v>350</v>
      </c>
      <c r="V68" s="15" t="n">
        <v>0</v>
      </c>
      <c r="W68" s="15" t="n">
        <f aca="false">U68+V68</f>
        <v>350</v>
      </c>
    </row>
    <row r="69" customFormat="false" ht="15" hidden="false" customHeight="false" outlineLevel="0" collapsed="false">
      <c r="A69" s="3" t="s">
        <v>1421</v>
      </c>
      <c r="B69" s="3" t="s">
        <v>1422</v>
      </c>
      <c r="C69" s="3" t="s">
        <v>1423</v>
      </c>
      <c r="D69" s="3" t="s">
        <v>406</v>
      </c>
      <c r="E69" s="13" t="n">
        <v>290000</v>
      </c>
      <c r="F69" s="13" t="n">
        <v>2239.1</v>
      </c>
      <c r="G69" s="13" t="n">
        <v>279.89</v>
      </c>
      <c r="H69" s="13" t="n">
        <v>279.89</v>
      </c>
      <c r="I69" s="13" t="n">
        <f aca="false">SUM(K69:T69)</f>
        <v>1679.3</v>
      </c>
      <c r="J69" s="13" t="n">
        <f aca="false">F69-(G69+H69+I69)</f>
        <v>0.0199999999999818</v>
      </c>
      <c r="K69" s="13" t="n">
        <v>167.93</v>
      </c>
      <c r="L69" s="13" t="n">
        <v>167.93</v>
      </c>
      <c r="M69" s="13" t="n">
        <v>167.93</v>
      </c>
      <c r="N69" s="13" t="n">
        <v>167.93</v>
      </c>
      <c r="O69" s="13" t="n">
        <v>167.93</v>
      </c>
      <c r="P69" s="13" t="n">
        <v>167.93</v>
      </c>
      <c r="Q69" s="13" t="n">
        <v>167.93</v>
      </c>
      <c r="R69" s="13" t="n">
        <v>167.93</v>
      </c>
      <c r="S69" s="13" t="n">
        <v>167.93</v>
      </c>
      <c r="T69" s="13" t="n">
        <v>167.93</v>
      </c>
      <c r="U69" s="13" t="n">
        <v>350</v>
      </c>
      <c r="V69" s="13" t="n">
        <v>0</v>
      </c>
      <c r="W69" s="13" t="n">
        <f aca="false">U69+V69</f>
        <v>350</v>
      </c>
    </row>
    <row r="70" customFormat="false" ht="15" hidden="false" customHeight="false" outlineLevel="0" collapsed="false">
      <c r="A70" s="14" t="s">
        <v>1424</v>
      </c>
      <c r="B70" s="14" t="s">
        <v>1312</v>
      </c>
      <c r="C70" s="14" t="s">
        <v>362</v>
      </c>
      <c r="D70" s="14" t="s">
        <v>279</v>
      </c>
      <c r="E70" s="15" t="n">
        <v>400000</v>
      </c>
      <c r="F70" s="15" t="n">
        <v>4721.87</v>
      </c>
      <c r="G70" s="15" t="n">
        <v>590.23</v>
      </c>
      <c r="H70" s="15" t="n">
        <v>590.23</v>
      </c>
      <c r="I70" s="15" t="n">
        <f aca="false">SUM(K70:T70)</f>
        <v>3541.4</v>
      </c>
      <c r="J70" s="15" t="n">
        <f aca="false">F70-(G70+H70+I70)</f>
        <v>0.0100000000002183</v>
      </c>
      <c r="K70" s="15" t="n">
        <v>354.14</v>
      </c>
      <c r="L70" s="15" t="n">
        <v>354.14</v>
      </c>
      <c r="M70" s="15" t="n">
        <v>354.14</v>
      </c>
      <c r="N70" s="15" t="n">
        <v>354.14</v>
      </c>
      <c r="O70" s="15" t="n">
        <v>354.14</v>
      </c>
      <c r="P70" s="15" t="n">
        <v>354.14</v>
      </c>
      <c r="Q70" s="15" t="n">
        <v>354.14</v>
      </c>
      <c r="R70" s="15" t="n">
        <v>354.14</v>
      </c>
      <c r="S70" s="15" t="n">
        <v>354.14</v>
      </c>
      <c r="T70" s="15" t="n">
        <v>354.14</v>
      </c>
      <c r="U70" s="15" t="n">
        <v>350</v>
      </c>
      <c r="V70" s="15" t="n">
        <v>0</v>
      </c>
      <c r="W70" s="15" t="n">
        <f aca="false">U70+V70</f>
        <v>350</v>
      </c>
    </row>
    <row r="71" customFormat="false" ht="15" hidden="false" customHeight="false" outlineLevel="0" collapsed="false">
      <c r="A71" s="3" t="s">
        <v>1425</v>
      </c>
      <c r="B71" s="3" t="s">
        <v>1324</v>
      </c>
      <c r="C71" s="3" t="s">
        <v>412</v>
      </c>
      <c r="D71" s="3" t="s">
        <v>189</v>
      </c>
      <c r="E71" s="13" t="n">
        <v>580000</v>
      </c>
      <c r="F71" s="13" t="n">
        <v>8607.29</v>
      </c>
      <c r="G71" s="13" t="n">
        <v>1075.91</v>
      </c>
      <c r="H71" s="13" t="n">
        <v>1075.91</v>
      </c>
      <c r="I71" s="13" t="n">
        <f aca="false">SUM(K71:T71)</f>
        <v>6455.5</v>
      </c>
      <c r="J71" s="13" t="n">
        <f aca="false">F71-(G71+H71+I71)</f>
        <v>-0.0299999999988358</v>
      </c>
      <c r="K71" s="13" t="n">
        <v>645.55</v>
      </c>
      <c r="L71" s="13" t="n">
        <v>645.55</v>
      </c>
      <c r="M71" s="13" t="n">
        <v>645.55</v>
      </c>
      <c r="N71" s="13" t="n">
        <v>645.55</v>
      </c>
      <c r="O71" s="13" t="n">
        <v>645.55</v>
      </c>
      <c r="P71" s="13" t="n">
        <v>645.55</v>
      </c>
      <c r="Q71" s="13" t="n">
        <v>645.55</v>
      </c>
      <c r="R71" s="13" t="n">
        <v>645.55</v>
      </c>
      <c r="S71" s="13" t="n">
        <v>645.55</v>
      </c>
      <c r="T71" s="13" t="n">
        <v>645.55</v>
      </c>
      <c r="U71" s="13" t="n">
        <v>350</v>
      </c>
      <c r="V71" s="13" t="n">
        <v>0</v>
      </c>
      <c r="W71" s="13" t="n">
        <f aca="false">U71+V71</f>
        <v>350</v>
      </c>
    </row>
    <row r="72" customFormat="false" ht="15" hidden="false" customHeight="false" outlineLevel="0" collapsed="false">
      <c r="A72" s="14" t="s">
        <v>1426</v>
      </c>
      <c r="B72" s="14" t="s">
        <v>1371</v>
      </c>
      <c r="C72" s="14" t="s">
        <v>1125</v>
      </c>
      <c r="D72" s="14" t="s">
        <v>189</v>
      </c>
      <c r="E72" s="15" t="n">
        <v>495000</v>
      </c>
      <c r="F72" s="15" t="n">
        <v>7063.35</v>
      </c>
      <c r="G72" s="15" t="n">
        <v>882.92</v>
      </c>
      <c r="H72" s="15" t="n">
        <v>882.92</v>
      </c>
      <c r="I72" s="15" t="n">
        <f aca="false">SUM(K72:T72)</f>
        <v>5297.5</v>
      </c>
      <c r="J72" s="15" t="n">
        <f aca="false">F72-(G72+H72+I72)</f>
        <v>0.0100000000002183</v>
      </c>
      <c r="K72" s="15" t="n">
        <v>529.75</v>
      </c>
      <c r="L72" s="15" t="n">
        <v>529.75</v>
      </c>
      <c r="M72" s="15" t="n">
        <v>529.75</v>
      </c>
      <c r="N72" s="15" t="n">
        <v>529.75</v>
      </c>
      <c r="O72" s="15" t="n">
        <v>529.75</v>
      </c>
      <c r="P72" s="15" t="n">
        <v>529.75</v>
      </c>
      <c r="Q72" s="15" t="n">
        <v>529.75</v>
      </c>
      <c r="R72" s="15" t="n">
        <v>529.75</v>
      </c>
      <c r="S72" s="15" t="n">
        <v>529.75</v>
      </c>
      <c r="T72" s="15" t="n">
        <v>529.75</v>
      </c>
      <c r="U72" s="15" t="n">
        <v>350</v>
      </c>
      <c r="V72" s="15" t="n">
        <v>0</v>
      </c>
      <c r="W72" s="15" t="n">
        <f aca="false">U72+V72</f>
        <v>350</v>
      </c>
    </row>
    <row r="73" customFormat="false" ht="15" hidden="false" customHeight="false" outlineLevel="0" collapsed="false">
      <c r="A73" s="3" t="s">
        <v>1427</v>
      </c>
      <c r="B73" s="3" t="s">
        <v>1363</v>
      </c>
      <c r="C73" s="3" t="s">
        <v>559</v>
      </c>
      <c r="D73" s="3" t="s">
        <v>77</v>
      </c>
      <c r="E73" s="13" t="n">
        <v>835000</v>
      </c>
      <c r="F73" s="13" t="n">
        <v>11922.16</v>
      </c>
      <c r="G73" s="13" t="n">
        <v>1490.27</v>
      </c>
      <c r="H73" s="13" t="n">
        <v>1490.27</v>
      </c>
      <c r="I73" s="13" t="n">
        <f aca="false">SUM(K73:T73)</f>
        <v>8941.6</v>
      </c>
      <c r="J73" s="13" t="n">
        <f aca="false">F73-(G73+H73+I73)</f>
        <v>0.0200000000004366</v>
      </c>
      <c r="K73" s="13" t="n">
        <v>894.16</v>
      </c>
      <c r="L73" s="13" t="n">
        <v>894.16</v>
      </c>
      <c r="M73" s="13" t="n">
        <v>894.16</v>
      </c>
      <c r="N73" s="13" t="n">
        <v>894.16</v>
      </c>
      <c r="O73" s="13" t="n">
        <v>894.16</v>
      </c>
      <c r="P73" s="13" t="n">
        <v>894.16</v>
      </c>
      <c r="Q73" s="13" t="n">
        <v>894.16</v>
      </c>
      <c r="R73" s="13" t="n">
        <v>894.16</v>
      </c>
      <c r="S73" s="13" t="n">
        <v>894.16</v>
      </c>
      <c r="T73" s="13" t="n">
        <v>894.16</v>
      </c>
      <c r="U73" s="13" t="n">
        <v>350</v>
      </c>
      <c r="V73" s="13" t="n">
        <v>0</v>
      </c>
      <c r="W73" s="13" t="n">
        <f aca="false">U73+V73</f>
        <v>350</v>
      </c>
    </row>
    <row r="74" customFormat="false" ht="15" hidden="false" customHeight="false" outlineLevel="0" collapsed="false">
      <c r="A74" s="14" t="s">
        <v>1428</v>
      </c>
      <c r="B74" s="14" t="s">
        <v>1321</v>
      </c>
      <c r="C74" s="14" t="s">
        <v>108</v>
      </c>
      <c r="D74" s="14" t="s">
        <v>85</v>
      </c>
      <c r="E74" s="15" t="n">
        <v>635000</v>
      </c>
      <c r="F74" s="15" t="n">
        <v>5801.27</v>
      </c>
      <c r="G74" s="15" t="n">
        <v>725.16</v>
      </c>
      <c r="H74" s="15" t="n">
        <v>725.16</v>
      </c>
      <c r="I74" s="15" t="n">
        <f aca="false">SUM(K74:T74)</f>
        <v>4351</v>
      </c>
      <c r="J74" s="15" t="n">
        <f aca="false">F74-(G74+H74+I74)</f>
        <v>-0.0499999999992724</v>
      </c>
      <c r="K74" s="15" t="n">
        <v>435.1</v>
      </c>
      <c r="L74" s="15" t="n">
        <v>435.1</v>
      </c>
      <c r="M74" s="15" t="n">
        <v>435.1</v>
      </c>
      <c r="N74" s="15" t="n">
        <v>435.1</v>
      </c>
      <c r="O74" s="15" t="n">
        <v>435.1</v>
      </c>
      <c r="P74" s="15" t="n">
        <v>435.1</v>
      </c>
      <c r="Q74" s="15" t="n">
        <v>435.1</v>
      </c>
      <c r="R74" s="15" t="n">
        <v>435.1</v>
      </c>
      <c r="S74" s="15" t="n">
        <v>435.1</v>
      </c>
      <c r="T74" s="15" t="n">
        <v>435.1</v>
      </c>
      <c r="U74" s="15" t="n">
        <v>350</v>
      </c>
      <c r="V74" s="15" t="n">
        <v>0</v>
      </c>
      <c r="W74" s="15" t="n">
        <f aca="false">U74+V74</f>
        <v>350</v>
      </c>
    </row>
    <row r="75" customFormat="false" ht="15" hidden="false" customHeight="false" outlineLevel="0" collapsed="false">
      <c r="A75" s="3" t="s">
        <v>1429</v>
      </c>
      <c r="B75" s="3" t="s">
        <v>1333</v>
      </c>
      <c r="C75" s="3" t="s">
        <v>379</v>
      </c>
      <c r="D75" s="3" t="s">
        <v>118</v>
      </c>
      <c r="E75" s="13" t="n">
        <v>525000</v>
      </c>
      <c r="F75" s="13" t="n">
        <v>4802.68</v>
      </c>
      <c r="G75" s="13" t="n">
        <v>600.34</v>
      </c>
      <c r="H75" s="13" t="n">
        <v>600.34</v>
      </c>
      <c r="I75" s="13" t="n">
        <f aca="false">SUM(K75:T75)</f>
        <v>3602</v>
      </c>
      <c r="J75" s="13" t="n">
        <f aca="false">F75-(G75+H75+I75)</f>
        <v>0</v>
      </c>
      <c r="K75" s="13" t="n">
        <v>360.2</v>
      </c>
      <c r="L75" s="13" t="n">
        <v>360.2</v>
      </c>
      <c r="M75" s="13" t="n">
        <v>360.2</v>
      </c>
      <c r="N75" s="13" t="n">
        <v>360.2</v>
      </c>
      <c r="O75" s="13" t="n">
        <v>360.2</v>
      </c>
      <c r="P75" s="13" t="n">
        <v>360.2</v>
      </c>
      <c r="Q75" s="13" t="n">
        <v>360.2</v>
      </c>
      <c r="R75" s="13" t="n">
        <v>360.2</v>
      </c>
      <c r="S75" s="13" t="n">
        <v>360.2</v>
      </c>
      <c r="T75" s="13" t="n">
        <v>360.2</v>
      </c>
      <c r="U75" s="13" t="n">
        <v>350</v>
      </c>
      <c r="V75" s="13" t="n">
        <v>0</v>
      </c>
      <c r="W75" s="13" t="n">
        <f aca="false">U75+V75</f>
        <v>350</v>
      </c>
    </row>
    <row r="76" customFormat="false" ht="15" hidden="false" customHeight="false" outlineLevel="0" collapsed="false">
      <c r="A76" s="14" t="s">
        <v>1430</v>
      </c>
      <c r="B76" s="14" t="s">
        <v>1321</v>
      </c>
      <c r="C76" s="14" t="s">
        <v>708</v>
      </c>
      <c r="D76" s="14" t="s">
        <v>132</v>
      </c>
      <c r="E76" s="15" t="n">
        <v>200000</v>
      </c>
      <c r="F76" s="15" t="n">
        <v>1971.77</v>
      </c>
      <c r="G76" s="15" t="n">
        <v>246.47</v>
      </c>
      <c r="H76" s="15" t="n">
        <v>246.47</v>
      </c>
      <c r="I76" s="15" t="n">
        <f aca="false">SUM(K76:T76)</f>
        <v>1478.8</v>
      </c>
      <c r="J76" s="15" t="n">
        <f aca="false">F76-(G76+H76+I76)</f>
        <v>0.0299999999997453</v>
      </c>
      <c r="K76" s="15" t="n">
        <v>147.88</v>
      </c>
      <c r="L76" s="15" t="n">
        <v>147.88</v>
      </c>
      <c r="M76" s="15" t="n">
        <v>147.88</v>
      </c>
      <c r="N76" s="15" t="n">
        <v>147.88</v>
      </c>
      <c r="O76" s="15" t="n">
        <v>147.88</v>
      </c>
      <c r="P76" s="15" t="n">
        <v>147.88</v>
      </c>
      <c r="Q76" s="15" t="n">
        <v>147.88</v>
      </c>
      <c r="R76" s="15" t="n">
        <v>147.88</v>
      </c>
      <c r="S76" s="15" t="n">
        <v>147.88</v>
      </c>
      <c r="T76" s="15" t="n">
        <v>147.88</v>
      </c>
      <c r="U76" s="15" t="n">
        <v>350</v>
      </c>
      <c r="V76" s="15" t="n">
        <v>0</v>
      </c>
      <c r="W76" s="15" t="n">
        <f aca="false">U76+V76</f>
        <v>350</v>
      </c>
    </row>
    <row r="77" customFormat="false" ht="15" hidden="false" customHeight="false" outlineLevel="0" collapsed="false">
      <c r="A77" s="3" t="s">
        <v>1431</v>
      </c>
      <c r="B77" s="3" t="s">
        <v>1363</v>
      </c>
      <c r="C77" s="3" t="s">
        <v>1432</v>
      </c>
      <c r="D77" s="3" t="s">
        <v>698</v>
      </c>
      <c r="E77" s="13" t="n">
        <v>465000</v>
      </c>
      <c r="F77" s="13" t="n">
        <v>8263.92</v>
      </c>
      <c r="G77" s="13" t="n">
        <v>1032.99</v>
      </c>
      <c r="H77" s="13" t="n">
        <v>1032.99</v>
      </c>
      <c r="I77" s="13" t="n">
        <f aca="false">SUM(K77:T77)</f>
        <v>6197.9</v>
      </c>
      <c r="J77" s="13" t="n">
        <f aca="false">F77-(G77+H77+I77)</f>
        <v>0.0400000000008731</v>
      </c>
      <c r="K77" s="13" t="n">
        <v>619.79</v>
      </c>
      <c r="L77" s="13" t="n">
        <v>619.79</v>
      </c>
      <c r="M77" s="13" t="n">
        <v>619.79</v>
      </c>
      <c r="N77" s="13" t="n">
        <v>619.79</v>
      </c>
      <c r="O77" s="13" t="n">
        <v>619.79</v>
      </c>
      <c r="P77" s="13" t="n">
        <v>619.79</v>
      </c>
      <c r="Q77" s="13" t="n">
        <v>619.79</v>
      </c>
      <c r="R77" s="13" t="n">
        <v>619.79</v>
      </c>
      <c r="S77" s="13" t="n">
        <v>619.79</v>
      </c>
      <c r="T77" s="13" t="n">
        <v>619.79</v>
      </c>
      <c r="U77" s="13" t="n">
        <v>350</v>
      </c>
      <c r="V77" s="13" t="n">
        <v>0</v>
      </c>
      <c r="W77" s="13" t="n">
        <f aca="false">U77+V77</f>
        <v>350</v>
      </c>
    </row>
    <row r="78" customFormat="false" ht="15" hidden="false" customHeight="false" outlineLevel="0" collapsed="false">
      <c r="A78" s="14" t="s">
        <v>1433</v>
      </c>
      <c r="B78" s="14" t="s">
        <v>1407</v>
      </c>
      <c r="C78" s="14" t="s">
        <v>356</v>
      </c>
      <c r="D78" s="14" t="s">
        <v>448</v>
      </c>
      <c r="E78" s="15" t="n">
        <v>1365000</v>
      </c>
      <c r="F78" s="15" t="n">
        <v>20020.73</v>
      </c>
      <c r="G78" s="15" t="n">
        <v>2502.59</v>
      </c>
      <c r="H78" s="15" t="n">
        <v>2502.59</v>
      </c>
      <c r="I78" s="15" t="n">
        <f aca="false">SUM(K78:T78)</f>
        <v>15015.5</v>
      </c>
      <c r="J78" s="15" t="n">
        <f aca="false">F78-(G78+H78+I78)</f>
        <v>0.0499999999992724</v>
      </c>
      <c r="K78" s="15" t="n">
        <v>1501.55</v>
      </c>
      <c r="L78" s="15" t="n">
        <v>1501.55</v>
      </c>
      <c r="M78" s="15" t="n">
        <v>1501.55</v>
      </c>
      <c r="N78" s="15" t="n">
        <v>1501.55</v>
      </c>
      <c r="O78" s="15" t="n">
        <v>1501.55</v>
      </c>
      <c r="P78" s="15" t="n">
        <v>1501.55</v>
      </c>
      <c r="Q78" s="15" t="n">
        <v>1501.55</v>
      </c>
      <c r="R78" s="15" t="n">
        <v>1501.55</v>
      </c>
      <c r="S78" s="15" t="n">
        <v>1501.55</v>
      </c>
      <c r="T78" s="15" t="n">
        <v>1501.55</v>
      </c>
      <c r="U78" s="15" t="n">
        <v>350</v>
      </c>
      <c r="V78" s="15" t="n">
        <v>250</v>
      </c>
      <c r="W78" s="15" t="n">
        <f aca="false">U78+V78</f>
        <v>600</v>
      </c>
    </row>
    <row r="79" customFormat="false" ht="15" hidden="false" customHeight="false" outlineLevel="0" collapsed="false">
      <c r="A79" s="3" t="s">
        <v>1434</v>
      </c>
      <c r="B79" s="3" t="s">
        <v>1373</v>
      </c>
      <c r="C79" s="3" t="s">
        <v>1130</v>
      </c>
      <c r="D79" s="3" t="s">
        <v>338</v>
      </c>
      <c r="E79" s="13" t="n">
        <v>375000</v>
      </c>
      <c r="F79" s="13" t="n">
        <v>6032.06</v>
      </c>
      <c r="G79" s="13" t="n">
        <v>754.01</v>
      </c>
      <c r="H79" s="13" t="n">
        <v>754.01</v>
      </c>
      <c r="I79" s="13" t="n">
        <f aca="false">SUM(K79:T79)</f>
        <v>4524</v>
      </c>
      <c r="J79" s="13" t="n">
        <f aca="false">F79-(G79+H79+I79)</f>
        <v>0.0399999999999636</v>
      </c>
      <c r="K79" s="13" t="n">
        <v>452.4</v>
      </c>
      <c r="L79" s="13" t="n">
        <v>452.4</v>
      </c>
      <c r="M79" s="13" t="n">
        <v>452.4</v>
      </c>
      <c r="N79" s="13" t="n">
        <v>452.4</v>
      </c>
      <c r="O79" s="13" t="n">
        <v>452.4</v>
      </c>
      <c r="P79" s="13" t="n">
        <v>452.4</v>
      </c>
      <c r="Q79" s="13" t="n">
        <v>452.4</v>
      </c>
      <c r="R79" s="13" t="n">
        <v>452.4</v>
      </c>
      <c r="S79" s="13" t="n">
        <v>452.4</v>
      </c>
      <c r="T79" s="13" t="n">
        <v>452.4</v>
      </c>
      <c r="U79" s="13" t="n">
        <v>350</v>
      </c>
      <c r="V79" s="13" t="n">
        <v>0</v>
      </c>
      <c r="W79" s="13" t="n">
        <f aca="false">U79+V79</f>
        <v>350</v>
      </c>
    </row>
    <row r="80" customFormat="false" ht="15" hidden="false" customHeight="false" outlineLevel="0" collapsed="false">
      <c r="A80" s="14" t="s">
        <v>1435</v>
      </c>
      <c r="B80" s="14" t="s">
        <v>1324</v>
      </c>
      <c r="C80" s="14" t="s">
        <v>970</v>
      </c>
      <c r="D80" s="14" t="s">
        <v>166</v>
      </c>
      <c r="E80" s="15" t="n">
        <v>1220000</v>
      </c>
      <c r="F80" s="15" t="n">
        <v>10825.02</v>
      </c>
      <c r="G80" s="15" t="n">
        <v>1353.13</v>
      </c>
      <c r="H80" s="15" t="n">
        <v>1353.13</v>
      </c>
      <c r="I80" s="15" t="n">
        <f aca="false">SUM(K80:T80)</f>
        <v>8118.8</v>
      </c>
      <c r="J80" s="15" t="n">
        <f aca="false">F80-(G80+H80+I80)</f>
        <v>-0.0400000000008731</v>
      </c>
      <c r="K80" s="15" t="n">
        <v>811.88</v>
      </c>
      <c r="L80" s="15" t="n">
        <v>811.88</v>
      </c>
      <c r="M80" s="15" t="n">
        <v>811.88</v>
      </c>
      <c r="N80" s="15" t="n">
        <v>811.88</v>
      </c>
      <c r="O80" s="15" t="n">
        <v>811.88</v>
      </c>
      <c r="P80" s="15" t="n">
        <v>811.88</v>
      </c>
      <c r="Q80" s="15" t="n">
        <v>811.88</v>
      </c>
      <c r="R80" s="15" t="n">
        <v>811.88</v>
      </c>
      <c r="S80" s="15" t="n">
        <v>811.88</v>
      </c>
      <c r="T80" s="15" t="n">
        <v>811.88</v>
      </c>
      <c r="U80" s="15" t="n">
        <v>350</v>
      </c>
      <c r="V80" s="15" t="n">
        <v>250</v>
      </c>
      <c r="W80" s="15" t="n">
        <f aca="false">U80+V80</f>
        <v>600</v>
      </c>
    </row>
    <row r="81" customFormat="false" ht="15" hidden="false" customHeight="false" outlineLevel="0" collapsed="false">
      <c r="A81" s="3" t="s">
        <v>1436</v>
      </c>
      <c r="B81" s="3" t="s">
        <v>1340</v>
      </c>
      <c r="C81" s="3" t="s">
        <v>1437</v>
      </c>
      <c r="D81" s="3" t="s">
        <v>118</v>
      </c>
      <c r="E81" s="13" t="n">
        <v>220000</v>
      </c>
      <c r="F81" s="13" t="n">
        <v>2667.81</v>
      </c>
      <c r="G81" s="13" t="n">
        <v>333.48</v>
      </c>
      <c r="H81" s="13" t="n">
        <v>333.48</v>
      </c>
      <c r="I81" s="13" t="n">
        <f aca="false">SUM(K81:T81)</f>
        <v>2000.9</v>
      </c>
      <c r="J81" s="13" t="n">
        <f aca="false">F81-(G81+H81+I81)</f>
        <v>-0.0499999999997272</v>
      </c>
      <c r="K81" s="13" t="n">
        <v>200.09</v>
      </c>
      <c r="L81" s="13" t="n">
        <v>200.09</v>
      </c>
      <c r="M81" s="13" t="n">
        <v>200.09</v>
      </c>
      <c r="N81" s="13" t="n">
        <v>200.09</v>
      </c>
      <c r="O81" s="13" t="n">
        <v>200.09</v>
      </c>
      <c r="P81" s="13" t="n">
        <v>200.09</v>
      </c>
      <c r="Q81" s="13" t="n">
        <v>200.09</v>
      </c>
      <c r="R81" s="13" t="n">
        <v>200.09</v>
      </c>
      <c r="S81" s="13" t="n">
        <v>200.09</v>
      </c>
      <c r="T81" s="13" t="n">
        <v>200.09</v>
      </c>
      <c r="U81" s="13" t="n">
        <v>350</v>
      </c>
      <c r="V81" s="13" t="n">
        <v>0</v>
      </c>
      <c r="W81" s="13" t="n">
        <f aca="false">U81+V81</f>
        <v>350</v>
      </c>
    </row>
    <row r="82" customFormat="false" ht="15" hidden="false" customHeight="false" outlineLevel="0" collapsed="false">
      <c r="A82" s="14" t="s">
        <v>1438</v>
      </c>
      <c r="B82" s="14" t="s">
        <v>1331</v>
      </c>
      <c r="C82" s="14" t="s">
        <v>526</v>
      </c>
      <c r="D82" s="14" t="s">
        <v>382</v>
      </c>
      <c r="E82" s="15" t="n">
        <v>390000</v>
      </c>
      <c r="F82" s="15" t="n">
        <v>5666.24</v>
      </c>
      <c r="G82" s="15" t="n">
        <v>708.28</v>
      </c>
      <c r="H82" s="15" t="n">
        <v>708.28</v>
      </c>
      <c r="I82" s="15" t="n">
        <f aca="false">SUM(K82:T82)</f>
        <v>4249.7</v>
      </c>
      <c r="J82" s="15" t="n">
        <f aca="false">F82-(G82+H82+I82)</f>
        <v>-0.0200000000004366</v>
      </c>
      <c r="K82" s="15" t="n">
        <v>424.97</v>
      </c>
      <c r="L82" s="15" t="n">
        <v>424.97</v>
      </c>
      <c r="M82" s="15" t="n">
        <v>424.97</v>
      </c>
      <c r="N82" s="15" t="n">
        <v>424.97</v>
      </c>
      <c r="O82" s="15" t="n">
        <v>424.97</v>
      </c>
      <c r="P82" s="15" t="n">
        <v>424.97</v>
      </c>
      <c r="Q82" s="15" t="n">
        <v>424.97</v>
      </c>
      <c r="R82" s="15" t="n">
        <v>424.97</v>
      </c>
      <c r="S82" s="15" t="n">
        <v>424.97</v>
      </c>
      <c r="T82" s="15" t="n">
        <v>424.97</v>
      </c>
      <c r="U82" s="15" t="n">
        <v>350</v>
      </c>
      <c r="V82" s="15" t="n">
        <v>0</v>
      </c>
      <c r="W82" s="15" t="n">
        <f aca="false">U82+V82</f>
        <v>350</v>
      </c>
    </row>
    <row r="83" customFormat="false" ht="15" hidden="false" customHeight="false" outlineLevel="0" collapsed="false">
      <c r="A83" s="3" t="s">
        <v>1439</v>
      </c>
      <c r="B83" s="3" t="s">
        <v>1440</v>
      </c>
      <c r="C83" s="3" t="s">
        <v>1146</v>
      </c>
      <c r="D83" s="3" t="s">
        <v>203</v>
      </c>
      <c r="E83" s="13" t="n">
        <v>1530000</v>
      </c>
      <c r="F83" s="13" t="n">
        <v>24134.47</v>
      </c>
      <c r="G83" s="13" t="n">
        <v>3016.81</v>
      </c>
      <c r="H83" s="13" t="n">
        <v>3016.81</v>
      </c>
      <c r="I83" s="13" t="n">
        <f aca="false">SUM(K83:T83)</f>
        <v>18100.9</v>
      </c>
      <c r="J83" s="13" t="n">
        <f aca="false">F83-(G83+H83+I83)</f>
        <v>-0.0499999999956344</v>
      </c>
      <c r="K83" s="13" t="n">
        <v>1810.09</v>
      </c>
      <c r="L83" s="13" t="n">
        <v>1810.09</v>
      </c>
      <c r="M83" s="13" t="n">
        <v>1810.09</v>
      </c>
      <c r="N83" s="13" t="n">
        <v>1810.09</v>
      </c>
      <c r="O83" s="13" t="n">
        <v>1810.09</v>
      </c>
      <c r="P83" s="13" t="n">
        <v>1810.09</v>
      </c>
      <c r="Q83" s="13" t="n">
        <v>1810.09</v>
      </c>
      <c r="R83" s="13" t="n">
        <v>1810.09</v>
      </c>
      <c r="S83" s="13" t="n">
        <v>1810.09</v>
      </c>
      <c r="T83" s="13" t="n">
        <v>1810.09</v>
      </c>
      <c r="U83" s="13" t="n">
        <v>350</v>
      </c>
      <c r="V83" s="13" t="n">
        <v>250</v>
      </c>
      <c r="W83" s="13" t="n">
        <f aca="false">U83+V83</f>
        <v>600</v>
      </c>
    </row>
    <row r="84" customFormat="false" ht="15" hidden="false" customHeight="false" outlineLevel="0" collapsed="false">
      <c r="A84" s="14" t="s">
        <v>1441</v>
      </c>
      <c r="B84" s="14" t="s">
        <v>1416</v>
      </c>
      <c r="C84" s="14" t="s">
        <v>695</v>
      </c>
      <c r="D84" s="14" t="s">
        <v>312</v>
      </c>
      <c r="E84" s="15" t="n">
        <v>535000</v>
      </c>
      <c r="F84" s="15" t="n">
        <v>6676.39</v>
      </c>
      <c r="G84" s="15" t="n">
        <v>834.55</v>
      </c>
      <c r="H84" s="15" t="n">
        <v>834.55</v>
      </c>
      <c r="I84" s="15" t="n">
        <f aca="false">SUM(K84:T84)</f>
        <v>5007.3</v>
      </c>
      <c r="J84" s="15" t="n">
        <f aca="false">F84-(G84+H84+I84)</f>
        <v>-0.00999999999930878</v>
      </c>
      <c r="K84" s="15" t="n">
        <v>500.73</v>
      </c>
      <c r="L84" s="15" t="n">
        <v>500.73</v>
      </c>
      <c r="M84" s="15" t="n">
        <v>500.73</v>
      </c>
      <c r="N84" s="15" t="n">
        <v>500.73</v>
      </c>
      <c r="O84" s="15" t="n">
        <v>500.73</v>
      </c>
      <c r="P84" s="15" t="n">
        <v>500.73</v>
      </c>
      <c r="Q84" s="15" t="n">
        <v>500.73</v>
      </c>
      <c r="R84" s="15" t="n">
        <v>500.73</v>
      </c>
      <c r="S84" s="15" t="n">
        <v>500.73</v>
      </c>
      <c r="T84" s="15" t="n">
        <v>500.73</v>
      </c>
      <c r="U84" s="15" t="n">
        <v>350</v>
      </c>
      <c r="V84" s="15" t="n">
        <v>0</v>
      </c>
      <c r="W84" s="15" t="n">
        <f aca="false">U84+V84</f>
        <v>350</v>
      </c>
    </row>
    <row r="85" customFormat="false" ht="15" hidden="false" customHeight="false" outlineLevel="0" collapsed="false">
      <c r="A85" s="3" t="s">
        <v>1442</v>
      </c>
      <c r="B85" s="3" t="s">
        <v>1416</v>
      </c>
      <c r="C85" s="3" t="s">
        <v>1120</v>
      </c>
      <c r="D85" s="3" t="s">
        <v>448</v>
      </c>
      <c r="E85" s="13" t="n">
        <v>650000</v>
      </c>
      <c r="F85" s="13" t="n">
        <v>7746.11</v>
      </c>
      <c r="G85" s="13" t="n">
        <v>968.26</v>
      </c>
      <c r="H85" s="13" t="n">
        <v>968.26</v>
      </c>
      <c r="I85" s="13" t="n">
        <f aca="false">SUM(K85:T85)</f>
        <v>5809.6</v>
      </c>
      <c r="J85" s="13" t="n">
        <f aca="false">F85-(G85+H85+I85)</f>
        <v>-0.0100000000011278</v>
      </c>
      <c r="K85" s="13" t="n">
        <v>580.96</v>
      </c>
      <c r="L85" s="13" t="n">
        <v>580.96</v>
      </c>
      <c r="M85" s="13" t="n">
        <v>580.96</v>
      </c>
      <c r="N85" s="13" t="n">
        <v>580.96</v>
      </c>
      <c r="O85" s="13" t="n">
        <v>580.96</v>
      </c>
      <c r="P85" s="13" t="n">
        <v>580.96</v>
      </c>
      <c r="Q85" s="13" t="n">
        <v>580.96</v>
      </c>
      <c r="R85" s="13" t="n">
        <v>580.96</v>
      </c>
      <c r="S85" s="13" t="n">
        <v>580.96</v>
      </c>
      <c r="T85" s="13" t="n">
        <v>580.96</v>
      </c>
      <c r="U85" s="13" t="n">
        <v>350</v>
      </c>
      <c r="V85" s="13" t="n">
        <v>0</v>
      </c>
      <c r="W85" s="13" t="n">
        <f aca="false">U85+V85</f>
        <v>350</v>
      </c>
    </row>
    <row r="86" customFormat="false" ht="15" hidden="false" customHeight="false" outlineLevel="0" collapsed="false">
      <c r="A86" s="14" t="s">
        <v>1443</v>
      </c>
      <c r="B86" s="14" t="s">
        <v>1317</v>
      </c>
      <c r="C86" s="14" t="s">
        <v>966</v>
      </c>
      <c r="D86" s="14" t="s">
        <v>203</v>
      </c>
      <c r="E86" s="15" t="n">
        <v>235000</v>
      </c>
      <c r="F86" s="15" t="n">
        <v>4262.97</v>
      </c>
      <c r="G86" s="15" t="n">
        <v>532.87</v>
      </c>
      <c r="H86" s="15" t="n">
        <v>532.87</v>
      </c>
      <c r="I86" s="15" t="n">
        <f aca="false">SUM(K86:T86)</f>
        <v>3197.2</v>
      </c>
      <c r="J86" s="15" t="n">
        <f aca="false">F86-(G86+H86+I86)</f>
        <v>0.0299999999997453</v>
      </c>
      <c r="K86" s="15" t="n">
        <v>319.72</v>
      </c>
      <c r="L86" s="15" t="n">
        <v>319.72</v>
      </c>
      <c r="M86" s="15" t="n">
        <v>319.72</v>
      </c>
      <c r="N86" s="15" t="n">
        <v>319.72</v>
      </c>
      <c r="O86" s="15" t="n">
        <v>319.72</v>
      </c>
      <c r="P86" s="15" t="n">
        <v>319.72</v>
      </c>
      <c r="Q86" s="15" t="n">
        <v>319.72</v>
      </c>
      <c r="R86" s="15" t="n">
        <v>319.72</v>
      </c>
      <c r="S86" s="15" t="n">
        <v>319.72</v>
      </c>
      <c r="T86" s="15" t="n">
        <v>319.72</v>
      </c>
      <c r="U86" s="15" t="n">
        <v>350</v>
      </c>
      <c r="V86" s="15" t="n">
        <v>0</v>
      </c>
      <c r="W86" s="15" t="n">
        <f aca="false">U86+V86</f>
        <v>350</v>
      </c>
    </row>
    <row r="87" customFormat="false" ht="15" hidden="false" customHeight="false" outlineLevel="0" collapsed="false">
      <c r="A87" s="3" t="s">
        <v>1444</v>
      </c>
      <c r="B87" s="3" t="s">
        <v>1317</v>
      </c>
      <c r="C87" s="3" t="s">
        <v>706</v>
      </c>
      <c r="D87" s="3" t="s">
        <v>298</v>
      </c>
      <c r="E87" s="13" t="n">
        <v>635000</v>
      </c>
      <c r="F87" s="13" t="n">
        <v>5950.65</v>
      </c>
      <c r="G87" s="13" t="n">
        <v>743.83</v>
      </c>
      <c r="H87" s="13" t="n">
        <v>743.83</v>
      </c>
      <c r="I87" s="13" t="n">
        <f aca="false">SUM(K87:T87)</f>
        <v>4463</v>
      </c>
      <c r="J87" s="13" t="n">
        <f aca="false">F87-(G87+H87+I87)</f>
        <v>-0.0100000000002183</v>
      </c>
      <c r="K87" s="13" t="n">
        <v>446.3</v>
      </c>
      <c r="L87" s="13" t="n">
        <v>446.3</v>
      </c>
      <c r="M87" s="13" t="n">
        <v>446.3</v>
      </c>
      <c r="N87" s="13" t="n">
        <v>446.3</v>
      </c>
      <c r="O87" s="13" t="n">
        <v>446.3</v>
      </c>
      <c r="P87" s="13" t="n">
        <v>446.3</v>
      </c>
      <c r="Q87" s="13" t="n">
        <v>446.3</v>
      </c>
      <c r="R87" s="13" t="n">
        <v>446.3</v>
      </c>
      <c r="S87" s="13" t="n">
        <v>446.3</v>
      </c>
      <c r="T87" s="13" t="n">
        <v>446.3</v>
      </c>
      <c r="U87" s="13" t="n">
        <v>350</v>
      </c>
      <c r="V87" s="13" t="n">
        <v>0</v>
      </c>
      <c r="W87" s="13" t="n">
        <f aca="false">U87+V87</f>
        <v>350</v>
      </c>
    </row>
    <row r="88" customFormat="false" ht="15" hidden="false" customHeight="false" outlineLevel="0" collapsed="false">
      <c r="A88" s="14" t="s">
        <v>1445</v>
      </c>
      <c r="B88" s="14" t="s">
        <v>1346</v>
      </c>
      <c r="C88" s="14" t="s">
        <v>574</v>
      </c>
      <c r="D88" s="14" t="s">
        <v>312</v>
      </c>
      <c r="E88" s="15" t="n">
        <v>945000</v>
      </c>
      <c r="F88" s="15" t="n">
        <v>7801.44</v>
      </c>
      <c r="G88" s="15" t="n">
        <v>975.18</v>
      </c>
      <c r="H88" s="15" t="n">
        <v>975.18</v>
      </c>
      <c r="I88" s="15" t="n">
        <f aca="false">SUM(K88:T88)</f>
        <v>5851.1</v>
      </c>
      <c r="J88" s="15" t="n">
        <f aca="false">F88-(G88+H88+I88)</f>
        <v>-0.0199999999995271</v>
      </c>
      <c r="K88" s="15" t="n">
        <v>585.11</v>
      </c>
      <c r="L88" s="15" t="n">
        <v>585.11</v>
      </c>
      <c r="M88" s="15" t="n">
        <v>585.11</v>
      </c>
      <c r="N88" s="15" t="n">
        <v>585.11</v>
      </c>
      <c r="O88" s="15" t="n">
        <v>585.11</v>
      </c>
      <c r="P88" s="15" t="n">
        <v>585.11</v>
      </c>
      <c r="Q88" s="15" t="n">
        <v>585.11</v>
      </c>
      <c r="R88" s="15" t="n">
        <v>585.11</v>
      </c>
      <c r="S88" s="15" t="n">
        <v>585.11</v>
      </c>
      <c r="T88" s="15" t="n">
        <v>585.11</v>
      </c>
      <c r="U88" s="15" t="n">
        <v>350</v>
      </c>
      <c r="V88" s="15" t="n">
        <v>0</v>
      </c>
      <c r="W88" s="15" t="n">
        <f aca="false">U88+V88</f>
        <v>350</v>
      </c>
    </row>
    <row r="89" customFormat="false" ht="15" hidden="false" customHeight="false" outlineLevel="0" collapsed="false">
      <c r="A89" s="3" t="s">
        <v>1446</v>
      </c>
      <c r="B89" s="3" t="s">
        <v>1447</v>
      </c>
      <c r="C89" s="3" t="s">
        <v>374</v>
      </c>
      <c r="D89" s="3" t="s">
        <v>109</v>
      </c>
      <c r="E89" s="13" t="n">
        <v>870000</v>
      </c>
      <c r="F89" s="13" t="n">
        <v>17869.16</v>
      </c>
      <c r="G89" s="13" t="n">
        <v>2233.64</v>
      </c>
      <c r="H89" s="13" t="n">
        <v>2233.64</v>
      </c>
      <c r="I89" s="13" t="n">
        <f aca="false">SUM(K89:T89)</f>
        <v>13401.9</v>
      </c>
      <c r="J89" s="13" t="n">
        <f aca="false">F89-(G89+H89+I89)</f>
        <v>-0.0200000000004366</v>
      </c>
      <c r="K89" s="13" t="n">
        <v>1340.19</v>
      </c>
      <c r="L89" s="13" t="n">
        <v>1340.19</v>
      </c>
      <c r="M89" s="13" t="n">
        <v>1340.19</v>
      </c>
      <c r="N89" s="13" t="n">
        <v>1340.19</v>
      </c>
      <c r="O89" s="13" t="n">
        <v>1340.19</v>
      </c>
      <c r="P89" s="13" t="n">
        <v>1340.19</v>
      </c>
      <c r="Q89" s="13" t="n">
        <v>1340.19</v>
      </c>
      <c r="R89" s="13" t="n">
        <v>1340.19</v>
      </c>
      <c r="S89" s="13" t="n">
        <v>1340.19</v>
      </c>
      <c r="T89" s="13" t="n">
        <v>1340.19</v>
      </c>
      <c r="U89" s="13" t="n">
        <v>350</v>
      </c>
      <c r="V89" s="13" t="n">
        <v>0</v>
      </c>
      <c r="W89" s="13" t="n">
        <f aca="false">U89+V89</f>
        <v>350</v>
      </c>
    </row>
    <row r="90" customFormat="false" ht="15" hidden="false" customHeight="false" outlineLevel="0" collapsed="false">
      <c r="A90" s="14" t="s">
        <v>1448</v>
      </c>
      <c r="B90" s="14" t="s">
        <v>1380</v>
      </c>
      <c r="C90" s="14" t="s">
        <v>432</v>
      </c>
      <c r="D90" s="14" t="s">
        <v>132</v>
      </c>
      <c r="E90" s="15" t="n">
        <v>250000</v>
      </c>
      <c r="F90" s="15" t="n">
        <v>3243.05</v>
      </c>
      <c r="G90" s="15" t="n">
        <v>405.38</v>
      </c>
      <c r="H90" s="15" t="n">
        <v>405.38</v>
      </c>
      <c r="I90" s="15" t="n">
        <f aca="false">SUM(K90:T90)</f>
        <v>2432.3</v>
      </c>
      <c r="J90" s="15" t="n">
        <f aca="false">F90-(G90+H90+I90)</f>
        <v>-0.00999999999930878</v>
      </c>
      <c r="K90" s="15" t="n">
        <v>243.23</v>
      </c>
      <c r="L90" s="15" t="n">
        <v>243.23</v>
      </c>
      <c r="M90" s="15" t="n">
        <v>243.23</v>
      </c>
      <c r="N90" s="15" t="n">
        <v>243.23</v>
      </c>
      <c r="O90" s="15" t="n">
        <v>243.23</v>
      </c>
      <c r="P90" s="15" t="n">
        <v>243.23</v>
      </c>
      <c r="Q90" s="15" t="n">
        <v>243.23</v>
      </c>
      <c r="R90" s="15" t="n">
        <v>243.23</v>
      </c>
      <c r="S90" s="15" t="n">
        <v>243.23</v>
      </c>
      <c r="T90" s="15" t="n">
        <v>243.23</v>
      </c>
      <c r="U90" s="15" t="n">
        <v>350</v>
      </c>
      <c r="V90" s="15" t="n">
        <v>0</v>
      </c>
      <c r="W90" s="15" t="n">
        <f aca="false">U90+V90</f>
        <v>350</v>
      </c>
    </row>
    <row r="91" customFormat="false" ht="15" hidden="false" customHeight="false" outlineLevel="0" collapsed="false">
      <c r="A91" s="3" t="s">
        <v>1449</v>
      </c>
      <c r="B91" s="3" t="s">
        <v>1317</v>
      </c>
      <c r="C91" s="3" t="s">
        <v>1360</v>
      </c>
      <c r="D91" s="3" t="s">
        <v>352</v>
      </c>
      <c r="E91" s="13" t="n">
        <v>370000</v>
      </c>
      <c r="F91" s="13" t="n">
        <v>5423.66</v>
      </c>
      <c r="G91" s="13" t="n">
        <v>677.96</v>
      </c>
      <c r="H91" s="13" t="n">
        <v>677.96</v>
      </c>
      <c r="I91" s="13" t="n">
        <f aca="false">SUM(K91:T91)</f>
        <v>4067.7</v>
      </c>
      <c r="J91" s="13" t="n">
        <f aca="false">F91-(G91+H91+I91)</f>
        <v>0.0399999999999636</v>
      </c>
      <c r="K91" s="13" t="n">
        <v>406.77</v>
      </c>
      <c r="L91" s="13" t="n">
        <v>406.77</v>
      </c>
      <c r="M91" s="13" t="n">
        <v>406.77</v>
      </c>
      <c r="N91" s="13" t="n">
        <v>406.77</v>
      </c>
      <c r="O91" s="13" t="n">
        <v>406.77</v>
      </c>
      <c r="P91" s="13" t="n">
        <v>406.77</v>
      </c>
      <c r="Q91" s="13" t="n">
        <v>406.77</v>
      </c>
      <c r="R91" s="13" t="n">
        <v>406.77</v>
      </c>
      <c r="S91" s="13" t="n">
        <v>406.77</v>
      </c>
      <c r="T91" s="13" t="n">
        <v>406.77</v>
      </c>
      <c r="U91" s="13" t="n">
        <v>350</v>
      </c>
      <c r="V91" s="13" t="n">
        <v>0</v>
      </c>
      <c r="W91" s="13" t="n">
        <f aca="false">U91+V91</f>
        <v>350</v>
      </c>
    </row>
    <row r="92" customFormat="false" ht="15" hidden="false" customHeight="false" outlineLevel="0" collapsed="false">
      <c r="A92" s="14" t="s">
        <v>1450</v>
      </c>
      <c r="B92" s="14" t="s">
        <v>1315</v>
      </c>
      <c r="C92" s="14" t="s">
        <v>1279</v>
      </c>
      <c r="D92" s="14" t="s">
        <v>325</v>
      </c>
      <c r="E92" s="15" t="n">
        <v>680000</v>
      </c>
      <c r="F92" s="15" t="n">
        <v>6167.7</v>
      </c>
      <c r="G92" s="15" t="n">
        <v>770.96</v>
      </c>
      <c r="H92" s="15" t="n">
        <v>770.96</v>
      </c>
      <c r="I92" s="15" t="n">
        <f aca="false">SUM(K92:T92)</f>
        <v>4625.8</v>
      </c>
      <c r="J92" s="15" t="n">
        <f aca="false">F92-(G92+H92+I92)</f>
        <v>-0.0200000000004366</v>
      </c>
      <c r="K92" s="15" t="n">
        <v>462.58</v>
      </c>
      <c r="L92" s="15" t="n">
        <v>462.58</v>
      </c>
      <c r="M92" s="15" t="n">
        <v>462.58</v>
      </c>
      <c r="N92" s="15" t="n">
        <v>462.58</v>
      </c>
      <c r="O92" s="15" t="n">
        <v>462.58</v>
      </c>
      <c r="P92" s="15" t="n">
        <v>462.58</v>
      </c>
      <c r="Q92" s="15" t="n">
        <v>462.58</v>
      </c>
      <c r="R92" s="15" t="n">
        <v>462.58</v>
      </c>
      <c r="S92" s="15" t="n">
        <v>462.58</v>
      </c>
      <c r="T92" s="15" t="n">
        <v>462.58</v>
      </c>
      <c r="U92" s="15" t="n">
        <v>350</v>
      </c>
      <c r="V92" s="15" t="n">
        <v>0</v>
      </c>
      <c r="W92" s="15" t="n">
        <f aca="false">U92+V92</f>
        <v>350</v>
      </c>
    </row>
    <row r="93" customFormat="false" ht="15" hidden="false" customHeight="false" outlineLevel="0" collapsed="false">
      <c r="A93" s="3" t="s">
        <v>1451</v>
      </c>
      <c r="B93" s="3" t="s">
        <v>1367</v>
      </c>
      <c r="C93" s="3" t="s">
        <v>817</v>
      </c>
      <c r="D93" s="3" t="s">
        <v>99</v>
      </c>
      <c r="E93" s="13" t="n">
        <v>900000</v>
      </c>
      <c r="F93" s="13" t="n">
        <v>13760.88</v>
      </c>
      <c r="G93" s="13" t="n">
        <v>1720.11</v>
      </c>
      <c r="H93" s="13" t="n">
        <v>1720.11</v>
      </c>
      <c r="I93" s="13" t="n">
        <f aca="false">SUM(K93:T93)</f>
        <v>10320.7</v>
      </c>
      <c r="J93" s="13" t="n">
        <f aca="false">F93-(G93+H93+I93)</f>
        <v>-0.0399999999990541</v>
      </c>
      <c r="K93" s="13" t="n">
        <v>1032.07</v>
      </c>
      <c r="L93" s="13" t="n">
        <v>1032.07</v>
      </c>
      <c r="M93" s="13" t="n">
        <v>1032.07</v>
      </c>
      <c r="N93" s="13" t="n">
        <v>1032.07</v>
      </c>
      <c r="O93" s="13" t="n">
        <v>1032.07</v>
      </c>
      <c r="P93" s="13" t="n">
        <v>1032.07</v>
      </c>
      <c r="Q93" s="13" t="n">
        <v>1032.07</v>
      </c>
      <c r="R93" s="13" t="n">
        <v>1032.07</v>
      </c>
      <c r="S93" s="13" t="n">
        <v>1032.07</v>
      </c>
      <c r="T93" s="13" t="n">
        <v>1032.07</v>
      </c>
      <c r="U93" s="13" t="n">
        <v>350</v>
      </c>
      <c r="V93" s="13" t="n">
        <v>0</v>
      </c>
      <c r="W93" s="13" t="n">
        <f aca="false">U93+V93</f>
        <v>350</v>
      </c>
    </row>
    <row r="94" customFormat="false" ht="15" hidden="false" customHeight="false" outlineLevel="0" collapsed="false">
      <c r="A94" s="14" t="s">
        <v>1452</v>
      </c>
      <c r="B94" s="14" t="s">
        <v>1343</v>
      </c>
      <c r="C94" s="14" t="s">
        <v>145</v>
      </c>
      <c r="D94" s="14" t="s">
        <v>256</v>
      </c>
      <c r="E94" s="15" t="n">
        <v>1245000</v>
      </c>
      <c r="F94" s="15" t="n">
        <v>15751.98</v>
      </c>
      <c r="G94" s="15" t="n">
        <v>1969</v>
      </c>
      <c r="H94" s="15" t="n">
        <v>1969</v>
      </c>
      <c r="I94" s="15" t="n">
        <f aca="false">SUM(K94:T94)</f>
        <v>11814</v>
      </c>
      <c r="J94" s="15" t="n">
        <f aca="false">F94-(G94+H94+I94)</f>
        <v>-0.0200000000004366</v>
      </c>
      <c r="K94" s="15" t="n">
        <v>1181.4</v>
      </c>
      <c r="L94" s="15" t="n">
        <v>1181.4</v>
      </c>
      <c r="M94" s="15" t="n">
        <v>1181.4</v>
      </c>
      <c r="N94" s="15" t="n">
        <v>1181.4</v>
      </c>
      <c r="O94" s="15" t="n">
        <v>1181.4</v>
      </c>
      <c r="P94" s="15" t="n">
        <v>1181.4</v>
      </c>
      <c r="Q94" s="15" t="n">
        <v>1181.4</v>
      </c>
      <c r="R94" s="15" t="n">
        <v>1181.4</v>
      </c>
      <c r="S94" s="15" t="n">
        <v>1181.4</v>
      </c>
      <c r="T94" s="15" t="n">
        <v>1181.4</v>
      </c>
      <c r="U94" s="15" t="n">
        <v>350</v>
      </c>
      <c r="V94" s="15" t="n">
        <v>250</v>
      </c>
      <c r="W94" s="15" t="n">
        <f aca="false">U94+V94</f>
        <v>600</v>
      </c>
    </row>
    <row r="95" customFormat="false" ht="15" hidden="false" customHeight="false" outlineLevel="0" collapsed="false">
      <c r="A95" s="3" t="s">
        <v>1453</v>
      </c>
      <c r="B95" s="3" t="s">
        <v>1407</v>
      </c>
      <c r="C95" s="3" t="s">
        <v>516</v>
      </c>
      <c r="D95" s="3" t="s">
        <v>203</v>
      </c>
      <c r="E95" s="13" t="n">
        <v>850000</v>
      </c>
      <c r="F95" s="13" t="n">
        <v>15922.04</v>
      </c>
      <c r="G95" s="13" t="n">
        <v>1990.26</v>
      </c>
      <c r="H95" s="13" t="n">
        <v>1990.26</v>
      </c>
      <c r="I95" s="13" t="n">
        <f aca="false">SUM(K95:T95)</f>
        <v>11941.5</v>
      </c>
      <c r="J95" s="13" t="n">
        <f aca="false">F95-(G95+H95+I95)</f>
        <v>0.0200000000004366</v>
      </c>
      <c r="K95" s="13" t="n">
        <v>1194.15</v>
      </c>
      <c r="L95" s="13" t="n">
        <v>1194.15</v>
      </c>
      <c r="M95" s="13" t="n">
        <v>1194.15</v>
      </c>
      <c r="N95" s="13" t="n">
        <v>1194.15</v>
      </c>
      <c r="O95" s="13" t="n">
        <v>1194.15</v>
      </c>
      <c r="P95" s="13" t="n">
        <v>1194.15</v>
      </c>
      <c r="Q95" s="13" t="n">
        <v>1194.15</v>
      </c>
      <c r="R95" s="13" t="n">
        <v>1194.15</v>
      </c>
      <c r="S95" s="13" t="n">
        <v>1194.15</v>
      </c>
      <c r="T95" s="13" t="n">
        <v>1194.15</v>
      </c>
      <c r="U95" s="13" t="n">
        <v>350</v>
      </c>
      <c r="V95" s="13" t="n">
        <v>0</v>
      </c>
      <c r="W95" s="13" t="n">
        <f aca="false">U95+V95</f>
        <v>350</v>
      </c>
    </row>
    <row r="96" customFormat="false" ht="15" hidden="false" customHeight="false" outlineLevel="0" collapsed="false">
      <c r="A96" s="14" t="s">
        <v>1454</v>
      </c>
      <c r="B96" s="14" t="s">
        <v>1367</v>
      </c>
      <c r="C96" s="14" t="s">
        <v>614</v>
      </c>
      <c r="D96" s="14" t="s">
        <v>208</v>
      </c>
      <c r="E96" s="15" t="n">
        <v>1015000</v>
      </c>
      <c r="F96" s="15" t="n">
        <v>8672.5</v>
      </c>
      <c r="G96" s="15" t="n">
        <v>1084.06</v>
      </c>
      <c r="H96" s="15" t="n">
        <v>1084.06</v>
      </c>
      <c r="I96" s="15" t="n">
        <f aca="false">SUM(K96:T96)</f>
        <v>6504.4</v>
      </c>
      <c r="J96" s="15" t="n">
        <f aca="false">F96-(G96+H96+I96)</f>
        <v>-0.0200000000004366</v>
      </c>
      <c r="K96" s="15" t="n">
        <v>650.44</v>
      </c>
      <c r="L96" s="15" t="n">
        <v>650.44</v>
      </c>
      <c r="M96" s="15" t="n">
        <v>650.44</v>
      </c>
      <c r="N96" s="15" t="n">
        <v>650.44</v>
      </c>
      <c r="O96" s="15" t="n">
        <v>650.44</v>
      </c>
      <c r="P96" s="15" t="n">
        <v>650.44</v>
      </c>
      <c r="Q96" s="15" t="n">
        <v>650.44</v>
      </c>
      <c r="R96" s="15" t="n">
        <v>650.44</v>
      </c>
      <c r="S96" s="15" t="n">
        <v>650.44</v>
      </c>
      <c r="T96" s="15" t="n">
        <v>650.44</v>
      </c>
      <c r="U96" s="15" t="n">
        <v>350</v>
      </c>
      <c r="V96" s="15" t="n">
        <v>250</v>
      </c>
      <c r="W96" s="15" t="n">
        <f aca="false">U96+V96</f>
        <v>600</v>
      </c>
    </row>
    <row r="97" customFormat="false" ht="15" hidden="false" customHeight="false" outlineLevel="0" collapsed="false">
      <c r="A97" s="3" t="s">
        <v>1455</v>
      </c>
      <c r="B97" s="3" t="s">
        <v>1456</v>
      </c>
      <c r="C97" s="3" t="s">
        <v>269</v>
      </c>
      <c r="D97" s="3" t="s">
        <v>166</v>
      </c>
      <c r="E97" s="13" t="n">
        <v>140000</v>
      </c>
      <c r="F97" s="13" t="n">
        <v>1863.32</v>
      </c>
      <c r="G97" s="13" t="n">
        <v>232.91</v>
      </c>
      <c r="H97" s="13" t="n">
        <v>232.91</v>
      </c>
      <c r="I97" s="13" t="n">
        <f aca="false">SUM(K97:T97)</f>
        <v>1397.5</v>
      </c>
      <c r="J97" s="13" t="n">
        <f aca="false">F97-(G97+H97+I97)</f>
        <v>0</v>
      </c>
      <c r="K97" s="13" t="n">
        <v>139.75</v>
      </c>
      <c r="L97" s="13" t="n">
        <v>139.75</v>
      </c>
      <c r="M97" s="13" t="n">
        <v>139.75</v>
      </c>
      <c r="N97" s="13" t="n">
        <v>139.75</v>
      </c>
      <c r="O97" s="13" t="n">
        <v>139.75</v>
      </c>
      <c r="P97" s="13" t="n">
        <v>139.75</v>
      </c>
      <c r="Q97" s="13" t="n">
        <v>139.75</v>
      </c>
      <c r="R97" s="13" t="n">
        <v>139.75</v>
      </c>
      <c r="S97" s="13" t="n">
        <v>139.75</v>
      </c>
      <c r="T97" s="13" t="n">
        <v>139.75</v>
      </c>
      <c r="U97" s="13" t="n">
        <v>350</v>
      </c>
      <c r="V97" s="13" t="n">
        <v>0</v>
      </c>
      <c r="W97" s="13" t="n">
        <f aca="false">U97+V97</f>
        <v>350</v>
      </c>
    </row>
    <row r="98" customFormat="false" ht="15" hidden="false" customHeight="false" outlineLevel="0" collapsed="false">
      <c r="A98" s="14" t="s">
        <v>1457</v>
      </c>
      <c r="B98" s="14" t="s">
        <v>1371</v>
      </c>
      <c r="C98" s="14" t="s">
        <v>1458</v>
      </c>
      <c r="D98" s="14" t="s">
        <v>251</v>
      </c>
      <c r="E98" s="15" t="n">
        <v>640000</v>
      </c>
      <c r="F98" s="15" t="n">
        <v>8058.65</v>
      </c>
      <c r="G98" s="15" t="n">
        <v>1007.33</v>
      </c>
      <c r="H98" s="15" t="n">
        <v>1007.33</v>
      </c>
      <c r="I98" s="15" t="n">
        <f aca="false">SUM(K98:T98)</f>
        <v>6044</v>
      </c>
      <c r="J98" s="15" t="n">
        <f aca="false">F98-(G98+H98+I98)</f>
        <v>-0.00999999999930878</v>
      </c>
      <c r="K98" s="15" t="n">
        <v>604.4</v>
      </c>
      <c r="L98" s="15" t="n">
        <v>604.4</v>
      </c>
      <c r="M98" s="15" t="n">
        <v>604.4</v>
      </c>
      <c r="N98" s="15" t="n">
        <v>604.4</v>
      </c>
      <c r="O98" s="15" t="n">
        <v>604.4</v>
      </c>
      <c r="P98" s="15" t="n">
        <v>604.4</v>
      </c>
      <c r="Q98" s="15" t="n">
        <v>604.4</v>
      </c>
      <c r="R98" s="15" t="n">
        <v>604.4</v>
      </c>
      <c r="S98" s="15" t="n">
        <v>604.4</v>
      </c>
      <c r="T98" s="15" t="n">
        <v>604.4</v>
      </c>
      <c r="U98" s="15" t="n">
        <v>350</v>
      </c>
      <c r="V98" s="15" t="n">
        <v>0</v>
      </c>
      <c r="W98" s="15" t="n">
        <f aca="false">U98+V98</f>
        <v>350</v>
      </c>
    </row>
    <row r="99" customFormat="false" ht="15" hidden="false" customHeight="false" outlineLevel="0" collapsed="false">
      <c r="A99" s="3" t="s">
        <v>1459</v>
      </c>
      <c r="B99" s="3" t="s">
        <v>1380</v>
      </c>
      <c r="C99" s="3" t="s">
        <v>445</v>
      </c>
      <c r="D99" s="3" t="s">
        <v>189</v>
      </c>
      <c r="E99" s="13" t="n">
        <v>375000</v>
      </c>
      <c r="F99" s="13" t="n">
        <v>3424.65</v>
      </c>
      <c r="G99" s="13" t="n">
        <v>428.08</v>
      </c>
      <c r="H99" s="13" t="n">
        <v>428.08</v>
      </c>
      <c r="I99" s="13" t="n">
        <f aca="false">SUM(K99:T99)</f>
        <v>2568.5</v>
      </c>
      <c r="J99" s="13" t="n">
        <f aca="false">F99-(G99+H99+I99)</f>
        <v>-0.00999999999976353</v>
      </c>
      <c r="K99" s="13" t="n">
        <v>256.85</v>
      </c>
      <c r="L99" s="13" t="n">
        <v>256.85</v>
      </c>
      <c r="M99" s="13" t="n">
        <v>256.85</v>
      </c>
      <c r="N99" s="13" t="n">
        <v>256.85</v>
      </c>
      <c r="O99" s="13" t="n">
        <v>256.85</v>
      </c>
      <c r="P99" s="13" t="n">
        <v>256.85</v>
      </c>
      <c r="Q99" s="13" t="n">
        <v>256.85</v>
      </c>
      <c r="R99" s="13" t="n">
        <v>256.85</v>
      </c>
      <c r="S99" s="13" t="n">
        <v>256.85</v>
      </c>
      <c r="T99" s="13" t="n">
        <v>256.85</v>
      </c>
      <c r="U99" s="13" t="n">
        <v>350</v>
      </c>
      <c r="V99" s="13" t="n">
        <v>0</v>
      </c>
      <c r="W99" s="13" t="n">
        <f aca="false">U99+V99</f>
        <v>350</v>
      </c>
    </row>
    <row r="100" customFormat="false" ht="15" hidden="false" customHeight="false" outlineLevel="0" collapsed="false">
      <c r="A100" s="14" t="s">
        <v>1460</v>
      </c>
      <c r="B100" s="14" t="s">
        <v>1447</v>
      </c>
      <c r="C100" s="14" t="s">
        <v>1017</v>
      </c>
      <c r="D100" s="14" t="s">
        <v>328</v>
      </c>
      <c r="E100" s="15" t="n">
        <v>805000</v>
      </c>
      <c r="F100" s="15" t="n">
        <v>17195.48</v>
      </c>
      <c r="G100" s="15" t="n">
        <v>2149.43</v>
      </c>
      <c r="H100" s="15" t="n">
        <v>2149.43</v>
      </c>
      <c r="I100" s="15" t="n">
        <f aca="false">SUM(K100:T100)</f>
        <v>12896.6</v>
      </c>
      <c r="J100" s="15" t="n">
        <f aca="false">F100-(G100+H100+I100)</f>
        <v>0.0200000000004366</v>
      </c>
      <c r="K100" s="15" t="n">
        <v>1289.66</v>
      </c>
      <c r="L100" s="15" t="n">
        <v>1289.66</v>
      </c>
      <c r="M100" s="15" t="n">
        <v>1289.66</v>
      </c>
      <c r="N100" s="15" t="n">
        <v>1289.66</v>
      </c>
      <c r="O100" s="15" t="n">
        <v>1289.66</v>
      </c>
      <c r="P100" s="15" t="n">
        <v>1289.66</v>
      </c>
      <c r="Q100" s="15" t="n">
        <v>1289.66</v>
      </c>
      <c r="R100" s="15" t="n">
        <v>1289.66</v>
      </c>
      <c r="S100" s="15" t="n">
        <v>1289.66</v>
      </c>
      <c r="T100" s="15" t="n">
        <v>1289.66</v>
      </c>
      <c r="U100" s="15" t="n">
        <v>350</v>
      </c>
      <c r="V100" s="15" t="n">
        <v>0</v>
      </c>
      <c r="W100" s="15" t="n">
        <f aca="false">U100+V100</f>
        <v>350</v>
      </c>
    </row>
    <row r="101" customFormat="false" ht="15" hidden="false" customHeight="false" outlineLevel="0" collapsed="false">
      <c r="A101" s="3" t="s">
        <v>1461</v>
      </c>
      <c r="B101" s="3" t="s">
        <v>1456</v>
      </c>
      <c r="C101" s="3" t="s">
        <v>1462</v>
      </c>
      <c r="D101" s="3" t="s">
        <v>132</v>
      </c>
      <c r="E101" s="13" t="n">
        <v>815000</v>
      </c>
      <c r="F101" s="13" t="n">
        <v>6061.46</v>
      </c>
      <c r="G101" s="13" t="n">
        <v>757.68</v>
      </c>
      <c r="H101" s="13" t="n">
        <v>757.68</v>
      </c>
      <c r="I101" s="13" t="n">
        <f aca="false">SUM(K101:T101)</f>
        <v>4546.1</v>
      </c>
      <c r="J101" s="13" t="n">
        <f aca="false">F101-(G101+H101+I101)</f>
        <v>0</v>
      </c>
      <c r="K101" s="13" t="n">
        <v>454.61</v>
      </c>
      <c r="L101" s="13" t="n">
        <v>454.61</v>
      </c>
      <c r="M101" s="13" t="n">
        <v>454.61</v>
      </c>
      <c r="N101" s="13" t="n">
        <v>454.61</v>
      </c>
      <c r="O101" s="13" t="n">
        <v>454.61</v>
      </c>
      <c r="P101" s="13" t="n">
        <v>454.61</v>
      </c>
      <c r="Q101" s="13" t="n">
        <v>454.61</v>
      </c>
      <c r="R101" s="13" t="n">
        <v>454.61</v>
      </c>
      <c r="S101" s="13" t="n">
        <v>454.61</v>
      </c>
      <c r="T101" s="13" t="n">
        <v>454.61</v>
      </c>
      <c r="U101" s="13" t="n">
        <v>350</v>
      </c>
      <c r="V101" s="13" t="n">
        <v>0</v>
      </c>
      <c r="W101" s="13" t="n">
        <f aca="false">U101+V101</f>
        <v>350</v>
      </c>
    </row>
    <row r="102" customFormat="false" ht="15" hidden="false" customHeight="false" outlineLevel="0" collapsed="false">
      <c r="A102" s="14" t="s">
        <v>1463</v>
      </c>
      <c r="B102" s="14" t="s">
        <v>1464</v>
      </c>
      <c r="C102" s="14" t="s">
        <v>1057</v>
      </c>
      <c r="D102" s="14" t="s">
        <v>118</v>
      </c>
      <c r="E102" s="15" t="n">
        <v>405000</v>
      </c>
      <c r="F102" s="15" t="n">
        <v>6462.08</v>
      </c>
      <c r="G102" s="15" t="n">
        <v>807.76</v>
      </c>
      <c r="H102" s="15" t="n">
        <v>807.76</v>
      </c>
      <c r="I102" s="15" t="n">
        <f aca="false">SUM(K102:T102)</f>
        <v>4846.6</v>
      </c>
      <c r="J102" s="15" t="n">
        <f aca="false">F102-(G102+H102+I102)</f>
        <v>-0.0400000000008731</v>
      </c>
      <c r="K102" s="15" t="n">
        <v>484.66</v>
      </c>
      <c r="L102" s="15" t="n">
        <v>484.66</v>
      </c>
      <c r="M102" s="15" t="n">
        <v>484.66</v>
      </c>
      <c r="N102" s="15" t="n">
        <v>484.66</v>
      </c>
      <c r="O102" s="15" t="n">
        <v>484.66</v>
      </c>
      <c r="P102" s="15" t="n">
        <v>484.66</v>
      </c>
      <c r="Q102" s="15" t="n">
        <v>484.66</v>
      </c>
      <c r="R102" s="15" t="n">
        <v>484.66</v>
      </c>
      <c r="S102" s="15" t="n">
        <v>484.66</v>
      </c>
      <c r="T102" s="15" t="n">
        <v>484.66</v>
      </c>
      <c r="U102" s="15" t="n">
        <v>350</v>
      </c>
      <c r="V102" s="15" t="n">
        <v>0</v>
      </c>
      <c r="W102" s="15" t="n">
        <f aca="false">U102+V102</f>
        <v>350</v>
      </c>
    </row>
    <row r="103" customFormat="false" ht="15" hidden="false" customHeight="false" outlineLevel="0" collapsed="false">
      <c r="A103" s="3" t="s">
        <v>1465</v>
      </c>
      <c r="B103" s="3" t="s">
        <v>1416</v>
      </c>
      <c r="C103" s="3" t="s">
        <v>1264</v>
      </c>
      <c r="D103" s="3" t="s">
        <v>166</v>
      </c>
      <c r="E103" s="13" t="n">
        <v>195000</v>
      </c>
      <c r="F103" s="13" t="n">
        <v>4188.97</v>
      </c>
      <c r="G103" s="13" t="n">
        <v>523.62</v>
      </c>
      <c r="H103" s="13" t="n">
        <v>523.62</v>
      </c>
      <c r="I103" s="13" t="n">
        <f aca="false">SUM(K103:T103)</f>
        <v>3141.7</v>
      </c>
      <c r="J103" s="13" t="n">
        <f aca="false">F103-(G103+H103+I103)</f>
        <v>0.0299999999997453</v>
      </c>
      <c r="K103" s="13" t="n">
        <v>314.17</v>
      </c>
      <c r="L103" s="13" t="n">
        <v>314.17</v>
      </c>
      <c r="M103" s="13" t="n">
        <v>314.17</v>
      </c>
      <c r="N103" s="13" t="n">
        <v>314.17</v>
      </c>
      <c r="O103" s="13" t="n">
        <v>314.17</v>
      </c>
      <c r="P103" s="13" t="n">
        <v>314.17</v>
      </c>
      <c r="Q103" s="13" t="n">
        <v>314.17</v>
      </c>
      <c r="R103" s="13" t="n">
        <v>314.17</v>
      </c>
      <c r="S103" s="13" t="n">
        <v>314.17</v>
      </c>
      <c r="T103" s="13" t="n">
        <v>314.17</v>
      </c>
      <c r="U103" s="13" t="n">
        <v>350</v>
      </c>
      <c r="V103" s="13" t="n">
        <v>0</v>
      </c>
      <c r="W103" s="13" t="n">
        <f aca="false">U103+V103</f>
        <v>350</v>
      </c>
    </row>
    <row r="104" customFormat="false" ht="15" hidden="false" customHeight="false" outlineLevel="0" collapsed="false">
      <c r="A104" s="14" t="s">
        <v>1466</v>
      </c>
      <c r="B104" s="14" t="s">
        <v>1324</v>
      </c>
      <c r="C104" s="14" t="s">
        <v>923</v>
      </c>
      <c r="D104" s="14" t="s">
        <v>256</v>
      </c>
      <c r="E104" s="15" t="n">
        <v>1590000</v>
      </c>
      <c r="F104" s="15" t="n">
        <v>29261.06</v>
      </c>
      <c r="G104" s="15" t="n">
        <v>3657.63</v>
      </c>
      <c r="H104" s="15" t="n">
        <v>3657.63</v>
      </c>
      <c r="I104" s="15" t="n">
        <f aca="false">SUM(K104:T104)</f>
        <v>21945.8</v>
      </c>
      <c r="J104" s="15" t="n">
        <f aca="false">F104-(G104+H104+I104)</f>
        <v>0</v>
      </c>
      <c r="K104" s="15" t="n">
        <v>2194.58</v>
      </c>
      <c r="L104" s="15" t="n">
        <v>2194.58</v>
      </c>
      <c r="M104" s="15" t="n">
        <v>2194.58</v>
      </c>
      <c r="N104" s="15" t="n">
        <v>2194.58</v>
      </c>
      <c r="O104" s="15" t="n">
        <v>2194.58</v>
      </c>
      <c r="P104" s="15" t="n">
        <v>2194.58</v>
      </c>
      <c r="Q104" s="15" t="n">
        <v>2194.58</v>
      </c>
      <c r="R104" s="15" t="n">
        <v>2194.58</v>
      </c>
      <c r="S104" s="15" t="n">
        <v>2194.58</v>
      </c>
      <c r="T104" s="15" t="n">
        <v>2194.58</v>
      </c>
      <c r="U104" s="15" t="n">
        <v>350</v>
      </c>
      <c r="V104" s="15" t="n">
        <v>250</v>
      </c>
      <c r="W104" s="15" t="n">
        <f aca="false">U104+V104</f>
        <v>600</v>
      </c>
    </row>
    <row r="105" customFormat="false" ht="15" hidden="false" customHeight="false" outlineLevel="0" collapsed="false">
      <c r="A105" s="3" t="s">
        <v>1467</v>
      </c>
      <c r="B105" s="3" t="s">
        <v>1324</v>
      </c>
      <c r="C105" s="3" t="s">
        <v>1468</v>
      </c>
      <c r="D105" s="3" t="s">
        <v>382</v>
      </c>
      <c r="E105" s="13" t="n">
        <v>1820000</v>
      </c>
      <c r="F105" s="13" t="n">
        <v>28205.3</v>
      </c>
      <c r="G105" s="13" t="n">
        <v>3525.66</v>
      </c>
      <c r="H105" s="13" t="n">
        <v>3525.66</v>
      </c>
      <c r="I105" s="13" t="n">
        <f aca="false">SUM(K105:T105)</f>
        <v>21154</v>
      </c>
      <c r="J105" s="13" t="n">
        <f aca="false">F105-(G105+H105+I105)</f>
        <v>-0.0200000000040745</v>
      </c>
      <c r="K105" s="13" t="n">
        <v>2115.4</v>
      </c>
      <c r="L105" s="13" t="n">
        <v>2115.4</v>
      </c>
      <c r="M105" s="13" t="n">
        <v>2115.4</v>
      </c>
      <c r="N105" s="13" t="n">
        <v>2115.4</v>
      </c>
      <c r="O105" s="13" t="n">
        <v>2115.4</v>
      </c>
      <c r="P105" s="13" t="n">
        <v>2115.4</v>
      </c>
      <c r="Q105" s="13" t="n">
        <v>2115.4</v>
      </c>
      <c r="R105" s="13" t="n">
        <v>2115.4</v>
      </c>
      <c r="S105" s="13" t="n">
        <v>2115.4</v>
      </c>
      <c r="T105" s="13" t="n">
        <v>2115.4</v>
      </c>
      <c r="U105" s="13" t="n">
        <v>350</v>
      </c>
      <c r="V105" s="13" t="n">
        <v>250</v>
      </c>
      <c r="W105" s="13" t="n">
        <f aca="false">U105+V105</f>
        <v>600</v>
      </c>
    </row>
    <row r="106" customFormat="false" ht="15" hidden="false" customHeight="false" outlineLevel="0" collapsed="false">
      <c r="A106" s="14" t="s">
        <v>1469</v>
      </c>
      <c r="B106" s="14" t="s">
        <v>1333</v>
      </c>
      <c r="C106" s="14" t="s">
        <v>1470</v>
      </c>
      <c r="D106" s="14" t="s">
        <v>85</v>
      </c>
      <c r="E106" s="15" t="n">
        <v>690000</v>
      </c>
      <c r="F106" s="15" t="n">
        <v>10782.73</v>
      </c>
      <c r="G106" s="15" t="n">
        <v>1347.84</v>
      </c>
      <c r="H106" s="15" t="n">
        <v>1347.84</v>
      </c>
      <c r="I106" s="15" t="n">
        <f aca="false">SUM(K106:T106)</f>
        <v>8087</v>
      </c>
      <c r="J106" s="15" t="n">
        <f aca="false">F106-(G106+H106+I106)</f>
        <v>0.0499999999992724</v>
      </c>
      <c r="K106" s="15" t="n">
        <v>808.7</v>
      </c>
      <c r="L106" s="15" t="n">
        <v>808.7</v>
      </c>
      <c r="M106" s="15" t="n">
        <v>808.7</v>
      </c>
      <c r="N106" s="15" t="n">
        <v>808.7</v>
      </c>
      <c r="O106" s="15" t="n">
        <v>808.7</v>
      </c>
      <c r="P106" s="15" t="n">
        <v>808.7</v>
      </c>
      <c r="Q106" s="15" t="n">
        <v>808.7</v>
      </c>
      <c r="R106" s="15" t="n">
        <v>808.7</v>
      </c>
      <c r="S106" s="15" t="n">
        <v>808.7</v>
      </c>
      <c r="T106" s="15" t="n">
        <v>808.7</v>
      </c>
      <c r="U106" s="15" t="n">
        <v>350</v>
      </c>
      <c r="V106" s="15" t="n">
        <v>0</v>
      </c>
      <c r="W106" s="15" t="n">
        <f aca="false">U106+V106</f>
        <v>350</v>
      </c>
    </row>
    <row r="107" customFormat="false" ht="15" hidden="false" customHeight="false" outlineLevel="0" collapsed="false">
      <c r="A107" s="3" t="s">
        <v>1471</v>
      </c>
      <c r="B107" s="3" t="s">
        <v>1373</v>
      </c>
      <c r="C107" s="3" t="s">
        <v>545</v>
      </c>
      <c r="D107" s="3" t="s">
        <v>77</v>
      </c>
      <c r="E107" s="13" t="n">
        <v>525000</v>
      </c>
      <c r="F107" s="13" t="n">
        <v>7495.97</v>
      </c>
      <c r="G107" s="13" t="n">
        <v>937</v>
      </c>
      <c r="H107" s="13" t="n">
        <v>937</v>
      </c>
      <c r="I107" s="13" t="n">
        <f aca="false">SUM(K107:T107)</f>
        <v>5622</v>
      </c>
      <c r="J107" s="13" t="n">
        <f aca="false">F107-(G107+H107+I107)</f>
        <v>-0.0299999999997453</v>
      </c>
      <c r="K107" s="13" t="n">
        <v>562.2</v>
      </c>
      <c r="L107" s="13" t="n">
        <v>562.2</v>
      </c>
      <c r="M107" s="13" t="n">
        <v>562.2</v>
      </c>
      <c r="N107" s="13" t="n">
        <v>562.2</v>
      </c>
      <c r="O107" s="13" t="n">
        <v>562.2</v>
      </c>
      <c r="P107" s="13" t="n">
        <v>562.2</v>
      </c>
      <c r="Q107" s="13" t="n">
        <v>562.2</v>
      </c>
      <c r="R107" s="13" t="n">
        <v>562.2</v>
      </c>
      <c r="S107" s="13" t="n">
        <v>562.2</v>
      </c>
      <c r="T107" s="13" t="n">
        <v>562.2</v>
      </c>
      <c r="U107" s="13" t="n">
        <v>350</v>
      </c>
      <c r="V107" s="13" t="n">
        <v>0</v>
      </c>
      <c r="W107" s="13" t="n">
        <f aca="false">U107+V107</f>
        <v>350</v>
      </c>
    </row>
    <row r="108" customFormat="false" ht="15" hidden="false" customHeight="false" outlineLevel="0" collapsed="false">
      <c r="A108" s="14" t="s">
        <v>1472</v>
      </c>
      <c r="B108" s="14" t="s">
        <v>1319</v>
      </c>
      <c r="C108" s="14" t="s">
        <v>1017</v>
      </c>
      <c r="D108" s="14" t="s">
        <v>251</v>
      </c>
      <c r="E108" s="15" t="n">
        <v>620000</v>
      </c>
      <c r="F108" s="15" t="n">
        <v>7806.83</v>
      </c>
      <c r="G108" s="15" t="n">
        <v>975.85</v>
      </c>
      <c r="H108" s="15" t="n">
        <v>975.85</v>
      </c>
      <c r="I108" s="15" t="n">
        <f aca="false">SUM(K108:T108)</f>
        <v>5855.1</v>
      </c>
      <c r="J108" s="15" t="n">
        <f aca="false">F108-(G108+H108+I108)</f>
        <v>0.0299999999997453</v>
      </c>
      <c r="K108" s="15" t="n">
        <v>585.51</v>
      </c>
      <c r="L108" s="15" t="n">
        <v>585.51</v>
      </c>
      <c r="M108" s="15" t="n">
        <v>585.51</v>
      </c>
      <c r="N108" s="15" t="n">
        <v>585.51</v>
      </c>
      <c r="O108" s="15" t="n">
        <v>585.51</v>
      </c>
      <c r="P108" s="15" t="n">
        <v>585.51</v>
      </c>
      <c r="Q108" s="15" t="n">
        <v>585.51</v>
      </c>
      <c r="R108" s="15" t="n">
        <v>585.51</v>
      </c>
      <c r="S108" s="15" t="n">
        <v>585.51</v>
      </c>
      <c r="T108" s="15" t="n">
        <v>585.51</v>
      </c>
      <c r="U108" s="15" t="n">
        <v>350</v>
      </c>
      <c r="V108" s="15" t="n">
        <v>0</v>
      </c>
      <c r="W108" s="15" t="n">
        <f aca="false">U108+V108</f>
        <v>350</v>
      </c>
    </row>
    <row r="109" customFormat="false" ht="15" hidden="false" customHeight="false" outlineLevel="0" collapsed="false">
      <c r="A109" s="3" t="s">
        <v>1473</v>
      </c>
      <c r="B109" s="3" t="s">
        <v>1315</v>
      </c>
      <c r="C109" s="3" t="s">
        <v>1474</v>
      </c>
      <c r="D109" s="3" t="s">
        <v>698</v>
      </c>
      <c r="E109" s="13" t="n">
        <v>580000</v>
      </c>
      <c r="F109" s="13" t="n">
        <v>8933.32</v>
      </c>
      <c r="G109" s="13" t="n">
        <v>1116.66</v>
      </c>
      <c r="H109" s="13" t="n">
        <v>1116.66</v>
      </c>
      <c r="I109" s="13" t="n">
        <f aca="false">SUM(K109:T109)</f>
        <v>6700</v>
      </c>
      <c r="J109" s="13" t="n">
        <f aca="false">F109-(G109+H109+I109)</f>
        <v>0</v>
      </c>
      <c r="K109" s="13" t="n">
        <v>670</v>
      </c>
      <c r="L109" s="13" t="n">
        <v>670</v>
      </c>
      <c r="M109" s="13" t="n">
        <v>670</v>
      </c>
      <c r="N109" s="13" t="n">
        <v>670</v>
      </c>
      <c r="O109" s="13" t="n">
        <v>670</v>
      </c>
      <c r="P109" s="13" t="n">
        <v>670</v>
      </c>
      <c r="Q109" s="13" t="n">
        <v>670</v>
      </c>
      <c r="R109" s="13" t="n">
        <v>670</v>
      </c>
      <c r="S109" s="13" t="n">
        <v>670</v>
      </c>
      <c r="T109" s="13" t="n">
        <v>670</v>
      </c>
      <c r="U109" s="13" t="n">
        <v>350</v>
      </c>
      <c r="V109" s="13" t="n">
        <v>0</v>
      </c>
      <c r="W109" s="13" t="n">
        <f aca="false">U109+V109</f>
        <v>350</v>
      </c>
    </row>
    <row r="110" customFormat="false" ht="15" hidden="false" customHeight="false" outlineLevel="0" collapsed="false">
      <c r="A110" s="14" t="s">
        <v>1475</v>
      </c>
      <c r="B110" s="14" t="s">
        <v>1335</v>
      </c>
      <c r="C110" s="14" t="s">
        <v>370</v>
      </c>
      <c r="D110" s="14" t="s">
        <v>147</v>
      </c>
      <c r="E110" s="15" t="n">
        <v>410000</v>
      </c>
      <c r="F110" s="15" t="n">
        <v>5690.89</v>
      </c>
      <c r="G110" s="15" t="n">
        <v>711.36</v>
      </c>
      <c r="H110" s="15" t="n">
        <v>711.36</v>
      </c>
      <c r="I110" s="15" t="n">
        <f aca="false">SUM(K110:T110)</f>
        <v>4268.2</v>
      </c>
      <c r="J110" s="15" t="n">
        <f aca="false">F110-(G110+H110+I110)</f>
        <v>-0.0299999999997453</v>
      </c>
      <c r="K110" s="15" t="n">
        <v>426.82</v>
      </c>
      <c r="L110" s="15" t="n">
        <v>426.82</v>
      </c>
      <c r="M110" s="15" t="n">
        <v>426.82</v>
      </c>
      <c r="N110" s="15" t="n">
        <v>426.82</v>
      </c>
      <c r="O110" s="15" t="n">
        <v>426.82</v>
      </c>
      <c r="P110" s="15" t="n">
        <v>426.82</v>
      </c>
      <c r="Q110" s="15" t="n">
        <v>426.82</v>
      </c>
      <c r="R110" s="15" t="n">
        <v>426.82</v>
      </c>
      <c r="S110" s="15" t="n">
        <v>426.82</v>
      </c>
      <c r="T110" s="15" t="n">
        <v>426.82</v>
      </c>
      <c r="U110" s="15" t="n">
        <v>350</v>
      </c>
      <c r="V110" s="15" t="n">
        <v>0</v>
      </c>
      <c r="W110" s="15" t="n">
        <f aca="false">U110+V110</f>
        <v>350</v>
      </c>
    </row>
    <row r="111" customFormat="false" ht="15" hidden="false" customHeight="false" outlineLevel="0" collapsed="false">
      <c r="A111" s="3" t="s">
        <v>1476</v>
      </c>
      <c r="B111" s="3" t="s">
        <v>1389</v>
      </c>
      <c r="C111" s="3" t="s">
        <v>445</v>
      </c>
      <c r="D111" s="3" t="s">
        <v>125</v>
      </c>
      <c r="E111" s="13" t="n">
        <v>810000</v>
      </c>
      <c r="F111" s="13" t="n">
        <v>8742.2</v>
      </c>
      <c r="G111" s="13" t="n">
        <v>1092.78</v>
      </c>
      <c r="H111" s="13" t="n">
        <v>1092.78</v>
      </c>
      <c r="I111" s="13" t="n">
        <f aca="false">SUM(K111:T111)</f>
        <v>6556.7</v>
      </c>
      <c r="J111" s="13" t="n">
        <f aca="false">F111-(G111+H111+I111)</f>
        <v>-0.0599999999994907</v>
      </c>
      <c r="K111" s="13" t="n">
        <v>655.67</v>
      </c>
      <c r="L111" s="13" t="n">
        <v>655.67</v>
      </c>
      <c r="M111" s="13" t="n">
        <v>655.67</v>
      </c>
      <c r="N111" s="13" t="n">
        <v>655.67</v>
      </c>
      <c r="O111" s="13" t="n">
        <v>655.67</v>
      </c>
      <c r="P111" s="13" t="n">
        <v>655.67</v>
      </c>
      <c r="Q111" s="13" t="n">
        <v>655.67</v>
      </c>
      <c r="R111" s="13" t="n">
        <v>655.67</v>
      </c>
      <c r="S111" s="13" t="n">
        <v>655.67</v>
      </c>
      <c r="T111" s="13" t="n">
        <v>655.67</v>
      </c>
      <c r="U111" s="13" t="n">
        <v>350</v>
      </c>
      <c r="V111" s="13" t="n">
        <v>0</v>
      </c>
      <c r="W111" s="13" t="n">
        <f aca="false">U111+V111</f>
        <v>350</v>
      </c>
    </row>
    <row r="112" customFormat="false" ht="15" hidden="false" customHeight="false" outlineLevel="0" collapsed="false">
      <c r="A112" s="14" t="s">
        <v>1477</v>
      </c>
      <c r="B112" s="14" t="s">
        <v>1407</v>
      </c>
      <c r="C112" s="14" t="s">
        <v>1478</v>
      </c>
      <c r="D112" s="14" t="s">
        <v>157</v>
      </c>
      <c r="E112" s="15" t="n">
        <v>365000</v>
      </c>
      <c r="F112" s="15" t="n">
        <v>4303.03</v>
      </c>
      <c r="G112" s="15" t="n">
        <v>537.88</v>
      </c>
      <c r="H112" s="15" t="n">
        <v>537.88</v>
      </c>
      <c r="I112" s="15" t="n">
        <f aca="false">SUM(K112:T112)</f>
        <v>3227.3</v>
      </c>
      <c r="J112" s="15" t="n">
        <f aca="false">F112-(G112+H112+I112)</f>
        <v>-0.0300000000006548</v>
      </c>
      <c r="K112" s="15" t="n">
        <v>322.73</v>
      </c>
      <c r="L112" s="15" t="n">
        <v>322.73</v>
      </c>
      <c r="M112" s="15" t="n">
        <v>322.73</v>
      </c>
      <c r="N112" s="15" t="n">
        <v>322.73</v>
      </c>
      <c r="O112" s="15" t="n">
        <v>322.73</v>
      </c>
      <c r="P112" s="15" t="n">
        <v>322.73</v>
      </c>
      <c r="Q112" s="15" t="n">
        <v>322.73</v>
      </c>
      <c r="R112" s="15" t="n">
        <v>322.73</v>
      </c>
      <c r="S112" s="15" t="n">
        <v>322.73</v>
      </c>
      <c r="T112" s="15" t="n">
        <v>322.73</v>
      </c>
      <c r="U112" s="15" t="n">
        <v>350</v>
      </c>
      <c r="V112" s="15" t="n">
        <v>0</v>
      </c>
      <c r="W112" s="15" t="n">
        <f aca="false">U112+V112</f>
        <v>350</v>
      </c>
    </row>
    <row r="113" customFormat="false" ht="15" hidden="false" customHeight="false" outlineLevel="0" collapsed="false">
      <c r="A113" s="3" t="s">
        <v>1479</v>
      </c>
      <c r="B113" s="3" t="s">
        <v>1319</v>
      </c>
      <c r="C113" s="3" t="s">
        <v>1480</v>
      </c>
      <c r="D113" s="3" t="s">
        <v>93</v>
      </c>
      <c r="E113" s="13" t="n">
        <v>835000</v>
      </c>
      <c r="F113" s="13" t="n">
        <v>7949.07</v>
      </c>
      <c r="G113" s="13" t="n">
        <v>993.63</v>
      </c>
      <c r="H113" s="13" t="n">
        <v>993.63</v>
      </c>
      <c r="I113" s="13" t="n">
        <f aca="false">SUM(K113:T113)</f>
        <v>5961.8</v>
      </c>
      <c r="J113" s="13" t="n">
        <f aca="false">F113-(G113+H113+I113)</f>
        <v>0.00999999999930878</v>
      </c>
      <c r="K113" s="13" t="n">
        <v>596.18</v>
      </c>
      <c r="L113" s="13" t="n">
        <v>596.18</v>
      </c>
      <c r="M113" s="13" t="n">
        <v>596.18</v>
      </c>
      <c r="N113" s="13" t="n">
        <v>596.18</v>
      </c>
      <c r="O113" s="13" t="n">
        <v>596.18</v>
      </c>
      <c r="P113" s="13" t="n">
        <v>596.18</v>
      </c>
      <c r="Q113" s="13" t="n">
        <v>596.18</v>
      </c>
      <c r="R113" s="13" t="n">
        <v>596.18</v>
      </c>
      <c r="S113" s="13" t="n">
        <v>596.18</v>
      </c>
      <c r="T113" s="13" t="n">
        <v>596.18</v>
      </c>
      <c r="U113" s="13" t="n">
        <v>350</v>
      </c>
      <c r="V113" s="13" t="n">
        <v>0</v>
      </c>
      <c r="W113" s="13" t="n">
        <f aca="false">U113+V113</f>
        <v>350</v>
      </c>
    </row>
    <row r="114" customFormat="false" ht="15" hidden="false" customHeight="false" outlineLevel="0" collapsed="false">
      <c r="A114" s="14" t="s">
        <v>1481</v>
      </c>
      <c r="B114" s="14" t="s">
        <v>1324</v>
      </c>
      <c r="C114" s="14" t="s">
        <v>628</v>
      </c>
      <c r="D114" s="14" t="s">
        <v>328</v>
      </c>
      <c r="E114" s="15" t="n">
        <v>850000</v>
      </c>
      <c r="F114" s="15" t="n">
        <v>18156.71</v>
      </c>
      <c r="G114" s="15" t="n">
        <v>2269.59</v>
      </c>
      <c r="H114" s="15" t="n">
        <v>2269.59</v>
      </c>
      <c r="I114" s="15" t="n">
        <f aca="false">SUM(K114:T114)</f>
        <v>13617.5</v>
      </c>
      <c r="J114" s="15" t="n">
        <f aca="false">F114-(G114+H114+I114)</f>
        <v>0.0299999999988358</v>
      </c>
      <c r="K114" s="15" t="n">
        <v>1361.75</v>
      </c>
      <c r="L114" s="15" t="n">
        <v>1361.75</v>
      </c>
      <c r="M114" s="15" t="n">
        <v>1361.75</v>
      </c>
      <c r="N114" s="15" t="n">
        <v>1361.75</v>
      </c>
      <c r="O114" s="15" t="n">
        <v>1361.75</v>
      </c>
      <c r="P114" s="15" t="n">
        <v>1361.75</v>
      </c>
      <c r="Q114" s="15" t="n">
        <v>1361.75</v>
      </c>
      <c r="R114" s="15" t="n">
        <v>1361.75</v>
      </c>
      <c r="S114" s="15" t="n">
        <v>1361.75</v>
      </c>
      <c r="T114" s="15" t="n">
        <v>1361.75</v>
      </c>
      <c r="U114" s="15" t="n">
        <v>350</v>
      </c>
      <c r="V114" s="15" t="n">
        <v>0</v>
      </c>
      <c r="W114" s="15" t="n">
        <f aca="false">U114+V114</f>
        <v>350</v>
      </c>
    </row>
    <row r="115" customFormat="false" ht="15" hidden="false" customHeight="false" outlineLevel="0" collapsed="false">
      <c r="A115" s="3" t="s">
        <v>1482</v>
      </c>
      <c r="B115" s="3" t="s">
        <v>1375</v>
      </c>
      <c r="C115" s="3" t="s">
        <v>391</v>
      </c>
      <c r="D115" s="3" t="s">
        <v>298</v>
      </c>
      <c r="E115" s="13" t="n">
        <v>405000</v>
      </c>
      <c r="F115" s="13" t="n">
        <v>6619.7</v>
      </c>
      <c r="G115" s="13" t="n">
        <v>827.46</v>
      </c>
      <c r="H115" s="13" t="n">
        <v>827.46</v>
      </c>
      <c r="I115" s="13" t="n">
        <f aca="false">SUM(K115:T115)</f>
        <v>4964.8</v>
      </c>
      <c r="J115" s="13" t="n">
        <f aca="false">F115-(G115+H115+I115)</f>
        <v>-0.0199999999995271</v>
      </c>
      <c r="K115" s="13" t="n">
        <v>496.48</v>
      </c>
      <c r="L115" s="13" t="n">
        <v>496.48</v>
      </c>
      <c r="M115" s="13" t="n">
        <v>496.48</v>
      </c>
      <c r="N115" s="13" t="n">
        <v>496.48</v>
      </c>
      <c r="O115" s="13" t="n">
        <v>496.48</v>
      </c>
      <c r="P115" s="13" t="n">
        <v>496.48</v>
      </c>
      <c r="Q115" s="13" t="n">
        <v>496.48</v>
      </c>
      <c r="R115" s="13" t="n">
        <v>496.48</v>
      </c>
      <c r="S115" s="13" t="n">
        <v>496.48</v>
      </c>
      <c r="T115" s="13" t="n">
        <v>496.48</v>
      </c>
      <c r="U115" s="13" t="n">
        <v>350</v>
      </c>
      <c r="V115" s="13" t="n">
        <v>0</v>
      </c>
      <c r="W115" s="13" t="n">
        <f aca="false">U115+V115</f>
        <v>350</v>
      </c>
    </row>
    <row r="116" customFormat="false" ht="15" hidden="false" customHeight="false" outlineLevel="0" collapsed="false">
      <c r="A116" s="14" t="s">
        <v>1483</v>
      </c>
      <c r="B116" s="14" t="s">
        <v>1363</v>
      </c>
      <c r="C116" s="14" t="s">
        <v>608</v>
      </c>
      <c r="D116" s="14" t="s">
        <v>89</v>
      </c>
      <c r="E116" s="15" t="n">
        <v>750000</v>
      </c>
      <c r="F116" s="15" t="n">
        <v>11383.08</v>
      </c>
      <c r="G116" s="15" t="n">
        <v>1422.88</v>
      </c>
      <c r="H116" s="15" t="n">
        <v>1422.88</v>
      </c>
      <c r="I116" s="15" t="n">
        <f aca="false">SUM(K116:T116)</f>
        <v>8537.3</v>
      </c>
      <c r="J116" s="15" t="n">
        <f aca="false">F116-(G116+H116+I116)</f>
        <v>0.0200000000004366</v>
      </c>
      <c r="K116" s="15" t="n">
        <v>853.73</v>
      </c>
      <c r="L116" s="15" t="n">
        <v>853.73</v>
      </c>
      <c r="M116" s="15" t="n">
        <v>853.73</v>
      </c>
      <c r="N116" s="15" t="n">
        <v>853.73</v>
      </c>
      <c r="O116" s="15" t="n">
        <v>853.73</v>
      </c>
      <c r="P116" s="15" t="n">
        <v>853.73</v>
      </c>
      <c r="Q116" s="15" t="n">
        <v>853.73</v>
      </c>
      <c r="R116" s="15" t="n">
        <v>853.73</v>
      </c>
      <c r="S116" s="15" t="n">
        <v>853.73</v>
      </c>
      <c r="T116" s="15" t="n">
        <v>853.73</v>
      </c>
      <c r="U116" s="15" t="n">
        <v>350</v>
      </c>
      <c r="V116" s="15" t="n">
        <v>0</v>
      </c>
      <c r="W116" s="15" t="n">
        <f aca="false">U116+V116</f>
        <v>350</v>
      </c>
    </row>
    <row r="117" customFormat="false" ht="15" hidden="false" customHeight="false" outlineLevel="0" collapsed="false">
      <c r="A117" s="3" t="s">
        <v>1484</v>
      </c>
      <c r="B117" s="3" t="s">
        <v>1321</v>
      </c>
      <c r="C117" s="3" t="s">
        <v>1485</v>
      </c>
      <c r="D117" s="3" t="s">
        <v>157</v>
      </c>
      <c r="E117" s="13" t="n">
        <v>745000</v>
      </c>
      <c r="F117" s="13" t="n">
        <v>11893.49</v>
      </c>
      <c r="G117" s="13" t="n">
        <v>1486.69</v>
      </c>
      <c r="H117" s="13" t="n">
        <v>1486.69</v>
      </c>
      <c r="I117" s="13" t="n">
        <f aca="false">SUM(K117:T117)</f>
        <v>8920.1</v>
      </c>
      <c r="J117" s="13" t="n">
        <f aca="false">F117-(G117+H117+I117)</f>
        <v>0.0100000000002183</v>
      </c>
      <c r="K117" s="13" t="n">
        <v>892.01</v>
      </c>
      <c r="L117" s="13" t="n">
        <v>892.01</v>
      </c>
      <c r="M117" s="13" t="n">
        <v>892.01</v>
      </c>
      <c r="N117" s="13" t="n">
        <v>892.01</v>
      </c>
      <c r="O117" s="13" t="n">
        <v>892.01</v>
      </c>
      <c r="P117" s="13" t="n">
        <v>892.01</v>
      </c>
      <c r="Q117" s="13" t="n">
        <v>892.01</v>
      </c>
      <c r="R117" s="13" t="n">
        <v>892.01</v>
      </c>
      <c r="S117" s="13" t="n">
        <v>892.01</v>
      </c>
      <c r="T117" s="13" t="n">
        <v>892.01</v>
      </c>
      <c r="U117" s="13" t="n">
        <v>350</v>
      </c>
      <c r="V117" s="13" t="n">
        <v>0</v>
      </c>
      <c r="W117" s="13" t="n">
        <f aca="false">U117+V117</f>
        <v>350</v>
      </c>
    </row>
    <row r="118" customFormat="false" ht="15" hidden="false" customHeight="false" outlineLevel="0" collapsed="false">
      <c r="A118" s="14" t="s">
        <v>1486</v>
      </c>
      <c r="B118" s="14" t="s">
        <v>1312</v>
      </c>
      <c r="C118" s="14" t="s">
        <v>1487</v>
      </c>
      <c r="D118" s="14" t="s">
        <v>382</v>
      </c>
      <c r="E118" s="15" t="n">
        <v>695000</v>
      </c>
      <c r="F118" s="15" t="n">
        <v>8751.2</v>
      </c>
      <c r="G118" s="15" t="n">
        <v>1093.9</v>
      </c>
      <c r="H118" s="15" t="n">
        <v>1093.9</v>
      </c>
      <c r="I118" s="15" t="n">
        <f aca="false">SUM(K118:T118)</f>
        <v>6563.4</v>
      </c>
      <c r="J118" s="15" t="n">
        <f aca="false">F118-(G118+H118+I118)</f>
        <v>0</v>
      </c>
      <c r="K118" s="15" t="n">
        <v>656.34</v>
      </c>
      <c r="L118" s="15" t="n">
        <v>656.34</v>
      </c>
      <c r="M118" s="15" t="n">
        <v>656.34</v>
      </c>
      <c r="N118" s="15" t="n">
        <v>656.34</v>
      </c>
      <c r="O118" s="15" t="n">
        <v>656.34</v>
      </c>
      <c r="P118" s="15" t="n">
        <v>656.34</v>
      </c>
      <c r="Q118" s="15" t="n">
        <v>656.34</v>
      </c>
      <c r="R118" s="15" t="n">
        <v>656.34</v>
      </c>
      <c r="S118" s="15" t="n">
        <v>656.34</v>
      </c>
      <c r="T118" s="15" t="n">
        <v>656.34</v>
      </c>
      <c r="U118" s="15" t="n">
        <v>350</v>
      </c>
      <c r="V118" s="15" t="n">
        <v>0</v>
      </c>
      <c r="W118" s="15" t="n">
        <f aca="false">U118+V118</f>
        <v>350</v>
      </c>
    </row>
    <row r="119" customFormat="false" ht="15" hidden="false" customHeight="false" outlineLevel="0" collapsed="false">
      <c r="A119" s="3" t="s">
        <v>1488</v>
      </c>
      <c r="B119" s="3" t="s">
        <v>1375</v>
      </c>
      <c r="C119" s="3" t="s">
        <v>188</v>
      </c>
      <c r="D119" s="3" t="s">
        <v>77</v>
      </c>
      <c r="E119" s="13" t="n">
        <v>1950000</v>
      </c>
      <c r="F119" s="13" t="n">
        <v>34267.28</v>
      </c>
      <c r="G119" s="13" t="n">
        <v>4283.41</v>
      </c>
      <c r="H119" s="13" t="n">
        <v>4283.41</v>
      </c>
      <c r="I119" s="13" t="n">
        <f aca="false">SUM(K119:T119)</f>
        <v>25700.5</v>
      </c>
      <c r="J119" s="13" t="n">
        <f aca="false">F119-(G119+H119+I119)</f>
        <v>-0.0400000000008731</v>
      </c>
      <c r="K119" s="13" t="n">
        <v>2570.05</v>
      </c>
      <c r="L119" s="13" t="n">
        <v>2570.05</v>
      </c>
      <c r="M119" s="13" t="n">
        <v>2570.05</v>
      </c>
      <c r="N119" s="13" t="n">
        <v>2570.05</v>
      </c>
      <c r="O119" s="13" t="n">
        <v>2570.05</v>
      </c>
      <c r="P119" s="13" t="n">
        <v>2570.05</v>
      </c>
      <c r="Q119" s="13" t="n">
        <v>2570.05</v>
      </c>
      <c r="R119" s="13" t="n">
        <v>2570.05</v>
      </c>
      <c r="S119" s="13" t="n">
        <v>2570.05</v>
      </c>
      <c r="T119" s="13" t="n">
        <v>2570.05</v>
      </c>
      <c r="U119" s="13" t="n">
        <v>350</v>
      </c>
      <c r="V119" s="13" t="n">
        <v>250</v>
      </c>
      <c r="W119" s="13" t="n">
        <f aca="false">U119+V119</f>
        <v>600</v>
      </c>
    </row>
    <row r="120" customFormat="false" ht="15" hidden="false" customHeight="false" outlineLevel="0" collapsed="false">
      <c r="A120" s="14" t="s">
        <v>1489</v>
      </c>
      <c r="B120" s="14" t="s">
        <v>1422</v>
      </c>
      <c r="C120" s="14" t="s">
        <v>953</v>
      </c>
      <c r="D120" s="14" t="s">
        <v>180</v>
      </c>
      <c r="E120" s="15" t="n">
        <v>635000</v>
      </c>
      <c r="F120" s="15" t="n">
        <v>8638.21</v>
      </c>
      <c r="G120" s="15" t="n">
        <v>1079.78</v>
      </c>
      <c r="H120" s="15" t="n">
        <v>1079.78</v>
      </c>
      <c r="I120" s="15" t="n">
        <f aca="false">SUM(K120:T120)</f>
        <v>6478.7</v>
      </c>
      <c r="J120" s="15" t="n">
        <f aca="false">F120-(G120+H120+I120)</f>
        <v>-0.0500000000010914</v>
      </c>
      <c r="K120" s="15" t="n">
        <v>647.87</v>
      </c>
      <c r="L120" s="15" t="n">
        <v>647.87</v>
      </c>
      <c r="M120" s="15" t="n">
        <v>647.87</v>
      </c>
      <c r="N120" s="15" t="n">
        <v>647.87</v>
      </c>
      <c r="O120" s="15" t="n">
        <v>647.87</v>
      </c>
      <c r="P120" s="15" t="n">
        <v>647.87</v>
      </c>
      <c r="Q120" s="15" t="n">
        <v>647.87</v>
      </c>
      <c r="R120" s="15" t="n">
        <v>647.87</v>
      </c>
      <c r="S120" s="15" t="n">
        <v>647.87</v>
      </c>
      <c r="T120" s="15" t="n">
        <v>647.87</v>
      </c>
      <c r="U120" s="15" t="n">
        <v>350</v>
      </c>
      <c r="V120" s="15" t="n">
        <v>0</v>
      </c>
      <c r="W120" s="15" t="n">
        <f aca="false">U120+V120</f>
        <v>350</v>
      </c>
    </row>
    <row r="121" customFormat="false" ht="15" hidden="false" customHeight="false" outlineLevel="0" collapsed="false">
      <c r="A121" s="3" t="s">
        <v>1490</v>
      </c>
      <c r="B121" s="3" t="s">
        <v>1422</v>
      </c>
      <c r="C121" s="3" t="s">
        <v>1063</v>
      </c>
      <c r="D121" s="3" t="s">
        <v>197</v>
      </c>
      <c r="E121" s="13" t="n">
        <v>480000</v>
      </c>
      <c r="F121" s="13" t="n">
        <v>6787.04</v>
      </c>
      <c r="G121" s="13" t="n">
        <v>848.38</v>
      </c>
      <c r="H121" s="13" t="n">
        <v>848.38</v>
      </c>
      <c r="I121" s="13" t="n">
        <f aca="false">SUM(K121:T121)</f>
        <v>5090.3</v>
      </c>
      <c r="J121" s="13" t="n">
        <f aca="false">F121-(G121+H121+I121)</f>
        <v>-0.0199999999995271</v>
      </c>
      <c r="K121" s="13" t="n">
        <v>509.03</v>
      </c>
      <c r="L121" s="13" t="n">
        <v>509.03</v>
      </c>
      <c r="M121" s="13" t="n">
        <v>509.03</v>
      </c>
      <c r="N121" s="13" t="n">
        <v>509.03</v>
      </c>
      <c r="O121" s="13" t="n">
        <v>509.03</v>
      </c>
      <c r="P121" s="13" t="n">
        <v>509.03</v>
      </c>
      <c r="Q121" s="13" t="n">
        <v>509.03</v>
      </c>
      <c r="R121" s="13" t="n">
        <v>509.03</v>
      </c>
      <c r="S121" s="13" t="n">
        <v>509.03</v>
      </c>
      <c r="T121" s="13" t="n">
        <v>509.03</v>
      </c>
      <c r="U121" s="13" t="n">
        <v>350</v>
      </c>
      <c r="V121" s="13" t="n">
        <v>0</v>
      </c>
      <c r="W121" s="13" t="n">
        <f aca="false">U121+V121</f>
        <v>350</v>
      </c>
    </row>
    <row r="122" customFormat="false" ht="15" hidden="false" customHeight="false" outlineLevel="0" collapsed="false">
      <c r="A122" s="14" t="s">
        <v>1491</v>
      </c>
      <c r="B122" s="14" t="s">
        <v>1315</v>
      </c>
      <c r="C122" s="14" t="s">
        <v>1492</v>
      </c>
      <c r="D122" s="14" t="s">
        <v>193</v>
      </c>
      <c r="E122" s="15" t="n">
        <v>355000</v>
      </c>
      <c r="F122" s="15" t="n">
        <v>6754.17</v>
      </c>
      <c r="G122" s="15" t="n">
        <v>844.27</v>
      </c>
      <c r="H122" s="15" t="n">
        <v>844.27</v>
      </c>
      <c r="I122" s="15" t="n">
        <f aca="false">SUM(K122:T122)</f>
        <v>5065.6</v>
      </c>
      <c r="J122" s="15" t="n">
        <f aca="false">F122-(G122+H122+I122)</f>
        <v>0.0299999999997453</v>
      </c>
      <c r="K122" s="15" t="n">
        <v>506.56</v>
      </c>
      <c r="L122" s="15" t="n">
        <v>506.56</v>
      </c>
      <c r="M122" s="15" t="n">
        <v>506.56</v>
      </c>
      <c r="N122" s="15" t="n">
        <v>506.56</v>
      </c>
      <c r="O122" s="15" t="n">
        <v>506.56</v>
      </c>
      <c r="P122" s="15" t="n">
        <v>506.56</v>
      </c>
      <c r="Q122" s="15" t="n">
        <v>506.56</v>
      </c>
      <c r="R122" s="15" t="n">
        <v>506.56</v>
      </c>
      <c r="S122" s="15" t="n">
        <v>506.56</v>
      </c>
      <c r="T122" s="15" t="n">
        <v>506.56</v>
      </c>
      <c r="U122" s="15" t="n">
        <v>350</v>
      </c>
      <c r="V122" s="15" t="n">
        <v>0</v>
      </c>
      <c r="W122" s="15" t="n">
        <f aca="false">U122+V122</f>
        <v>350</v>
      </c>
    </row>
    <row r="123" customFormat="false" ht="15" hidden="false" customHeight="false" outlineLevel="0" collapsed="false">
      <c r="A123" s="3" t="s">
        <v>1493</v>
      </c>
      <c r="B123" s="3" t="s">
        <v>1317</v>
      </c>
      <c r="C123" s="3" t="s">
        <v>105</v>
      </c>
      <c r="D123" s="3" t="s">
        <v>203</v>
      </c>
      <c r="E123" s="13" t="n">
        <v>465000</v>
      </c>
      <c r="F123" s="13" t="n">
        <v>6876.55</v>
      </c>
      <c r="G123" s="13" t="n">
        <v>859.57</v>
      </c>
      <c r="H123" s="13" t="n">
        <v>859.57</v>
      </c>
      <c r="I123" s="13" t="n">
        <f aca="false">SUM(K123:T123)</f>
        <v>5157.4</v>
      </c>
      <c r="J123" s="13" t="n">
        <f aca="false">F123-(G123+H123+I123)</f>
        <v>0.0100000000002183</v>
      </c>
      <c r="K123" s="13" t="n">
        <v>515.74</v>
      </c>
      <c r="L123" s="13" t="n">
        <v>515.74</v>
      </c>
      <c r="M123" s="13" t="n">
        <v>515.74</v>
      </c>
      <c r="N123" s="13" t="n">
        <v>515.74</v>
      </c>
      <c r="O123" s="13" t="n">
        <v>515.74</v>
      </c>
      <c r="P123" s="13" t="n">
        <v>515.74</v>
      </c>
      <c r="Q123" s="13" t="n">
        <v>515.74</v>
      </c>
      <c r="R123" s="13" t="n">
        <v>515.74</v>
      </c>
      <c r="S123" s="13" t="n">
        <v>515.74</v>
      </c>
      <c r="T123" s="13" t="n">
        <v>515.74</v>
      </c>
      <c r="U123" s="13" t="n">
        <v>350</v>
      </c>
      <c r="V123" s="13" t="n">
        <v>0</v>
      </c>
      <c r="W123" s="13" t="n">
        <f aca="false">U123+V123</f>
        <v>350</v>
      </c>
    </row>
    <row r="124" customFormat="false" ht="15" hidden="false" customHeight="false" outlineLevel="0" collapsed="false">
      <c r="A124" s="14" t="s">
        <v>1494</v>
      </c>
      <c r="B124" s="14" t="s">
        <v>1418</v>
      </c>
      <c r="C124" s="14" t="s">
        <v>500</v>
      </c>
      <c r="D124" s="14" t="s">
        <v>189</v>
      </c>
      <c r="E124" s="15" t="n">
        <v>720000</v>
      </c>
      <c r="F124" s="15" t="n">
        <v>8904.1</v>
      </c>
      <c r="G124" s="15" t="n">
        <v>1113.01</v>
      </c>
      <c r="H124" s="15" t="n">
        <v>1113.01</v>
      </c>
      <c r="I124" s="15" t="n">
        <f aca="false">SUM(K124:T124)</f>
        <v>6678.1</v>
      </c>
      <c r="J124" s="15" t="n">
        <f aca="false">F124-(G124+H124+I124)</f>
        <v>-0.0199999999986176</v>
      </c>
      <c r="K124" s="15" t="n">
        <v>667.81</v>
      </c>
      <c r="L124" s="15" t="n">
        <v>667.81</v>
      </c>
      <c r="M124" s="15" t="n">
        <v>667.81</v>
      </c>
      <c r="N124" s="15" t="n">
        <v>667.81</v>
      </c>
      <c r="O124" s="15" t="n">
        <v>667.81</v>
      </c>
      <c r="P124" s="15" t="n">
        <v>667.81</v>
      </c>
      <c r="Q124" s="15" t="n">
        <v>667.81</v>
      </c>
      <c r="R124" s="15" t="n">
        <v>667.81</v>
      </c>
      <c r="S124" s="15" t="n">
        <v>667.81</v>
      </c>
      <c r="T124" s="15" t="n">
        <v>667.81</v>
      </c>
      <c r="U124" s="15" t="n">
        <v>350</v>
      </c>
      <c r="V124" s="15" t="n">
        <v>0</v>
      </c>
      <c r="W124" s="15" t="n">
        <f aca="false">U124+V124</f>
        <v>350</v>
      </c>
    </row>
    <row r="125" customFormat="false" ht="15" hidden="false" customHeight="false" outlineLevel="0" collapsed="false">
      <c r="A125" s="3" t="s">
        <v>1495</v>
      </c>
      <c r="B125" s="3" t="s">
        <v>1418</v>
      </c>
      <c r="C125" s="3" t="s">
        <v>968</v>
      </c>
      <c r="D125" s="3" t="s">
        <v>377</v>
      </c>
      <c r="E125" s="13" t="n">
        <v>325000</v>
      </c>
      <c r="F125" s="13" t="n">
        <v>5649.38</v>
      </c>
      <c r="G125" s="13" t="n">
        <v>706.17</v>
      </c>
      <c r="H125" s="13" t="n">
        <v>706.17</v>
      </c>
      <c r="I125" s="13" t="n">
        <f aca="false">SUM(K125:T125)</f>
        <v>4237</v>
      </c>
      <c r="J125" s="13" t="n">
        <f aca="false">F125-(G125+H125+I125)</f>
        <v>0.0399999999999636</v>
      </c>
      <c r="K125" s="13" t="n">
        <v>423.7</v>
      </c>
      <c r="L125" s="13" t="n">
        <v>423.7</v>
      </c>
      <c r="M125" s="13" t="n">
        <v>423.7</v>
      </c>
      <c r="N125" s="13" t="n">
        <v>423.7</v>
      </c>
      <c r="O125" s="13" t="n">
        <v>423.7</v>
      </c>
      <c r="P125" s="13" t="n">
        <v>423.7</v>
      </c>
      <c r="Q125" s="13" t="n">
        <v>423.7</v>
      </c>
      <c r="R125" s="13" t="n">
        <v>423.7</v>
      </c>
      <c r="S125" s="13" t="n">
        <v>423.7</v>
      </c>
      <c r="T125" s="13" t="n">
        <v>423.7</v>
      </c>
      <c r="U125" s="13" t="n">
        <v>350</v>
      </c>
      <c r="V125" s="13" t="n">
        <v>0</v>
      </c>
      <c r="W125" s="13" t="n">
        <f aca="false">U125+V125</f>
        <v>350</v>
      </c>
    </row>
    <row r="126" customFormat="false" ht="15" hidden="false" customHeight="false" outlineLevel="0" collapsed="false">
      <c r="A126" s="14" t="s">
        <v>1496</v>
      </c>
      <c r="B126" s="14" t="s">
        <v>1317</v>
      </c>
      <c r="C126" s="14" t="s">
        <v>1497</v>
      </c>
      <c r="D126" s="14" t="s">
        <v>189</v>
      </c>
      <c r="E126" s="15" t="n">
        <v>1140000</v>
      </c>
      <c r="F126" s="15" t="n">
        <v>11929.21</v>
      </c>
      <c r="G126" s="15" t="n">
        <v>1491.15</v>
      </c>
      <c r="H126" s="15" t="n">
        <v>1491.15</v>
      </c>
      <c r="I126" s="15" t="n">
        <f aca="false">SUM(K126:T126)</f>
        <v>8946.9</v>
      </c>
      <c r="J126" s="15" t="n">
        <f aca="false">F126-(G126+H126+I126)</f>
        <v>0.00999999999839929</v>
      </c>
      <c r="K126" s="15" t="n">
        <v>894.69</v>
      </c>
      <c r="L126" s="15" t="n">
        <v>894.69</v>
      </c>
      <c r="M126" s="15" t="n">
        <v>894.69</v>
      </c>
      <c r="N126" s="15" t="n">
        <v>894.69</v>
      </c>
      <c r="O126" s="15" t="n">
        <v>894.69</v>
      </c>
      <c r="P126" s="15" t="n">
        <v>894.69</v>
      </c>
      <c r="Q126" s="15" t="n">
        <v>894.69</v>
      </c>
      <c r="R126" s="15" t="n">
        <v>894.69</v>
      </c>
      <c r="S126" s="15" t="n">
        <v>894.69</v>
      </c>
      <c r="T126" s="15" t="n">
        <v>894.69</v>
      </c>
      <c r="U126" s="15" t="n">
        <v>350</v>
      </c>
      <c r="V126" s="15" t="n">
        <v>250</v>
      </c>
      <c r="W126" s="15" t="n">
        <f aca="false">U126+V126</f>
        <v>600</v>
      </c>
    </row>
    <row r="127" customFormat="false" ht="15" hidden="false" customHeight="false" outlineLevel="0" collapsed="false">
      <c r="A127" s="3" t="s">
        <v>1498</v>
      </c>
      <c r="B127" s="3" t="s">
        <v>1324</v>
      </c>
      <c r="C127" s="3" t="s">
        <v>708</v>
      </c>
      <c r="D127" s="3" t="s">
        <v>118</v>
      </c>
      <c r="E127" s="13" t="n">
        <v>1805000</v>
      </c>
      <c r="F127" s="13" t="n">
        <v>30720.18</v>
      </c>
      <c r="G127" s="13" t="n">
        <v>3840.02</v>
      </c>
      <c r="H127" s="13" t="n">
        <v>3840.02</v>
      </c>
      <c r="I127" s="13" t="n">
        <f aca="false">SUM(K127:T127)</f>
        <v>23040.1</v>
      </c>
      <c r="J127" s="13" t="n">
        <f aca="false">F127-(G127+H127+I127)</f>
        <v>0.0399999999935972</v>
      </c>
      <c r="K127" s="13" t="n">
        <v>2304.01</v>
      </c>
      <c r="L127" s="13" t="n">
        <v>2304.01</v>
      </c>
      <c r="M127" s="13" t="n">
        <v>2304.01</v>
      </c>
      <c r="N127" s="13" t="n">
        <v>2304.01</v>
      </c>
      <c r="O127" s="13" t="n">
        <v>2304.01</v>
      </c>
      <c r="P127" s="13" t="n">
        <v>2304.01</v>
      </c>
      <c r="Q127" s="13" t="n">
        <v>2304.01</v>
      </c>
      <c r="R127" s="13" t="n">
        <v>2304.01</v>
      </c>
      <c r="S127" s="13" t="n">
        <v>2304.01</v>
      </c>
      <c r="T127" s="13" t="n">
        <v>2304.01</v>
      </c>
      <c r="U127" s="13" t="n">
        <v>350</v>
      </c>
      <c r="V127" s="13" t="n">
        <v>250</v>
      </c>
      <c r="W127" s="13" t="n">
        <f aca="false">U127+V127</f>
        <v>600</v>
      </c>
    </row>
    <row r="128" customFormat="false" ht="15" hidden="false" customHeight="false" outlineLevel="0" collapsed="false">
      <c r="A128" s="14" t="s">
        <v>1499</v>
      </c>
      <c r="B128" s="14" t="s">
        <v>1422</v>
      </c>
      <c r="C128" s="14" t="s">
        <v>523</v>
      </c>
      <c r="D128" s="14" t="s">
        <v>222</v>
      </c>
      <c r="E128" s="15" t="n">
        <v>275000</v>
      </c>
      <c r="F128" s="15" t="n">
        <v>3924.08</v>
      </c>
      <c r="G128" s="15" t="n">
        <v>490.51</v>
      </c>
      <c r="H128" s="15" t="n">
        <v>490.51</v>
      </c>
      <c r="I128" s="15" t="n">
        <f aca="false">SUM(K128:T128)</f>
        <v>2943.1</v>
      </c>
      <c r="J128" s="15" t="n">
        <f aca="false">F128-(G128+H128+I128)</f>
        <v>-0.0399999999999636</v>
      </c>
      <c r="K128" s="15" t="n">
        <v>294.31</v>
      </c>
      <c r="L128" s="15" t="n">
        <v>294.31</v>
      </c>
      <c r="M128" s="15" t="n">
        <v>294.31</v>
      </c>
      <c r="N128" s="15" t="n">
        <v>294.31</v>
      </c>
      <c r="O128" s="15" t="n">
        <v>294.31</v>
      </c>
      <c r="P128" s="15" t="n">
        <v>294.31</v>
      </c>
      <c r="Q128" s="15" t="n">
        <v>294.31</v>
      </c>
      <c r="R128" s="15" t="n">
        <v>294.31</v>
      </c>
      <c r="S128" s="15" t="n">
        <v>294.31</v>
      </c>
      <c r="T128" s="15" t="n">
        <v>294.31</v>
      </c>
      <c r="U128" s="15" t="n">
        <v>350</v>
      </c>
      <c r="V128" s="15" t="n">
        <v>0</v>
      </c>
      <c r="W128" s="15" t="n">
        <f aca="false">U128+V128</f>
        <v>350</v>
      </c>
    </row>
    <row r="129" customFormat="false" ht="15" hidden="false" customHeight="false" outlineLevel="0" collapsed="false">
      <c r="A129" s="3" t="s">
        <v>1500</v>
      </c>
      <c r="B129" s="3" t="s">
        <v>1337</v>
      </c>
      <c r="C129" s="3" t="s">
        <v>370</v>
      </c>
      <c r="D129" s="3" t="s">
        <v>406</v>
      </c>
      <c r="E129" s="13" t="n">
        <v>200000</v>
      </c>
      <c r="F129" s="13" t="n">
        <v>2959.73</v>
      </c>
      <c r="G129" s="13" t="n">
        <v>369.97</v>
      </c>
      <c r="H129" s="13" t="n">
        <v>369.97</v>
      </c>
      <c r="I129" s="13" t="n">
        <f aca="false">SUM(K129:T129)</f>
        <v>2219.8</v>
      </c>
      <c r="J129" s="13" t="n">
        <f aca="false">F129-(G129+H129+I129)</f>
        <v>-0.00999999999976353</v>
      </c>
      <c r="K129" s="13" t="n">
        <v>221.98</v>
      </c>
      <c r="L129" s="13" t="n">
        <v>221.98</v>
      </c>
      <c r="M129" s="13" t="n">
        <v>221.98</v>
      </c>
      <c r="N129" s="13" t="n">
        <v>221.98</v>
      </c>
      <c r="O129" s="13" t="n">
        <v>221.98</v>
      </c>
      <c r="P129" s="13" t="n">
        <v>221.98</v>
      </c>
      <c r="Q129" s="13" t="n">
        <v>221.98</v>
      </c>
      <c r="R129" s="13" t="n">
        <v>221.98</v>
      </c>
      <c r="S129" s="13" t="n">
        <v>221.98</v>
      </c>
      <c r="T129" s="13" t="n">
        <v>221.98</v>
      </c>
      <c r="U129" s="13" t="n">
        <v>350</v>
      </c>
      <c r="V129" s="13" t="n">
        <v>0</v>
      </c>
      <c r="W129" s="13" t="n">
        <f aca="false">U129+V129</f>
        <v>350</v>
      </c>
    </row>
    <row r="130" customFormat="false" ht="15" hidden="false" customHeight="false" outlineLevel="0" collapsed="false">
      <c r="A130" s="14" t="s">
        <v>1501</v>
      </c>
      <c r="B130" s="14" t="s">
        <v>1340</v>
      </c>
      <c r="C130" s="14" t="s">
        <v>454</v>
      </c>
      <c r="D130" s="14" t="s">
        <v>279</v>
      </c>
      <c r="E130" s="15" t="n">
        <v>900000</v>
      </c>
      <c r="F130" s="15" t="n">
        <v>13457.33</v>
      </c>
      <c r="G130" s="15" t="n">
        <v>1682.17</v>
      </c>
      <c r="H130" s="15" t="n">
        <v>1682.17</v>
      </c>
      <c r="I130" s="15" t="n">
        <f aca="false">SUM(K130:T130)</f>
        <v>10093</v>
      </c>
      <c r="J130" s="15" t="n">
        <f aca="false">F130-(G130+H130+I130)</f>
        <v>-0.00999999999839929</v>
      </c>
      <c r="K130" s="15" t="n">
        <v>1009.3</v>
      </c>
      <c r="L130" s="15" t="n">
        <v>1009.3</v>
      </c>
      <c r="M130" s="15" t="n">
        <v>1009.3</v>
      </c>
      <c r="N130" s="15" t="n">
        <v>1009.3</v>
      </c>
      <c r="O130" s="15" t="n">
        <v>1009.3</v>
      </c>
      <c r="P130" s="15" t="n">
        <v>1009.3</v>
      </c>
      <c r="Q130" s="15" t="n">
        <v>1009.3</v>
      </c>
      <c r="R130" s="15" t="n">
        <v>1009.3</v>
      </c>
      <c r="S130" s="15" t="n">
        <v>1009.3</v>
      </c>
      <c r="T130" s="15" t="n">
        <v>1009.3</v>
      </c>
      <c r="U130" s="15" t="n">
        <v>350</v>
      </c>
      <c r="V130" s="15" t="n">
        <v>0</v>
      </c>
      <c r="W130" s="15" t="n">
        <f aca="false">U130+V130</f>
        <v>350</v>
      </c>
    </row>
    <row r="131" customFormat="false" ht="15" hidden="false" customHeight="false" outlineLevel="0" collapsed="false">
      <c r="A131" s="3" t="s">
        <v>1502</v>
      </c>
      <c r="B131" s="3" t="s">
        <v>1447</v>
      </c>
      <c r="C131" s="3" t="s">
        <v>1503</v>
      </c>
      <c r="D131" s="3" t="s">
        <v>69</v>
      </c>
      <c r="E131" s="13" t="n">
        <v>360000</v>
      </c>
      <c r="F131" s="13" t="n">
        <v>4529.88</v>
      </c>
      <c r="G131" s="13" t="n">
        <v>566.24</v>
      </c>
      <c r="H131" s="13" t="n">
        <v>566.24</v>
      </c>
      <c r="I131" s="13" t="n">
        <f aca="false">SUM(K131:T131)</f>
        <v>3397.4</v>
      </c>
      <c r="J131" s="13" t="n">
        <f aca="false">F131-(G131+H131+I131)</f>
        <v>0</v>
      </c>
      <c r="K131" s="13" t="n">
        <v>339.74</v>
      </c>
      <c r="L131" s="13" t="n">
        <v>339.74</v>
      </c>
      <c r="M131" s="13" t="n">
        <v>339.74</v>
      </c>
      <c r="N131" s="13" t="n">
        <v>339.74</v>
      </c>
      <c r="O131" s="13" t="n">
        <v>339.74</v>
      </c>
      <c r="P131" s="13" t="n">
        <v>339.74</v>
      </c>
      <c r="Q131" s="13" t="n">
        <v>339.74</v>
      </c>
      <c r="R131" s="13" t="n">
        <v>339.74</v>
      </c>
      <c r="S131" s="13" t="n">
        <v>339.74</v>
      </c>
      <c r="T131" s="13" t="n">
        <v>339.74</v>
      </c>
      <c r="U131" s="13" t="n">
        <v>350</v>
      </c>
      <c r="V131" s="13" t="n">
        <v>0</v>
      </c>
      <c r="W131" s="13" t="n">
        <f aca="false">U131+V131</f>
        <v>350</v>
      </c>
    </row>
    <row r="132" customFormat="false" ht="15" hidden="false" customHeight="false" outlineLevel="0" collapsed="false">
      <c r="A132" s="14" t="s">
        <v>1504</v>
      </c>
      <c r="B132" s="14" t="s">
        <v>1335</v>
      </c>
      <c r="C132" s="14" t="s">
        <v>1505</v>
      </c>
      <c r="D132" s="14" t="s">
        <v>109</v>
      </c>
      <c r="E132" s="15" t="n">
        <v>1480000</v>
      </c>
      <c r="F132" s="15" t="n">
        <v>21758.65</v>
      </c>
      <c r="G132" s="15" t="n">
        <v>2719.83</v>
      </c>
      <c r="H132" s="15" t="n">
        <v>2719.83</v>
      </c>
      <c r="I132" s="15" t="n">
        <f aca="false">SUM(K132:T132)</f>
        <v>16319</v>
      </c>
      <c r="J132" s="15" t="n">
        <f aca="false">F132-(G132+H132+I132)</f>
        <v>-0.00999999999839929</v>
      </c>
      <c r="K132" s="15" t="n">
        <v>1631.9</v>
      </c>
      <c r="L132" s="15" t="n">
        <v>1631.9</v>
      </c>
      <c r="M132" s="15" t="n">
        <v>1631.9</v>
      </c>
      <c r="N132" s="15" t="n">
        <v>1631.9</v>
      </c>
      <c r="O132" s="15" t="n">
        <v>1631.9</v>
      </c>
      <c r="P132" s="15" t="n">
        <v>1631.9</v>
      </c>
      <c r="Q132" s="15" t="n">
        <v>1631.9</v>
      </c>
      <c r="R132" s="15" t="n">
        <v>1631.9</v>
      </c>
      <c r="S132" s="15" t="n">
        <v>1631.9</v>
      </c>
      <c r="T132" s="15" t="n">
        <v>1631.9</v>
      </c>
      <c r="U132" s="15" t="n">
        <v>350</v>
      </c>
      <c r="V132" s="15" t="n">
        <v>250</v>
      </c>
      <c r="W132" s="15" t="n">
        <f aca="false">U132+V132</f>
        <v>600</v>
      </c>
    </row>
    <row r="133" customFormat="false" ht="15" hidden="false" customHeight="false" outlineLevel="0" collapsed="false">
      <c r="A133" s="3" t="s">
        <v>1506</v>
      </c>
      <c r="B133" s="3" t="s">
        <v>1407</v>
      </c>
      <c r="C133" s="3" t="s">
        <v>761</v>
      </c>
      <c r="D133" s="3" t="s">
        <v>81</v>
      </c>
      <c r="E133" s="13" t="n">
        <v>705000</v>
      </c>
      <c r="F133" s="13" t="n">
        <v>10145.27</v>
      </c>
      <c r="G133" s="13" t="n">
        <v>1268.16</v>
      </c>
      <c r="H133" s="13" t="n">
        <v>1268.16</v>
      </c>
      <c r="I133" s="13" t="n">
        <f aca="false">SUM(K133:T133)</f>
        <v>7609</v>
      </c>
      <c r="J133" s="13" t="n">
        <f aca="false">F133-(G133+H133+I133)</f>
        <v>-0.0499999999992724</v>
      </c>
      <c r="K133" s="13" t="n">
        <v>760.9</v>
      </c>
      <c r="L133" s="13" t="n">
        <v>760.9</v>
      </c>
      <c r="M133" s="13" t="n">
        <v>760.9</v>
      </c>
      <c r="N133" s="13" t="n">
        <v>760.9</v>
      </c>
      <c r="O133" s="13" t="n">
        <v>760.9</v>
      </c>
      <c r="P133" s="13" t="n">
        <v>760.9</v>
      </c>
      <c r="Q133" s="13" t="n">
        <v>760.9</v>
      </c>
      <c r="R133" s="13" t="n">
        <v>760.9</v>
      </c>
      <c r="S133" s="13" t="n">
        <v>760.9</v>
      </c>
      <c r="T133" s="13" t="n">
        <v>760.9</v>
      </c>
      <c r="U133" s="13" t="n">
        <v>350</v>
      </c>
      <c r="V133" s="13" t="n">
        <v>0</v>
      </c>
      <c r="W133" s="13" t="n">
        <f aca="false">U133+V133</f>
        <v>350</v>
      </c>
    </row>
    <row r="134" customFormat="false" ht="15" hidden="false" customHeight="false" outlineLevel="0" collapsed="false">
      <c r="A134" s="14" t="s">
        <v>1507</v>
      </c>
      <c r="B134" s="14" t="s">
        <v>1422</v>
      </c>
      <c r="C134" s="14" t="s">
        <v>1360</v>
      </c>
      <c r="D134" s="14" t="s">
        <v>163</v>
      </c>
      <c r="E134" s="15" t="n">
        <v>620000</v>
      </c>
      <c r="F134" s="15" t="n">
        <v>7109.79</v>
      </c>
      <c r="G134" s="15" t="n">
        <v>888.72</v>
      </c>
      <c r="H134" s="15" t="n">
        <v>888.72</v>
      </c>
      <c r="I134" s="15" t="n">
        <f aca="false">SUM(K134:T134)</f>
        <v>5332.3</v>
      </c>
      <c r="J134" s="15" t="n">
        <f aca="false">F134-(G134+H134+I134)</f>
        <v>0.0500000000001819</v>
      </c>
      <c r="K134" s="15" t="n">
        <v>533.23</v>
      </c>
      <c r="L134" s="15" t="n">
        <v>533.23</v>
      </c>
      <c r="M134" s="15" t="n">
        <v>533.23</v>
      </c>
      <c r="N134" s="15" t="n">
        <v>533.23</v>
      </c>
      <c r="O134" s="15" t="n">
        <v>533.23</v>
      </c>
      <c r="P134" s="15" t="n">
        <v>533.23</v>
      </c>
      <c r="Q134" s="15" t="n">
        <v>533.23</v>
      </c>
      <c r="R134" s="15" t="n">
        <v>533.23</v>
      </c>
      <c r="S134" s="15" t="n">
        <v>533.23</v>
      </c>
      <c r="T134" s="15" t="n">
        <v>533.23</v>
      </c>
      <c r="U134" s="15" t="n">
        <v>350</v>
      </c>
      <c r="V134" s="15" t="n">
        <v>0</v>
      </c>
      <c r="W134" s="15" t="n">
        <f aca="false">U134+V134</f>
        <v>350</v>
      </c>
    </row>
    <row r="135" customFormat="false" ht="15" hidden="false" customHeight="false" outlineLevel="0" collapsed="false">
      <c r="A135" s="3" t="s">
        <v>1508</v>
      </c>
      <c r="B135" s="3" t="s">
        <v>1367</v>
      </c>
      <c r="C135" s="3" t="s">
        <v>817</v>
      </c>
      <c r="D135" s="3" t="s">
        <v>69</v>
      </c>
      <c r="E135" s="13" t="n">
        <v>285000</v>
      </c>
      <c r="F135" s="13" t="n">
        <v>3586.16</v>
      </c>
      <c r="G135" s="13" t="n">
        <v>448.27</v>
      </c>
      <c r="H135" s="13" t="n">
        <v>448.27</v>
      </c>
      <c r="I135" s="13" t="n">
        <f aca="false">SUM(K135:T135)</f>
        <v>2689.6</v>
      </c>
      <c r="J135" s="13" t="n">
        <f aca="false">F135-(G135+H135+I135)</f>
        <v>0.0199999999999818</v>
      </c>
      <c r="K135" s="13" t="n">
        <v>268.96</v>
      </c>
      <c r="L135" s="13" t="n">
        <v>268.96</v>
      </c>
      <c r="M135" s="13" t="n">
        <v>268.96</v>
      </c>
      <c r="N135" s="13" t="n">
        <v>268.96</v>
      </c>
      <c r="O135" s="13" t="n">
        <v>268.96</v>
      </c>
      <c r="P135" s="13" t="n">
        <v>268.96</v>
      </c>
      <c r="Q135" s="13" t="n">
        <v>268.96</v>
      </c>
      <c r="R135" s="13" t="n">
        <v>268.96</v>
      </c>
      <c r="S135" s="13" t="n">
        <v>268.96</v>
      </c>
      <c r="T135" s="13" t="n">
        <v>268.96</v>
      </c>
      <c r="U135" s="13" t="n">
        <v>350</v>
      </c>
      <c r="V135" s="13" t="n">
        <v>0</v>
      </c>
      <c r="W135" s="13" t="n">
        <f aca="false">U135+V135</f>
        <v>350</v>
      </c>
    </row>
    <row r="136" customFormat="false" ht="15" hidden="false" customHeight="false" outlineLevel="0" collapsed="false">
      <c r="A136" s="14" t="s">
        <v>1509</v>
      </c>
      <c r="B136" s="14" t="s">
        <v>1340</v>
      </c>
      <c r="C136" s="14" t="s">
        <v>84</v>
      </c>
      <c r="D136" s="14" t="s">
        <v>121</v>
      </c>
      <c r="E136" s="15" t="n">
        <v>560000</v>
      </c>
      <c r="F136" s="15" t="n">
        <v>9217.09</v>
      </c>
      <c r="G136" s="15" t="n">
        <v>1152.14</v>
      </c>
      <c r="H136" s="15" t="n">
        <v>1152.14</v>
      </c>
      <c r="I136" s="15" t="n">
        <f aca="false">SUM(K136:T136)</f>
        <v>6912.8</v>
      </c>
      <c r="J136" s="15" t="n">
        <f aca="false">F136-(G136+H136+I136)</f>
        <v>0.0100000000002183</v>
      </c>
      <c r="K136" s="15" t="n">
        <v>691.28</v>
      </c>
      <c r="L136" s="15" t="n">
        <v>691.28</v>
      </c>
      <c r="M136" s="15" t="n">
        <v>691.28</v>
      </c>
      <c r="N136" s="15" t="n">
        <v>691.28</v>
      </c>
      <c r="O136" s="15" t="n">
        <v>691.28</v>
      </c>
      <c r="P136" s="15" t="n">
        <v>691.28</v>
      </c>
      <c r="Q136" s="15" t="n">
        <v>691.28</v>
      </c>
      <c r="R136" s="15" t="n">
        <v>691.28</v>
      </c>
      <c r="S136" s="15" t="n">
        <v>691.28</v>
      </c>
      <c r="T136" s="15" t="n">
        <v>691.28</v>
      </c>
      <c r="U136" s="15" t="n">
        <v>350</v>
      </c>
      <c r="V136" s="15" t="n">
        <v>0</v>
      </c>
      <c r="W136" s="15" t="n">
        <f aca="false">U136+V136</f>
        <v>350</v>
      </c>
    </row>
    <row r="137" customFormat="false" ht="15" hidden="false" customHeight="false" outlineLevel="0" collapsed="false">
      <c r="A137" s="3" t="s">
        <v>1510</v>
      </c>
      <c r="B137" s="3" t="s">
        <v>1375</v>
      </c>
      <c r="C137" s="3" t="s">
        <v>1148</v>
      </c>
      <c r="D137" s="3" t="s">
        <v>193</v>
      </c>
      <c r="E137" s="13" t="n">
        <v>540000</v>
      </c>
      <c r="F137" s="13" t="n">
        <v>11091.21</v>
      </c>
      <c r="G137" s="13" t="n">
        <v>1386.4</v>
      </c>
      <c r="H137" s="13" t="n">
        <v>1386.4</v>
      </c>
      <c r="I137" s="13" t="n">
        <f aca="false">SUM(K137:T137)</f>
        <v>8318.4</v>
      </c>
      <c r="J137" s="13" t="n">
        <f aca="false">F137-(G137+H137+I137)</f>
        <v>0.00999999999839929</v>
      </c>
      <c r="K137" s="13" t="n">
        <v>831.84</v>
      </c>
      <c r="L137" s="13" t="n">
        <v>831.84</v>
      </c>
      <c r="M137" s="13" t="n">
        <v>831.84</v>
      </c>
      <c r="N137" s="13" t="n">
        <v>831.84</v>
      </c>
      <c r="O137" s="13" t="n">
        <v>831.84</v>
      </c>
      <c r="P137" s="13" t="n">
        <v>831.84</v>
      </c>
      <c r="Q137" s="13" t="n">
        <v>831.84</v>
      </c>
      <c r="R137" s="13" t="n">
        <v>831.84</v>
      </c>
      <c r="S137" s="13" t="n">
        <v>831.84</v>
      </c>
      <c r="T137" s="13" t="n">
        <v>831.84</v>
      </c>
      <c r="U137" s="13" t="n">
        <v>350</v>
      </c>
      <c r="V137" s="13" t="n">
        <v>0</v>
      </c>
      <c r="W137" s="13" t="n">
        <f aca="false">U137+V137</f>
        <v>350</v>
      </c>
    </row>
    <row r="138" customFormat="false" ht="15" hidden="false" customHeight="false" outlineLevel="0" collapsed="false">
      <c r="A138" s="14" t="s">
        <v>1511</v>
      </c>
      <c r="B138" s="14" t="s">
        <v>1369</v>
      </c>
      <c r="C138" s="14" t="s">
        <v>188</v>
      </c>
      <c r="D138" s="14" t="s">
        <v>189</v>
      </c>
      <c r="E138" s="15" t="n">
        <v>310000</v>
      </c>
      <c r="F138" s="15" t="n">
        <v>4423.51</v>
      </c>
      <c r="G138" s="15" t="n">
        <v>552.94</v>
      </c>
      <c r="H138" s="15" t="n">
        <v>552.94</v>
      </c>
      <c r="I138" s="15" t="n">
        <f aca="false">SUM(K138:T138)</f>
        <v>3317.6</v>
      </c>
      <c r="J138" s="15" t="n">
        <f aca="false">F138-(G138+H138+I138)</f>
        <v>0.0299999999997453</v>
      </c>
      <c r="K138" s="15" t="n">
        <v>331.76</v>
      </c>
      <c r="L138" s="15" t="n">
        <v>331.76</v>
      </c>
      <c r="M138" s="15" t="n">
        <v>331.76</v>
      </c>
      <c r="N138" s="15" t="n">
        <v>331.76</v>
      </c>
      <c r="O138" s="15" t="n">
        <v>331.76</v>
      </c>
      <c r="P138" s="15" t="n">
        <v>331.76</v>
      </c>
      <c r="Q138" s="15" t="n">
        <v>331.76</v>
      </c>
      <c r="R138" s="15" t="n">
        <v>331.76</v>
      </c>
      <c r="S138" s="15" t="n">
        <v>331.76</v>
      </c>
      <c r="T138" s="15" t="n">
        <v>331.76</v>
      </c>
      <c r="U138" s="15" t="n">
        <v>350</v>
      </c>
      <c r="V138" s="15" t="n">
        <v>0</v>
      </c>
      <c r="W138" s="15" t="n">
        <f aca="false">U138+V138</f>
        <v>350</v>
      </c>
    </row>
    <row r="139" customFormat="false" ht="15" hidden="false" customHeight="false" outlineLevel="0" collapsed="false">
      <c r="A139" s="3" t="s">
        <v>1512</v>
      </c>
      <c r="B139" s="3" t="s">
        <v>1407</v>
      </c>
      <c r="C139" s="3" t="s">
        <v>953</v>
      </c>
      <c r="D139" s="3" t="s">
        <v>138</v>
      </c>
      <c r="E139" s="13" t="n">
        <v>325000</v>
      </c>
      <c r="F139" s="13" t="n">
        <v>4848.35</v>
      </c>
      <c r="G139" s="13" t="n">
        <v>606.04</v>
      </c>
      <c r="H139" s="13" t="n">
        <v>606.04</v>
      </c>
      <c r="I139" s="13" t="n">
        <f aca="false">SUM(K139:T139)</f>
        <v>3636.3</v>
      </c>
      <c r="J139" s="13" t="n">
        <f aca="false">F139-(G139+H139+I139)</f>
        <v>-0.0299999999997453</v>
      </c>
      <c r="K139" s="13" t="n">
        <v>363.63</v>
      </c>
      <c r="L139" s="13" t="n">
        <v>363.63</v>
      </c>
      <c r="M139" s="13" t="n">
        <v>363.63</v>
      </c>
      <c r="N139" s="13" t="n">
        <v>363.63</v>
      </c>
      <c r="O139" s="13" t="n">
        <v>363.63</v>
      </c>
      <c r="P139" s="13" t="n">
        <v>363.63</v>
      </c>
      <c r="Q139" s="13" t="n">
        <v>363.63</v>
      </c>
      <c r="R139" s="13" t="n">
        <v>363.63</v>
      </c>
      <c r="S139" s="13" t="n">
        <v>363.63</v>
      </c>
      <c r="T139" s="13" t="n">
        <v>363.63</v>
      </c>
      <c r="U139" s="13" t="n">
        <v>350</v>
      </c>
      <c r="V139" s="13" t="n">
        <v>0</v>
      </c>
      <c r="W139" s="13" t="n">
        <f aca="false">U139+V139</f>
        <v>350</v>
      </c>
    </row>
    <row r="140" customFormat="false" ht="15" hidden="false" customHeight="false" outlineLevel="0" collapsed="false">
      <c r="A140" s="14" t="s">
        <v>1513</v>
      </c>
      <c r="B140" s="14" t="s">
        <v>1369</v>
      </c>
      <c r="C140" s="14" t="s">
        <v>1514</v>
      </c>
      <c r="D140" s="14" t="s">
        <v>312</v>
      </c>
      <c r="E140" s="15" t="n">
        <v>225000</v>
      </c>
      <c r="F140" s="15" t="n">
        <v>6134.02</v>
      </c>
      <c r="G140" s="15" t="n">
        <v>766.75</v>
      </c>
      <c r="H140" s="15" t="n">
        <v>766.75</v>
      </c>
      <c r="I140" s="15" t="n">
        <f aca="false">SUM(K140:T140)</f>
        <v>4600.5</v>
      </c>
      <c r="J140" s="15" t="n">
        <f aca="false">F140-(G140+H140+I140)</f>
        <v>0.0200000000004366</v>
      </c>
      <c r="K140" s="15" t="n">
        <v>460.05</v>
      </c>
      <c r="L140" s="15" t="n">
        <v>460.05</v>
      </c>
      <c r="M140" s="15" t="n">
        <v>460.05</v>
      </c>
      <c r="N140" s="15" t="n">
        <v>460.05</v>
      </c>
      <c r="O140" s="15" t="n">
        <v>460.05</v>
      </c>
      <c r="P140" s="15" t="n">
        <v>460.05</v>
      </c>
      <c r="Q140" s="15" t="n">
        <v>460.05</v>
      </c>
      <c r="R140" s="15" t="n">
        <v>460.05</v>
      </c>
      <c r="S140" s="15" t="n">
        <v>460.05</v>
      </c>
      <c r="T140" s="15" t="n">
        <v>460.05</v>
      </c>
      <c r="U140" s="15" t="n">
        <v>350</v>
      </c>
      <c r="V140" s="15" t="n">
        <v>0</v>
      </c>
      <c r="W140" s="15" t="n">
        <f aca="false">U140+V140</f>
        <v>350</v>
      </c>
    </row>
    <row r="141" customFormat="false" ht="15" hidden="false" customHeight="false" outlineLevel="0" collapsed="false">
      <c r="A141" s="3" t="s">
        <v>1515</v>
      </c>
      <c r="B141" s="3" t="s">
        <v>1337</v>
      </c>
      <c r="C141" s="3" t="s">
        <v>896</v>
      </c>
      <c r="D141" s="3" t="s">
        <v>112</v>
      </c>
      <c r="E141" s="13" t="n">
        <v>410000</v>
      </c>
      <c r="F141" s="13" t="n">
        <v>5052.66</v>
      </c>
      <c r="G141" s="13" t="n">
        <v>631.58</v>
      </c>
      <c r="H141" s="13" t="n">
        <v>631.58</v>
      </c>
      <c r="I141" s="13" t="n">
        <f aca="false">SUM(K141:T141)</f>
        <v>3789.5</v>
      </c>
      <c r="J141" s="13" t="n">
        <f aca="false">F141-(G141+H141+I141)</f>
        <v>0</v>
      </c>
      <c r="K141" s="13" t="n">
        <v>378.95</v>
      </c>
      <c r="L141" s="13" t="n">
        <v>378.95</v>
      </c>
      <c r="M141" s="13" t="n">
        <v>378.95</v>
      </c>
      <c r="N141" s="13" t="n">
        <v>378.95</v>
      </c>
      <c r="O141" s="13" t="n">
        <v>378.95</v>
      </c>
      <c r="P141" s="13" t="n">
        <v>378.95</v>
      </c>
      <c r="Q141" s="13" t="n">
        <v>378.95</v>
      </c>
      <c r="R141" s="13" t="n">
        <v>378.95</v>
      </c>
      <c r="S141" s="13" t="n">
        <v>378.95</v>
      </c>
      <c r="T141" s="13" t="n">
        <v>378.95</v>
      </c>
      <c r="U141" s="13" t="n">
        <v>350</v>
      </c>
      <c r="V141" s="13" t="n">
        <v>0</v>
      </c>
      <c r="W141" s="13" t="n">
        <f aca="false">U141+V141</f>
        <v>350</v>
      </c>
    </row>
    <row r="142" customFormat="false" ht="15" hidden="false" customHeight="false" outlineLevel="0" collapsed="false">
      <c r="A142" s="14" t="s">
        <v>1516</v>
      </c>
      <c r="B142" s="14" t="s">
        <v>1340</v>
      </c>
      <c r="C142" s="14" t="s">
        <v>1517</v>
      </c>
      <c r="D142" s="14" t="s">
        <v>256</v>
      </c>
      <c r="E142" s="15" t="n">
        <v>445000</v>
      </c>
      <c r="F142" s="15" t="n">
        <v>7677.58</v>
      </c>
      <c r="G142" s="15" t="n">
        <v>959.7</v>
      </c>
      <c r="H142" s="15" t="n">
        <v>959.7</v>
      </c>
      <c r="I142" s="15" t="n">
        <f aca="false">SUM(K142:T142)</f>
        <v>5758.2</v>
      </c>
      <c r="J142" s="15" t="n">
        <f aca="false">F142-(G142+H142+I142)</f>
        <v>-0.0200000000004366</v>
      </c>
      <c r="K142" s="15" t="n">
        <v>575.82</v>
      </c>
      <c r="L142" s="15" t="n">
        <v>575.82</v>
      </c>
      <c r="M142" s="15" t="n">
        <v>575.82</v>
      </c>
      <c r="N142" s="15" t="n">
        <v>575.82</v>
      </c>
      <c r="O142" s="15" t="n">
        <v>575.82</v>
      </c>
      <c r="P142" s="15" t="n">
        <v>575.82</v>
      </c>
      <c r="Q142" s="15" t="n">
        <v>575.82</v>
      </c>
      <c r="R142" s="15" t="n">
        <v>575.82</v>
      </c>
      <c r="S142" s="15" t="n">
        <v>575.82</v>
      </c>
      <c r="T142" s="15" t="n">
        <v>575.82</v>
      </c>
      <c r="U142" s="15" t="n">
        <v>350</v>
      </c>
      <c r="V142" s="15" t="n">
        <v>0</v>
      </c>
      <c r="W142" s="15" t="n">
        <f aca="false">U142+V142</f>
        <v>350</v>
      </c>
    </row>
    <row r="143" customFormat="false" ht="15" hidden="false" customHeight="false" outlineLevel="0" collapsed="false">
      <c r="A143" s="3" t="s">
        <v>1518</v>
      </c>
      <c r="B143" s="3" t="s">
        <v>1317</v>
      </c>
      <c r="C143" s="3" t="s">
        <v>450</v>
      </c>
      <c r="D143" s="3" t="s">
        <v>166</v>
      </c>
      <c r="E143" s="13" t="n">
        <v>380000</v>
      </c>
      <c r="F143" s="13" t="n">
        <v>6654.72</v>
      </c>
      <c r="G143" s="13" t="n">
        <v>831.84</v>
      </c>
      <c r="H143" s="13" t="n">
        <v>831.84</v>
      </c>
      <c r="I143" s="13" t="n">
        <f aca="false">SUM(K143:T143)</f>
        <v>4991</v>
      </c>
      <c r="J143" s="13" t="n">
        <f aca="false">F143-(G143+H143+I143)</f>
        <v>0.0399999999990541</v>
      </c>
      <c r="K143" s="13" t="n">
        <v>499.1</v>
      </c>
      <c r="L143" s="13" t="n">
        <v>499.1</v>
      </c>
      <c r="M143" s="13" t="n">
        <v>499.1</v>
      </c>
      <c r="N143" s="13" t="n">
        <v>499.1</v>
      </c>
      <c r="O143" s="13" t="n">
        <v>499.1</v>
      </c>
      <c r="P143" s="13" t="n">
        <v>499.1</v>
      </c>
      <c r="Q143" s="13" t="n">
        <v>499.1</v>
      </c>
      <c r="R143" s="13" t="n">
        <v>499.1</v>
      </c>
      <c r="S143" s="13" t="n">
        <v>499.1</v>
      </c>
      <c r="T143" s="13" t="n">
        <v>499.1</v>
      </c>
      <c r="U143" s="13" t="n">
        <v>350</v>
      </c>
      <c r="V143" s="13" t="n">
        <v>0</v>
      </c>
      <c r="W143" s="13" t="n">
        <f aca="false">U143+V143</f>
        <v>350</v>
      </c>
    </row>
    <row r="144" customFormat="false" ht="15" hidden="false" customHeight="false" outlineLevel="0" collapsed="false">
      <c r="A144" s="14" t="s">
        <v>1519</v>
      </c>
      <c r="B144" s="14" t="s">
        <v>1312</v>
      </c>
      <c r="C144" s="14" t="s">
        <v>250</v>
      </c>
      <c r="D144" s="14" t="s">
        <v>406</v>
      </c>
      <c r="E144" s="15" t="n">
        <v>625000</v>
      </c>
      <c r="F144" s="15" t="n">
        <v>6534.73</v>
      </c>
      <c r="G144" s="15" t="n">
        <v>816.84</v>
      </c>
      <c r="H144" s="15" t="n">
        <v>816.84</v>
      </c>
      <c r="I144" s="15" t="n">
        <f aca="false">SUM(K144:T144)</f>
        <v>4901</v>
      </c>
      <c r="J144" s="15" t="n">
        <f aca="false">F144-(G144+H144+I144)</f>
        <v>0.0499999999983629</v>
      </c>
      <c r="K144" s="15" t="n">
        <v>490.1</v>
      </c>
      <c r="L144" s="15" t="n">
        <v>490.1</v>
      </c>
      <c r="M144" s="15" t="n">
        <v>490.1</v>
      </c>
      <c r="N144" s="15" t="n">
        <v>490.1</v>
      </c>
      <c r="O144" s="15" t="n">
        <v>490.1</v>
      </c>
      <c r="P144" s="15" t="n">
        <v>490.1</v>
      </c>
      <c r="Q144" s="15" t="n">
        <v>490.1</v>
      </c>
      <c r="R144" s="15" t="n">
        <v>490.1</v>
      </c>
      <c r="S144" s="15" t="n">
        <v>490.1</v>
      </c>
      <c r="T144" s="15" t="n">
        <v>490.1</v>
      </c>
      <c r="U144" s="15" t="n">
        <v>350</v>
      </c>
      <c r="V144" s="15" t="n">
        <v>0</v>
      </c>
      <c r="W144" s="15" t="n">
        <f aca="false">U144+V144</f>
        <v>350</v>
      </c>
    </row>
    <row r="145" customFormat="false" ht="15" hidden="false" customHeight="false" outlineLevel="0" collapsed="false">
      <c r="A145" s="3" t="s">
        <v>1520</v>
      </c>
      <c r="B145" s="3" t="s">
        <v>1369</v>
      </c>
      <c r="C145" s="3" t="s">
        <v>1521</v>
      </c>
      <c r="D145" s="3" t="s">
        <v>77</v>
      </c>
      <c r="E145" s="13" t="n">
        <v>705000</v>
      </c>
      <c r="F145" s="13" t="n">
        <v>6659.06</v>
      </c>
      <c r="G145" s="13" t="n">
        <v>832.38</v>
      </c>
      <c r="H145" s="13" t="n">
        <v>832.38</v>
      </c>
      <c r="I145" s="13" t="n">
        <f aca="false">SUM(K145:T145)</f>
        <v>4994.3</v>
      </c>
      <c r="J145" s="13" t="n">
        <f aca="false">F145-(G145+H145+I145)</f>
        <v>0</v>
      </c>
      <c r="K145" s="13" t="n">
        <v>499.43</v>
      </c>
      <c r="L145" s="13" t="n">
        <v>499.43</v>
      </c>
      <c r="M145" s="13" t="n">
        <v>499.43</v>
      </c>
      <c r="N145" s="13" t="n">
        <v>499.43</v>
      </c>
      <c r="O145" s="13" t="n">
        <v>499.43</v>
      </c>
      <c r="P145" s="13" t="n">
        <v>499.43</v>
      </c>
      <c r="Q145" s="13" t="n">
        <v>499.43</v>
      </c>
      <c r="R145" s="13" t="n">
        <v>499.43</v>
      </c>
      <c r="S145" s="13" t="n">
        <v>499.43</v>
      </c>
      <c r="T145" s="13" t="n">
        <v>499.43</v>
      </c>
      <c r="U145" s="13" t="n">
        <v>350</v>
      </c>
      <c r="V145" s="13" t="n">
        <v>0</v>
      </c>
      <c r="W145" s="13" t="n">
        <f aca="false">U145+V145</f>
        <v>350</v>
      </c>
    </row>
    <row r="146" customFormat="false" ht="15" hidden="false" customHeight="false" outlineLevel="0" collapsed="false">
      <c r="A146" s="14" t="s">
        <v>1522</v>
      </c>
      <c r="B146" s="14" t="s">
        <v>1312</v>
      </c>
      <c r="C146" s="14" t="s">
        <v>452</v>
      </c>
      <c r="D146" s="14" t="s">
        <v>698</v>
      </c>
      <c r="E146" s="15" t="n">
        <v>575000</v>
      </c>
      <c r="F146" s="15" t="n">
        <v>8856.31</v>
      </c>
      <c r="G146" s="15" t="n">
        <v>1107.04</v>
      </c>
      <c r="H146" s="15" t="n">
        <v>1107.04</v>
      </c>
      <c r="I146" s="15" t="n">
        <f aca="false">SUM(K146:T146)</f>
        <v>6642.2</v>
      </c>
      <c r="J146" s="15" t="n">
        <f aca="false">F146-(G146+H146+I146)</f>
        <v>0.0299999999988358</v>
      </c>
      <c r="K146" s="15" t="n">
        <v>664.22</v>
      </c>
      <c r="L146" s="15" t="n">
        <v>664.22</v>
      </c>
      <c r="M146" s="15" t="n">
        <v>664.22</v>
      </c>
      <c r="N146" s="15" t="n">
        <v>664.22</v>
      </c>
      <c r="O146" s="15" t="n">
        <v>664.22</v>
      </c>
      <c r="P146" s="15" t="n">
        <v>664.22</v>
      </c>
      <c r="Q146" s="15" t="n">
        <v>664.22</v>
      </c>
      <c r="R146" s="15" t="n">
        <v>664.22</v>
      </c>
      <c r="S146" s="15" t="n">
        <v>664.22</v>
      </c>
      <c r="T146" s="15" t="n">
        <v>664.22</v>
      </c>
      <c r="U146" s="15" t="n">
        <v>350</v>
      </c>
      <c r="V146" s="15" t="n">
        <v>0</v>
      </c>
      <c r="W146" s="15" t="n">
        <f aca="false">U146+V146</f>
        <v>350</v>
      </c>
    </row>
    <row r="147" customFormat="false" ht="15" hidden="false" customHeight="false" outlineLevel="0" collapsed="false">
      <c r="A147" s="3" t="s">
        <v>1523</v>
      </c>
      <c r="B147" s="3" t="s">
        <v>1340</v>
      </c>
      <c r="C147" s="3" t="s">
        <v>137</v>
      </c>
      <c r="D147" s="3" t="s">
        <v>93</v>
      </c>
      <c r="E147" s="13" t="n">
        <v>545000</v>
      </c>
      <c r="F147" s="13" t="n">
        <v>11462.55</v>
      </c>
      <c r="G147" s="13" t="n">
        <v>1432.82</v>
      </c>
      <c r="H147" s="13" t="n">
        <v>1432.82</v>
      </c>
      <c r="I147" s="13" t="n">
        <f aca="false">SUM(K147:T147)</f>
        <v>8596.9</v>
      </c>
      <c r="J147" s="13" t="n">
        <f aca="false">F147-(G147+H147+I147)</f>
        <v>0.00999999999839929</v>
      </c>
      <c r="K147" s="13" t="n">
        <v>859.69</v>
      </c>
      <c r="L147" s="13" t="n">
        <v>859.69</v>
      </c>
      <c r="M147" s="13" t="n">
        <v>859.69</v>
      </c>
      <c r="N147" s="13" t="n">
        <v>859.69</v>
      </c>
      <c r="O147" s="13" t="n">
        <v>859.69</v>
      </c>
      <c r="P147" s="13" t="n">
        <v>859.69</v>
      </c>
      <c r="Q147" s="13" t="n">
        <v>859.69</v>
      </c>
      <c r="R147" s="13" t="n">
        <v>859.69</v>
      </c>
      <c r="S147" s="13" t="n">
        <v>859.69</v>
      </c>
      <c r="T147" s="13" t="n">
        <v>859.69</v>
      </c>
      <c r="U147" s="13" t="n">
        <v>350</v>
      </c>
      <c r="V147" s="13" t="n">
        <v>0</v>
      </c>
      <c r="W147" s="13" t="n">
        <f aca="false">U147+V147</f>
        <v>350</v>
      </c>
    </row>
    <row r="148" customFormat="false" ht="15" hidden="false" customHeight="false" outlineLevel="0" collapsed="false">
      <c r="A148" s="14" t="s">
        <v>1524</v>
      </c>
      <c r="B148" s="14" t="s">
        <v>1319</v>
      </c>
      <c r="C148" s="14" t="s">
        <v>265</v>
      </c>
      <c r="D148" s="14" t="s">
        <v>352</v>
      </c>
      <c r="E148" s="15" t="n">
        <v>695000</v>
      </c>
      <c r="F148" s="15" t="n">
        <v>8829.33</v>
      </c>
      <c r="G148" s="15" t="n">
        <v>1103.67</v>
      </c>
      <c r="H148" s="15" t="n">
        <v>1103.67</v>
      </c>
      <c r="I148" s="15" t="n">
        <f aca="false">SUM(K148:T148)</f>
        <v>6622</v>
      </c>
      <c r="J148" s="15" t="n">
        <f aca="false">F148-(G148+H148+I148)</f>
        <v>-0.0100000000002183</v>
      </c>
      <c r="K148" s="15" t="n">
        <v>662.2</v>
      </c>
      <c r="L148" s="15" t="n">
        <v>662.2</v>
      </c>
      <c r="M148" s="15" t="n">
        <v>662.2</v>
      </c>
      <c r="N148" s="15" t="n">
        <v>662.2</v>
      </c>
      <c r="O148" s="15" t="n">
        <v>662.2</v>
      </c>
      <c r="P148" s="15" t="n">
        <v>662.2</v>
      </c>
      <c r="Q148" s="15" t="n">
        <v>662.2</v>
      </c>
      <c r="R148" s="15" t="n">
        <v>662.2</v>
      </c>
      <c r="S148" s="15" t="n">
        <v>662.2</v>
      </c>
      <c r="T148" s="15" t="n">
        <v>662.2</v>
      </c>
      <c r="U148" s="15" t="n">
        <v>350</v>
      </c>
      <c r="V148" s="15" t="n">
        <v>0</v>
      </c>
      <c r="W148" s="15" t="n">
        <f aca="false">U148+V148</f>
        <v>350</v>
      </c>
    </row>
    <row r="149" customFormat="false" ht="15" hidden="false" customHeight="false" outlineLevel="0" collapsed="false">
      <c r="A149" s="3" t="s">
        <v>1525</v>
      </c>
      <c r="B149" s="3" t="s">
        <v>1358</v>
      </c>
      <c r="C149" s="3" t="s">
        <v>1526</v>
      </c>
      <c r="D149" s="3" t="s">
        <v>89</v>
      </c>
      <c r="E149" s="13" t="n">
        <v>480000</v>
      </c>
      <c r="F149" s="13" t="n">
        <v>8405.96</v>
      </c>
      <c r="G149" s="13" t="n">
        <v>1050.74</v>
      </c>
      <c r="H149" s="13" t="n">
        <v>1050.74</v>
      </c>
      <c r="I149" s="13" t="n">
        <f aca="false">SUM(K149:T149)</f>
        <v>6304.5</v>
      </c>
      <c r="J149" s="13" t="n">
        <f aca="false">F149-(G149+H149+I149)</f>
        <v>-0.0200000000004366</v>
      </c>
      <c r="K149" s="13" t="n">
        <v>630.45</v>
      </c>
      <c r="L149" s="13" t="n">
        <v>630.45</v>
      </c>
      <c r="M149" s="13" t="n">
        <v>630.45</v>
      </c>
      <c r="N149" s="13" t="n">
        <v>630.45</v>
      </c>
      <c r="O149" s="13" t="n">
        <v>630.45</v>
      </c>
      <c r="P149" s="13" t="n">
        <v>630.45</v>
      </c>
      <c r="Q149" s="13" t="n">
        <v>630.45</v>
      </c>
      <c r="R149" s="13" t="n">
        <v>630.45</v>
      </c>
      <c r="S149" s="13" t="n">
        <v>630.45</v>
      </c>
      <c r="T149" s="13" t="n">
        <v>630.45</v>
      </c>
      <c r="U149" s="13" t="n">
        <v>350</v>
      </c>
      <c r="V149" s="13" t="n">
        <v>0</v>
      </c>
      <c r="W149" s="13" t="n">
        <f aca="false">U149+V149</f>
        <v>350</v>
      </c>
    </row>
    <row r="150" customFormat="false" ht="15" hidden="false" customHeight="false" outlineLevel="0" collapsed="false">
      <c r="A150" s="14" t="s">
        <v>1527</v>
      </c>
      <c r="B150" s="14" t="s">
        <v>1375</v>
      </c>
      <c r="C150" s="14" t="s">
        <v>1526</v>
      </c>
      <c r="D150" s="14" t="s">
        <v>157</v>
      </c>
      <c r="E150" s="15" t="n">
        <v>570000</v>
      </c>
      <c r="F150" s="15" t="n">
        <v>9099.71</v>
      </c>
      <c r="G150" s="15" t="n">
        <v>1137.46</v>
      </c>
      <c r="H150" s="15" t="n">
        <v>1137.46</v>
      </c>
      <c r="I150" s="15" t="n">
        <f aca="false">SUM(K150:T150)</f>
        <v>6824.8</v>
      </c>
      <c r="J150" s="15" t="n">
        <f aca="false">F150-(G150+H150+I150)</f>
        <v>-0.0100000000002183</v>
      </c>
      <c r="K150" s="15" t="n">
        <v>682.48</v>
      </c>
      <c r="L150" s="15" t="n">
        <v>682.48</v>
      </c>
      <c r="M150" s="15" t="n">
        <v>682.48</v>
      </c>
      <c r="N150" s="15" t="n">
        <v>682.48</v>
      </c>
      <c r="O150" s="15" t="n">
        <v>682.48</v>
      </c>
      <c r="P150" s="15" t="n">
        <v>682.48</v>
      </c>
      <c r="Q150" s="15" t="n">
        <v>682.48</v>
      </c>
      <c r="R150" s="15" t="n">
        <v>682.48</v>
      </c>
      <c r="S150" s="15" t="n">
        <v>682.48</v>
      </c>
      <c r="T150" s="15" t="n">
        <v>682.48</v>
      </c>
      <c r="U150" s="15" t="n">
        <v>350</v>
      </c>
      <c r="V150" s="15" t="n">
        <v>0</v>
      </c>
      <c r="W150" s="15" t="n">
        <f aca="false">U150+V150</f>
        <v>350</v>
      </c>
    </row>
    <row r="151" customFormat="false" ht="15" hidden="false" customHeight="false" outlineLevel="0" collapsed="false">
      <c r="A151" s="3" t="s">
        <v>1528</v>
      </c>
      <c r="B151" s="3" t="s">
        <v>1337</v>
      </c>
      <c r="C151" s="3" t="s">
        <v>533</v>
      </c>
      <c r="D151" s="3" t="s">
        <v>185</v>
      </c>
      <c r="E151" s="13" t="n">
        <v>870000</v>
      </c>
      <c r="F151" s="13" t="n">
        <v>5775.31</v>
      </c>
      <c r="G151" s="13" t="n">
        <v>721.91</v>
      </c>
      <c r="H151" s="13" t="n">
        <v>721.91</v>
      </c>
      <c r="I151" s="13" t="n">
        <f aca="false">SUM(K151:T151)</f>
        <v>4331.5</v>
      </c>
      <c r="J151" s="13" t="n">
        <f aca="false">F151-(G151+H151+I151)</f>
        <v>-0.00999999999930878</v>
      </c>
      <c r="K151" s="13" t="n">
        <v>433.15</v>
      </c>
      <c r="L151" s="13" t="n">
        <v>433.15</v>
      </c>
      <c r="M151" s="13" t="n">
        <v>433.15</v>
      </c>
      <c r="N151" s="13" t="n">
        <v>433.15</v>
      </c>
      <c r="O151" s="13" t="n">
        <v>433.15</v>
      </c>
      <c r="P151" s="13" t="n">
        <v>433.15</v>
      </c>
      <c r="Q151" s="13" t="n">
        <v>433.15</v>
      </c>
      <c r="R151" s="13" t="n">
        <v>433.15</v>
      </c>
      <c r="S151" s="13" t="n">
        <v>433.15</v>
      </c>
      <c r="T151" s="13" t="n">
        <v>433.15</v>
      </c>
      <c r="U151" s="13" t="n">
        <v>350</v>
      </c>
      <c r="V151" s="13" t="n">
        <v>0</v>
      </c>
      <c r="W151" s="13" t="n">
        <f aca="false">U151+V151</f>
        <v>350</v>
      </c>
    </row>
    <row r="152" customFormat="false" ht="15" hidden="false" customHeight="false" outlineLevel="0" collapsed="false">
      <c r="A152" s="14" t="s">
        <v>1529</v>
      </c>
      <c r="B152" s="14" t="s">
        <v>1340</v>
      </c>
      <c r="C152" s="14" t="s">
        <v>265</v>
      </c>
      <c r="D152" s="14" t="s">
        <v>121</v>
      </c>
      <c r="E152" s="15" t="n">
        <v>845000</v>
      </c>
      <c r="F152" s="15" t="n">
        <v>11589.94</v>
      </c>
      <c r="G152" s="15" t="n">
        <v>1448.74</v>
      </c>
      <c r="H152" s="15" t="n">
        <v>1448.74</v>
      </c>
      <c r="I152" s="15" t="n">
        <f aca="false">SUM(K152:T152)</f>
        <v>8692.5</v>
      </c>
      <c r="J152" s="15" t="n">
        <f aca="false">F152-(G152+H152+I152)</f>
        <v>-0.0399999999990541</v>
      </c>
      <c r="K152" s="15" t="n">
        <v>869.25</v>
      </c>
      <c r="L152" s="15" t="n">
        <v>869.25</v>
      </c>
      <c r="M152" s="15" t="n">
        <v>869.25</v>
      </c>
      <c r="N152" s="15" t="n">
        <v>869.25</v>
      </c>
      <c r="O152" s="15" t="n">
        <v>869.25</v>
      </c>
      <c r="P152" s="15" t="n">
        <v>869.25</v>
      </c>
      <c r="Q152" s="15" t="n">
        <v>869.25</v>
      </c>
      <c r="R152" s="15" t="n">
        <v>869.25</v>
      </c>
      <c r="S152" s="15" t="n">
        <v>869.25</v>
      </c>
      <c r="T152" s="15" t="n">
        <v>869.25</v>
      </c>
      <c r="U152" s="15" t="n">
        <v>350</v>
      </c>
      <c r="V152" s="15" t="n">
        <v>0</v>
      </c>
      <c r="W152" s="15" t="n">
        <f aca="false">U152+V152</f>
        <v>350</v>
      </c>
    </row>
    <row r="153" customFormat="false" ht="15" hidden="false" customHeight="false" outlineLevel="0" collapsed="false">
      <c r="A153" s="3" t="s">
        <v>1530</v>
      </c>
      <c r="B153" s="3" t="s">
        <v>1363</v>
      </c>
      <c r="C153" s="3" t="s">
        <v>632</v>
      </c>
      <c r="D153" s="3" t="s">
        <v>352</v>
      </c>
      <c r="E153" s="13" t="n">
        <v>1310000</v>
      </c>
      <c r="F153" s="13" t="n">
        <v>14081.98</v>
      </c>
      <c r="G153" s="13" t="n">
        <v>1760.25</v>
      </c>
      <c r="H153" s="13" t="n">
        <v>1760.25</v>
      </c>
      <c r="I153" s="13" t="n">
        <f aca="false">SUM(K153:T153)</f>
        <v>10561.5</v>
      </c>
      <c r="J153" s="13" t="n">
        <f aca="false">F153-(G153+H153+I153)</f>
        <v>-0.0200000000004366</v>
      </c>
      <c r="K153" s="13" t="n">
        <v>1056.15</v>
      </c>
      <c r="L153" s="13" t="n">
        <v>1056.15</v>
      </c>
      <c r="M153" s="13" t="n">
        <v>1056.15</v>
      </c>
      <c r="N153" s="13" t="n">
        <v>1056.15</v>
      </c>
      <c r="O153" s="13" t="n">
        <v>1056.15</v>
      </c>
      <c r="P153" s="13" t="n">
        <v>1056.15</v>
      </c>
      <c r="Q153" s="13" t="n">
        <v>1056.15</v>
      </c>
      <c r="R153" s="13" t="n">
        <v>1056.15</v>
      </c>
      <c r="S153" s="13" t="n">
        <v>1056.15</v>
      </c>
      <c r="T153" s="13" t="n">
        <v>1056.15</v>
      </c>
      <c r="U153" s="13" t="n">
        <v>350</v>
      </c>
      <c r="V153" s="13" t="n">
        <v>250</v>
      </c>
      <c r="W153" s="13" t="n">
        <f aca="false">U153+V153</f>
        <v>600</v>
      </c>
    </row>
    <row r="154" customFormat="false" ht="15" hidden="false" customHeight="false" outlineLevel="0" collapsed="false">
      <c r="A154" s="14" t="s">
        <v>1531</v>
      </c>
      <c r="B154" s="14" t="s">
        <v>1389</v>
      </c>
      <c r="C154" s="14" t="s">
        <v>272</v>
      </c>
      <c r="D154" s="14" t="s">
        <v>125</v>
      </c>
      <c r="E154" s="15" t="n">
        <v>1070000</v>
      </c>
      <c r="F154" s="15" t="n">
        <v>9771.67</v>
      </c>
      <c r="G154" s="15" t="n">
        <v>1221.46</v>
      </c>
      <c r="H154" s="15" t="n">
        <v>1221.46</v>
      </c>
      <c r="I154" s="15" t="n">
        <f aca="false">SUM(K154:T154)</f>
        <v>7328.8</v>
      </c>
      <c r="J154" s="15" t="n">
        <f aca="false">F154-(G154+H154+I154)</f>
        <v>-0.0500000000010914</v>
      </c>
      <c r="K154" s="15" t="n">
        <v>732.88</v>
      </c>
      <c r="L154" s="15" t="n">
        <v>732.88</v>
      </c>
      <c r="M154" s="15" t="n">
        <v>732.88</v>
      </c>
      <c r="N154" s="15" t="n">
        <v>732.88</v>
      </c>
      <c r="O154" s="15" t="n">
        <v>732.88</v>
      </c>
      <c r="P154" s="15" t="n">
        <v>732.88</v>
      </c>
      <c r="Q154" s="15" t="n">
        <v>732.88</v>
      </c>
      <c r="R154" s="15" t="n">
        <v>732.88</v>
      </c>
      <c r="S154" s="15" t="n">
        <v>732.88</v>
      </c>
      <c r="T154" s="15" t="n">
        <v>732.88</v>
      </c>
      <c r="U154" s="15" t="n">
        <v>350</v>
      </c>
      <c r="V154" s="15" t="n">
        <v>250</v>
      </c>
      <c r="W154" s="15" t="n">
        <f aca="false">U154+V154</f>
        <v>600</v>
      </c>
    </row>
    <row r="155" customFormat="false" ht="15" hidden="false" customHeight="false" outlineLevel="0" collapsed="false">
      <c r="A155" s="3" t="s">
        <v>1532</v>
      </c>
      <c r="B155" s="3" t="s">
        <v>1315</v>
      </c>
      <c r="C155" s="3" t="s">
        <v>1210</v>
      </c>
      <c r="D155" s="3" t="s">
        <v>185</v>
      </c>
      <c r="E155" s="13" t="n">
        <v>1410000</v>
      </c>
      <c r="F155" s="13" t="n">
        <v>8374.73</v>
      </c>
      <c r="G155" s="13" t="n">
        <v>1046.84</v>
      </c>
      <c r="H155" s="13" t="n">
        <v>1046.84</v>
      </c>
      <c r="I155" s="13" t="n">
        <f aca="false">SUM(K155:T155)</f>
        <v>6281</v>
      </c>
      <c r="J155" s="13" t="n">
        <f aca="false">F155-(G155+H155+I155)</f>
        <v>0.0499999999992724</v>
      </c>
      <c r="K155" s="13" t="n">
        <v>628.1</v>
      </c>
      <c r="L155" s="13" t="n">
        <v>628.1</v>
      </c>
      <c r="M155" s="13" t="n">
        <v>628.1</v>
      </c>
      <c r="N155" s="13" t="n">
        <v>628.1</v>
      </c>
      <c r="O155" s="13" t="n">
        <v>628.1</v>
      </c>
      <c r="P155" s="13" t="n">
        <v>628.1</v>
      </c>
      <c r="Q155" s="13" t="n">
        <v>628.1</v>
      </c>
      <c r="R155" s="13" t="n">
        <v>628.1</v>
      </c>
      <c r="S155" s="13" t="n">
        <v>628.1</v>
      </c>
      <c r="T155" s="13" t="n">
        <v>628.1</v>
      </c>
      <c r="U155" s="13" t="n">
        <v>350</v>
      </c>
      <c r="V155" s="13" t="n">
        <v>250</v>
      </c>
      <c r="W155" s="13" t="n">
        <f aca="false">U155+V155</f>
        <v>600</v>
      </c>
    </row>
    <row r="156" customFormat="false" ht="15" hidden="false" customHeight="false" outlineLevel="0" collapsed="false">
      <c r="A156" s="14" t="s">
        <v>1533</v>
      </c>
      <c r="B156" s="14" t="s">
        <v>1337</v>
      </c>
      <c r="C156" s="14" t="s">
        <v>340</v>
      </c>
      <c r="D156" s="14" t="s">
        <v>109</v>
      </c>
      <c r="E156" s="15" t="n">
        <v>575000</v>
      </c>
      <c r="F156" s="15" t="n">
        <v>8080.58</v>
      </c>
      <c r="G156" s="15" t="n">
        <v>1010.07</v>
      </c>
      <c r="H156" s="15" t="n">
        <v>1010.07</v>
      </c>
      <c r="I156" s="15" t="n">
        <f aca="false">SUM(K156:T156)</f>
        <v>6060.4</v>
      </c>
      <c r="J156" s="15" t="n">
        <f aca="false">F156-(G156+H156+I156)</f>
        <v>0.0399999999999636</v>
      </c>
      <c r="K156" s="15" t="n">
        <v>606.04</v>
      </c>
      <c r="L156" s="15" t="n">
        <v>606.04</v>
      </c>
      <c r="M156" s="15" t="n">
        <v>606.04</v>
      </c>
      <c r="N156" s="15" t="n">
        <v>606.04</v>
      </c>
      <c r="O156" s="15" t="n">
        <v>606.04</v>
      </c>
      <c r="P156" s="15" t="n">
        <v>606.04</v>
      </c>
      <c r="Q156" s="15" t="n">
        <v>606.04</v>
      </c>
      <c r="R156" s="15" t="n">
        <v>606.04</v>
      </c>
      <c r="S156" s="15" t="n">
        <v>606.04</v>
      </c>
      <c r="T156" s="15" t="n">
        <v>606.04</v>
      </c>
      <c r="U156" s="15" t="n">
        <v>350</v>
      </c>
      <c r="V156" s="15" t="n">
        <v>0</v>
      </c>
      <c r="W156" s="15" t="n">
        <f aca="false">U156+V156</f>
        <v>350</v>
      </c>
    </row>
    <row r="157" customFormat="false" ht="15" hidden="false" customHeight="false" outlineLevel="0" collapsed="false">
      <c r="A157" s="3" t="s">
        <v>1534</v>
      </c>
      <c r="B157" s="3" t="s">
        <v>1447</v>
      </c>
      <c r="C157" s="3" t="s">
        <v>1232</v>
      </c>
      <c r="D157" s="3" t="s">
        <v>73</v>
      </c>
      <c r="E157" s="13" t="n">
        <v>445000</v>
      </c>
      <c r="F157" s="13" t="n">
        <v>6753.96</v>
      </c>
      <c r="G157" s="13" t="n">
        <v>844.25</v>
      </c>
      <c r="H157" s="13" t="n">
        <v>844.25</v>
      </c>
      <c r="I157" s="13" t="n">
        <f aca="false">SUM(K157:T157)</f>
        <v>5065.5</v>
      </c>
      <c r="J157" s="13" t="n">
        <f aca="false">F157-(G157+H157+I157)</f>
        <v>-0.0399999999999636</v>
      </c>
      <c r="K157" s="13" t="n">
        <v>506.55</v>
      </c>
      <c r="L157" s="13" t="n">
        <v>506.55</v>
      </c>
      <c r="M157" s="13" t="n">
        <v>506.55</v>
      </c>
      <c r="N157" s="13" t="n">
        <v>506.55</v>
      </c>
      <c r="O157" s="13" t="n">
        <v>506.55</v>
      </c>
      <c r="P157" s="13" t="n">
        <v>506.55</v>
      </c>
      <c r="Q157" s="13" t="n">
        <v>506.55</v>
      </c>
      <c r="R157" s="13" t="n">
        <v>506.55</v>
      </c>
      <c r="S157" s="13" t="n">
        <v>506.55</v>
      </c>
      <c r="T157" s="13" t="n">
        <v>506.55</v>
      </c>
      <c r="U157" s="13" t="n">
        <v>350</v>
      </c>
      <c r="V157" s="13" t="n">
        <v>0</v>
      </c>
      <c r="W157" s="13" t="n">
        <f aca="false">U157+V157</f>
        <v>350</v>
      </c>
    </row>
    <row r="158" customFormat="false" ht="15" hidden="false" customHeight="false" outlineLevel="0" collapsed="false">
      <c r="A158" s="14" t="s">
        <v>1535</v>
      </c>
      <c r="B158" s="14" t="s">
        <v>1371</v>
      </c>
      <c r="C158" s="14" t="s">
        <v>1202</v>
      </c>
      <c r="D158" s="14" t="s">
        <v>256</v>
      </c>
      <c r="E158" s="15" t="n">
        <v>640000</v>
      </c>
      <c r="F158" s="15" t="n">
        <v>9569.66</v>
      </c>
      <c r="G158" s="15" t="n">
        <v>1196.21</v>
      </c>
      <c r="H158" s="15" t="n">
        <v>1196.21</v>
      </c>
      <c r="I158" s="15" t="n">
        <f aca="false">SUM(K158:T158)</f>
        <v>7177.2</v>
      </c>
      <c r="J158" s="15" t="n">
        <f aca="false">F158-(G158+H158+I158)</f>
        <v>0.0399999999990541</v>
      </c>
      <c r="K158" s="15" t="n">
        <v>717.72</v>
      </c>
      <c r="L158" s="15" t="n">
        <v>717.72</v>
      </c>
      <c r="M158" s="15" t="n">
        <v>717.72</v>
      </c>
      <c r="N158" s="15" t="n">
        <v>717.72</v>
      </c>
      <c r="O158" s="15" t="n">
        <v>717.72</v>
      </c>
      <c r="P158" s="15" t="n">
        <v>717.72</v>
      </c>
      <c r="Q158" s="15" t="n">
        <v>717.72</v>
      </c>
      <c r="R158" s="15" t="n">
        <v>717.72</v>
      </c>
      <c r="S158" s="15" t="n">
        <v>717.72</v>
      </c>
      <c r="T158" s="15" t="n">
        <v>717.72</v>
      </c>
      <c r="U158" s="15" t="n">
        <v>350</v>
      </c>
      <c r="V158" s="15" t="n">
        <v>0</v>
      </c>
      <c r="W158" s="15" t="n">
        <f aca="false">U158+V158</f>
        <v>350</v>
      </c>
    </row>
    <row r="159" customFormat="false" ht="15" hidden="false" customHeight="false" outlineLevel="0" collapsed="false">
      <c r="A159" s="3" t="s">
        <v>1536</v>
      </c>
      <c r="B159" s="3" t="s">
        <v>1447</v>
      </c>
      <c r="C159" s="3" t="s">
        <v>1537</v>
      </c>
      <c r="D159" s="3" t="s">
        <v>132</v>
      </c>
      <c r="E159" s="13" t="n">
        <v>365000</v>
      </c>
      <c r="F159" s="13" t="n">
        <v>3030.3</v>
      </c>
      <c r="G159" s="13" t="n">
        <v>378.79</v>
      </c>
      <c r="H159" s="13" t="n">
        <v>378.79</v>
      </c>
      <c r="I159" s="13" t="n">
        <f aca="false">SUM(K159:T159)</f>
        <v>2272.7</v>
      </c>
      <c r="J159" s="13" t="n">
        <f aca="false">F159-(G159+H159+I159)</f>
        <v>0.0199999999999818</v>
      </c>
      <c r="K159" s="13" t="n">
        <v>227.27</v>
      </c>
      <c r="L159" s="13" t="n">
        <v>227.27</v>
      </c>
      <c r="M159" s="13" t="n">
        <v>227.27</v>
      </c>
      <c r="N159" s="13" t="n">
        <v>227.27</v>
      </c>
      <c r="O159" s="13" t="n">
        <v>227.27</v>
      </c>
      <c r="P159" s="13" t="n">
        <v>227.27</v>
      </c>
      <c r="Q159" s="13" t="n">
        <v>227.27</v>
      </c>
      <c r="R159" s="13" t="n">
        <v>227.27</v>
      </c>
      <c r="S159" s="13" t="n">
        <v>227.27</v>
      </c>
      <c r="T159" s="13" t="n">
        <v>227.27</v>
      </c>
      <c r="U159" s="13" t="n">
        <v>350</v>
      </c>
      <c r="V159" s="13" t="n">
        <v>0</v>
      </c>
      <c r="W159" s="13" t="n">
        <f aca="false">U159+V159</f>
        <v>350</v>
      </c>
    </row>
    <row r="160" customFormat="false" ht="15" hidden="false" customHeight="false" outlineLevel="0" collapsed="false">
      <c r="A160" s="14" t="s">
        <v>1538</v>
      </c>
      <c r="B160" s="14" t="s">
        <v>1389</v>
      </c>
      <c r="C160" s="14" t="s">
        <v>296</v>
      </c>
      <c r="D160" s="14" t="s">
        <v>208</v>
      </c>
      <c r="E160" s="15" t="n">
        <v>1935000</v>
      </c>
      <c r="F160" s="15" t="n">
        <v>34806.92</v>
      </c>
      <c r="G160" s="15" t="n">
        <v>4350.86</v>
      </c>
      <c r="H160" s="15" t="n">
        <v>4350.86</v>
      </c>
      <c r="I160" s="15" t="n">
        <f aca="false">SUM(K160:T160)</f>
        <v>26105.2</v>
      </c>
      <c r="J160" s="15" t="n">
        <f aca="false">F160-(G160+H160+I160)</f>
        <v>0</v>
      </c>
      <c r="K160" s="15" t="n">
        <v>2610.52</v>
      </c>
      <c r="L160" s="15" t="n">
        <v>2610.52</v>
      </c>
      <c r="M160" s="15" t="n">
        <v>2610.52</v>
      </c>
      <c r="N160" s="15" t="n">
        <v>2610.52</v>
      </c>
      <c r="O160" s="15" t="n">
        <v>2610.52</v>
      </c>
      <c r="P160" s="15" t="n">
        <v>2610.52</v>
      </c>
      <c r="Q160" s="15" t="n">
        <v>2610.52</v>
      </c>
      <c r="R160" s="15" t="n">
        <v>2610.52</v>
      </c>
      <c r="S160" s="15" t="n">
        <v>2610.52</v>
      </c>
      <c r="T160" s="15" t="n">
        <v>2610.52</v>
      </c>
      <c r="U160" s="15" t="n">
        <v>350</v>
      </c>
      <c r="V160" s="15" t="n">
        <v>250</v>
      </c>
      <c r="W160" s="15" t="n">
        <f aca="false">U160+V160</f>
        <v>600</v>
      </c>
    </row>
    <row r="161" customFormat="false" ht="15" hidden="false" customHeight="false" outlineLevel="0" collapsed="false">
      <c r="A161" s="3" t="s">
        <v>1539</v>
      </c>
      <c r="B161" s="3" t="s">
        <v>1373</v>
      </c>
      <c r="C161" s="3" t="s">
        <v>1271</v>
      </c>
      <c r="D161" s="3" t="s">
        <v>312</v>
      </c>
      <c r="E161" s="13" t="n">
        <v>985000</v>
      </c>
      <c r="F161" s="13" t="n">
        <v>17965.28</v>
      </c>
      <c r="G161" s="13" t="n">
        <v>2245.66</v>
      </c>
      <c r="H161" s="13" t="n">
        <v>2245.66</v>
      </c>
      <c r="I161" s="13" t="n">
        <f aca="false">SUM(K161:T161)</f>
        <v>13474</v>
      </c>
      <c r="J161" s="13" t="n">
        <f aca="false">F161-(G161+H161+I161)</f>
        <v>-0.0400000000008731</v>
      </c>
      <c r="K161" s="13" t="n">
        <v>1347.4</v>
      </c>
      <c r="L161" s="13" t="n">
        <v>1347.4</v>
      </c>
      <c r="M161" s="13" t="n">
        <v>1347.4</v>
      </c>
      <c r="N161" s="13" t="n">
        <v>1347.4</v>
      </c>
      <c r="O161" s="13" t="n">
        <v>1347.4</v>
      </c>
      <c r="P161" s="13" t="n">
        <v>1347.4</v>
      </c>
      <c r="Q161" s="13" t="n">
        <v>1347.4</v>
      </c>
      <c r="R161" s="13" t="n">
        <v>1347.4</v>
      </c>
      <c r="S161" s="13" t="n">
        <v>1347.4</v>
      </c>
      <c r="T161" s="13" t="n">
        <v>1347.4</v>
      </c>
      <c r="U161" s="13" t="n">
        <v>350</v>
      </c>
      <c r="V161" s="13" t="n">
        <v>0</v>
      </c>
      <c r="W161" s="13" t="n">
        <f aca="false">U161+V161</f>
        <v>350</v>
      </c>
    </row>
    <row r="162" customFormat="false" ht="15" hidden="false" customHeight="false" outlineLevel="0" collapsed="false">
      <c r="A162" s="14" t="s">
        <v>1540</v>
      </c>
      <c r="B162" s="14" t="s">
        <v>1367</v>
      </c>
      <c r="C162" s="14" t="s">
        <v>1541</v>
      </c>
      <c r="D162" s="14" t="s">
        <v>338</v>
      </c>
      <c r="E162" s="15" t="n">
        <v>1160000</v>
      </c>
      <c r="F162" s="15" t="n">
        <v>19903.12</v>
      </c>
      <c r="G162" s="15" t="n">
        <v>2487.89</v>
      </c>
      <c r="H162" s="15" t="n">
        <v>2487.89</v>
      </c>
      <c r="I162" s="15" t="n">
        <f aca="false">SUM(K162:T162)</f>
        <v>14927.3</v>
      </c>
      <c r="J162" s="15" t="n">
        <f aca="false">F162-(G162+H162+I162)</f>
        <v>0.0400000000008731</v>
      </c>
      <c r="K162" s="15" t="n">
        <v>1492.73</v>
      </c>
      <c r="L162" s="15" t="n">
        <v>1492.73</v>
      </c>
      <c r="M162" s="15" t="n">
        <v>1492.73</v>
      </c>
      <c r="N162" s="15" t="n">
        <v>1492.73</v>
      </c>
      <c r="O162" s="15" t="n">
        <v>1492.73</v>
      </c>
      <c r="P162" s="15" t="n">
        <v>1492.73</v>
      </c>
      <c r="Q162" s="15" t="n">
        <v>1492.73</v>
      </c>
      <c r="R162" s="15" t="n">
        <v>1492.73</v>
      </c>
      <c r="S162" s="15" t="n">
        <v>1492.73</v>
      </c>
      <c r="T162" s="15" t="n">
        <v>1492.73</v>
      </c>
      <c r="U162" s="15" t="n">
        <v>350</v>
      </c>
      <c r="V162" s="15" t="n">
        <v>250</v>
      </c>
      <c r="W162" s="15" t="n">
        <f aca="false">U162+V162</f>
        <v>600</v>
      </c>
    </row>
    <row r="163" customFormat="false" ht="15" hidden="false" customHeight="false" outlineLevel="0" collapsed="false">
      <c r="A163" s="3" t="s">
        <v>1542</v>
      </c>
      <c r="B163" s="3" t="s">
        <v>1369</v>
      </c>
      <c r="C163" s="3" t="s">
        <v>547</v>
      </c>
      <c r="D163" s="3" t="s">
        <v>352</v>
      </c>
      <c r="E163" s="13" t="n">
        <v>635000</v>
      </c>
      <c r="F163" s="13" t="n">
        <v>9680.51</v>
      </c>
      <c r="G163" s="13" t="n">
        <v>1210.06</v>
      </c>
      <c r="H163" s="13" t="n">
        <v>1210.06</v>
      </c>
      <c r="I163" s="13" t="n">
        <f aca="false">SUM(K163:T163)</f>
        <v>7260.4</v>
      </c>
      <c r="J163" s="13" t="n">
        <f aca="false">F163-(G163+H163+I163)</f>
        <v>-0.0100000000002183</v>
      </c>
      <c r="K163" s="13" t="n">
        <v>726.04</v>
      </c>
      <c r="L163" s="13" t="n">
        <v>726.04</v>
      </c>
      <c r="M163" s="13" t="n">
        <v>726.04</v>
      </c>
      <c r="N163" s="13" t="n">
        <v>726.04</v>
      </c>
      <c r="O163" s="13" t="n">
        <v>726.04</v>
      </c>
      <c r="P163" s="13" t="n">
        <v>726.04</v>
      </c>
      <c r="Q163" s="13" t="n">
        <v>726.04</v>
      </c>
      <c r="R163" s="13" t="n">
        <v>726.04</v>
      </c>
      <c r="S163" s="13" t="n">
        <v>726.04</v>
      </c>
      <c r="T163" s="13" t="n">
        <v>726.04</v>
      </c>
      <c r="U163" s="13" t="n">
        <v>350</v>
      </c>
      <c r="V163" s="13" t="n">
        <v>0</v>
      </c>
      <c r="W163" s="13" t="n">
        <f aca="false">U163+V163</f>
        <v>350</v>
      </c>
    </row>
    <row r="164" customFormat="false" ht="15" hidden="false" customHeight="false" outlineLevel="0" collapsed="false">
      <c r="A164" s="14" t="s">
        <v>1543</v>
      </c>
      <c r="B164" s="14" t="s">
        <v>1373</v>
      </c>
      <c r="C164" s="14" t="s">
        <v>592</v>
      </c>
      <c r="D164" s="14" t="s">
        <v>325</v>
      </c>
      <c r="E164" s="15" t="n">
        <v>300000</v>
      </c>
      <c r="F164" s="15" t="n">
        <v>3437.1</v>
      </c>
      <c r="G164" s="15" t="n">
        <v>429.64</v>
      </c>
      <c r="H164" s="15" t="n">
        <v>429.64</v>
      </c>
      <c r="I164" s="15" t="n">
        <f aca="false">SUM(K164:T164)</f>
        <v>2577.8</v>
      </c>
      <c r="J164" s="15" t="n">
        <f aca="false">F164-(G164+H164+I164)</f>
        <v>0.0200000000008913</v>
      </c>
      <c r="K164" s="15" t="n">
        <v>257.78</v>
      </c>
      <c r="L164" s="15" t="n">
        <v>257.78</v>
      </c>
      <c r="M164" s="15" t="n">
        <v>257.78</v>
      </c>
      <c r="N164" s="15" t="n">
        <v>257.78</v>
      </c>
      <c r="O164" s="15" t="n">
        <v>257.78</v>
      </c>
      <c r="P164" s="15" t="n">
        <v>257.78</v>
      </c>
      <c r="Q164" s="15" t="n">
        <v>257.78</v>
      </c>
      <c r="R164" s="15" t="n">
        <v>257.78</v>
      </c>
      <c r="S164" s="15" t="n">
        <v>257.78</v>
      </c>
      <c r="T164" s="15" t="n">
        <v>257.78</v>
      </c>
      <c r="U164" s="15" t="n">
        <v>350</v>
      </c>
      <c r="V164" s="15" t="n">
        <v>0</v>
      </c>
      <c r="W164" s="15" t="n">
        <f aca="false">U164+V164</f>
        <v>350</v>
      </c>
    </row>
    <row r="165" customFormat="false" ht="15" hidden="false" customHeight="false" outlineLevel="0" collapsed="false">
      <c r="A165" s="3" t="s">
        <v>1544</v>
      </c>
      <c r="B165" s="3" t="s">
        <v>1315</v>
      </c>
      <c r="C165" s="3" t="s">
        <v>1545</v>
      </c>
      <c r="D165" s="3" t="s">
        <v>312</v>
      </c>
      <c r="E165" s="13" t="n">
        <v>555000</v>
      </c>
      <c r="F165" s="13" t="n">
        <v>6925.97</v>
      </c>
      <c r="G165" s="13" t="n">
        <v>865.75</v>
      </c>
      <c r="H165" s="13" t="n">
        <v>865.75</v>
      </c>
      <c r="I165" s="13" t="n">
        <f aca="false">SUM(K165:T165)</f>
        <v>5194.5</v>
      </c>
      <c r="J165" s="13" t="n">
        <f aca="false">F165-(G165+H165+I165)</f>
        <v>-0.0299999999997453</v>
      </c>
      <c r="K165" s="13" t="n">
        <v>519.45</v>
      </c>
      <c r="L165" s="13" t="n">
        <v>519.45</v>
      </c>
      <c r="M165" s="13" t="n">
        <v>519.45</v>
      </c>
      <c r="N165" s="13" t="n">
        <v>519.45</v>
      </c>
      <c r="O165" s="13" t="n">
        <v>519.45</v>
      </c>
      <c r="P165" s="13" t="n">
        <v>519.45</v>
      </c>
      <c r="Q165" s="13" t="n">
        <v>519.45</v>
      </c>
      <c r="R165" s="13" t="n">
        <v>519.45</v>
      </c>
      <c r="S165" s="13" t="n">
        <v>519.45</v>
      </c>
      <c r="T165" s="13" t="n">
        <v>519.45</v>
      </c>
      <c r="U165" s="13" t="n">
        <v>350</v>
      </c>
      <c r="V165" s="13" t="n">
        <v>0</v>
      </c>
      <c r="W165" s="13" t="n">
        <f aca="false">U165+V165</f>
        <v>350</v>
      </c>
    </row>
    <row r="166" customFormat="false" ht="15" hidden="false" customHeight="false" outlineLevel="0" collapsed="false">
      <c r="A166" s="14" t="s">
        <v>1546</v>
      </c>
      <c r="B166" s="14" t="s">
        <v>1350</v>
      </c>
      <c r="C166" s="14" t="s">
        <v>456</v>
      </c>
      <c r="D166" s="14" t="s">
        <v>102</v>
      </c>
      <c r="E166" s="15" t="n">
        <v>570000</v>
      </c>
      <c r="F166" s="15" t="n">
        <v>7369.49</v>
      </c>
      <c r="G166" s="15" t="n">
        <v>921.19</v>
      </c>
      <c r="H166" s="15" t="n">
        <v>921.19</v>
      </c>
      <c r="I166" s="15" t="n">
        <f aca="false">SUM(K166:T166)</f>
        <v>5527.1</v>
      </c>
      <c r="J166" s="15" t="n">
        <f aca="false">F166-(G166+H166+I166)</f>
        <v>0.00999999999930878</v>
      </c>
      <c r="K166" s="15" t="n">
        <v>552.71</v>
      </c>
      <c r="L166" s="15" t="n">
        <v>552.71</v>
      </c>
      <c r="M166" s="15" t="n">
        <v>552.71</v>
      </c>
      <c r="N166" s="15" t="n">
        <v>552.71</v>
      </c>
      <c r="O166" s="15" t="n">
        <v>552.71</v>
      </c>
      <c r="P166" s="15" t="n">
        <v>552.71</v>
      </c>
      <c r="Q166" s="15" t="n">
        <v>552.71</v>
      </c>
      <c r="R166" s="15" t="n">
        <v>552.71</v>
      </c>
      <c r="S166" s="15" t="n">
        <v>552.71</v>
      </c>
      <c r="T166" s="15" t="n">
        <v>552.71</v>
      </c>
      <c r="U166" s="15" t="n">
        <v>350</v>
      </c>
      <c r="V166" s="15" t="n">
        <v>0</v>
      </c>
      <c r="W166" s="15" t="n">
        <f aca="false">U166+V166</f>
        <v>350</v>
      </c>
    </row>
    <row r="167" customFormat="false" ht="15" hidden="false" customHeight="false" outlineLevel="0" collapsed="false">
      <c r="A167" s="3" t="s">
        <v>1547</v>
      </c>
      <c r="B167" s="3" t="s">
        <v>1371</v>
      </c>
      <c r="C167" s="3" t="s">
        <v>1255</v>
      </c>
      <c r="D167" s="3" t="s">
        <v>81</v>
      </c>
      <c r="E167" s="13" t="n">
        <v>580000</v>
      </c>
      <c r="F167" s="13" t="n">
        <v>12198.68</v>
      </c>
      <c r="G167" s="13" t="n">
        <v>1524.84</v>
      </c>
      <c r="H167" s="13" t="n">
        <v>1524.84</v>
      </c>
      <c r="I167" s="13" t="n">
        <f aca="false">SUM(K167:T167)</f>
        <v>9149</v>
      </c>
      <c r="J167" s="13" t="n">
        <f aca="false">F167-(G167+H167+I167)</f>
        <v>0</v>
      </c>
      <c r="K167" s="13" t="n">
        <v>914.9</v>
      </c>
      <c r="L167" s="13" t="n">
        <v>914.9</v>
      </c>
      <c r="M167" s="13" t="n">
        <v>914.9</v>
      </c>
      <c r="N167" s="13" t="n">
        <v>914.9</v>
      </c>
      <c r="O167" s="13" t="n">
        <v>914.9</v>
      </c>
      <c r="P167" s="13" t="n">
        <v>914.9</v>
      </c>
      <c r="Q167" s="13" t="n">
        <v>914.9</v>
      </c>
      <c r="R167" s="13" t="n">
        <v>914.9</v>
      </c>
      <c r="S167" s="13" t="n">
        <v>914.9</v>
      </c>
      <c r="T167" s="13" t="n">
        <v>914.9</v>
      </c>
      <c r="U167" s="13" t="n">
        <v>350</v>
      </c>
      <c r="V167" s="13" t="n">
        <v>0</v>
      </c>
      <c r="W167" s="13" t="n">
        <f aca="false">U167+V167</f>
        <v>350</v>
      </c>
    </row>
    <row r="168" customFormat="false" ht="15" hidden="false" customHeight="false" outlineLevel="0" collapsed="false">
      <c r="A168" s="14" t="s">
        <v>1548</v>
      </c>
      <c r="B168" s="14" t="s">
        <v>1371</v>
      </c>
      <c r="C168" s="14" t="s">
        <v>1549</v>
      </c>
      <c r="D168" s="14" t="s">
        <v>185</v>
      </c>
      <c r="E168" s="15" t="n">
        <v>1625000</v>
      </c>
      <c r="F168" s="15" t="n">
        <v>15613.09</v>
      </c>
      <c r="G168" s="15" t="n">
        <v>1951.64</v>
      </c>
      <c r="H168" s="15" t="n">
        <v>1951.64</v>
      </c>
      <c r="I168" s="15" t="n">
        <f aca="false">SUM(K168:T168)</f>
        <v>11709.8</v>
      </c>
      <c r="J168" s="15" t="n">
        <f aca="false">F168-(G168+H168+I168)</f>
        <v>0.0100000000002183</v>
      </c>
      <c r="K168" s="15" t="n">
        <v>1170.98</v>
      </c>
      <c r="L168" s="15" t="n">
        <v>1170.98</v>
      </c>
      <c r="M168" s="15" t="n">
        <v>1170.98</v>
      </c>
      <c r="N168" s="15" t="n">
        <v>1170.98</v>
      </c>
      <c r="O168" s="15" t="n">
        <v>1170.98</v>
      </c>
      <c r="P168" s="15" t="n">
        <v>1170.98</v>
      </c>
      <c r="Q168" s="15" t="n">
        <v>1170.98</v>
      </c>
      <c r="R168" s="15" t="n">
        <v>1170.98</v>
      </c>
      <c r="S168" s="15" t="n">
        <v>1170.98</v>
      </c>
      <c r="T168" s="15" t="n">
        <v>1170.98</v>
      </c>
      <c r="U168" s="15" t="n">
        <v>350</v>
      </c>
      <c r="V168" s="15" t="n">
        <v>250</v>
      </c>
      <c r="W168" s="15" t="n">
        <f aca="false">U168+V168</f>
        <v>600</v>
      </c>
    </row>
    <row r="169" customFormat="false" ht="15" hidden="false" customHeight="false" outlineLevel="0" collapsed="false">
      <c r="A169" s="3" t="s">
        <v>1550</v>
      </c>
      <c r="B169" s="3" t="s">
        <v>1331</v>
      </c>
      <c r="C169" s="3" t="s">
        <v>1423</v>
      </c>
      <c r="D169" s="3" t="s">
        <v>115</v>
      </c>
      <c r="E169" s="13" t="n">
        <v>485000</v>
      </c>
      <c r="F169" s="13" t="n">
        <v>8304.78</v>
      </c>
      <c r="G169" s="13" t="n">
        <v>1038.1</v>
      </c>
      <c r="H169" s="13" t="n">
        <v>1038.1</v>
      </c>
      <c r="I169" s="13" t="n">
        <f aca="false">SUM(K169:T169)</f>
        <v>6228.6</v>
      </c>
      <c r="J169" s="13" t="n">
        <f aca="false">F169-(G169+H169+I169)</f>
        <v>-0.0199999999986176</v>
      </c>
      <c r="K169" s="13" t="n">
        <v>622.86</v>
      </c>
      <c r="L169" s="13" t="n">
        <v>622.86</v>
      </c>
      <c r="M169" s="13" t="n">
        <v>622.86</v>
      </c>
      <c r="N169" s="13" t="n">
        <v>622.86</v>
      </c>
      <c r="O169" s="13" t="n">
        <v>622.86</v>
      </c>
      <c r="P169" s="13" t="n">
        <v>622.86</v>
      </c>
      <c r="Q169" s="13" t="n">
        <v>622.86</v>
      </c>
      <c r="R169" s="13" t="n">
        <v>622.86</v>
      </c>
      <c r="S169" s="13" t="n">
        <v>622.86</v>
      </c>
      <c r="T169" s="13" t="n">
        <v>622.86</v>
      </c>
      <c r="U169" s="13" t="n">
        <v>350</v>
      </c>
      <c r="V169" s="13" t="n">
        <v>0</v>
      </c>
      <c r="W169" s="13" t="n">
        <f aca="false">U169+V169</f>
        <v>350</v>
      </c>
    </row>
    <row r="170" customFormat="false" ht="15" hidden="false" customHeight="false" outlineLevel="0" collapsed="false">
      <c r="A170" s="14" t="s">
        <v>1551</v>
      </c>
      <c r="B170" s="14" t="s">
        <v>1340</v>
      </c>
      <c r="C170" s="14" t="s">
        <v>516</v>
      </c>
      <c r="D170" s="14" t="s">
        <v>377</v>
      </c>
      <c r="E170" s="15" t="n">
        <v>1505000</v>
      </c>
      <c r="F170" s="15" t="n">
        <v>27905.04</v>
      </c>
      <c r="G170" s="15" t="n">
        <v>3488.13</v>
      </c>
      <c r="H170" s="15" t="n">
        <v>3488.13</v>
      </c>
      <c r="I170" s="15" t="n">
        <f aca="false">SUM(K170:T170)</f>
        <v>20928.8</v>
      </c>
      <c r="J170" s="15" t="n">
        <f aca="false">F170-(G170+H170+I170)</f>
        <v>-0.0200000000040745</v>
      </c>
      <c r="K170" s="15" t="n">
        <v>2092.88</v>
      </c>
      <c r="L170" s="15" t="n">
        <v>2092.88</v>
      </c>
      <c r="M170" s="15" t="n">
        <v>2092.88</v>
      </c>
      <c r="N170" s="15" t="n">
        <v>2092.88</v>
      </c>
      <c r="O170" s="15" t="n">
        <v>2092.88</v>
      </c>
      <c r="P170" s="15" t="n">
        <v>2092.88</v>
      </c>
      <c r="Q170" s="15" t="n">
        <v>2092.88</v>
      </c>
      <c r="R170" s="15" t="n">
        <v>2092.88</v>
      </c>
      <c r="S170" s="15" t="n">
        <v>2092.88</v>
      </c>
      <c r="T170" s="15" t="n">
        <v>2092.88</v>
      </c>
      <c r="U170" s="15" t="n">
        <v>350</v>
      </c>
      <c r="V170" s="15" t="n">
        <v>250</v>
      </c>
      <c r="W170" s="15" t="n">
        <f aca="false">U170+V170</f>
        <v>600</v>
      </c>
    </row>
    <row r="171" customFormat="false" ht="15" hidden="false" customHeight="false" outlineLevel="0" collapsed="false">
      <c r="A171" s="3" t="s">
        <v>1552</v>
      </c>
      <c r="B171" s="3" t="s">
        <v>1371</v>
      </c>
      <c r="C171" s="3" t="s">
        <v>152</v>
      </c>
      <c r="D171" s="3" t="s">
        <v>230</v>
      </c>
      <c r="E171" s="13" t="n">
        <v>650000</v>
      </c>
      <c r="F171" s="13" t="n">
        <v>5752.82</v>
      </c>
      <c r="G171" s="13" t="n">
        <v>719.1</v>
      </c>
      <c r="H171" s="13" t="n">
        <v>719.1</v>
      </c>
      <c r="I171" s="13" t="n">
        <f aca="false">SUM(K171:T171)</f>
        <v>4314.6</v>
      </c>
      <c r="J171" s="13" t="n">
        <f aca="false">F171-(G171+H171+I171)</f>
        <v>0.0200000000004366</v>
      </c>
      <c r="K171" s="13" t="n">
        <v>431.46</v>
      </c>
      <c r="L171" s="13" t="n">
        <v>431.46</v>
      </c>
      <c r="M171" s="13" t="n">
        <v>431.46</v>
      </c>
      <c r="N171" s="13" t="n">
        <v>431.46</v>
      </c>
      <c r="O171" s="13" t="n">
        <v>431.46</v>
      </c>
      <c r="P171" s="13" t="n">
        <v>431.46</v>
      </c>
      <c r="Q171" s="13" t="n">
        <v>431.46</v>
      </c>
      <c r="R171" s="13" t="n">
        <v>431.46</v>
      </c>
      <c r="S171" s="13" t="n">
        <v>431.46</v>
      </c>
      <c r="T171" s="13" t="n">
        <v>431.46</v>
      </c>
      <c r="U171" s="13" t="n">
        <v>350</v>
      </c>
      <c r="V171" s="13" t="n">
        <v>0</v>
      </c>
      <c r="W171" s="13" t="n">
        <f aca="false">U171+V171</f>
        <v>350</v>
      </c>
    </row>
    <row r="172" customFormat="false" ht="15" hidden="false" customHeight="false" outlineLevel="0" collapsed="false">
      <c r="A172" s="14" t="s">
        <v>1553</v>
      </c>
      <c r="B172" s="14" t="s">
        <v>1363</v>
      </c>
      <c r="C172" s="14" t="s">
        <v>1468</v>
      </c>
      <c r="D172" s="14" t="s">
        <v>172</v>
      </c>
      <c r="E172" s="15" t="n">
        <v>290000</v>
      </c>
      <c r="F172" s="15" t="n">
        <v>5999.02</v>
      </c>
      <c r="G172" s="15" t="n">
        <v>749.88</v>
      </c>
      <c r="H172" s="15" t="n">
        <v>749.88</v>
      </c>
      <c r="I172" s="15" t="n">
        <f aca="false">SUM(K172:T172)</f>
        <v>4499.3</v>
      </c>
      <c r="J172" s="15" t="n">
        <f aca="false">F172-(G172+H172+I172)</f>
        <v>-0.0399999999999636</v>
      </c>
      <c r="K172" s="15" t="n">
        <v>449.93</v>
      </c>
      <c r="L172" s="15" t="n">
        <v>449.93</v>
      </c>
      <c r="M172" s="15" t="n">
        <v>449.93</v>
      </c>
      <c r="N172" s="15" t="n">
        <v>449.93</v>
      </c>
      <c r="O172" s="15" t="n">
        <v>449.93</v>
      </c>
      <c r="P172" s="15" t="n">
        <v>449.93</v>
      </c>
      <c r="Q172" s="15" t="n">
        <v>449.93</v>
      </c>
      <c r="R172" s="15" t="n">
        <v>449.93</v>
      </c>
      <c r="S172" s="15" t="n">
        <v>449.93</v>
      </c>
      <c r="T172" s="15" t="n">
        <v>449.93</v>
      </c>
      <c r="U172" s="15" t="n">
        <v>350</v>
      </c>
      <c r="V172" s="15" t="n">
        <v>0</v>
      </c>
      <c r="W172" s="15" t="n">
        <f aca="false">U172+V172</f>
        <v>350</v>
      </c>
    </row>
    <row r="173" customFormat="false" ht="15" hidden="false" customHeight="false" outlineLevel="0" collapsed="false">
      <c r="A173" s="3" t="s">
        <v>1554</v>
      </c>
      <c r="B173" s="3" t="s">
        <v>1373</v>
      </c>
      <c r="C173" s="3" t="s">
        <v>1555</v>
      </c>
      <c r="D173" s="3" t="s">
        <v>81</v>
      </c>
      <c r="E173" s="13" t="n">
        <v>410000</v>
      </c>
      <c r="F173" s="13" t="n">
        <v>6807.8</v>
      </c>
      <c r="G173" s="13" t="n">
        <v>850.98</v>
      </c>
      <c r="H173" s="13" t="n">
        <v>850.98</v>
      </c>
      <c r="I173" s="13" t="n">
        <f aca="false">SUM(K173:T173)</f>
        <v>5105.8</v>
      </c>
      <c r="J173" s="13" t="n">
        <f aca="false">F173-(G173+H173+I173)</f>
        <v>0.0399999999999636</v>
      </c>
      <c r="K173" s="13" t="n">
        <v>510.58</v>
      </c>
      <c r="L173" s="13" t="n">
        <v>510.58</v>
      </c>
      <c r="M173" s="13" t="n">
        <v>510.58</v>
      </c>
      <c r="N173" s="13" t="n">
        <v>510.58</v>
      </c>
      <c r="O173" s="13" t="n">
        <v>510.58</v>
      </c>
      <c r="P173" s="13" t="n">
        <v>510.58</v>
      </c>
      <c r="Q173" s="13" t="n">
        <v>510.58</v>
      </c>
      <c r="R173" s="13" t="n">
        <v>510.58</v>
      </c>
      <c r="S173" s="13" t="n">
        <v>510.58</v>
      </c>
      <c r="T173" s="13" t="n">
        <v>510.58</v>
      </c>
      <c r="U173" s="13" t="n">
        <v>350</v>
      </c>
      <c r="V173" s="13" t="n">
        <v>0</v>
      </c>
      <c r="W173" s="13" t="n">
        <f aca="false">U173+V173</f>
        <v>350</v>
      </c>
    </row>
    <row r="174" customFormat="false" ht="15" hidden="false" customHeight="false" outlineLevel="0" collapsed="false">
      <c r="A174" s="14" t="s">
        <v>1556</v>
      </c>
      <c r="B174" s="14" t="s">
        <v>1369</v>
      </c>
      <c r="C174" s="14" t="s">
        <v>1195</v>
      </c>
      <c r="D174" s="14" t="s">
        <v>153</v>
      </c>
      <c r="E174" s="15" t="n">
        <v>785000</v>
      </c>
      <c r="F174" s="15" t="n">
        <v>13679.37</v>
      </c>
      <c r="G174" s="15" t="n">
        <v>1709.92</v>
      </c>
      <c r="H174" s="15" t="n">
        <v>1709.92</v>
      </c>
      <c r="I174" s="15" t="n">
        <f aca="false">SUM(K174:T174)</f>
        <v>10259.5</v>
      </c>
      <c r="J174" s="15" t="n">
        <f aca="false">F174-(G174+H174+I174)</f>
        <v>0.0299999999988358</v>
      </c>
      <c r="K174" s="15" t="n">
        <v>1025.95</v>
      </c>
      <c r="L174" s="15" t="n">
        <v>1025.95</v>
      </c>
      <c r="M174" s="15" t="n">
        <v>1025.95</v>
      </c>
      <c r="N174" s="15" t="n">
        <v>1025.95</v>
      </c>
      <c r="O174" s="15" t="n">
        <v>1025.95</v>
      </c>
      <c r="P174" s="15" t="n">
        <v>1025.95</v>
      </c>
      <c r="Q174" s="15" t="n">
        <v>1025.95</v>
      </c>
      <c r="R174" s="15" t="n">
        <v>1025.95</v>
      </c>
      <c r="S174" s="15" t="n">
        <v>1025.95</v>
      </c>
      <c r="T174" s="15" t="n">
        <v>1025.95</v>
      </c>
      <c r="U174" s="15" t="n">
        <v>350</v>
      </c>
      <c r="V174" s="15" t="n">
        <v>0</v>
      </c>
      <c r="W174" s="15" t="n">
        <f aca="false">U174+V174</f>
        <v>350</v>
      </c>
    </row>
    <row r="175" customFormat="false" ht="15" hidden="false" customHeight="false" outlineLevel="0" collapsed="false">
      <c r="A175" s="3" t="s">
        <v>1557</v>
      </c>
      <c r="B175" s="3" t="s">
        <v>1447</v>
      </c>
      <c r="C175" s="3" t="s">
        <v>562</v>
      </c>
      <c r="D175" s="3" t="s">
        <v>157</v>
      </c>
      <c r="E175" s="13" t="n">
        <v>440000</v>
      </c>
      <c r="F175" s="13" t="n">
        <v>8105.01</v>
      </c>
      <c r="G175" s="13" t="n">
        <v>1013.13</v>
      </c>
      <c r="H175" s="13" t="n">
        <v>1013.13</v>
      </c>
      <c r="I175" s="13" t="n">
        <f aca="false">SUM(K175:T175)</f>
        <v>6078.8</v>
      </c>
      <c r="J175" s="13" t="n">
        <f aca="false">F175-(G175+H175+I175)</f>
        <v>-0.0500000000001819</v>
      </c>
      <c r="K175" s="13" t="n">
        <v>607.88</v>
      </c>
      <c r="L175" s="13" t="n">
        <v>607.88</v>
      </c>
      <c r="M175" s="13" t="n">
        <v>607.88</v>
      </c>
      <c r="N175" s="13" t="n">
        <v>607.88</v>
      </c>
      <c r="O175" s="13" t="n">
        <v>607.88</v>
      </c>
      <c r="P175" s="13" t="n">
        <v>607.88</v>
      </c>
      <c r="Q175" s="13" t="n">
        <v>607.88</v>
      </c>
      <c r="R175" s="13" t="n">
        <v>607.88</v>
      </c>
      <c r="S175" s="13" t="n">
        <v>607.88</v>
      </c>
      <c r="T175" s="13" t="n">
        <v>607.88</v>
      </c>
      <c r="U175" s="13" t="n">
        <v>350</v>
      </c>
      <c r="V175" s="13" t="n">
        <v>0</v>
      </c>
      <c r="W175" s="13" t="n">
        <f aca="false">U175+V175</f>
        <v>350</v>
      </c>
    </row>
    <row r="176" customFormat="false" ht="15" hidden="false" customHeight="false" outlineLevel="0" collapsed="false">
      <c r="A176" s="14" t="s">
        <v>1558</v>
      </c>
      <c r="B176" s="14" t="s">
        <v>1340</v>
      </c>
      <c r="C176" s="14" t="s">
        <v>423</v>
      </c>
      <c r="D176" s="14" t="s">
        <v>93</v>
      </c>
      <c r="E176" s="15" t="n">
        <v>415000</v>
      </c>
      <c r="F176" s="15" t="n">
        <v>4410.12</v>
      </c>
      <c r="G176" s="15" t="n">
        <v>551.26</v>
      </c>
      <c r="H176" s="15" t="n">
        <v>551.26</v>
      </c>
      <c r="I176" s="15" t="n">
        <f aca="false">SUM(K176:T176)</f>
        <v>3307.6</v>
      </c>
      <c r="J176" s="15" t="n">
        <f aca="false">F176-(G176+H176+I176)</f>
        <v>0</v>
      </c>
      <c r="K176" s="15" t="n">
        <v>330.76</v>
      </c>
      <c r="L176" s="15" t="n">
        <v>330.76</v>
      </c>
      <c r="M176" s="15" t="n">
        <v>330.76</v>
      </c>
      <c r="N176" s="15" t="n">
        <v>330.76</v>
      </c>
      <c r="O176" s="15" t="n">
        <v>330.76</v>
      </c>
      <c r="P176" s="15" t="n">
        <v>330.76</v>
      </c>
      <c r="Q176" s="15" t="n">
        <v>330.76</v>
      </c>
      <c r="R176" s="15" t="n">
        <v>330.76</v>
      </c>
      <c r="S176" s="15" t="n">
        <v>330.76</v>
      </c>
      <c r="T176" s="15" t="n">
        <v>330.76</v>
      </c>
      <c r="U176" s="15" t="n">
        <v>350</v>
      </c>
      <c r="V176" s="15" t="n">
        <v>0</v>
      </c>
      <c r="W176" s="15" t="n">
        <f aca="false">U176+V176</f>
        <v>350</v>
      </c>
    </row>
    <row r="177" customFormat="false" ht="15" hidden="false" customHeight="false" outlineLevel="0" collapsed="false">
      <c r="A177" s="3" t="s">
        <v>1559</v>
      </c>
      <c r="B177" s="3" t="s">
        <v>1315</v>
      </c>
      <c r="C177" s="3" t="s">
        <v>398</v>
      </c>
      <c r="D177" s="3" t="s">
        <v>448</v>
      </c>
      <c r="E177" s="13" t="n">
        <v>1950000</v>
      </c>
      <c r="F177" s="13" t="n">
        <v>13585.49</v>
      </c>
      <c r="G177" s="13" t="n">
        <v>1698.19</v>
      </c>
      <c r="H177" s="13" t="n">
        <v>1698.19</v>
      </c>
      <c r="I177" s="13" t="n">
        <f aca="false">SUM(K177:T177)</f>
        <v>10189.1</v>
      </c>
      <c r="J177" s="13" t="n">
        <f aca="false">F177-(G177+H177+I177)</f>
        <v>0.0100000000002183</v>
      </c>
      <c r="K177" s="13" t="n">
        <v>1018.91</v>
      </c>
      <c r="L177" s="13" t="n">
        <v>1018.91</v>
      </c>
      <c r="M177" s="13" t="n">
        <v>1018.91</v>
      </c>
      <c r="N177" s="13" t="n">
        <v>1018.91</v>
      </c>
      <c r="O177" s="13" t="n">
        <v>1018.91</v>
      </c>
      <c r="P177" s="13" t="n">
        <v>1018.91</v>
      </c>
      <c r="Q177" s="13" t="n">
        <v>1018.91</v>
      </c>
      <c r="R177" s="13" t="n">
        <v>1018.91</v>
      </c>
      <c r="S177" s="13" t="n">
        <v>1018.91</v>
      </c>
      <c r="T177" s="13" t="n">
        <v>1018.91</v>
      </c>
      <c r="U177" s="13" t="n">
        <v>350</v>
      </c>
      <c r="V177" s="13" t="n">
        <v>250</v>
      </c>
      <c r="W177" s="13" t="n">
        <f aca="false">U177+V177</f>
        <v>600</v>
      </c>
    </row>
    <row r="178" customFormat="false" ht="15" hidden="false" customHeight="false" outlineLevel="0" collapsed="false">
      <c r="A178" s="14" t="s">
        <v>1560</v>
      </c>
      <c r="B178" s="14" t="s">
        <v>1324</v>
      </c>
      <c r="C178" s="14" t="s">
        <v>1561</v>
      </c>
      <c r="D178" s="14" t="s">
        <v>153</v>
      </c>
      <c r="E178" s="15" t="n">
        <v>500000</v>
      </c>
      <c r="F178" s="15" t="n">
        <v>5763.97</v>
      </c>
      <c r="G178" s="15" t="n">
        <v>720.5</v>
      </c>
      <c r="H178" s="15" t="n">
        <v>720.5</v>
      </c>
      <c r="I178" s="15" t="n">
        <f aca="false">SUM(K178:T178)</f>
        <v>4323</v>
      </c>
      <c r="J178" s="15" t="n">
        <f aca="false">F178-(G178+H178+I178)</f>
        <v>-0.0299999999997453</v>
      </c>
      <c r="K178" s="15" t="n">
        <v>432.3</v>
      </c>
      <c r="L178" s="15" t="n">
        <v>432.3</v>
      </c>
      <c r="M178" s="15" t="n">
        <v>432.3</v>
      </c>
      <c r="N178" s="15" t="n">
        <v>432.3</v>
      </c>
      <c r="O178" s="15" t="n">
        <v>432.3</v>
      </c>
      <c r="P178" s="15" t="n">
        <v>432.3</v>
      </c>
      <c r="Q178" s="15" t="n">
        <v>432.3</v>
      </c>
      <c r="R178" s="15" t="n">
        <v>432.3</v>
      </c>
      <c r="S178" s="15" t="n">
        <v>432.3</v>
      </c>
      <c r="T178" s="15" t="n">
        <v>432.3</v>
      </c>
      <c r="U178" s="15" t="n">
        <v>350</v>
      </c>
      <c r="V178" s="15" t="n">
        <v>0</v>
      </c>
      <c r="W178" s="15" t="n">
        <f aca="false">U178+V178</f>
        <v>350</v>
      </c>
    </row>
    <row r="179" customFormat="false" ht="15" hidden="false" customHeight="false" outlineLevel="0" collapsed="false">
      <c r="A179" s="3" t="s">
        <v>1562</v>
      </c>
      <c r="B179" s="3" t="s">
        <v>1324</v>
      </c>
      <c r="C179" s="3" t="s">
        <v>1012</v>
      </c>
      <c r="D179" s="3" t="s">
        <v>189</v>
      </c>
      <c r="E179" s="13" t="n">
        <v>650000</v>
      </c>
      <c r="F179" s="13" t="n">
        <v>5317.72</v>
      </c>
      <c r="G179" s="13" t="n">
        <v>664.72</v>
      </c>
      <c r="H179" s="13" t="n">
        <v>664.72</v>
      </c>
      <c r="I179" s="13" t="n">
        <f aca="false">SUM(K179:T179)</f>
        <v>3988.3</v>
      </c>
      <c r="J179" s="13" t="n">
        <f aca="false">F179-(G179+H179+I179)</f>
        <v>-0.0199999999995271</v>
      </c>
      <c r="K179" s="13" t="n">
        <v>398.83</v>
      </c>
      <c r="L179" s="13" t="n">
        <v>398.83</v>
      </c>
      <c r="M179" s="13" t="n">
        <v>398.83</v>
      </c>
      <c r="N179" s="13" t="n">
        <v>398.83</v>
      </c>
      <c r="O179" s="13" t="n">
        <v>398.83</v>
      </c>
      <c r="P179" s="13" t="n">
        <v>398.83</v>
      </c>
      <c r="Q179" s="13" t="n">
        <v>398.83</v>
      </c>
      <c r="R179" s="13" t="n">
        <v>398.83</v>
      </c>
      <c r="S179" s="13" t="n">
        <v>398.83</v>
      </c>
      <c r="T179" s="13" t="n">
        <v>398.83</v>
      </c>
      <c r="U179" s="13" t="n">
        <v>350</v>
      </c>
      <c r="V179" s="13" t="n">
        <v>0</v>
      </c>
      <c r="W179" s="13" t="n">
        <f aca="false">U179+V179</f>
        <v>350</v>
      </c>
    </row>
    <row r="180" customFormat="false" ht="15" hidden="false" customHeight="false" outlineLevel="0" collapsed="false">
      <c r="A180" s="14" t="s">
        <v>1563</v>
      </c>
      <c r="B180" s="14" t="s">
        <v>1333</v>
      </c>
      <c r="C180" s="14" t="s">
        <v>184</v>
      </c>
      <c r="D180" s="14" t="s">
        <v>138</v>
      </c>
      <c r="E180" s="15" t="n">
        <v>915000</v>
      </c>
      <c r="F180" s="15" t="n">
        <v>11829.97</v>
      </c>
      <c r="G180" s="15" t="n">
        <v>1478.75</v>
      </c>
      <c r="H180" s="15" t="n">
        <v>1478.75</v>
      </c>
      <c r="I180" s="15" t="n">
        <f aca="false">SUM(K180:T180)</f>
        <v>8872.5</v>
      </c>
      <c r="J180" s="15" t="n">
        <f aca="false">F180-(G180+H180+I180)</f>
        <v>-0.0300000000006548</v>
      </c>
      <c r="K180" s="15" t="n">
        <v>887.25</v>
      </c>
      <c r="L180" s="15" t="n">
        <v>887.25</v>
      </c>
      <c r="M180" s="15" t="n">
        <v>887.25</v>
      </c>
      <c r="N180" s="15" t="n">
        <v>887.25</v>
      </c>
      <c r="O180" s="15" t="n">
        <v>887.25</v>
      </c>
      <c r="P180" s="15" t="n">
        <v>887.25</v>
      </c>
      <c r="Q180" s="15" t="n">
        <v>887.25</v>
      </c>
      <c r="R180" s="15" t="n">
        <v>887.25</v>
      </c>
      <c r="S180" s="15" t="n">
        <v>887.25</v>
      </c>
      <c r="T180" s="15" t="n">
        <v>887.25</v>
      </c>
      <c r="U180" s="15" t="n">
        <v>350</v>
      </c>
      <c r="V180" s="15" t="n">
        <v>0</v>
      </c>
      <c r="W180" s="15" t="n">
        <f aca="false">U180+V180</f>
        <v>350</v>
      </c>
    </row>
    <row r="181" customFormat="false" ht="15" hidden="false" customHeight="false" outlineLevel="0" collapsed="false">
      <c r="A181" s="3" t="s">
        <v>1564</v>
      </c>
      <c r="B181" s="3" t="s">
        <v>1333</v>
      </c>
      <c r="C181" s="3" t="s">
        <v>1168</v>
      </c>
      <c r="D181" s="3" t="s">
        <v>89</v>
      </c>
      <c r="E181" s="13" t="n">
        <v>1170000</v>
      </c>
      <c r="F181" s="13" t="n">
        <v>15025.67</v>
      </c>
      <c r="G181" s="13" t="n">
        <v>1878.21</v>
      </c>
      <c r="H181" s="13" t="n">
        <v>1878.21</v>
      </c>
      <c r="I181" s="13" t="n">
        <f aca="false">SUM(K181:T181)</f>
        <v>11269.3</v>
      </c>
      <c r="J181" s="13" t="n">
        <f aca="false">F181-(G181+H181+I181)</f>
        <v>-0.0500000000010914</v>
      </c>
      <c r="K181" s="13" t="n">
        <v>1126.93</v>
      </c>
      <c r="L181" s="13" t="n">
        <v>1126.93</v>
      </c>
      <c r="M181" s="13" t="n">
        <v>1126.93</v>
      </c>
      <c r="N181" s="13" t="n">
        <v>1126.93</v>
      </c>
      <c r="O181" s="13" t="n">
        <v>1126.93</v>
      </c>
      <c r="P181" s="13" t="n">
        <v>1126.93</v>
      </c>
      <c r="Q181" s="13" t="n">
        <v>1126.93</v>
      </c>
      <c r="R181" s="13" t="n">
        <v>1126.93</v>
      </c>
      <c r="S181" s="13" t="n">
        <v>1126.93</v>
      </c>
      <c r="T181" s="13" t="n">
        <v>1126.93</v>
      </c>
      <c r="U181" s="13" t="n">
        <v>350</v>
      </c>
      <c r="V181" s="13" t="n">
        <v>250</v>
      </c>
      <c r="W181" s="13" t="n">
        <f aca="false">U181+V181</f>
        <v>600</v>
      </c>
    </row>
    <row r="182" customFormat="false" ht="15" hidden="false" customHeight="false" outlineLevel="0" collapsed="false">
      <c r="A182" s="14" t="s">
        <v>1565</v>
      </c>
      <c r="B182" s="14" t="s">
        <v>1363</v>
      </c>
      <c r="C182" s="14" t="s">
        <v>1566</v>
      </c>
      <c r="D182" s="14" t="s">
        <v>230</v>
      </c>
      <c r="E182" s="15" t="n">
        <v>745000</v>
      </c>
      <c r="F182" s="15" t="n">
        <v>14567.27</v>
      </c>
      <c r="G182" s="15" t="n">
        <v>1820.91</v>
      </c>
      <c r="H182" s="15" t="n">
        <v>1820.91</v>
      </c>
      <c r="I182" s="15" t="n">
        <f aca="false">SUM(K182:T182)</f>
        <v>10925.5</v>
      </c>
      <c r="J182" s="15" t="n">
        <f aca="false">F182-(G182+H182+I182)</f>
        <v>-0.0499999999974534</v>
      </c>
      <c r="K182" s="15" t="n">
        <v>1092.55</v>
      </c>
      <c r="L182" s="15" t="n">
        <v>1092.55</v>
      </c>
      <c r="M182" s="15" t="n">
        <v>1092.55</v>
      </c>
      <c r="N182" s="15" t="n">
        <v>1092.55</v>
      </c>
      <c r="O182" s="15" t="n">
        <v>1092.55</v>
      </c>
      <c r="P182" s="15" t="n">
        <v>1092.55</v>
      </c>
      <c r="Q182" s="15" t="n">
        <v>1092.55</v>
      </c>
      <c r="R182" s="15" t="n">
        <v>1092.55</v>
      </c>
      <c r="S182" s="15" t="n">
        <v>1092.55</v>
      </c>
      <c r="T182" s="15" t="n">
        <v>1092.55</v>
      </c>
      <c r="U182" s="15" t="n">
        <v>350</v>
      </c>
      <c r="V182" s="15" t="n">
        <v>0</v>
      </c>
      <c r="W182" s="15" t="n">
        <f aca="false">U182+V182</f>
        <v>350</v>
      </c>
    </row>
    <row r="183" customFormat="false" ht="15" hidden="false" customHeight="false" outlineLevel="0" collapsed="false">
      <c r="A183" s="3" t="s">
        <v>1567</v>
      </c>
      <c r="B183" s="3" t="s">
        <v>1335</v>
      </c>
      <c r="C183" s="3" t="s">
        <v>554</v>
      </c>
      <c r="D183" s="3" t="s">
        <v>298</v>
      </c>
      <c r="E183" s="13" t="n">
        <v>400000</v>
      </c>
      <c r="F183" s="13" t="n">
        <v>6537.98</v>
      </c>
      <c r="G183" s="13" t="n">
        <v>817.25</v>
      </c>
      <c r="H183" s="13" t="n">
        <v>817.25</v>
      </c>
      <c r="I183" s="13" t="n">
        <f aca="false">SUM(K183:T183)</f>
        <v>4903.5</v>
      </c>
      <c r="J183" s="13" t="n">
        <f aca="false">F183-(G183+H183+I183)</f>
        <v>-0.0200000000013461</v>
      </c>
      <c r="K183" s="13" t="n">
        <v>490.35</v>
      </c>
      <c r="L183" s="13" t="n">
        <v>490.35</v>
      </c>
      <c r="M183" s="13" t="n">
        <v>490.35</v>
      </c>
      <c r="N183" s="13" t="n">
        <v>490.35</v>
      </c>
      <c r="O183" s="13" t="n">
        <v>490.35</v>
      </c>
      <c r="P183" s="13" t="n">
        <v>490.35</v>
      </c>
      <c r="Q183" s="13" t="n">
        <v>490.35</v>
      </c>
      <c r="R183" s="13" t="n">
        <v>490.35</v>
      </c>
      <c r="S183" s="13" t="n">
        <v>490.35</v>
      </c>
      <c r="T183" s="13" t="n">
        <v>490.35</v>
      </c>
      <c r="U183" s="13" t="n">
        <v>350</v>
      </c>
      <c r="V183" s="13" t="n">
        <v>0</v>
      </c>
      <c r="W183" s="13" t="n">
        <f aca="false">U183+V183</f>
        <v>350</v>
      </c>
    </row>
    <row r="184" customFormat="false" ht="15" hidden="false" customHeight="false" outlineLevel="0" collapsed="false">
      <c r="A184" s="14" t="s">
        <v>1568</v>
      </c>
      <c r="B184" s="14" t="s">
        <v>1317</v>
      </c>
      <c r="C184" s="14" t="s">
        <v>702</v>
      </c>
      <c r="D184" s="14" t="s">
        <v>406</v>
      </c>
      <c r="E184" s="15" t="n">
        <v>955000</v>
      </c>
      <c r="F184" s="15" t="n">
        <v>9985.07</v>
      </c>
      <c r="G184" s="15" t="n">
        <v>1248.13</v>
      </c>
      <c r="H184" s="15" t="n">
        <v>1248.13</v>
      </c>
      <c r="I184" s="15" t="n">
        <f aca="false">SUM(K184:T184)</f>
        <v>7488.8</v>
      </c>
      <c r="J184" s="15" t="n">
        <f aca="false">F184-(G184+H184+I184)</f>
        <v>0.00999999999839929</v>
      </c>
      <c r="K184" s="15" t="n">
        <v>748.88</v>
      </c>
      <c r="L184" s="15" t="n">
        <v>748.88</v>
      </c>
      <c r="M184" s="15" t="n">
        <v>748.88</v>
      </c>
      <c r="N184" s="15" t="n">
        <v>748.88</v>
      </c>
      <c r="O184" s="15" t="n">
        <v>748.88</v>
      </c>
      <c r="P184" s="15" t="n">
        <v>748.88</v>
      </c>
      <c r="Q184" s="15" t="n">
        <v>748.88</v>
      </c>
      <c r="R184" s="15" t="n">
        <v>748.88</v>
      </c>
      <c r="S184" s="15" t="n">
        <v>748.88</v>
      </c>
      <c r="T184" s="15" t="n">
        <v>748.88</v>
      </c>
      <c r="U184" s="15" t="n">
        <v>350</v>
      </c>
      <c r="V184" s="15" t="n">
        <v>0</v>
      </c>
      <c r="W184" s="15" t="n">
        <f aca="false">U184+V184</f>
        <v>350</v>
      </c>
    </row>
    <row r="185" customFormat="false" ht="15" hidden="false" customHeight="false" outlineLevel="0" collapsed="false">
      <c r="A185" s="3" t="s">
        <v>1569</v>
      </c>
      <c r="B185" s="3" t="s">
        <v>1447</v>
      </c>
      <c r="C185" s="3" t="s">
        <v>900</v>
      </c>
      <c r="D185" s="3" t="s">
        <v>406</v>
      </c>
      <c r="E185" s="13" t="n">
        <v>610000</v>
      </c>
      <c r="F185" s="13" t="n">
        <v>9321.54</v>
      </c>
      <c r="G185" s="13" t="n">
        <v>1165.19</v>
      </c>
      <c r="H185" s="13" t="n">
        <v>1165.19</v>
      </c>
      <c r="I185" s="13" t="n">
        <f aca="false">SUM(K185:T185)</f>
        <v>6991.2</v>
      </c>
      <c r="J185" s="13" t="n">
        <f aca="false">F185-(G185+H185+I185)</f>
        <v>-0.0399999999990541</v>
      </c>
      <c r="K185" s="13" t="n">
        <v>699.12</v>
      </c>
      <c r="L185" s="13" t="n">
        <v>699.12</v>
      </c>
      <c r="M185" s="13" t="n">
        <v>699.12</v>
      </c>
      <c r="N185" s="13" t="n">
        <v>699.12</v>
      </c>
      <c r="O185" s="13" t="n">
        <v>699.12</v>
      </c>
      <c r="P185" s="13" t="n">
        <v>699.12</v>
      </c>
      <c r="Q185" s="13" t="n">
        <v>699.12</v>
      </c>
      <c r="R185" s="13" t="n">
        <v>699.12</v>
      </c>
      <c r="S185" s="13" t="n">
        <v>699.12</v>
      </c>
      <c r="T185" s="13" t="n">
        <v>699.12</v>
      </c>
      <c r="U185" s="13" t="n">
        <v>350</v>
      </c>
      <c r="V185" s="13" t="n">
        <v>0</v>
      </c>
      <c r="W185" s="13" t="n">
        <f aca="false">U185+V185</f>
        <v>350</v>
      </c>
    </row>
    <row r="186" customFormat="false" ht="15" hidden="false" customHeight="false" outlineLevel="0" collapsed="false">
      <c r="A186" s="14" t="s">
        <v>1570</v>
      </c>
      <c r="B186" s="14" t="s">
        <v>1447</v>
      </c>
      <c r="C186" s="14" t="s">
        <v>1571</v>
      </c>
      <c r="D186" s="14" t="s">
        <v>93</v>
      </c>
      <c r="E186" s="15" t="n">
        <v>675000</v>
      </c>
      <c r="F186" s="15" t="n">
        <v>9713.56</v>
      </c>
      <c r="G186" s="15" t="n">
        <v>1214.19</v>
      </c>
      <c r="H186" s="15" t="n">
        <v>1214.19</v>
      </c>
      <c r="I186" s="15" t="n">
        <f aca="false">SUM(K186:T186)</f>
        <v>7285.2</v>
      </c>
      <c r="J186" s="15" t="n">
        <f aca="false">F186-(G186+H186+I186)</f>
        <v>-0.0200000000022555</v>
      </c>
      <c r="K186" s="15" t="n">
        <v>728.52</v>
      </c>
      <c r="L186" s="15" t="n">
        <v>728.52</v>
      </c>
      <c r="M186" s="15" t="n">
        <v>728.52</v>
      </c>
      <c r="N186" s="15" t="n">
        <v>728.52</v>
      </c>
      <c r="O186" s="15" t="n">
        <v>728.52</v>
      </c>
      <c r="P186" s="15" t="n">
        <v>728.52</v>
      </c>
      <c r="Q186" s="15" t="n">
        <v>728.52</v>
      </c>
      <c r="R186" s="15" t="n">
        <v>728.52</v>
      </c>
      <c r="S186" s="15" t="n">
        <v>728.52</v>
      </c>
      <c r="T186" s="15" t="n">
        <v>728.52</v>
      </c>
      <c r="U186" s="15" t="n">
        <v>350</v>
      </c>
      <c r="V186" s="15" t="n">
        <v>0</v>
      </c>
      <c r="W186" s="15" t="n">
        <f aca="false">U186+V186</f>
        <v>350</v>
      </c>
    </row>
    <row r="187" customFormat="false" ht="15" hidden="false" customHeight="false" outlineLevel="0" collapsed="false">
      <c r="A187" s="3" t="s">
        <v>1572</v>
      </c>
      <c r="B187" s="3" t="s">
        <v>1369</v>
      </c>
      <c r="C187" s="3" t="s">
        <v>692</v>
      </c>
      <c r="D187" s="3" t="s">
        <v>166</v>
      </c>
      <c r="E187" s="13" t="n">
        <v>445000</v>
      </c>
      <c r="F187" s="13" t="n">
        <v>7793.03</v>
      </c>
      <c r="G187" s="13" t="n">
        <v>974.13</v>
      </c>
      <c r="H187" s="13" t="n">
        <v>974.13</v>
      </c>
      <c r="I187" s="13" t="n">
        <f aca="false">SUM(K187:T187)</f>
        <v>5844.8</v>
      </c>
      <c r="J187" s="13" t="n">
        <f aca="false">F187-(G187+H187+I187)</f>
        <v>-0.0299999999997453</v>
      </c>
      <c r="K187" s="13" t="n">
        <v>584.48</v>
      </c>
      <c r="L187" s="13" t="n">
        <v>584.48</v>
      </c>
      <c r="M187" s="13" t="n">
        <v>584.48</v>
      </c>
      <c r="N187" s="13" t="n">
        <v>584.48</v>
      </c>
      <c r="O187" s="13" t="n">
        <v>584.48</v>
      </c>
      <c r="P187" s="13" t="n">
        <v>584.48</v>
      </c>
      <c r="Q187" s="13" t="n">
        <v>584.48</v>
      </c>
      <c r="R187" s="13" t="n">
        <v>584.48</v>
      </c>
      <c r="S187" s="13" t="n">
        <v>584.48</v>
      </c>
      <c r="T187" s="13" t="n">
        <v>584.48</v>
      </c>
      <c r="U187" s="13" t="n">
        <v>350</v>
      </c>
      <c r="V187" s="13" t="n">
        <v>0</v>
      </c>
      <c r="W187" s="13" t="n">
        <f aca="false">U187+V187</f>
        <v>350</v>
      </c>
    </row>
    <row r="188" customFormat="false" ht="15" hidden="false" customHeight="false" outlineLevel="0" collapsed="false">
      <c r="A188" s="14" t="s">
        <v>1573</v>
      </c>
      <c r="B188" s="14" t="s">
        <v>1407</v>
      </c>
      <c r="C188" s="14" t="s">
        <v>898</v>
      </c>
      <c r="D188" s="14" t="s">
        <v>132</v>
      </c>
      <c r="E188" s="15" t="n">
        <v>320000</v>
      </c>
      <c r="F188" s="15" t="n">
        <v>4151.09</v>
      </c>
      <c r="G188" s="15" t="n">
        <v>518.89</v>
      </c>
      <c r="H188" s="15" t="n">
        <v>518.89</v>
      </c>
      <c r="I188" s="15" t="n">
        <f aca="false">SUM(K188:T188)</f>
        <v>3113.3</v>
      </c>
      <c r="J188" s="15" t="n">
        <f aca="false">F188-(G188+H188+I188)</f>
        <v>0.0100000000002183</v>
      </c>
      <c r="K188" s="15" t="n">
        <v>311.33</v>
      </c>
      <c r="L188" s="15" t="n">
        <v>311.33</v>
      </c>
      <c r="M188" s="15" t="n">
        <v>311.33</v>
      </c>
      <c r="N188" s="15" t="n">
        <v>311.33</v>
      </c>
      <c r="O188" s="15" t="n">
        <v>311.33</v>
      </c>
      <c r="P188" s="15" t="n">
        <v>311.33</v>
      </c>
      <c r="Q188" s="15" t="n">
        <v>311.33</v>
      </c>
      <c r="R188" s="15" t="n">
        <v>311.33</v>
      </c>
      <c r="S188" s="15" t="n">
        <v>311.33</v>
      </c>
      <c r="T188" s="15" t="n">
        <v>311.33</v>
      </c>
      <c r="U188" s="15" t="n">
        <v>350</v>
      </c>
      <c r="V188" s="15" t="n">
        <v>0</v>
      </c>
      <c r="W188" s="15" t="n">
        <f aca="false">U188+V188</f>
        <v>350</v>
      </c>
    </row>
    <row r="189" customFormat="false" ht="15" hidden="false" customHeight="false" outlineLevel="0" collapsed="false">
      <c r="A189" s="3" t="s">
        <v>1574</v>
      </c>
      <c r="B189" s="3" t="s">
        <v>1416</v>
      </c>
      <c r="C189" s="3" t="s">
        <v>278</v>
      </c>
      <c r="D189" s="3" t="s">
        <v>698</v>
      </c>
      <c r="E189" s="13" t="n">
        <v>545000</v>
      </c>
      <c r="F189" s="13" t="n">
        <v>8394.25</v>
      </c>
      <c r="G189" s="13" t="n">
        <v>1049.28</v>
      </c>
      <c r="H189" s="13" t="n">
        <v>1049.28</v>
      </c>
      <c r="I189" s="13" t="n">
        <f aca="false">SUM(K189:T189)</f>
        <v>6295.7</v>
      </c>
      <c r="J189" s="13" t="n">
        <f aca="false">F189-(G189+H189+I189)</f>
        <v>-0.0100000000002183</v>
      </c>
      <c r="K189" s="13" t="n">
        <v>629.57</v>
      </c>
      <c r="L189" s="13" t="n">
        <v>629.57</v>
      </c>
      <c r="M189" s="13" t="n">
        <v>629.57</v>
      </c>
      <c r="N189" s="13" t="n">
        <v>629.57</v>
      </c>
      <c r="O189" s="13" t="n">
        <v>629.57</v>
      </c>
      <c r="P189" s="13" t="n">
        <v>629.57</v>
      </c>
      <c r="Q189" s="13" t="n">
        <v>629.57</v>
      </c>
      <c r="R189" s="13" t="n">
        <v>629.57</v>
      </c>
      <c r="S189" s="13" t="n">
        <v>629.57</v>
      </c>
      <c r="T189" s="13" t="n">
        <v>629.57</v>
      </c>
      <c r="U189" s="13" t="n">
        <v>350</v>
      </c>
      <c r="V189" s="13" t="n">
        <v>0</v>
      </c>
      <c r="W189" s="13" t="n">
        <f aca="false">U189+V189</f>
        <v>350</v>
      </c>
    </row>
    <row r="190" customFormat="false" ht="15" hidden="false" customHeight="false" outlineLevel="0" collapsed="false">
      <c r="A190" s="14" t="s">
        <v>1575</v>
      </c>
      <c r="B190" s="14" t="s">
        <v>1315</v>
      </c>
      <c r="C190" s="14" t="s">
        <v>300</v>
      </c>
      <c r="D190" s="14" t="s">
        <v>377</v>
      </c>
      <c r="E190" s="15" t="n">
        <v>505000</v>
      </c>
      <c r="F190" s="15" t="n">
        <v>11119.14</v>
      </c>
      <c r="G190" s="15" t="n">
        <v>1389.89</v>
      </c>
      <c r="H190" s="15" t="n">
        <v>1389.89</v>
      </c>
      <c r="I190" s="15" t="n">
        <f aca="false">SUM(K190:T190)</f>
        <v>8339.4</v>
      </c>
      <c r="J190" s="15" t="n">
        <f aca="false">F190-(G190+H190+I190)</f>
        <v>-0.0400000000026921</v>
      </c>
      <c r="K190" s="15" t="n">
        <v>833.94</v>
      </c>
      <c r="L190" s="15" t="n">
        <v>833.94</v>
      </c>
      <c r="M190" s="15" t="n">
        <v>833.94</v>
      </c>
      <c r="N190" s="15" t="n">
        <v>833.94</v>
      </c>
      <c r="O190" s="15" t="n">
        <v>833.94</v>
      </c>
      <c r="P190" s="15" t="n">
        <v>833.94</v>
      </c>
      <c r="Q190" s="15" t="n">
        <v>833.94</v>
      </c>
      <c r="R190" s="15" t="n">
        <v>833.94</v>
      </c>
      <c r="S190" s="15" t="n">
        <v>833.94</v>
      </c>
      <c r="T190" s="15" t="n">
        <v>833.94</v>
      </c>
      <c r="U190" s="15" t="n">
        <v>350</v>
      </c>
      <c r="V190" s="15" t="n">
        <v>0</v>
      </c>
      <c r="W190" s="15" t="n">
        <f aca="false">U190+V190</f>
        <v>350</v>
      </c>
    </row>
    <row r="191" customFormat="false" ht="15" hidden="false" customHeight="false" outlineLevel="0" collapsed="false">
      <c r="A191" s="3" t="s">
        <v>1576</v>
      </c>
      <c r="B191" s="3" t="s">
        <v>1312</v>
      </c>
      <c r="C191" s="3" t="s">
        <v>174</v>
      </c>
      <c r="D191" s="3" t="s">
        <v>338</v>
      </c>
      <c r="E191" s="13" t="n">
        <v>120000</v>
      </c>
      <c r="F191" s="13" t="n">
        <v>1286.84</v>
      </c>
      <c r="G191" s="13" t="n">
        <v>160.85</v>
      </c>
      <c r="H191" s="13" t="n">
        <v>160.85</v>
      </c>
      <c r="I191" s="13" t="n">
        <f aca="false">SUM(K191:T191)</f>
        <v>965.1</v>
      </c>
      <c r="J191" s="13" t="n">
        <f aca="false">F191-(G191+H191+I191)</f>
        <v>0.0399999999999636</v>
      </c>
      <c r="K191" s="13" t="n">
        <v>96.51</v>
      </c>
      <c r="L191" s="13" t="n">
        <v>96.51</v>
      </c>
      <c r="M191" s="13" t="n">
        <v>96.51</v>
      </c>
      <c r="N191" s="13" t="n">
        <v>96.51</v>
      </c>
      <c r="O191" s="13" t="n">
        <v>96.51</v>
      </c>
      <c r="P191" s="13" t="n">
        <v>96.51</v>
      </c>
      <c r="Q191" s="13" t="n">
        <v>96.51</v>
      </c>
      <c r="R191" s="13" t="n">
        <v>96.51</v>
      </c>
      <c r="S191" s="13" t="n">
        <v>96.51</v>
      </c>
      <c r="T191" s="13" t="n">
        <v>96.51</v>
      </c>
      <c r="U191" s="13" t="n">
        <v>350</v>
      </c>
      <c r="V191" s="13" t="n">
        <v>0</v>
      </c>
      <c r="W191" s="13" t="n">
        <f aca="false">U191+V191</f>
        <v>350</v>
      </c>
    </row>
    <row r="192" customFormat="false" ht="15" hidden="false" customHeight="false" outlineLevel="0" collapsed="false">
      <c r="A192" s="14" t="s">
        <v>1577</v>
      </c>
      <c r="B192" s="14" t="s">
        <v>1321</v>
      </c>
      <c r="C192" s="14" t="s">
        <v>1578</v>
      </c>
      <c r="D192" s="14" t="s">
        <v>138</v>
      </c>
      <c r="E192" s="15" t="n">
        <v>610000</v>
      </c>
      <c r="F192" s="15" t="n">
        <v>9463.97</v>
      </c>
      <c r="G192" s="15" t="n">
        <v>1183</v>
      </c>
      <c r="H192" s="15" t="n">
        <v>1183</v>
      </c>
      <c r="I192" s="15" t="n">
        <f aca="false">SUM(K192:T192)</f>
        <v>7098</v>
      </c>
      <c r="J192" s="15" t="n">
        <f aca="false">F192-(G192+H192+I192)</f>
        <v>-0.0300000000006548</v>
      </c>
      <c r="K192" s="15" t="n">
        <v>709.8</v>
      </c>
      <c r="L192" s="15" t="n">
        <v>709.8</v>
      </c>
      <c r="M192" s="15" t="n">
        <v>709.8</v>
      </c>
      <c r="N192" s="15" t="n">
        <v>709.8</v>
      </c>
      <c r="O192" s="15" t="n">
        <v>709.8</v>
      </c>
      <c r="P192" s="15" t="n">
        <v>709.8</v>
      </c>
      <c r="Q192" s="15" t="n">
        <v>709.8</v>
      </c>
      <c r="R192" s="15" t="n">
        <v>709.8</v>
      </c>
      <c r="S192" s="15" t="n">
        <v>709.8</v>
      </c>
      <c r="T192" s="15" t="n">
        <v>709.8</v>
      </c>
      <c r="U192" s="15" t="n">
        <v>350</v>
      </c>
      <c r="V192" s="15" t="n">
        <v>0</v>
      </c>
      <c r="W192" s="15" t="n">
        <f aca="false">U192+V192</f>
        <v>350</v>
      </c>
    </row>
    <row r="193" customFormat="false" ht="15" hidden="false" customHeight="false" outlineLevel="0" collapsed="false">
      <c r="A193" s="3" t="s">
        <v>1579</v>
      </c>
      <c r="B193" s="3" t="s">
        <v>1371</v>
      </c>
      <c r="C193" s="3" t="s">
        <v>1170</v>
      </c>
      <c r="D193" s="3" t="s">
        <v>93</v>
      </c>
      <c r="E193" s="13" t="n">
        <v>325000</v>
      </c>
      <c r="F193" s="13" t="n">
        <v>3453.71</v>
      </c>
      <c r="G193" s="13" t="n">
        <v>431.71</v>
      </c>
      <c r="H193" s="13" t="n">
        <v>431.71</v>
      </c>
      <c r="I193" s="13" t="n">
        <f aca="false">SUM(K193:T193)</f>
        <v>2590.3</v>
      </c>
      <c r="J193" s="13" t="n">
        <f aca="false">F193-(G193+H193+I193)</f>
        <v>-0.00999999999930878</v>
      </c>
      <c r="K193" s="13" t="n">
        <v>259.03</v>
      </c>
      <c r="L193" s="13" t="n">
        <v>259.03</v>
      </c>
      <c r="M193" s="13" t="n">
        <v>259.03</v>
      </c>
      <c r="N193" s="13" t="n">
        <v>259.03</v>
      </c>
      <c r="O193" s="13" t="n">
        <v>259.03</v>
      </c>
      <c r="P193" s="13" t="n">
        <v>259.03</v>
      </c>
      <c r="Q193" s="13" t="n">
        <v>259.03</v>
      </c>
      <c r="R193" s="13" t="n">
        <v>259.03</v>
      </c>
      <c r="S193" s="13" t="n">
        <v>259.03</v>
      </c>
      <c r="T193" s="13" t="n">
        <v>259.03</v>
      </c>
      <c r="U193" s="13" t="n">
        <v>350</v>
      </c>
      <c r="V193" s="13" t="n">
        <v>0</v>
      </c>
      <c r="W193" s="13" t="n">
        <f aca="false">U193+V193</f>
        <v>350</v>
      </c>
    </row>
    <row r="194" customFormat="false" ht="15" hidden="false" customHeight="false" outlineLevel="0" collapsed="false">
      <c r="A194" s="14" t="s">
        <v>1580</v>
      </c>
      <c r="B194" s="14" t="s">
        <v>1335</v>
      </c>
      <c r="C194" s="14" t="s">
        <v>1189</v>
      </c>
      <c r="D194" s="14" t="s">
        <v>112</v>
      </c>
      <c r="E194" s="15" t="n">
        <v>520000</v>
      </c>
      <c r="F194" s="15" t="n">
        <v>5553.82</v>
      </c>
      <c r="G194" s="15" t="n">
        <v>694.23</v>
      </c>
      <c r="H194" s="15" t="n">
        <v>694.23</v>
      </c>
      <c r="I194" s="15" t="n">
        <f aca="false">SUM(K194:T194)</f>
        <v>4165.4</v>
      </c>
      <c r="J194" s="15" t="n">
        <f aca="false">F194-(G194+H194+I194)</f>
        <v>-0.0400000000008731</v>
      </c>
      <c r="K194" s="15" t="n">
        <v>416.54</v>
      </c>
      <c r="L194" s="15" t="n">
        <v>416.54</v>
      </c>
      <c r="M194" s="15" t="n">
        <v>416.54</v>
      </c>
      <c r="N194" s="15" t="n">
        <v>416.54</v>
      </c>
      <c r="O194" s="15" t="n">
        <v>416.54</v>
      </c>
      <c r="P194" s="15" t="n">
        <v>416.54</v>
      </c>
      <c r="Q194" s="15" t="n">
        <v>416.54</v>
      </c>
      <c r="R194" s="15" t="n">
        <v>416.54</v>
      </c>
      <c r="S194" s="15" t="n">
        <v>416.54</v>
      </c>
      <c r="T194" s="15" t="n">
        <v>416.54</v>
      </c>
      <c r="U194" s="15" t="n">
        <v>350</v>
      </c>
      <c r="V194" s="15" t="n">
        <v>0</v>
      </c>
      <c r="W194" s="15" t="n">
        <f aca="false">U194+V194</f>
        <v>350</v>
      </c>
    </row>
    <row r="195" customFormat="false" ht="15" hidden="false" customHeight="false" outlineLevel="0" collapsed="false">
      <c r="A195" s="3" t="s">
        <v>1581</v>
      </c>
      <c r="B195" s="3" t="s">
        <v>1346</v>
      </c>
      <c r="C195" s="3" t="s">
        <v>1144</v>
      </c>
      <c r="D195" s="3" t="s">
        <v>172</v>
      </c>
      <c r="E195" s="13" t="n">
        <v>750000</v>
      </c>
      <c r="F195" s="13" t="n">
        <v>8769.19</v>
      </c>
      <c r="G195" s="13" t="n">
        <v>1096.15</v>
      </c>
      <c r="H195" s="13" t="n">
        <v>1096.15</v>
      </c>
      <c r="I195" s="13" t="n">
        <f aca="false">SUM(K195:T195)</f>
        <v>6576.9</v>
      </c>
      <c r="J195" s="13" t="n">
        <f aca="false">F195-(G195+H195+I195)</f>
        <v>-0.0100000000002183</v>
      </c>
      <c r="K195" s="13" t="n">
        <v>657.69</v>
      </c>
      <c r="L195" s="13" t="n">
        <v>657.69</v>
      </c>
      <c r="M195" s="13" t="n">
        <v>657.69</v>
      </c>
      <c r="N195" s="13" t="n">
        <v>657.69</v>
      </c>
      <c r="O195" s="13" t="n">
        <v>657.69</v>
      </c>
      <c r="P195" s="13" t="n">
        <v>657.69</v>
      </c>
      <c r="Q195" s="13" t="n">
        <v>657.69</v>
      </c>
      <c r="R195" s="13" t="n">
        <v>657.69</v>
      </c>
      <c r="S195" s="13" t="n">
        <v>657.69</v>
      </c>
      <c r="T195" s="13" t="n">
        <v>657.69</v>
      </c>
      <c r="U195" s="13" t="n">
        <v>350</v>
      </c>
      <c r="V195" s="13" t="n">
        <v>0</v>
      </c>
      <c r="W195" s="13" t="n">
        <f aca="false">U195+V195</f>
        <v>350</v>
      </c>
    </row>
    <row r="196" customFormat="false" ht="15" hidden="false" customHeight="false" outlineLevel="0" collapsed="false">
      <c r="A196" s="14" t="s">
        <v>1582</v>
      </c>
      <c r="B196" s="14" t="s">
        <v>1340</v>
      </c>
      <c r="C196" s="14" t="s">
        <v>1159</v>
      </c>
      <c r="D196" s="14" t="s">
        <v>138</v>
      </c>
      <c r="E196" s="15" t="n">
        <v>1070000</v>
      </c>
      <c r="F196" s="15" t="n">
        <v>11705.65</v>
      </c>
      <c r="G196" s="15" t="n">
        <v>1463.21</v>
      </c>
      <c r="H196" s="15" t="n">
        <v>1463.21</v>
      </c>
      <c r="I196" s="15" t="n">
        <f aca="false">SUM(K196:T196)</f>
        <v>8779.2</v>
      </c>
      <c r="J196" s="15" t="n">
        <f aca="false">F196-(G196+H196+I196)</f>
        <v>0.0300000000006548</v>
      </c>
      <c r="K196" s="15" t="n">
        <v>877.92</v>
      </c>
      <c r="L196" s="15" t="n">
        <v>877.92</v>
      </c>
      <c r="M196" s="15" t="n">
        <v>877.92</v>
      </c>
      <c r="N196" s="15" t="n">
        <v>877.92</v>
      </c>
      <c r="O196" s="15" t="n">
        <v>877.92</v>
      </c>
      <c r="P196" s="15" t="n">
        <v>877.92</v>
      </c>
      <c r="Q196" s="15" t="n">
        <v>877.92</v>
      </c>
      <c r="R196" s="15" t="n">
        <v>877.92</v>
      </c>
      <c r="S196" s="15" t="n">
        <v>877.92</v>
      </c>
      <c r="T196" s="15" t="n">
        <v>877.92</v>
      </c>
      <c r="U196" s="15" t="n">
        <v>350</v>
      </c>
      <c r="V196" s="15" t="n">
        <v>250</v>
      </c>
      <c r="W196" s="15" t="n">
        <f aca="false">U196+V196</f>
        <v>600</v>
      </c>
    </row>
    <row r="197" customFormat="false" ht="15" hidden="false" customHeight="false" outlineLevel="0" collapsed="false">
      <c r="A197" s="3" t="s">
        <v>1583</v>
      </c>
      <c r="B197" s="3" t="s">
        <v>1317</v>
      </c>
      <c r="C197" s="3" t="s">
        <v>1584</v>
      </c>
      <c r="D197" s="3" t="s">
        <v>193</v>
      </c>
      <c r="E197" s="13" t="n">
        <v>1320000</v>
      </c>
      <c r="F197" s="13" t="n">
        <v>15696.32</v>
      </c>
      <c r="G197" s="13" t="n">
        <v>1962.04</v>
      </c>
      <c r="H197" s="13" t="n">
        <v>1962.04</v>
      </c>
      <c r="I197" s="13" t="n">
        <f aca="false">SUM(K197:T197)</f>
        <v>11772.2</v>
      </c>
      <c r="J197" s="13" t="n">
        <f aca="false">F197-(G197+H197+I197)</f>
        <v>0.0400000000008731</v>
      </c>
      <c r="K197" s="13" t="n">
        <v>1177.22</v>
      </c>
      <c r="L197" s="13" t="n">
        <v>1177.22</v>
      </c>
      <c r="M197" s="13" t="n">
        <v>1177.22</v>
      </c>
      <c r="N197" s="13" t="n">
        <v>1177.22</v>
      </c>
      <c r="O197" s="13" t="n">
        <v>1177.22</v>
      </c>
      <c r="P197" s="13" t="n">
        <v>1177.22</v>
      </c>
      <c r="Q197" s="13" t="n">
        <v>1177.22</v>
      </c>
      <c r="R197" s="13" t="n">
        <v>1177.22</v>
      </c>
      <c r="S197" s="13" t="n">
        <v>1177.22</v>
      </c>
      <c r="T197" s="13" t="n">
        <v>1177.22</v>
      </c>
      <c r="U197" s="13" t="n">
        <v>350</v>
      </c>
      <c r="V197" s="13" t="n">
        <v>250</v>
      </c>
      <c r="W197" s="13" t="n">
        <f aca="false">U197+V197</f>
        <v>600</v>
      </c>
    </row>
    <row r="198" customFormat="false" ht="15" hidden="false" customHeight="false" outlineLevel="0" collapsed="false">
      <c r="A198" s="14" t="s">
        <v>1585</v>
      </c>
      <c r="B198" s="14" t="s">
        <v>1333</v>
      </c>
      <c r="C198" s="14" t="s">
        <v>425</v>
      </c>
      <c r="D198" s="14" t="s">
        <v>89</v>
      </c>
      <c r="E198" s="15" t="n">
        <v>1275000</v>
      </c>
      <c r="F198" s="15" t="n">
        <v>16374.12</v>
      </c>
      <c r="G198" s="15" t="n">
        <v>2046.77</v>
      </c>
      <c r="H198" s="15" t="n">
        <v>2046.77</v>
      </c>
      <c r="I198" s="15" t="n">
        <f aca="false">SUM(K198:T198)</f>
        <v>12280.6</v>
      </c>
      <c r="J198" s="15" t="n">
        <f aca="false">F198-(G198+H198+I198)</f>
        <v>-0.0199999999986176</v>
      </c>
      <c r="K198" s="15" t="n">
        <v>1228.06</v>
      </c>
      <c r="L198" s="15" t="n">
        <v>1228.06</v>
      </c>
      <c r="M198" s="15" t="n">
        <v>1228.06</v>
      </c>
      <c r="N198" s="15" t="n">
        <v>1228.06</v>
      </c>
      <c r="O198" s="15" t="n">
        <v>1228.06</v>
      </c>
      <c r="P198" s="15" t="n">
        <v>1228.06</v>
      </c>
      <c r="Q198" s="15" t="n">
        <v>1228.06</v>
      </c>
      <c r="R198" s="15" t="n">
        <v>1228.06</v>
      </c>
      <c r="S198" s="15" t="n">
        <v>1228.06</v>
      </c>
      <c r="T198" s="15" t="n">
        <v>1228.06</v>
      </c>
      <c r="U198" s="15" t="n">
        <v>350</v>
      </c>
      <c r="V198" s="15" t="n">
        <v>250</v>
      </c>
      <c r="W198" s="15" t="n">
        <f aca="false">U198+V198</f>
        <v>600</v>
      </c>
    </row>
    <row r="199" customFormat="false" ht="15" hidden="false" customHeight="false" outlineLevel="0" collapsed="false">
      <c r="A199" s="3" t="s">
        <v>1586</v>
      </c>
      <c r="B199" s="3" t="s">
        <v>1380</v>
      </c>
      <c r="C199" s="3" t="s">
        <v>349</v>
      </c>
      <c r="D199" s="3" t="s">
        <v>85</v>
      </c>
      <c r="E199" s="13" t="n">
        <v>905000</v>
      </c>
      <c r="F199" s="13" t="n">
        <v>14142.56</v>
      </c>
      <c r="G199" s="13" t="n">
        <v>1767.82</v>
      </c>
      <c r="H199" s="13" t="n">
        <v>1767.82</v>
      </c>
      <c r="I199" s="13" t="n">
        <f aca="false">SUM(K199:T199)</f>
        <v>10606.9</v>
      </c>
      <c r="J199" s="13" t="n">
        <f aca="false">F199-(G199+H199+I199)</f>
        <v>0.0199999999986176</v>
      </c>
      <c r="K199" s="13" t="n">
        <v>1060.69</v>
      </c>
      <c r="L199" s="13" t="n">
        <v>1060.69</v>
      </c>
      <c r="M199" s="13" t="n">
        <v>1060.69</v>
      </c>
      <c r="N199" s="13" t="n">
        <v>1060.69</v>
      </c>
      <c r="O199" s="13" t="n">
        <v>1060.69</v>
      </c>
      <c r="P199" s="13" t="n">
        <v>1060.69</v>
      </c>
      <c r="Q199" s="13" t="n">
        <v>1060.69</v>
      </c>
      <c r="R199" s="13" t="n">
        <v>1060.69</v>
      </c>
      <c r="S199" s="13" t="n">
        <v>1060.69</v>
      </c>
      <c r="T199" s="13" t="n">
        <v>1060.69</v>
      </c>
      <c r="U199" s="13" t="n">
        <v>350</v>
      </c>
      <c r="V199" s="13" t="n">
        <v>0</v>
      </c>
      <c r="W199" s="13" t="n">
        <f aca="false">U199+V199</f>
        <v>350</v>
      </c>
    </row>
    <row r="200" customFormat="false" ht="15" hidden="false" customHeight="false" outlineLevel="0" collapsed="false">
      <c r="A200" s="8" t="s">
        <v>459</v>
      </c>
      <c r="E200" s="9" t="n">
        <f aca="false">SUM(E5:E199)</f>
        <v>126930000</v>
      </c>
      <c r="F200" s="9" t="n">
        <f aca="false">SUM(F5:F199)</f>
        <v>1795032.26</v>
      </c>
      <c r="G200" s="9" t="n">
        <f aca="false">SUM(G5:G199)</f>
        <v>224379.05</v>
      </c>
      <c r="H200" s="9" t="n">
        <f aca="false">SUM(H5:H199)</f>
        <v>224379.05</v>
      </c>
      <c r="I200" s="9" t="n">
        <f aca="false">SUM(I5:I199)</f>
        <v>1346275</v>
      </c>
      <c r="J200" s="9" t="n">
        <f aca="false">SUM(J5:J199)</f>
        <v>-0.840000000027885</v>
      </c>
      <c r="K200" s="9" t="n">
        <f aca="false">SUM(K5:K199)</f>
        <v>134627.5</v>
      </c>
      <c r="L200" s="9" t="n">
        <f aca="false">SUM(L5:L199)</f>
        <v>134627.5</v>
      </c>
      <c r="M200" s="9" t="n">
        <f aca="false">SUM(M5:M199)</f>
        <v>134627.5</v>
      </c>
      <c r="N200" s="9" t="n">
        <f aca="false">SUM(N5:N199)</f>
        <v>134627.5</v>
      </c>
      <c r="O200" s="9" t="n">
        <f aca="false">SUM(O5:O199)</f>
        <v>134627.5</v>
      </c>
      <c r="P200" s="9" t="n">
        <f aca="false">SUM(P5:P199)</f>
        <v>134627.5</v>
      </c>
      <c r="Q200" s="9" t="n">
        <f aca="false">SUM(Q5:Q199)</f>
        <v>134627.5</v>
      </c>
      <c r="R200" s="9" t="n">
        <f aca="false">SUM(R5:R199)</f>
        <v>134627.5</v>
      </c>
      <c r="S200" s="9" t="n">
        <f aca="false">SUM(S5:S199)</f>
        <v>134627.5</v>
      </c>
      <c r="T200" s="9" t="n">
        <f aca="false">SUM(T5:T199)</f>
        <v>134627.5</v>
      </c>
      <c r="U200" s="9" t="n">
        <f aca="false">SUM(U5:U199)</f>
        <v>68250</v>
      </c>
      <c r="V200" s="9" t="n">
        <f aca="false">SUM(V5:V199)</f>
        <v>7250</v>
      </c>
      <c r="W200" s="9" t="n">
        <f aca="false">SUM(W5:W199)</f>
        <v>75500</v>
      </c>
    </row>
    <row r="201" customFormat="false" ht="15" hidden="false" customHeight="false" outlineLevel="0" collapsed="false">
      <c r="A201" s="4" t="s">
        <v>460</v>
      </c>
      <c r="F201" s="16" t="n">
        <f aca="false">F200-(G200+H200+I200+J200)</f>
        <v>0</v>
      </c>
    </row>
    <row r="202" customFormat="false" ht="15" hidden="false" customHeight="false" outlineLevel="0" collapsed="false">
      <c r="A202" s="4" t="s">
        <v>461</v>
      </c>
      <c r="I202" s="16" t="n">
        <f aca="false">I200-SUM(K200:T200)</f>
        <v>0</v>
      </c>
    </row>
  </sheetData>
  <autoFilter ref="A4:W19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21" min="11" style="0" width="11"/>
    <col collapsed="false" customWidth="true" hidden="false" outlineLevel="0" max="22" min="22" style="0" width="13"/>
    <col collapsed="false" customWidth="true" hidden="false" outlineLevel="0" max="23" min="23" style="0" width="11"/>
  </cols>
  <sheetData>
    <row r="1" customFormat="false" ht="17.35" hidden="false" customHeight="false" outlineLevel="0" collapsed="false">
      <c r="A1" s="1" t="s">
        <v>1587</v>
      </c>
    </row>
    <row r="2" customFormat="false" ht="15" hidden="false" customHeight="false" outlineLevel="0" collapsed="false">
      <c r="A2" s="4" t="s">
        <v>60</v>
      </c>
    </row>
    <row r="4" customFormat="false" ht="15" hidden="false" customHeight="false" outlineLevel="0" collapsed="false">
      <c r="A4" s="5" t="s">
        <v>61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15</v>
      </c>
      <c r="G4" s="5" t="s">
        <v>16</v>
      </c>
      <c r="H4" s="5" t="s">
        <v>17</v>
      </c>
      <c r="I4" s="5" t="s">
        <v>18</v>
      </c>
      <c r="J4" s="5" t="s">
        <v>19</v>
      </c>
      <c r="K4" s="5" t="s">
        <v>20</v>
      </c>
      <c r="L4" s="5" t="s">
        <v>21</v>
      </c>
      <c r="M4" s="5" t="s">
        <v>22</v>
      </c>
      <c r="N4" s="5" t="s">
        <v>23</v>
      </c>
      <c r="O4" s="5" t="s">
        <v>24</v>
      </c>
      <c r="P4" s="5" t="s">
        <v>25</v>
      </c>
      <c r="Q4" s="5" t="s">
        <v>26</v>
      </c>
      <c r="R4" s="5" t="s">
        <v>27</v>
      </c>
      <c r="S4" s="5" t="s">
        <v>28</v>
      </c>
      <c r="T4" s="5" t="s">
        <v>29</v>
      </c>
      <c r="U4" s="5" t="s">
        <v>30</v>
      </c>
      <c r="V4" s="5" t="s">
        <v>31</v>
      </c>
      <c r="W4" s="5" t="s">
        <v>32</v>
      </c>
    </row>
    <row r="5" customFormat="false" ht="15" hidden="false" customHeight="false" outlineLevel="0" collapsed="false">
      <c r="A5" s="3" t="s">
        <v>1588</v>
      </c>
      <c r="B5" s="3" t="s">
        <v>1589</v>
      </c>
      <c r="C5" s="3" t="s">
        <v>572</v>
      </c>
      <c r="D5" s="3" t="s">
        <v>328</v>
      </c>
      <c r="E5" s="13" t="n">
        <v>190000</v>
      </c>
      <c r="F5" s="13" t="n">
        <v>3846.79</v>
      </c>
      <c r="G5" s="13" t="n">
        <v>480.85</v>
      </c>
      <c r="H5" s="13" t="n">
        <v>480.85</v>
      </c>
      <c r="I5" s="13" t="n">
        <f aca="false">SUM(K5:T5)</f>
        <v>2885.1</v>
      </c>
      <c r="J5" s="13" t="n">
        <f aca="false">F5-(G5+H5+I5)</f>
        <v>-0.0100000000002183</v>
      </c>
      <c r="K5" s="13" t="n">
        <v>288.51</v>
      </c>
      <c r="L5" s="13" t="n">
        <v>288.51</v>
      </c>
      <c r="M5" s="13" t="n">
        <v>288.51</v>
      </c>
      <c r="N5" s="13" t="n">
        <v>288.51</v>
      </c>
      <c r="O5" s="13" t="n">
        <v>288.51</v>
      </c>
      <c r="P5" s="13" t="n">
        <v>288.51</v>
      </c>
      <c r="Q5" s="13" t="n">
        <v>288.51</v>
      </c>
      <c r="R5" s="13" t="n">
        <v>288.51</v>
      </c>
      <c r="S5" s="13" t="n">
        <v>288.51</v>
      </c>
      <c r="T5" s="13" t="n">
        <v>288.51</v>
      </c>
      <c r="U5" s="13" t="n">
        <v>350</v>
      </c>
      <c r="V5" s="13" t="n">
        <v>0</v>
      </c>
      <c r="W5" s="13" t="n">
        <f aca="false">U5+V5</f>
        <v>350</v>
      </c>
    </row>
    <row r="6" customFormat="false" ht="15" hidden="false" customHeight="false" outlineLevel="0" collapsed="false">
      <c r="A6" s="14" t="s">
        <v>1590</v>
      </c>
      <c r="B6" s="14" t="s">
        <v>1591</v>
      </c>
      <c r="C6" s="14" t="s">
        <v>870</v>
      </c>
      <c r="D6" s="14" t="s">
        <v>69</v>
      </c>
      <c r="E6" s="15" t="n">
        <v>760000</v>
      </c>
      <c r="F6" s="15" t="n">
        <v>8111.7</v>
      </c>
      <c r="G6" s="15" t="n">
        <v>1013.96</v>
      </c>
      <c r="H6" s="15" t="n">
        <v>1013.96</v>
      </c>
      <c r="I6" s="15" t="n">
        <f aca="false">SUM(K6:T6)</f>
        <v>6083.8</v>
      </c>
      <c r="J6" s="15" t="n">
        <f aca="false">F6-(G6+H6+I6)</f>
        <v>-0.0200000000004366</v>
      </c>
      <c r="K6" s="15" t="n">
        <v>608.38</v>
      </c>
      <c r="L6" s="15" t="n">
        <v>608.38</v>
      </c>
      <c r="M6" s="15" t="n">
        <v>608.38</v>
      </c>
      <c r="N6" s="15" t="n">
        <v>608.38</v>
      </c>
      <c r="O6" s="15" t="n">
        <v>608.38</v>
      </c>
      <c r="P6" s="15" t="n">
        <v>608.38</v>
      </c>
      <c r="Q6" s="15" t="n">
        <v>608.38</v>
      </c>
      <c r="R6" s="15" t="n">
        <v>608.38</v>
      </c>
      <c r="S6" s="15" t="n">
        <v>608.38</v>
      </c>
      <c r="T6" s="15" t="n">
        <v>608.38</v>
      </c>
      <c r="U6" s="15" t="n">
        <v>350</v>
      </c>
      <c r="V6" s="15" t="n">
        <v>0</v>
      </c>
      <c r="W6" s="15" t="n">
        <f aca="false">U6+V6</f>
        <v>350</v>
      </c>
    </row>
    <row r="7" customFormat="false" ht="15" hidden="false" customHeight="false" outlineLevel="0" collapsed="false">
      <c r="A7" s="3" t="s">
        <v>1592</v>
      </c>
      <c r="B7" s="3" t="s">
        <v>1593</v>
      </c>
      <c r="C7" s="3" t="s">
        <v>597</v>
      </c>
      <c r="D7" s="3" t="s">
        <v>153</v>
      </c>
      <c r="E7" s="13" t="n">
        <v>595000</v>
      </c>
      <c r="F7" s="13" t="n">
        <v>14831.52</v>
      </c>
      <c r="G7" s="13" t="n">
        <v>1853.94</v>
      </c>
      <c r="H7" s="13" t="n">
        <v>1853.94</v>
      </c>
      <c r="I7" s="13" t="n">
        <f aca="false">SUM(K7:T7)</f>
        <v>11123.6</v>
      </c>
      <c r="J7" s="13" t="n">
        <f aca="false">F7-(G7+H7+I7)</f>
        <v>0.0400000000008731</v>
      </c>
      <c r="K7" s="13" t="n">
        <v>1112.36</v>
      </c>
      <c r="L7" s="13" t="n">
        <v>1112.36</v>
      </c>
      <c r="M7" s="13" t="n">
        <v>1112.36</v>
      </c>
      <c r="N7" s="13" t="n">
        <v>1112.36</v>
      </c>
      <c r="O7" s="13" t="n">
        <v>1112.36</v>
      </c>
      <c r="P7" s="13" t="n">
        <v>1112.36</v>
      </c>
      <c r="Q7" s="13" t="n">
        <v>1112.36</v>
      </c>
      <c r="R7" s="13" t="n">
        <v>1112.36</v>
      </c>
      <c r="S7" s="13" t="n">
        <v>1112.36</v>
      </c>
      <c r="T7" s="13" t="n">
        <v>1112.36</v>
      </c>
      <c r="U7" s="13" t="n">
        <v>350</v>
      </c>
      <c r="V7" s="13" t="n">
        <v>0</v>
      </c>
      <c r="W7" s="13" t="n">
        <f aca="false">U7+V7</f>
        <v>350</v>
      </c>
    </row>
    <row r="8" customFormat="false" ht="15" hidden="false" customHeight="false" outlineLevel="0" collapsed="false">
      <c r="A8" s="14" t="s">
        <v>1594</v>
      </c>
      <c r="B8" s="14" t="s">
        <v>1595</v>
      </c>
      <c r="C8" s="14" t="s">
        <v>1105</v>
      </c>
      <c r="D8" s="14" t="s">
        <v>698</v>
      </c>
      <c r="E8" s="15" t="n">
        <v>290000</v>
      </c>
      <c r="F8" s="15" t="n">
        <v>5044.21</v>
      </c>
      <c r="G8" s="15" t="n">
        <v>630.53</v>
      </c>
      <c r="H8" s="15" t="n">
        <v>630.53</v>
      </c>
      <c r="I8" s="15" t="n">
        <f aca="false">SUM(K8:T8)</f>
        <v>3783.2</v>
      </c>
      <c r="J8" s="15" t="n">
        <f aca="false">F8-(G8+H8+I8)</f>
        <v>-0.0500000000001819</v>
      </c>
      <c r="K8" s="15" t="n">
        <v>378.32</v>
      </c>
      <c r="L8" s="15" t="n">
        <v>378.32</v>
      </c>
      <c r="M8" s="15" t="n">
        <v>378.32</v>
      </c>
      <c r="N8" s="15" t="n">
        <v>378.32</v>
      </c>
      <c r="O8" s="15" t="n">
        <v>378.32</v>
      </c>
      <c r="P8" s="15" t="n">
        <v>378.32</v>
      </c>
      <c r="Q8" s="15" t="n">
        <v>378.32</v>
      </c>
      <c r="R8" s="15" t="n">
        <v>378.32</v>
      </c>
      <c r="S8" s="15" t="n">
        <v>378.32</v>
      </c>
      <c r="T8" s="15" t="n">
        <v>378.32</v>
      </c>
      <c r="U8" s="15" t="n">
        <v>350</v>
      </c>
      <c r="V8" s="15" t="n">
        <v>0</v>
      </c>
      <c r="W8" s="15" t="n">
        <f aca="false">U8+V8</f>
        <v>350</v>
      </c>
    </row>
    <row r="9" customFormat="false" ht="15" hidden="false" customHeight="false" outlineLevel="0" collapsed="false">
      <c r="A9" s="3" t="s">
        <v>1596</v>
      </c>
      <c r="B9" s="3" t="s">
        <v>1597</v>
      </c>
      <c r="C9" s="3" t="s">
        <v>440</v>
      </c>
      <c r="D9" s="3" t="s">
        <v>189</v>
      </c>
      <c r="E9" s="13" t="n">
        <v>1685000</v>
      </c>
      <c r="F9" s="13" t="n">
        <v>17257.13</v>
      </c>
      <c r="G9" s="13" t="n">
        <v>2157.14</v>
      </c>
      <c r="H9" s="13" t="n">
        <v>2157.14</v>
      </c>
      <c r="I9" s="13" t="n">
        <f aca="false">SUM(K9:T9)</f>
        <v>12942.8</v>
      </c>
      <c r="J9" s="13" t="n">
        <f aca="false">F9-(G9+H9+I9)</f>
        <v>0.0499999999992724</v>
      </c>
      <c r="K9" s="13" t="n">
        <v>1294.28</v>
      </c>
      <c r="L9" s="13" t="n">
        <v>1294.28</v>
      </c>
      <c r="M9" s="13" t="n">
        <v>1294.28</v>
      </c>
      <c r="N9" s="13" t="n">
        <v>1294.28</v>
      </c>
      <c r="O9" s="13" t="n">
        <v>1294.28</v>
      </c>
      <c r="P9" s="13" t="n">
        <v>1294.28</v>
      </c>
      <c r="Q9" s="13" t="n">
        <v>1294.28</v>
      </c>
      <c r="R9" s="13" t="n">
        <v>1294.28</v>
      </c>
      <c r="S9" s="13" t="n">
        <v>1294.28</v>
      </c>
      <c r="T9" s="13" t="n">
        <v>1294.28</v>
      </c>
      <c r="U9" s="13" t="n">
        <v>350</v>
      </c>
      <c r="V9" s="13" t="n">
        <v>250</v>
      </c>
      <c r="W9" s="13" t="n">
        <f aca="false">U9+V9</f>
        <v>600</v>
      </c>
    </row>
    <row r="10" customFormat="false" ht="15" hidden="false" customHeight="false" outlineLevel="0" collapsed="false">
      <c r="A10" s="14" t="s">
        <v>1598</v>
      </c>
      <c r="B10" s="14" t="s">
        <v>1599</v>
      </c>
      <c r="C10" s="14" t="s">
        <v>405</v>
      </c>
      <c r="D10" s="14" t="s">
        <v>153</v>
      </c>
      <c r="E10" s="15" t="n">
        <v>1775000</v>
      </c>
      <c r="F10" s="15" t="n">
        <v>17698.11</v>
      </c>
      <c r="G10" s="15" t="n">
        <v>2212.26</v>
      </c>
      <c r="H10" s="15" t="n">
        <v>2212.26</v>
      </c>
      <c r="I10" s="15" t="n">
        <f aca="false">SUM(K10:T10)</f>
        <v>13273.6</v>
      </c>
      <c r="J10" s="15" t="n">
        <f aca="false">F10-(G10+H10+I10)</f>
        <v>-0.0100000000020373</v>
      </c>
      <c r="K10" s="15" t="n">
        <v>1327.36</v>
      </c>
      <c r="L10" s="15" t="n">
        <v>1327.36</v>
      </c>
      <c r="M10" s="15" t="n">
        <v>1327.36</v>
      </c>
      <c r="N10" s="15" t="n">
        <v>1327.36</v>
      </c>
      <c r="O10" s="15" t="n">
        <v>1327.36</v>
      </c>
      <c r="P10" s="15" t="n">
        <v>1327.36</v>
      </c>
      <c r="Q10" s="15" t="n">
        <v>1327.36</v>
      </c>
      <c r="R10" s="15" t="n">
        <v>1327.36</v>
      </c>
      <c r="S10" s="15" t="n">
        <v>1327.36</v>
      </c>
      <c r="T10" s="15" t="n">
        <v>1327.36</v>
      </c>
      <c r="U10" s="15" t="n">
        <v>350</v>
      </c>
      <c r="V10" s="15" t="n">
        <v>250</v>
      </c>
      <c r="W10" s="15" t="n">
        <f aca="false">U10+V10</f>
        <v>600</v>
      </c>
    </row>
    <row r="11" customFormat="false" ht="15" hidden="false" customHeight="false" outlineLevel="0" collapsed="false">
      <c r="A11" s="3" t="s">
        <v>1600</v>
      </c>
      <c r="B11" s="3" t="s">
        <v>1601</v>
      </c>
      <c r="C11" s="3" t="s">
        <v>432</v>
      </c>
      <c r="D11" s="3" t="s">
        <v>125</v>
      </c>
      <c r="E11" s="13" t="n">
        <v>365000</v>
      </c>
      <c r="F11" s="13" t="n">
        <v>4448.76</v>
      </c>
      <c r="G11" s="13" t="n">
        <v>556.1</v>
      </c>
      <c r="H11" s="13" t="n">
        <v>556.1</v>
      </c>
      <c r="I11" s="13" t="n">
        <f aca="false">SUM(K11:T11)</f>
        <v>3336.6</v>
      </c>
      <c r="J11" s="13" t="n">
        <f aca="false">F11-(G11+H11+I11)</f>
        <v>-0.0399999999999636</v>
      </c>
      <c r="K11" s="13" t="n">
        <v>333.66</v>
      </c>
      <c r="L11" s="13" t="n">
        <v>333.66</v>
      </c>
      <c r="M11" s="13" t="n">
        <v>333.66</v>
      </c>
      <c r="N11" s="13" t="n">
        <v>333.66</v>
      </c>
      <c r="O11" s="13" t="n">
        <v>333.66</v>
      </c>
      <c r="P11" s="13" t="n">
        <v>333.66</v>
      </c>
      <c r="Q11" s="13" t="n">
        <v>333.66</v>
      </c>
      <c r="R11" s="13" t="n">
        <v>333.66</v>
      </c>
      <c r="S11" s="13" t="n">
        <v>333.66</v>
      </c>
      <c r="T11" s="13" t="n">
        <v>333.66</v>
      </c>
      <c r="U11" s="13" t="n">
        <v>350</v>
      </c>
      <c r="V11" s="13" t="n">
        <v>0</v>
      </c>
      <c r="W11" s="13" t="n">
        <f aca="false">U11+V11</f>
        <v>350</v>
      </c>
    </row>
    <row r="12" customFormat="false" ht="15" hidden="false" customHeight="false" outlineLevel="0" collapsed="false">
      <c r="A12" s="14" t="s">
        <v>1602</v>
      </c>
      <c r="B12" s="14" t="s">
        <v>1595</v>
      </c>
      <c r="C12" s="14" t="s">
        <v>1603</v>
      </c>
      <c r="D12" s="14" t="s">
        <v>153</v>
      </c>
      <c r="E12" s="15" t="n">
        <v>905000</v>
      </c>
      <c r="F12" s="15" t="n">
        <v>22558.86</v>
      </c>
      <c r="G12" s="15" t="n">
        <v>2819.86</v>
      </c>
      <c r="H12" s="15" t="n">
        <v>2819.86</v>
      </c>
      <c r="I12" s="15" t="n">
        <f aca="false">SUM(K12:T12)</f>
        <v>16919.1</v>
      </c>
      <c r="J12" s="15" t="n">
        <f aca="false">F12-(G12+H12+I12)</f>
        <v>0.0399999999972351</v>
      </c>
      <c r="K12" s="15" t="n">
        <v>1691.91</v>
      </c>
      <c r="L12" s="15" t="n">
        <v>1691.91</v>
      </c>
      <c r="M12" s="15" t="n">
        <v>1691.91</v>
      </c>
      <c r="N12" s="15" t="n">
        <v>1691.91</v>
      </c>
      <c r="O12" s="15" t="n">
        <v>1691.91</v>
      </c>
      <c r="P12" s="15" t="n">
        <v>1691.91</v>
      </c>
      <c r="Q12" s="15" t="n">
        <v>1691.91</v>
      </c>
      <c r="R12" s="15" t="n">
        <v>1691.91</v>
      </c>
      <c r="S12" s="15" t="n">
        <v>1691.91</v>
      </c>
      <c r="T12" s="15" t="n">
        <v>1691.91</v>
      </c>
      <c r="U12" s="15" t="n">
        <v>350</v>
      </c>
      <c r="V12" s="15" t="n">
        <v>0</v>
      </c>
      <c r="W12" s="15" t="n">
        <f aca="false">U12+V12</f>
        <v>350</v>
      </c>
    </row>
    <row r="13" customFormat="false" ht="15" hidden="false" customHeight="false" outlineLevel="0" collapsed="false">
      <c r="A13" s="3" t="s">
        <v>1604</v>
      </c>
      <c r="B13" s="3" t="s">
        <v>1605</v>
      </c>
      <c r="C13" s="3" t="s">
        <v>452</v>
      </c>
      <c r="D13" s="3" t="s">
        <v>125</v>
      </c>
      <c r="E13" s="13" t="n">
        <v>370000</v>
      </c>
      <c r="F13" s="13" t="n">
        <v>4509.7</v>
      </c>
      <c r="G13" s="13" t="n">
        <v>563.71</v>
      </c>
      <c r="H13" s="13" t="n">
        <v>563.71</v>
      </c>
      <c r="I13" s="13" t="n">
        <f aca="false">SUM(K13:T13)</f>
        <v>3382.3</v>
      </c>
      <c r="J13" s="13" t="n">
        <f aca="false">F13-(G13+H13+I13)</f>
        <v>-0.0200000000004366</v>
      </c>
      <c r="K13" s="13" t="n">
        <v>338.23</v>
      </c>
      <c r="L13" s="13" t="n">
        <v>338.23</v>
      </c>
      <c r="M13" s="13" t="n">
        <v>338.23</v>
      </c>
      <c r="N13" s="13" t="n">
        <v>338.23</v>
      </c>
      <c r="O13" s="13" t="n">
        <v>338.23</v>
      </c>
      <c r="P13" s="13" t="n">
        <v>338.23</v>
      </c>
      <c r="Q13" s="13" t="n">
        <v>338.23</v>
      </c>
      <c r="R13" s="13" t="n">
        <v>338.23</v>
      </c>
      <c r="S13" s="13" t="n">
        <v>338.23</v>
      </c>
      <c r="T13" s="13" t="n">
        <v>338.23</v>
      </c>
      <c r="U13" s="13" t="n">
        <v>350</v>
      </c>
      <c r="V13" s="13" t="n">
        <v>0</v>
      </c>
      <c r="W13" s="13" t="n">
        <f aca="false">U13+V13</f>
        <v>350</v>
      </c>
    </row>
    <row r="14" customFormat="false" ht="15" hidden="false" customHeight="false" outlineLevel="0" collapsed="false">
      <c r="A14" s="14" t="s">
        <v>1606</v>
      </c>
      <c r="B14" s="14" t="s">
        <v>1597</v>
      </c>
      <c r="C14" s="14" t="s">
        <v>620</v>
      </c>
      <c r="D14" s="14" t="s">
        <v>256</v>
      </c>
      <c r="E14" s="15" t="n">
        <v>705000</v>
      </c>
      <c r="F14" s="15" t="n">
        <v>10317.33</v>
      </c>
      <c r="G14" s="15" t="n">
        <v>1289.67</v>
      </c>
      <c r="H14" s="15" t="n">
        <v>1289.67</v>
      </c>
      <c r="I14" s="15" t="n">
        <f aca="false">SUM(K14:T14)</f>
        <v>7738</v>
      </c>
      <c r="J14" s="15" t="n">
        <f aca="false">F14-(G14+H14+I14)</f>
        <v>-0.0100000000002183</v>
      </c>
      <c r="K14" s="15" t="n">
        <v>773.8</v>
      </c>
      <c r="L14" s="15" t="n">
        <v>773.8</v>
      </c>
      <c r="M14" s="15" t="n">
        <v>773.8</v>
      </c>
      <c r="N14" s="15" t="n">
        <v>773.8</v>
      </c>
      <c r="O14" s="15" t="n">
        <v>773.8</v>
      </c>
      <c r="P14" s="15" t="n">
        <v>773.8</v>
      </c>
      <c r="Q14" s="15" t="n">
        <v>773.8</v>
      </c>
      <c r="R14" s="15" t="n">
        <v>773.8</v>
      </c>
      <c r="S14" s="15" t="n">
        <v>773.8</v>
      </c>
      <c r="T14" s="15" t="n">
        <v>773.8</v>
      </c>
      <c r="U14" s="15" t="n">
        <v>350</v>
      </c>
      <c r="V14" s="15" t="n">
        <v>0</v>
      </c>
      <c r="W14" s="15" t="n">
        <f aca="false">U14+V14</f>
        <v>350</v>
      </c>
    </row>
    <row r="15" customFormat="false" ht="15" hidden="false" customHeight="false" outlineLevel="0" collapsed="false">
      <c r="A15" s="3" t="s">
        <v>1607</v>
      </c>
      <c r="B15" s="3" t="s">
        <v>1608</v>
      </c>
      <c r="C15" s="3" t="s">
        <v>376</v>
      </c>
      <c r="D15" s="3" t="s">
        <v>208</v>
      </c>
      <c r="E15" s="13" t="n">
        <v>1330000</v>
      </c>
      <c r="F15" s="13" t="n">
        <v>23415.22</v>
      </c>
      <c r="G15" s="13" t="n">
        <v>2926.9</v>
      </c>
      <c r="H15" s="13" t="n">
        <v>2926.9</v>
      </c>
      <c r="I15" s="13" t="n">
        <f aca="false">SUM(K15:T15)</f>
        <v>17561.4</v>
      </c>
      <c r="J15" s="13" t="n">
        <f aca="false">F15-(G15+H15+I15)</f>
        <v>0.0200000000004366</v>
      </c>
      <c r="K15" s="13" t="n">
        <v>1756.14</v>
      </c>
      <c r="L15" s="13" t="n">
        <v>1756.14</v>
      </c>
      <c r="M15" s="13" t="n">
        <v>1756.14</v>
      </c>
      <c r="N15" s="13" t="n">
        <v>1756.14</v>
      </c>
      <c r="O15" s="13" t="n">
        <v>1756.14</v>
      </c>
      <c r="P15" s="13" t="n">
        <v>1756.14</v>
      </c>
      <c r="Q15" s="13" t="n">
        <v>1756.14</v>
      </c>
      <c r="R15" s="13" t="n">
        <v>1756.14</v>
      </c>
      <c r="S15" s="13" t="n">
        <v>1756.14</v>
      </c>
      <c r="T15" s="13" t="n">
        <v>1756.14</v>
      </c>
      <c r="U15" s="13" t="n">
        <v>350</v>
      </c>
      <c r="V15" s="13" t="n">
        <v>250</v>
      </c>
      <c r="W15" s="13" t="n">
        <f aca="false">U15+V15</f>
        <v>600</v>
      </c>
    </row>
    <row r="16" customFormat="false" ht="15" hidden="false" customHeight="false" outlineLevel="0" collapsed="false">
      <c r="A16" s="14" t="s">
        <v>1609</v>
      </c>
      <c r="B16" s="14" t="s">
        <v>1610</v>
      </c>
      <c r="C16" s="14" t="s">
        <v>725</v>
      </c>
      <c r="D16" s="14" t="s">
        <v>93</v>
      </c>
      <c r="E16" s="15" t="n">
        <v>1145000</v>
      </c>
      <c r="F16" s="15" t="n">
        <v>16870.88</v>
      </c>
      <c r="G16" s="15" t="n">
        <v>2108.86</v>
      </c>
      <c r="H16" s="15" t="n">
        <v>2108.86</v>
      </c>
      <c r="I16" s="15" t="n">
        <f aca="false">SUM(K16:T16)</f>
        <v>12653.2</v>
      </c>
      <c r="J16" s="15" t="n">
        <f aca="false">F16-(G16+H16+I16)</f>
        <v>-0.0399999999972351</v>
      </c>
      <c r="K16" s="15" t="n">
        <v>1265.32</v>
      </c>
      <c r="L16" s="15" t="n">
        <v>1265.32</v>
      </c>
      <c r="M16" s="15" t="n">
        <v>1265.32</v>
      </c>
      <c r="N16" s="15" t="n">
        <v>1265.32</v>
      </c>
      <c r="O16" s="15" t="n">
        <v>1265.32</v>
      </c>
      <c r="P16" s="15" t="n">
        <v>1265.32</v>
      </c>
      <c r="Q16" s="15" t="n">
        <v>1265.32</v>
      </c>
      <c r="R16" s="15" t="n">
        <v>1265.32</v>
      </c>
      <c r="S16" s="15" t="n">
        <v>1265.32</v>
      </c>
      <c r="T16" s="15" t="n">
        <v>1265.32</v>
      </c>
      <c r="U16" s="15" t="n">
        <v>350</v>
      </c>
      <c r="V16" s="15" t="n">
        <v>250</v>
      </c>
      <c r="W16" s="15" t="n">
        <f aca="false">U16+V16</f>
        <v>600</v>
      </c>
    </row>
    <row r="17" customFormat="false" ht="15" hidden="false" customHeight="false" outlineLevel="0" collapsed="false">
      <c r="A17" s="3" t="s">
        <v>1611</v>
      </c>
      <c r="B17" s="3" t="s">
        <v>1610</v>
      </c>
      <c r="C17" s="3" t="s">
        <v>1612</v>
      </c>
      <c r="D17" s="3" t="s">
        <v>163</v>
      </c>
      <c r="E17" s="13" t="n">
        <v>355000</v>
      </c>
      <c r="F17" s="13" t="n">
        <v>4597.31</v>
      </c>
      <c r="G17" s="13" t="n">
        <v>574.66</v>
      </c>
      <c r="H17" s="13" t="n">
        <v>574.66</v>
      </c>
      <c r="I17" s="13" t="n">
        <f aca="false">SUM(K17:T17)</f>
        <v>3448</v>
      </c>
      <c r="J17" s="13" t="n">
        <f aca="false">F17-(G17+H17+I17)</f>
        <v>-0.0100000000002183</v>
      </c>
      <c r="K17" s="13" t="n">
        <v>344.8</v>
      </c>
      <c r="L17" s="13" t="n">
        <v>344.8</v>
      </c>
      <c r="M17" s="13" t="n">
        <v>344.8</v>
      </c>
      <c r="N17" s="13" t="n">
        <v>344.8</v>
      </c>
      <c r="O17" s="13" t="n">
        <v>344.8</v>
      </c>
      <c r="P17" s="13" t="n">
        <v>344.8</v>
      </c>
      <c r="Q17" s="13" t="n">
        <v>344.8</v>
      </c>
      <c r="R17" s="13" t="n">
        <v>344.8</v>
      </c>
      <c r="S17" s="13" t="n">
        <v>344.8</v>
      </c>
      <c r="T17" s="13" t="n">
        <v>344.8</v>
      </c>
      <c r="U17" s="13" t="n">
        <v>350</v>
      </c>
      <c r="V17" s="13" t="n">
        <v>0</v>
      </c>
      <c r="W17" s="13" t="n">
        <f aca="false">U17+V17</f>
        <v>350</v>
      </c>
    </row>
    <row r="18" customFormat="false" ht="15" hidden="false" customHeight="false" outlineLevel="0" collapsed="false">
      <c r="A18" s="14" t="s">
        <v>1613</v>
      </c>
      <c r="B18" s="14" t="s">
        <v>1614</v>
      </c>
      <c r="C18" s="14" t="s">
        <v>1458</v>
      </c>
      <c r="D18" s="14" t="s">
        <v>102</v>
      </c>
      <c r="E18" s="15" t="n">
        <v>555000</v>
      </c>
      <c r="F18" s="15" t="n">
        <v>7022.91</v>
      </c>
      <c r="G18" s="15" t="n">
        <v>877.86</v>
      </c>
      <c r="H18" s="15" t="n">
        <v>877.86</v>
      </c>
      <c r="I18" s="15" t="n">
        <f aca="false">SUM(K18:T18)</f>
        <v>5267.2</v>
      </c>
      <c r="J18" s="15" t="n">
        <f aca="false">F18-(G18+H18+I18)</f>
        <v>-0.0100000000011278</v>
      </c>
      <c r="K18" s="15" t="n">
        <v>526.72</v>
      </c>
      <c r="L18" s="15" t="n">
        <v>526.72</v>
      </c>
      <c r="M18" s="15" t="n">
        <v>526.72</v>
      </c>
      <c r="N18" s="15" t="n">
        <v>526.72</v>
      </c>
      <c r="O18" s="15" t="n">
        <v>526.72</v>
      </c>
      <c r="P18" s="15" t="n">
        <v>526.72</v>
      </c>
      <c r="Q18" s="15" t="n">
        <v>526.72</v>
      </c>
      <c r="R18" s="15" t="n">
        <v>526.72</v>
      </c>
      <c r="S18" s="15" t="n">
        <v>526.72</v>
      </c>
      <c r="T18" s="15" t="n">
        <v>526.72</v>
      </c>
      <c r="U18" s="15" t="n">
        <v>350</v>
      </c>
      <c r="V18" s="15" t="n">
        <v>0</v>
      </c>
      <c r="W18" s="15" t="n">
        <f aca="false">U18+V18</f>
        <v>350</v>
      </c>
    </row>
    <row r="19" customFormat="false" ht="15" hidden="false" customHeight="false" outlineLevel="0" collapsed="false">
      <c r="A19" s="3" t="s">
        <v>1615</v>
      </c>
      <c r="B19" s="3" t="s">
        <v>1591</v>
      </c>
      <c r="C19" s="3" t="s">
        <v>1123</v>
      </c>
      <c r="D19" s="3" t="s">
        <v>222</v>
      </c>
      <c r="E19" s="13" t="n">
        <v>1425000</v>
      </c>
      <c r="F19" s="13" t="n">
        <v>10083.34</v>
      </c>
      <c r="G19" s="13" t="n">
        <v>1260.42</v>
      </c>
      <c r="H19" s="13" t="n">
        <v>1260.42</v>
      </c>
      <c r="I19" s="13" t="n">
        <f aca="false">SUM(K19:T19)</f>
        <v>7562.5</v>
      </c>
      <c r="J19" s="13" t="n">
        <f aca="false">F19-(G19+H19+I19)</f>
        <v>0</v>
      </c>
      <c r="K19" s="13" t="n">
        <v>756.25</v>
      </c>
      <c r="L19" s="13" t="n">
        <v>756.25</v>
      </c>
      <c r="M19" s="13" t="n">
        <v>756.25</v>
      </c>
      <c r="N19" s="13" t="n">
        <v>756.25</v>
      </c>
      <c r="O19" s="13" t="n">
        <v>756.25</v>
      </c>
      <c r="P19" s="13" t="n">
        <v>756.25</v>
      </c>
      <c r="Q19" s="13" t="n">
        <v>756.25</v>
      </c>
      <c r="R19" s="13" t="n">
        <v>756.25</v>
      </c>
      <c r="S19" s="13" t="n">
        <v>756.25</v>
      </c>
      <c r="T19" s="13" t="n">
        <v>756.25</v>
      </c>
      <c r="U19" s="13" t="n">
        <v>350</v>
      </c>
      <c r="V19" s="13" t="n">
        <v>250</v>
      </c>
      <c r="W19" s="13" t="n">
        <f aca="false">U19+V19</f>
        <v>600</v>
      </c>
    </row>
    <row r="20" customFormat="false" ht="15" hidden="false" customHeight="false" outlineLevel="0" collapsed="false">
      <c r="A20" s="14" t="s">
        <v>1616</v>
      </c>
      <c r="B20" s="14" t="s">
        <v>1614</v>
      </c>
      <c r="C20" s="14" t="s">
        <v>1172</v>
      </c>
      <c r="D20" s="14" t="s">
        <v>382</v>
      </c>
      <c r="E20" s="15" t="n">
        <v>720000</v>
      </c>
      <c r="F20" s="15" t="n">
        <v>5187.38</v>
      </c>
      <c r="G20" s="15" t="n">
        <v>648.42</v>
      </c>
      <c r="H20" s="15" t="n">
        <v>648.42</v>
      </c>
      <c r="I20" s="15" t="n">
        <f aca="false">SUM(K20:T20)</f>
        <v>3890.5</v>
      </c>
      <c r="J20" s="15" t="n">
        <f aca="false">F20-(G20+H20+I20)</f>
        <v>0.0399999999999636</v>
      </c>
      <c r="K20" s="15" t="n">
        <v>389.05</v>
      </c>
      <c r="L20" s="15" t="n">
        <v>389.05</v>
      </c>
      <c r="M20" s="15" t="n">
        <v>389.05</v>
      </c>
      <c r="N20" s="15" t="n">
        <v>389.05</v>
      </c>
      <c r="O20" s="15" t="n">
        <v>389.05</v>
      </c>
      <c r="P20" s="15" t="n">
        <v>389.05</v>
      </c>
      <c r="Q20" s="15" t="n">
        <v>389.05</v>
      </c>
      <c r="R20" s="15" t="n">
        <v>389.05</v>
      </c>
      <c r="S20" s="15" t="n">
        <v>389.05</v>
      </c>
      <c r="T20" s="15" t="n">
        <v>389.05</v>
      </c>
      <c r="U20" s="15" t="n">
        <v>350</v>
      </c>
      <c r="V20" s="15" t="n">
        <v>0</v>
      </c>
      <c r="W20" s="15" t="n">
        <f aca="false">U20+V20</f>
        <v>350</v>
      </c>
    </row>
    <row r="21" customFormat="false" ht="15" hidden="false" customHeight="false" outlineLevel="0" collapsed="false">
      <c r="A21" s="3" t="s">
        <v>1617</v>
      </c>
      <c r="B21" s="3" t="s">
        <v>1618</v>
      </c>
      <c r="C21" s="3" t="s">
        <v>1619</v>
      </c>
      <c r="D21" s="3" t="s">
        <v>352</v>
      </c>
      <c r="E21" s="13" t="n">
        <v>370000</v>
      </c>
      <c r="F21" s="13" t="n">
        <v>5308.29</v>
      </c>
      <c r="G21" s="13" t="n">
        <v>663.54</v>
      </c>
      <c r="H21" s="13" t="n">
        <v>663.54</v>
      </c>
      <c r="I21" s="13" t="n">
        <f aca="false">SUM(K21:T21)</f>
        <v>3981.2</v>
      </c>
      <c r="J21" s="13" t="n">
        <f aca="false">F21-(G21+H21+I21)</f>
        <v>0.0100000000002183</v>
      </c>
      <c r="K21" s="13" t="n">
        <v>398.12</v>
      </c>
      <c r="L21" s="13" t="n">
        <v>398.12</v>
      </c>
      <c r="M21" s="13" t="n">
        <v>398.12</v>
      </c>
      <c r="N21" s="13" t="n">
        <v>398.12</v>
      </c>
      <c r="O21" s="13" t="n">
        <v>398.12</v>
      </c>
      <c r="P21" s="13" t="n">
        <v>398.12</v>
      </c>
      <c r="Q21" s="13" t="n">
        <v>398.12</v>
      </c>
      <c r="R21" s="13" t="n">
        <v>398.12</v>
      </c>
      <c r="S21" s="13" t="n">
        <v>398.12</v>
      </c>
      <c r="T21" s="13" t="n">
        <v>398.12</v>
      </c>
      <c r="U21" s="13" t="n">
        <v>350</v>
      </c>
      <c r="V21" s="13" t="n">
        <v>0</v>
      </c>
      <c r="W21" s="13" t="n">
        <f aca="false">U21+V21</f>
        <v>350</v>
      </c>
    </row>
    <row r="22" customFormat="false" ht="15" hidden="false" customHeight="false" outlineLevel="0" collapsed="false">
      <c r="A22" s="14" t="s">
        <v>1620</v>
      </c>
      <c r="B22" s="14" t="s">
        <v>1597</v>
      </c>
      <c r="C22" s="14" t="s">
        <v>1621</v>
      </c>
      <c r="D22" s="14" t="s">
        <v>189</v>
      </c>
      <c r="E22" s="15" t="n">
        <v>205000</v>
      </c>
      <c r="F22" s="15" t="n">
        <v>3511.95</v>
      </c>
      <c r="G22" s="15" t="n">
        <v>438.99</v>
      </c>
      <c r="H22" s="15" t="n">
        <v>438.99</v>
      </c>
      <c r="I22" s="15" t="n">
        <f aca="false">SUM(K22:T22)</f>
        <v>2634</v>
      </c>
      <c r="J22" s="15" t="n">
        <f aca="false">F22-(G22+H22+I22)</f>
        <v>-0.0300000000002001</v>
      </c>
      <c r="K22" s="15" t="n">
        <v>263.4</v>
      </c>
      <c r="L22" s="15" t="n">
        <v>263.4</v>
      </c>
      <c r="M22" s="15" t="n">
        <v>263.4</v>
      </c>
      <c r="N22" s="15" t="n">
        <v>263.4</v>
      </c>
      <c r="O22" s="15" t="n">
        <v>263.4</v>
      </c>
      <c r="P22" s="15" t="n">
        <v>263.4</v>
      </c>
      <c r="Q22" s="15" t="n">
        <v>263.4</v>
      </c>
      <c r="R22" s="15" t="n">
        <v>263.4</v>
      </c>
      <c r="S22" s="15" t="n">
        <v>263.4</v>
      </c>
      <c r="T22" s="15" t="n">
        <v>263.4</v>
      </c>
      <c r="U22" s="15" t="n">
        <v>350</v>
      </c>
      <c r="V22" s="15" t="n">
        <v>0</v>
      </c>
      <c r="W22" s="15" t="n">
        <f aca="false">U22+V22</f>
        <v>350</v>
      </c>
    </row>
    <row r="23" customFormat="false" ht="15" hidden="false" customHeight="false" outlineLevel="0" collapsed="false">
      <c r="A23" s="3" t="s">
        <v>1622</v>
      </c>
      <c r="B23" s="3" t="s">
        <v>1623</v>
      </c>
      <c r="C23" s="3" t="s">
        <v>737</v>
      </c>
      <c r="D23" s="3" t="s">
        <v>93</v>
      </c>
      <c r="E23" s="13" t="n">
        <v>490000</v>
      </c>
      <c r="F23" s="13" t="n">
        <v>12210.05</v>
      </c>
      <c r="G23" s="13" t="n">
        <v>1526.26</v>
      </c>
      <c r="H23" s="13" t="n">
        <v>1526.26</v>
      </c>
      <c r="I23" s="13" t="n">
        <f aca="false">SUM(K23:T23)</f>
        <v>9157.5</v>
      </c>
      <c r="J23" s="13" t="n">
        <f aca="false">F23-(G23+H23+I23)</f>
        <v>0.0299999999988358</v>
      </c>
      <c r="K23" s="13" t="n">
        <v>915.75</v>
      </c>
      <c r="L23" s="13" t="n">
        <v>915.75</v>
      </c>
      <c r="M23" s="13" t="n">
        <v>915.75</v>
      </c>
      <c r="N23" s="13" t="n">
        <v>915.75</v>
      </c>
      <c r="O23" s="13" t="n">
        <v>915.75</v>
      </c>
      <c r="P23" s="13" t="n">
        <v>915.75</v>
      </c>
      <c r="Q23" s="13" t="n">
        <v>915.75</v>
      </c>
      <c r="R23" s="13" t="n">
        <v>915.75</v>
      </c>
      <c r="S23" s="13" t="n">
        <v>915.75</v>
      </c>
      <c r="T23" s="13" t="n">
        <v>915.75</v>
      </c>
      <c r="U23" s="13" t="n">
        <v>350</v>
      </c>
      <c r="V23" s="13" t="n">
        <v>0</v>
      </c>
      <c r="W23" s="13" t="n">
        <f aca="false">U23+V23</f>
        <v>350</v>
      </c>
    </row>
    <row r="24" customFormat="false" ht="15" hidden="false" customHeight="false" outlineLevel="0" collapsed="false">
      <c r="A24" s="14" t="s">
        <v>1624</v>
      </c>
      <c r="B24" s="14" t="s">
        <v>1591</v>
      </c>
      <c r="C24" s="14" t="s">
        <v>1625</v>
      </c>
      <c r="D24" s="14" t="s">
        <v>138</v>
      </c>
      <c r="E24" s="15" t="n">
        <v>835000</v>
      </c>
      <c r="F24" s="15" t="n">
        <v>6989.83</v>
      </c>
      <c r="G24" s="15" t="n">
        <v>873.73</v>
      </c>
      <c r="H24" s="15" t="n">
        <v>873.73</v>
      </c>
      <c r="I24" s="15" t="n">
        <f aca="false">SUM(K24:T24)</f>
        <v>5242.4</v>
      </c>
      <c r="J24" s="15" t="n">
        <f aca="false">F24-(G24+H24+I24)</f>
        <v>-0.0299999999997453</v>
      </c>
      <c r="K24" s="15" t="n">
        <v>524.24</v>
      </c>
      <c r="L24" s="15" t="n">
        <v>524.24</v>
      </c>
      <c r="M24" s="15" t="n">
        <v>524.24</v>
      </c>
      <c r="N24" s="15" t="n">
        <v>524.24</v>
      </c>
      <c r="O24" s="15" t="n">
        <v>524.24</v>
      </c>
      <c r="P24" s="15" t="n">
        <v>524.24</v>
      </c>
      <c r="Q24" s="15" t="n">
        <v>524.24</v>
      </c>
      <c r="R24" s="15" t="n">
        <v>524.24</v>
      </c>
      <c r="S24" s="15" t="n">
        <v>524.24</v>
      </c>
      <c r="T24" s="15" t="n">
        <v>524.24</v>
      </c>
      <c r="U24" s="15" t="n">
        <v>350</v>
      </c>
      <c r="V24" s="15" t="n">
        <v>0</v>
      </c>
      <c r="W24" s="15" t="n">
        <f aca="false">U24+V24</f>
        <v>350</v>
      </c>
    </row>
    <row r="25" customFormat="false" ht="15" hidden="false" customHeight="false" outlineLevel="0" collapsed="false">
      <c r="A25" s="3" t="s">
        <v>1626</v>
      </c>
      <c r="B25" s="3" t="s">
        <v>1627</v>
      </c>
      <c r="C25" s="3" t="s">
        <v>535</v>
      </c>
      <c r="D25" s="3" t="s">
        <v>911</v>
      </c>
      <c r="E25" s="13" t="n">
        <v>1170000</v>
      </c>
      <c r="F25" s="13" t="n">
        <v>11764.83</v>
      </c>
      <c r="G25" s="13" t="n">
        <v>1470.6</v>
      </c>
      <c r="H25" s="13" t="n">
        <v>1470.6</v>
      </c>
      <c r="I25" s="13" t="n">
        <f aca="false">SUM(K25:T25)</f>
        <v>8823.6</v>
      </c>
      <c r="J25" s="13" t="n">
        <f aca="false">F25-(G25+H25+I25)</f>
        <v>0.0300000000006548</v>
      </c>
      <c r="K25" s="13" t="n">
        <v>882.36</v>
      </c>
      <c r="L25" s="13" t="n">
        <v>882.36</v>
      </c>
      <c r="M25" s="13" t="n">
        <v>882.36</v>
      </c>
      <c r="N25" s="13" t="n">
        <v>882.36</v>
      </c>
      <c r="O25" s="13" t="n">
        <v>882.36</v>
      </c>
      <c r="P25" s="13" t="n">
        <v>882.36</v>
      </c>
      <c r="Q25" s="13" t="n">
        <v>882.36</v>
      </c>
      <c r="R25" s="13" t="n">
        <v>882.36</v>
      </c>
      <c r="S25" s="13" t="n">
        <v>882.36</v>
      </c>
      <c r="T25" s="13" t="n">
        <v>882.36</v>
      </c>
      <c r="U25" s="13" t="n">
        <v>350</v>
      </c>
      <c r="V25" s="13" t="n">
        <v>250</v>
      </c>
      <c r="W25" s="13" t="n">
        <f aca="false">U25+V25</f>
        <v>600</v>
      </c>
    </row>
    <row r="26" customFormat="false" ht="15" hidden="false" customHeight="false" outlineLevel="0" collapsed="false">
      <c r="A26" s="14" t="s">
        <v>1628</v>
      </c>
      <c r="B26" s="14" t="s">
        <v>1629</v>
      </c>
      <c r="C26" s="14" t="s">
        <v>1351</v>
      </c>
      <c r="D26" s="14" t="s">
        <v>125</v>
      </c>
      <c r="E26" s="15" t="n">
        <v>1225000</v>
      </c>
      <c r="F26" s="15" t="n">
        <v>15926.14</v>
      </c>
      <c r="G26" s="15" t="n">
        <v>1990.77</v>
      </c>
      <c r="H26" s="15" t="n">
        <v>1990.77</v>
      </c>
      <c r="I26" s="15" t="n">
        <f aca="false">SUM(K26:T26)</f>
        <v>11944.6</v>
      </c>
      <c r="J26" s="15" t="n">
        <f aca="false">F26-(G26+H26+I26)</f>
        <v>0</v>
      </c>
      <c r="K26" s="15" t="n">
        <v>1194.46</v>
      </c>
      <c r="L26" s="15" t="n">
        <v>1194.46</v>
      </c>
      <c r="M26" s="15" t="n">
        <v>1194.46</v>
      </c>
      <c r="N26" s="15" t="n">
        <v>1194.46</v>
      </c>
      <c r="O26" s="15" t="n">
        <v>1194.46</v>
      </c>
      <c r="P26" s="15" t="n">
        <v>1194.46</v>
      </c>
      <c r="Q26" s="15" t="n">
        <v>1194.46</v>
      </c>
      <c r="R26" s="15" t="n">
        <v>1194.46</v>
      </c>
      <c r="S26" s="15" t="n">
        <v>1194.46</v>
      </c>
      <c r="T26" s="15" t="n">
        <v>1194.46</v>
      </c>
      <c r="U26" s="15" t="n">
        <v>350</v>
      </c>
      <c r="V26" s="15" t="n">
        <v>250</v>
      </c>
      <c r="W26" s="15" t="n">
        <f aca="false">U26+V26</f>
        <v>600</v>
      </c>
    </row>
    <row r="27" customFormat="false" ht="15" hidden="false" customHeight="false" outlineLevel="0" collapsed="false">
      <c r="A27" s="3" t="s">
        <v>1630</v>
      </c>
      <c r="B27" s="3" t="s">
        <v>1631</v>
      </c>
      <c r="C27" s="3" t="s">
        <v>366</v>
      </c>
      <c r="D27" s="3" t="s">
        <v>911</v>
      </c>
      <c r="E27" s="13" t="n">
        <v>235000</v>
      </c>
      <c r="F27" s="13" t="n">
        <v>3952.69</v>
      </c>
      <c r="G27" s="13" t="n">
        <v>494.09</v>
      </c>
      <c r="H27" s="13" t="n">
        <v>494.09</v>
      </c>
      <c r="I27" s="13" t="n">
        <f aca="false">SUM(K27:T27)</f>
        <v>2964.5</v>
      </c>
      <c r="J27" s="13" t="n">
        <f aca="false">F27-(G27+H27+I27)</f>
        <v>0.010000000000673</v>
      </c>
      <c r="K27" s="13" t="n">
        <v>296.45</v>
      </c>
      <c r="L27" s="13" t="n">
        <v>296.45</v>
      </c>
      <c r="M27" s="13" t="n">
        <v>296.45</v>
      </c>
      <c r="N27" s="13" t="n">
        <v>296.45</v>
      </c>
      <c r="O27" s="13" t="n">
        <v>296.45</v>
      </c>
      <c r="P27" s="13" t="n">
        <v>296.45</v>
      </c>
      <c r="Q27" s="13" t="n">
        <v>296.45</v>
      </c>
      <c r="R27" s="13" t="n">
        <v>296.45</v>
      </c>
      <c r="S27" s="13" t="n">
        <v>296.45</v>
      </c>
      <c r="T27" s="13" t="n">
        <v>296.45</v>
      </c>
      <c r="U27" s="13" t="n">
        <v>350</v>
      </c>
      <c r="V27" s="13" t="n">
        <v>0</v>
      </c>
      <c r="W27" s="13" t="n">
        <f aca="false">U27+V27</f>
        <v>350</v>
      </c>
    </row>
    <row r="28" customFormat="false" ht="15" hidden="false" customHeight="false" outlineLevel="0" collapsed="false">
      <c r="A28" s="14" t="s">
        <v>1632</v>
      </c>
      <c r="B28" s="14" t="s">
        <v>1595</v>
      </c>
      <c r="C28" s="14" t="s">
        <v>199</v>
      </c>
      <c r="D28" s="14" t="s">
        <v>172</v>
      </c>
      <c r="E28" s="15" t="n">
        <v>390000</v>
      </c>
      <c r="F28" s="15" t="n">
        <v>5149.59</v>
      </c>
      <c r="G28" s="15" t="n">
        <v>643.7</v>
      </c>
      <c r="H28" s="15" t="n">
        <v>643.7</v>
      </c>
      <c r="I28" s="15" t="n">
        <f aca="false">SUM(K28:T28)</f>
        <v>3862.2</v>
      </c>
      <c r="J28" s="15" t="n">
        <f aca="false">F28-(G28+H28+I28)</f>
        <v>-0.0100000000002183</v>
      </c>
      <c r="K28" s="15" t="n">
        <v>386.22</v>
      </c>
      <c r="L28" s="15" t="n">
        <v>386.22</v>
      </c>
      <c r="M28" s="15" t="n">
        <v>386.22</v>
      </c>
      <c r="N28" s="15" t="n">
        <v>386.22</v>
      </c>
      <c r="O28" s="15" t="n">
        <v>386.22</v>
      </c>
      <c r="P28" s="15" t="n">
        <v>386.22</v>
      </c>
      <c r="Q28" s="15" t="n">
        <v>386.22</v>
      </c>
      <c r="R28" s="15" t="n">
        <v>386.22</v>
      </c>
      <c r="S28" s="15" t="n">
        <v>386.22</v>
      </c>
      <c r="T28" s="15" t="n">
        <v>386.22</v>
      </c>
      <c r="U28" s="15" t="n">
        <v>350</v>
      </c>
      <c r="V28" s="15" t="n">
        <v>0</v>
      </c>
      <c r="W28" s="15" t="n">
        <f aca="false">U28+V28</f>
        <v>350</v>
      </c>
    </row>
    <row r="29" customFormat="false" ht="15" hidden="false" customHeight="false" outlineLevel="0" collapsed="false">
      <c r="A29" s="3" t="s">
        <v>1633</v>
      </c>
      <c r="B29" s="3" t="s">
        <v>1605</v>
      </c>
      <c r="C29" s="3" t="s">
        <v>160</v>
      </c>
      <c r="D29" s="3" t="s">
        <v>85</v>
      </c>
      <c r="E29" s="13" t="n">
        <v>1950000</v>
      </c>
      <c r="F29" s="13" t="n">
        <v>25236.29</v>
      </c>
      <c r="G29" s="13" t="n">
        <v>3154.54</v>
      </c>
      <c r="H29" s="13" t="n">
        <v>3154.54</v>
      </c>
      <c r="I29" s="13" t="n">
        <f aca="false">SUM(K29:T29)</f>
        <v>18927.2</v>
      </c>
      <c r="J29" s="13" t="n">
        <f aca="false">F29-(G29+H29+I29)</f>
        <v>0.0100000000020373</v>
      </c>
      <c r="K29" s="13" t="n">
        <v>1892.72</v>
      </c>
      <c r="L29" s="13" t="n">
        <v>1892.72</v>
      </c>
      <c r="M29" s="13" t="n">
        <v>1892.72</v>
      </c>
      <c r="N29" s="13" t="n">
        <v>1892.72</v>
      </c>
      <c r="O29" s="13" t="n">
        <v>1892.72</v>
      </c>
      <c r="P29" s="13" t="n">
        <v>1892.72</v>
      </c>
      <c r="Q29" s="13" t="n">
        <v>1892.72</v>
      </c>
      <c r="R29" s="13" t="n">
        <v>1892.72</v>
      </c>
      <c r="S29" s="13" t="n">
        <v>1892.72</v>
      </c>
      <c r="T29" s="13" t="n">
        <v>1892.72</v>
      </c>
      <c r="U29" s="13" t="n">
        <v>350</v>
      </c>
      <c r="V29" s="13" t="n">
        <v>250</v>
      </c>
      <c r="W29" s="13" t="n">
        <f aca="false">U29+V29</f>
        <v>600</v>
      </c>
    </row>
    <row r="30" customFormat="false" ht="15" hidden="false" customHeight="false" outlineLevel="0" collapsed="false">
      <c r="A30" s="14" t="s">
        <v>1634</v>
      </c>
      <c r="B30" s="14" t="s">
        <v>1608</v>
      </c>
      <c r="C30" s="14" t="s">
        <v>710</v>
      </c>
      <c r="D30" s="14" t="s">
        <v>99</v>
      </c>
      <c r="E30" s="15" t="n">
        <v>1455000</v>
      </c>
      <c r="F30" s="15" t="n">
        <v>26798.18</v>
      </c>
      <c r="G30" s="15" t="n">
        <v>3349.77</v>
      </c>
      <c r="H30" s="15" t="n">
        <v>3349.77</v>
      </c>
      <c r="I30" s="15" t="n">
        <f aca="false">SUM(K30:T30)</f>
        <v>20098.6</v>
      </c>
      <c r="J30" s="15" t="n">
        <f aca="false">F30-(G30+H30+I30)</f>
        <v>0.0400000000008731</v>
      </c>
      <c r="K30" s="15" t="n">
        <v>2009.86</v>
      </c>
      <c r="L30" s="15" t="n">
        <v>2009.86</v>
      </c>
      <c r="M30" s="15" t="n">
        <v>2009.86</v>
      </c>
      <c r="N30" s="15" t="n">
        <v>2009.86</v>
      </c>
      <c r="O30" s="15" t="n">
        <v>2009.86</v>
      </c>
      <c r="P30" s="15" t="n">
        <v>2009.86</v>
      </c>
      <c r="Q30" s="15" t="n">
        <v>2009.86</v>
      </c>
      <c r="R30" s="15" t="n">
        <v>2009.86</v>
      </c>
      <c r="S30" s="15" t="n">
        <v>2009.86</v>
      </c>
      <c r="T30" s="15" t="n">
        <v>2009.86</v>
      </c>
      <c r="U30" s="15" t="n">
        <v>350</v>
      </c>
      <c r="V30" s="15" t="n">
        <v>250</v>
      </c>
      <c r="W30" s="15" t="n">
        <f aca="false">U30+V30</f>
        <v>600</v>
      </c>
    </row>
    <row r="31" customFormat="false" ht="15" hidden="false" customHeight="false" outlineLevel="0" collapsed="false">
      <c r="A31" s="3" t="s">
        <v>1635</v>
      </c>
      <c r="B31" s="3" t="s">
        <v>1636</v>
      </c>
      <c r="C31" s="3" t="s">
        <v>471</v>
      </c>
      <c r="D31" s="3" t="s">
        <v>99</v>
      </c>
      <c r="E31" s="13" t="n">
        <v>580000</v>
      </c>
      <c r="F31" s="13" t="n">
        <v>8679.48</v>
      </c>
      <c r="G31" s="13" t="n">
        <v>1084.93</v>
      </c>
      <c r="H31" s="13" t="n">
        <v>1084.93</v>
      </c>
      <c r="I31" s="13" t="n">
        <f aca="false">SUM(K31:T31)</f>
        <v>6509.6</v>
      </c>
      <c r="J31" s="13" t="n">
        <f aca="false">F31-(G31+H31+I31)</f>
        <v>0.0199999999986176</v>
      </c>
      <c r="K31" s="13" t="n">
        <v>650.96</v>
      </c>
      <c r="L31" s="13" t="n">
        <v>650.96</v>
      </c>
      <c r="M31" s="13" t="n">
        <v>650.96</v>
      </c>
      <c r="N31" s="13" t="n">
        <v>650.96</v>
      </c>
      <c r="O31" s="13" t="n">
        <v>650.96</v>
      </c>
      <c r="P31" s="13" t="n">
        <v>650.96</v>
      </c>
      <c r="Q31" s="13" t="n">
        <v>650.96</v>
      </c>
      <c r="R31" s="13" t="n">
        <v>650.96</v>
      </c>
      <c r="S31" s="13" t="n">
        <v>650.96</v>
      </c>
      <c r="T31" s="13" t="n">
        <v>650.96</v>
      </c>
      <c r="U31" s="13" t="n">
        <v>350</v>
      </c>
      <c r="V31" s="13" t="n">
        <v>0</v>
      </c>
      <c r="W31" s="13" t="n">
        <f aca="false">U31+V31</f>
        <v>350</v>
      </c>
    </row>
    <row r="32" customFormat="false" ht="15" hidden="false" customHeight="false" outlineLevel="0" collapsed="false">
      <c r="A32" s="14" t="s">
        <v>1637</v>
      </c>
      <c r="B32" s="14" t="s">
        <v>1631</v>
      </c>
      <c r="C32" s="14" t="s">
        <v>1638</v>
      </c>
      <c r="D32" s="14" t="s">
        <v>166</v>
      </c>
      <c r="E32" s="15" t="n">
        <v>830000</v>
      </c>
      <c r="F32" s="15" t="n">
        <v>12329.3</v>
      </c>
      <c r="G32" s="15" t="n">
        <v>1541.16</v>
      </c>
      <c r="H32" s="15" t="n">
        <v>1541.16</v>
      </c>
      <c r="I32" s="15" t="n">
        <f aca="false">SUM(K32:T32)</f>
        <v>9247</v>
      </c>
      <c r="J32" s="15" t="n">
        <f aca="false">F32-(G32+H32+I32)</f>
        <v>-0.0200000000022555</v>
      </c>
      <c r="K32" s="15" t="n">
        <v>924.7</v>
      </c>
      <c r="L32" s="15" t="n">
        <v>924.7</v>
      </c>
      <c r="M32" s="15" t="n">
        <v>924.7</v>
      </c>
      <c r="N32" s="15" t="n">
        <v>924.7</v>
      </c>
      <c r="O32" s="15" t="n">
        <v>924.7</v>
      </c>
      <c r="P32" s="15" t="n">
        <v>924.7</v>
      </c>
      <c r="Q32" s="15" t="n">
        <v>924.7</v>
      </c>
      <c r="R32" s="15" t="n">
        <v>924.7</v>
      </c>
      <c r="S32" s="15" t="n">
        <v>924.7</v>
      </c>
      <c r="T32" s="15" t="n">
        <v>924.7</v>
      </c>
      <c r="U32" s="15" t="n">
        <v>350</v>
      </c>
      <c r="V32" s="15" t="n">
        <v>0</v>
      </c>
      <c r="W32" s="15" t="n">
        <f aca="false">U32+V32</f>
        <v>350</v>
      </c>
    </row>
    <row r="33" customFormat="false" ht="15" hidden="false" customHeight="false" outlineLevel="0" collapsed="false">
      <c r="A33" s="3" t="s">
        <v>1639</v>
      </c>
      <c r="B33" s="3" t="s">
        <v>1640</v>
      </c>
      <c r="C33" s="3" t="s">
        <v>1641</v>
      </c>
      <c r="D33" s="3" t="s">
        <v>89</v>
      </c>
      <c r="E33" s="13" t="n">
        <v>885000</v>
      </c>
      <c r="F33" s="13" t="n">
        <v>13146.3</v>
      </c>
      <c r="G33" s="13" t="n">
        <v>1643.29</v>
      </c>
      <c r="H33" s="13" t="n">
        <v>1643.29</v>
      </c>
      <c r="I33" s="13" t="n">
        <f aca="false">SUM(K33:T33)</f>
        <v>9859.7</v>
      </c>
      <c r="J33" s="13" t="n">
        <f aca="false">F33-(G33+H33+I33)</f>
        <v>0.0200000000004366</v>
      </c>
      <c r="K33" s="13" t="n">
        <v>985.97</v>
      </c>
      <c r="L33" s="13" t="n">
        <v>985.97</v>
      </c>
      <c r="M33" s="13" t="n">
        <v>985.97</v>
      </c>
      <c r="N33" s="13" t="n">
        <v>985.97</v>
      </c>
      <c r="O33" s="13" t="n">
        <v>985.97</v>
      </c>
      <c r="P33" s="13" t="n">
        <v>985.97</v>
      </c>
      <c r="Q33" s="13" t="n">
        <v>985.97</v>
      </c>
      <c r="R33" s="13" t="n">
        <v>985.97</v>
      </c>
      <c r="S33" s="13" t="n">
        <v>985.97</v>
      </c>
      <c r="T33" s="13" t="n">
        <v>985.97</v>
      </c>
      <c r="U33" s="13" t="n">
        <v>350</v>
      </c>
      <c r="V33" s="13" t="n">
        <v>0</v>
      </c>
      <c r="W33" s="13" t="n">
        <f aca="false">U33+V33</f>
        <v>350</v>
      </c>
    </row>
    <row r="34" customFormat="false" ht="15" hidden="false" customHeight="false" outlineLevel="0" collapsed="false">
      <c r="A34" s="14" t="s">
        <v>1642</v>
      </c>
      <c r="B34" s="14" t="s">
        <v>1599</v>
      </c>
      <c r="C34" s="14" t="s">
        <v>1643</v>
      </c>
      <c r="D34" s="14" t="s">
        <v>203</v>
      </c>
      <c r="E34" s="15" t="n">
        <v>655000</v>
      </c>
      <c r="F34" s="15" t="n">
        <v>12008.35</v>
      </c>
      <c r="G34" s="15" t="n">
        <v>1501.04</v>
      </c>
      <c r="H34" s="15" t="n">
        <v>1501.04</v>
      </c>
      <c r="I34" s="15" t="n">
        <f aca="false">SUM(K34:T34)</f>
        <v>9006.3</v>
      </c>
      <c r="J34" s="15" t="n">
        <f aca="false">F34-(G34+H34+I34)</f>
        <v>-0.0299999999988358</v>
      </c>
      <c r="K34" s="15" t="n">
        <v>900.63</v>
      </c>
      <c r="L34" s="15" t="n">
        <v>900.63</v>
      </c>
      <c r="M34" s="15" t="n">
        <v>900.63</v>
      </c>
      <c r="N34" s="15" t="n">
        <v>900.63</v>
      </c>
      <c r="O34" s="15" t="n">
        <v>900.63</v>
      </c>
      <c r="P34" s="15" t="n">
        <v>900.63</v>
      </c>
      <c r="Q34" s="15" t="n">
        <v>900.63</v>
      </c>
      <c r="R34" s="15" t="n">
        <v>900.63</v>
      </c>
      <c r="S34" s="15" t="n">
        <v>900.63</v>
      </c>
      <c r="T34" s="15" t="n">
        <v>900.63</v>
      </c>
      <c r="U34" s="15" t="n">
        <v>350</v>
      </c>
      <c r="V34" s="15" t="n">
        <v>0</v>
      </c>
      <c r="W34" s="15" t="n">
        <f aca="false">U34+V34</f>
        <v>350</v>
      </c>
    </row>
    <row r="35" customFormat="false" ht="15" hidden="false" customHeight="false" outlineLevel="0" collapsed="false">
      <c r="A35" s="3" t="s">
        <v>1644</v>
      </c>
      <c r="B35" s="3" t="s">
        <v>1629</v>
      </c>
      <c r="C35" s="3" t="s">
        <v>1279</v>
      </c>
      <c r="D35" s="3" t="s">
        <v>153</v>
      </c>
      <c r="E35" s="13" t="n">
        <v>295000</v>
      </c>
      <c r="F35" s="13" t="n">
        <v>5805.35</v>
      </c>
      <c r="G35" s="13" t="n">
        <v>725.67</v>
      </c>
      <c r="H35" s="13" t="n">
        <v>725.67</v>
      </c>
      <c r="I35" s="13" t="n">
        <f aca="false">SUM(K35:T35)</f>
        <v>4354</v>
      </c>
      <c r="J35" s="13" t="n">
        <f aca="false">F35-(G35+H35+I35)</f>
        <v>0.0100000000002183</v>
      </c>
      <c r="K35" s="13" t="n">
        <v>435.4</v>
      </c>
      <c r="L35" s="13" t="n">
        <v>435.4</v>
      </c>
      <c r="M35" s="13" t="n">
        <v>435.4</v>
      </c>
      <c r="N35" s="13" t="n">
        <v>435.4</v>
      </c>
      <c r="O35" s="13" t="n">
        <v>435.4</v>
      </c>
      <c r="P35" s="13" t="n">
        <v>435.4</v>
      </c>
      <c r="Q35" s="13" t="n">
        <v>435.4</v>
      </c>
      <c r="R35" s="13" t="n">
        <v>435.4</v>
      </c>
      <c r="S35" s="13" t="n">
        <v>435.4</v>
      </c>
      <c r="T35" s="13" t="n">
        <v>435.4</v>
      </c>
      <c r="U35" s="13" t="n">
        <v>350</v>
      </c>
      <c r="V35" s="13" t="n">
        <v>0</v>
      </c>
      <c r="W35" s="13" t="n">
        <f aca="false">U35+V35</f>
        <v>350</v>
      </c>
    </row>
    <row r="36" customFormat="false" ht="15" hidden="false" customHeight="false" outlineLevel="0" collapsed="false">
      <c r="A36" s="14" t="s">
        <v>1645</v>
      </c>
      <c r="B36" s="14" t="s">
        <v>1614</v>
      </c>
      <c r="C36" s="14" t="s">
        <v>614</v>
      </c>
      <c r="D36" s="14" t="s">
        <v>138</v>
      </c>
      <c r="E36" s="15" t="n">
        <v>955000</v>
      </c>
      <c r="F36" s="15" t="n">
        <v>14501.37</v>
      </c>
      <c r="G36" s="15" t="n">
        <v>1812.67</v>
      </c>
      <c r="H36" s="15" t="n">
        <v>1812.67</v>
      </c>
      <c r="I36" s="15" t="n">
        <f aca="false">SUM(K36:T36)</f>
        <v>10876</v>
      </c>
      <c r="J36" s="15" t="n">
        <f aca="false">F36-(G36+H36+I36)</f>
        <v>0.0300000000006548</v>
      </c>
      <c r="K36" s="15" t="n">
        <v>1087.6</v>
      </c>
      <c r="L36" s="15" t="n">
        <v>1087.6</v>
      </c>
      <c r="M36" s="15" t="n">
        <v>1087.6</v>
      </c>
      <c r="N36" s="15" t="n">
        <v>1087.6</v>
      </c>
      <c r="O36" s="15" t="n">
        <v>1087.6</v>
      </c>
      <c r="P36" s="15" t="n">
        <v>1087.6</v>
      </c>
      <c r="Q36" s="15" t="n">
        <v>1087.6</v>
      </c>
      <c r="R36" s="15" t="n">
        <v>1087.6</v>
      </c>
      <c r="S36" s="15" t="n">
        <v>1087.6</v>
      </c>
      <c r="T36" s="15" t="n">
        <v>1087.6</v>
      </c>
      <c r="U36" s="15" t="n">
        <v>350</v>
      </c>
      <c r="V36" s="15" t="n">
        <v>0</v>
      </c>
      <c r="W36" s="15" t="n">
        <f aca="false">U36+V36</f>
        <v>350</v>
      </c>
    </row>
    <row r="37" customFormat="false" ht="15" hidden="false" customHeight="false" outlineLevel="0" collapsed="false">
      <c r="A37" s="3" t="s">
        <v>1646</v>
      </c>
      <c r="B37" s="3" t="s">
        <v>1593</v>
      </c>
      <c r="C37" s="3" t="s">
        <v>1159</v>
      </c>
      <c r="D37" s="3" t="s">
        <v>230</v>
      </c>
      <c r="E37" s="13" t="n">
        <v>295000</v>
      </c>
      <c r="F37" s="13" t="n">
        <v>2852.49</v>
      </c>
      <c r="G37" s="13" t="n">
        <v>356.56</v>
      </c>
      <c r="H37" s="13" t="n">
        <v>356.56</v>
      </c>
      <c r="I37" s="13" t="n">
        <f aca="false">SUM(K37:T37)</f>
        <v>2139.4</v>
      </c>
      <c r="J37" s="13" t="n">
        <f aca="false">F37-(G37+H37+I37)</f>
        <v>-0.0300000000002001</v>
      </c>
      <c r="K37" s="13" t="n">
        <v>213.94</v>
      </c>
      <c r="L37" s="13" t="n">
        <v>213.94</v>
      </c>
      <c r="M37" s="13" t="n">
        <v>213.94</v>
      </c>
      <c r="N37" s="13" t="n">
        <v>213.94</v>
      </c>
      <c r="O37" s="13" t="n">
        <v>213.94</v>
      </c>
      <c r="P37" s="13" t="n">
        <v>213.94</v>
      </c>
      <c r="Q37" s="13" t="n">
        <v>213.94</v>
      </c>
      <c r="R37" s="13" t="n">
        <v>213.94</v>
      </c>
      <c r="S37" s="13" t="n">
        <v>213.94</v>
      </c>
      <c r="T37" s="13" t="n">
        <v>213.94</v>
      </c>
      <c r="U37" s="13" t="n">
        <v>350</v>
      </c>
      <c r="V37" s="13" t="n">
        <v>0</v>
      </c>
      <c r="W37" s="13" t="n">
        <f aca="false">U37+V37</f>
        <v>350</v>
      </c>
    </row>
    <row r="38" customFormat="false" ht="15" hidden="false" customHeight="false" outlineLevel="0" collapsed="false">
      <c r="A38" s="14" t="s">
        <v>1647</v>
      </c>
      <c r="B38" s="14" t="s">
        <v>1591</v>
      </c>
      <c r="C38" s="14" t="s">
        <v>263</v>
      </c>
      <c r="D38" s="14" t="s">
        <v>157</v>
      </c>
      <c r="E38" s="15" t="n">
        <v>475000</v>
      </c>
      <c r="F38" s="15" t="n">
        <v>8563.6</v>
      </c>
      <c r="G38" s="15" t="n">
        <v>1070.45</v>
      </c>
      <c r="H38" s="15" t="n">
        <v>1070.45</v>
      </c>
      <c r="I38" s="15" t="n">
        <f aca="false">SUM(K38:T38)</f>
        <v>6422.7</v>
      </c>
      <c r="J38" s="15" t="n">
        <f aca="false">F38-(G38+H38+I38)</f>
        <v>0</v>
      </c>
      <c r="K38" s="15" t="n">
        <v>642.27</v>
      </c>
      <c r="L38" s="15" t="n">
        <v>642.27</v>
      </c>
      <c r="M38" s="15" t="n">
        <v>642.27</v>
      </c>
      <c r="N38" s="15" t="n">
        <v>642.27</v>
      </c>
      <c r="O38" s="15" t="n">
        <v>642.27</v>
      </c>
      <c r="P38" s="15" t="n">
        <v>642.27</v>
      </c>
      <c r="Q38" s="15" t="n">
        <v>642.27</v>
      </c>
      <c r="R38" s="15" t="n">
        <v>642.27</v>
      </c>
      <c r="S38" s="15" t="n">
        <v>642.27</v>
      </c>
      <c r="T38" s="15" t="n">
        <v>642.27</v>
      </c>
      <c r="U38" s="15" t="n">
        <v>350</v>
      </c>
      <c r="V38" s="15" t="n">
        <v>0</v>
      </c>
      <c r="W38" s="15" t="n">
        <f aca="false">U38+V38</f>
        <v>350</v>
      </c>
    </row>
    <row r="39" customFormat="false" ht="15" hidden="false" customHeight="false" outlineLevel="0" collapsed="false">
      <c r="A39" s="3" t="s">
        <v>1648</v>
      </c>
      <c r="B39" s="3" t="s">
        <v>1610</v>
      </c>
      <c r="C39" s="3" t="s">
        <v>294</v>
      </c>
      <c r="D39" s="3" t="s">
        <v>172</v>
      </c>
      <c r="E39" s="13" t="n">
        <v>290000</v>
      </c>
      <c r="F39" s="13" t="n">
        <v>2450.67</v>
      </c>
      <c r="G39" s="13" t="n">
        <v>306.33</v>
      </c>
      <c r="H39" s="13" t="n">
        <v>306.33</v>
      </c>
      <c r="I39" s="13" t="n">
        <f aca="false">SUM(K39:T39)</f>
        <v>1838</v>
      </c>
      <c r="J39" s="13" t="n">
        <f aca="false">F39-(G39+H39+I39)</f>
        <v>0.0100000000002183</v>
      </c>
      <c r="K39" s="13" t="n">
        <v>183.8</v>
      </c>
      <c r="L39" s="13" t="n">
        <v>183.8</v>
      </c>
      <c r="M39" s="13" t="n">
        <v>183.8</v>
      </c>
      <c r="N39" s="13" t="n">
        <v>183.8</v>
      </c>
      <c r="O39" s="13" t="n">
        <v>183.8</v>
      </c>
      <c r="P39" s="13" t="n">
        <v>183.8</v>
      </c>
      <c r="Q39" s="13" t="n">
        <v>183.8</v>
      </c>
      <c r="R39" s="13" t="n">
        <v>183.8</v>
      </c>
      <c r="S39" s="13" t="n">
        <v>183.8</v>
      </c>
      <c r="T39" s="13" t="n">
        <v>183.8</v>
      </c>
      <c r="U39" s="13" t="n">
        <v>350</v>
      </c>
      <c r="V39" s="13" t="n">
        <v>0</v>
      </c>
      <c r="W39" s="13" t="n">
        <f aca="false">U39+V39</f>
        <v>350</v>
      </c>
    </row>
    <row r="40" customFormat="false" ht="15" hidden="false" customHeight="false" outlineLevel="0" collapsed="false">
      <c r="A40" s="14" t="s">
        <v>1649</v>
      </c>
      <c r="B40" s="14" t="s">
        <v>1614</v>
      </c>
      <c r="C40" s="14" t="s">
        <v>1625</v>
      </c>
      <c r="D40" s="14" t="s">
        <v>251</v>
      </c>
      <c r="E40" s="15" t="n">
        <v>975000</v>
      </c>
      <c r="F40" s="15" t="n">
        <v>12015.71</v>
      </c>
      <c r="G40" s="15" t="n">
        <v>1501.96</v>
      </c>
      <c r="H40" s="15" t="n">
        <v>1501.96</v>
      </c>
      <c r="I40" s="15" t="n">
        <f aca="false">SUM(K40:T40)</f>
        <v>9011.8</v>
      </c>
      <c r="J40" s="15" t="n">
        <f aca="false">F40-(G40+H40+I40)</f>
        <v>-0.0100000000002183</v>
      </c>
      <c r="K40" s="15" t="n">
        <v>901.18</v>
      </c>
      <c r="L40" s="15" t="n">
        <v>901.18</v>
      </c>
      <c r="M40" s="15" t="n">
        <v>901.18</v>
      </c>
      <c r="N40" s="15" t="n">
        <v>901.18</v>
      </c>
      <c r="O40" s="15" t="n">
        <v>901.18</v>
      </c>
      <c r="P40" s="15" t="n">
        <v>901.18</v>
      </c>
      <c r="Q40" s="15" t="n">
        <v>901.18</v>
      </c>
      <c r="R40" s="15" t="n">
        <v>901.18</v>
      </c>
      <c r="S40" s="15" t="n">
        <v>901.18</v>
      </c>
      <c r="T40" s="15" t="n">
        <v>901.18</v>
      </c>
      <c r="U40" s="15" t="n">
        <v>350</v>
      </c>
      <c r="V40" s="15" t="n">
        <v>0</v>
      </c>
      <c r="W40" s="15" t="n">
        <f aca="false">U40+V40</f>
        <v>350</v>
      </c>
    </row>
    <row r="41" customFormat="false" ht="15" hidden="false" customHeight="false" outlineLevel="0" collapsed="false">
      <c r="A41" s="3" t="s">
        <v>1650</v>
      </c>
      <c r="B41" s="3" t="s">
        <v>1651</v>
      </c>
      <c r="C41" s="3" t="s">
        <v>1652</v>
      </c>
      <c r="D41" s="3" t="s">
        <v>138</v>
      </c>
      <c r="E41" s="13" t="n">
        <v>1950000</v>
      </c>
      <c r="F41" s="13" t="n">
        <v>14425.45</v>
      </c>
      <c r="G41" s="13" t="n">
        <v>1803.18</v>
      </c>
      <c r="H41" s="13" t="n">
        <v>1803.18</v>
      </c>
      <c r="I41" s="13" t="n">
        <f aca="false">SUM(K41:T41)</f>
        <v>10819.1</v>
      </c>
      <c r="J41" s="13" t="n">
        <f aca="false">F41-(G41+H41+I41)</f>
        <v>-0.0100000000002183</v>
      </c>
      <c r="K41" s="13" t="n">
        <v>1081.91</v>
      </c>
      <c r="L41" s="13" t="n">
        <v>1081.91</v>
      </c>
      <c r="M41" s="13" t="n">
        <v>1081.91</v>
      </c>
      <c r="N41" s="13" t="n">
        <v>1081.91</v>
      </c>
      <c r="O41" s="13" t="n">
        <v>1081.91</v>
      </c>
      <c r="P41" s="13" t="n">
        <v>1081.91</v>
      </c>
      <c r="Q41" s="13" t="n">
        <v>1081.91</v>
      </c>
      <c r="R41" s="13" t="n">
        <v>1081.91</v>
      </c>
      <c r="S41" s="13" t="n">
        <v>1081.91</v>
      </c>
      <c r="T41" s="13" t="n">
        <v>1081.91</v>
      </c>
      <c r="U41" s="13" t="n">
        <v>350</v>
      </c>
      <c r="V41" s="13" t="n">
        <v>250</v>
      </c>
      <c r="W41" s="13" t="n">
        <f aca="false">U41+V41</f>
        <v>600</v>
      </c>
    </row>
    <row r="42" customFormat="false" ht="15" hidden="false" customHeight="false" outlineLevel="0" collapsed="false">
      <c r="A42" s="14" t="s">
        <v>1653</v>
      </c>
      <c r="B42" s="14" t="s">
        <v>1654</v>
      </c>
      <c r="C42" s="14" t="s">
        <v>1655</v>
      </c>
      <c r="D42" s="14" t="s">
        <v>157</v>
      </c>
      <c r="E42" s="15" t="n">
        <v>455000</v>
      </c>
      <c r="F42" s="15" t="n">
        <v>8203.03</v>
      </c>
      <c r="G42" s="15" t="n">
        <v>1025.38</v>
      </c>
      <c r="H42" s="15" t="n">
        <v>1025.38</v>
      </c>
      <c r="I42" s="15" t="n">
        <f aca="false">SUM(K42:T42)</f>
        <v>6152.3</v>
      </c>
      <c r="J42" s="15" t="n">
        <f aca="false">F42-(G42+H42+I42)</f>
        <v>-0.0299999999988358</v>
      </c>
      <c r="K42" s="15" t="n">
        <v>615.23</v>
      </c>
      <c r="L42" s="15" t="n">
        <v>615.23</v>
      </c>
      <c r="M42" s="15" t="n">
        <v>615.23</v>
      </c>
      <c r="N42" s="15" t="n">
        <v>615.23</v>
      </c>
      <c r="O42" s="15" t="n">
        <v>615.23</v>
      </c>
      <c r="P42" s="15" t="n">
        <v>615.23</v>
      </c>
      <c r="Q42" s="15" t="n">
        <v>615.23</v>
      </c>
      <c r="R42" s="15" t="n">
        <v>615.23</v>
      </c>
      <c r="S42" s="15" t="n">
        <v>615.23</v>
      </c>
      <c r="T42" s="15" t="n">
        <v>615.23</v>
      </c>
      <c r="U42" s="15" t="n">
        <v>350</v>
      </c>
      <c r="V42" s="15" t="n">
        <v>0</v>
      </c>
      <c r="W42" s="15" t="n">
        <f aca="false">U42+V42</f>
        <v>350</v>
      </c>
    </row>
    <row r="43" customFormat="false" ht="15" hidden="false" customHeight="false" outlineLevel="0" collapsed="false">
      <c r="A43" s="3" t="s">
        <v>1656</v>
      </c>
      <c r="B43" s="3" t="s">
        <v>1627</v>
      </c>
      <c r="C43" s="3" t="s">
        <v>790</v>
      </c>
      <c r="D43" s="3" t="s">
        <v>222</v>
      </c>
      <c r="E43" s="13" t="n">
        <v>520000</v>
      </c>
      <c r="F43" s="13" t="n">
        <v>6293.94</v>
      </c>
      <c r="G43" s="13" t="n">
        <v>786.74</v>
      </c>
      <c r="H43" s="13" t="n">
        <v>786.74</v>
      </c>
      <c r="I43" s="13" t="n">
        <f aca="false">SUM(K43:T43)</f>
        <v>4720.5</v>
      </c>
      <c r="J43" s="13" t="n">
        <f aca="false">F43-(G43+H43+I43)</f>
        <v>-0.0399999999999636</v>
      </c>
      <c r="K43" s="13" t="n">
        <v>472.05</v>
      </c>
      <c r="L43" s="13" t="n">
        <v>472.05</v>
      </c>
      <c r="M43" s="13" t="n">
        <v>472.05</v>
      </c>
      <c r="N43" s="13" t="n">
        <v>472.05</v>
      </c>
      <c r="O43" s="13" t="n">
        <v>472.05</v>
      </c>
      <c r="P43" s="13" t="n">
        <v>472.05</v>
      </c>
      <c r="Q43" s="13" t="n">
        <v>472.05</v>
      </c>
      <c r="R43" s="13" t="n">
        <v>472.05</v>
      </c>
      <c r="S43" s="13" t="n">
        <v>472.05</v>
      </c>
      <c r="T43" s="13" t="n">
        <v>472.05</v>
      </c>
      <c r="U43" s="13" t="n">
        <v>350</v>
      </c>
      <c r="V43" s="13" t="n">
        <v>0</v>
      </c>
      <c r="W43" s="13" t="n">
        <f aca="false">U43+V43</f>
        <v>350</v>
      </c>
    </row>
    <row r="44" customFormat="false" ht="15" hidden="false" customHeight="false" outlineLevel="0" collapsed="false">
      <c r="A44" s="14" t="s">
        <v>1657</v>
      </c>
      <c r="B44" s="14" t="s">
        <v>1629</v>
      </c>
      <c r="C44" s="14" t="s">
        <v>1619</v>
      </c>
      <c r="D44" s="14" t="s">
        <v>193</v>
      </c>
      <c r="E44" s="15" t="n">
        <v>1570000</v>
      </c>
      <c r="F44" s="15" t="n">
        <v>18271.99</v>
      </c>
      <c r="G44" s="15" t="n">
        <v>2284</v>
      </c>
      <c r="H44" s="15" t="n">
        <v>2284</v>
      </c>
      <c r="I44" s="15" t="n">
        <f aca="false">SUM(K44:T44)</f>
        <v>13704</v>
      </c>
      <c r="J44" s="15" t="n">
        <f aca="false">F44-(G44+H44+I44)</f>
        <v>-0.00999999999839929</v>
      </c>
      <c r="K44" s="15" t="n">
        <v>1370.4</v>
      </c>
      <c r="L44" s="15" t="n">
        <v>1370.4</v>
      </c>
      <c r="M44" s="15" t="n">
        <v>1370.4</v>
      </c>
      <c r="N44" s="15" t="n">
        <v>1370.4</v>
      </c>
      <c r="O44" s="15" t="n">
        <v>1370.4</v>
      </c>
      <c r="P44" s="15" t="n">
        <v>1370.4</v>
      </c>
      <c r="Q44" s="15" t="n">
        <v>1370.4</v>
      </c>
      <c r="R44" s="15" t="n">
        <v>1370.4</v>
      </c>
      <c r="S44" s="15" t="n">
        <v>1370.4</v>
      </c>
      <c r="T44" s="15" t="n">
        <v>1370.4</v>
      </c>
      <c r="U44" s="15" t="n">
        <v>350</v>
      </c>
      <c r="V44" s="15" t="n">
        <v>250</v>
      </c>
      <c r="W44" s="15" t="n">
        <f aca="false">U44+V44</f>
        <v>600</v>
      </c>
    </row>
    <row r="45" customFormat="false" ht="15" hidden="false" customHeight="false" outlineLevel="0" collapsed="false">
      <c r="A45" s="3" t="s">
        <v>1658</v>
      </c>
      <c r="B45" s="3" t="s">
        <v>1640</v>
      </c>
      <c r="C45" s="3" t="s">
        <v>543</v>
      </c>
      <c r="D45" s="3" t="s">
        <v>89</v>
      </c>
      <c r="E45" s="13" t="n">
        <v>1180000</v>
      </c>
      <c r="F45" s="13" t="n">
        <v>10247.38</v>
      </c>
      <c r="G45" s="13" t="n">
        <v>1280.92</v>
      </c>
      <c r="H45" s="13" t="n">
        <v>1280.92</v>
      </c>
      <c r="I45" s="13" t="n">
        <f aca="false">SUM(K45:T45)</f>
        <v>7685.5</v>
      </c>
      <c r="J45" s="13" t="n">
        <f aca="false">F45-(G45+H45+I45)</f>
        <v>0.0399999999990541</v>
      </c>
      <c r="K45" s="13" t="n">
        <v>768.55</v>
      </c>
      <c r="L45" s="13" t="n">
        <v>768.55</v>
      </c>
      <c r="M45" s="13" t="n">
        <v>768.55</v>
      </c>
      <c r="N45" s="13" t="n">
        <v>768.55</v>
      </c>
      <c r="O45" s="13" t="n">
        <v>768.55</v>
      </c>
      <c r="P45" s="13" t="n">
        <v>768.55</v>
      </c>
      <c r="Q45" s="13" t="n">
        <v>768.55</v>
      </c>
      <c r="R45" s="13" t="n">
        <v>768.55</v>
      </c>
      <c r="S45" s="13" t="n">
        <v>768.55</v>
      </c>
      <c r="T45" s="13" t="n">
        <v>768.55</v>
      </c>
      <c r="U45" s="13" t="n">
        <v>350</v>
      </c>
      <c r="V45" s="13" t="n">
        <v>250</v>
      </c>
      <c r="W45" s="13" t="n">
        <f aca="false">U45+V45</f>
        <v>600</v>
      </c>
    </row>
    <row r="46" customFormat="false" ht="15" hidden="false" customHeight="false" outlineLevel="0" collapsed="false">
      <c r="A46" s="14" t="s">
        <v>1659</v>
      </c>
      <c r="B46" s="14" t="s">
        <v>1640</v>
      </c>
      <c r="C46" s="14" t="s">
        <v>817</v>
      </c>
      <c r="D46" s="14" t="s">
        <v>125</v>
      </c>
      <c r="E46" s="15" t="n">
        <v>405000</v>
      </c>
      <c r="F46" s="15" t="n">
        <v>3159.23</v>
      </c>
      <c r="G46" s="15" t="n">
        <v>394.9</v>
      </c>
      <c r="H46" s="15" t="n">
        <v>394.9</v>
      </c>
      <c r="I46" s="15" t="n">
        <f aca="false">SUM(K46:T46)</f>
        <v>2369.4</v>
      </c>
      <c r="J46" s="15" t="n">
        <f aca="false">F46-(G46+H46+I46)</f>
        <v>0.0300000000002001</v>
      </c>
      <c r="K46" s="15" t="n">
        <v>236.94</v>
      </c>
      <c r="L46" s="15" t="n">
        <v>236.94</v>
      </c>
      <c r="M46" s="15" t="n">
        <v>236.94</v>
      </c>
      <c r="N46" s="15" t="n">
        <v>236.94</v>
      </c>
      <c r="O46" s="15" t="n">
        <v>236.94</v>
      </c>
      <c r="P46" s="15" t="n">
        <v>236.94</v>
      </c>
      <c r="Q46" s="15" t="n">
        <v>236.94</v>
      </c>
      <c r="R46" s="15" t="n">
        <v>236.94</v>
      </c>
      <c r="S46" s="15" t="n">
        <v>236.94</v>
      </c>
      <c r="T46" s="15" t="n">
        <v>236.94</v>
      </c>
      <c r="U46" s="15" t="n">
        <v>350</v>
      </c>
      <c r="V46" s="15" t="n">
        <v>0</v>
      </c>
      <c r="W46" s="15" t="n">
        <f aca="false">U46+V46</f>
        <v>350</v>
      </c>
    </row>
    <row r="47" customFormat="false" ht="15" hidden="false" customHeight="false" outlineLevel="0" collapsed="false">
      <c r="A47" s="3" t="s">
        <v>1660</v>
      </c>
      <c r="B47" s="3" t="s">
        <v>1661</v>
      </c>
      <c r="C47" s="3" t="s">
        <v>131</v>
      </c>
      <c r="D47" s="3" t="s">
        <v>102</v>
      </c>
      <c r="E47" s="13" t="n">
        <v>810000</v>
      </c>
      <c r="F47" s="13" t="n">
        <v>10249.67</v>
      </c>
      <c r="G47" s="13" t="n">
        <v>1281.21</v>
      </c>
      <c r="H47" s="13" t="n">
        <v>1281.21</v>
      </c>
      <c r="I47" s="13" t="n">
        <f aca="false">SUM(K47:T47)</f>
        <v>7687.3</v>
      </c>
      <c r="J47" s="13" t="n">
        <f aca="false">F47-(G47+H47+I47)</f>
        <v>-0.0499999999992724</v>
      </c>
      <c r="K47" s="13" t="n">
        <v>768.73</v>
      </c>
      <c r="L47" s="13" t="n">
        <v>768.73</v>
      </c>
      <c r="M47" s="13" t="n">
        <v>768.73</v>
      </c>
      <c r="N47" s="13" t="n">
        <v>768.73</v>
      </c>
      <c r="O47" s="13" t="n">
        <v>768.73</v>
      </c>
      <c r="P47" s="13" t="n">
        <v>768.73</v>
      </c>
      <c r="Q47" s="13" t="n">
        <v>768.73</v>
      </c>
      <c r="R47" s="13" t="n">
        <v>768.73</v>
      </c>
      <c r="S47" s="13" t="n">
        <v>768.73</v>
      </c>
      <c r="T47" s="13" t="n">
        <v>768.73</v>
      </c>
      <c r="U47" s="13" t="n">
        <v>350</v>
      </c>
      <c r="V47" s="13" t="n">
        <v>0</v>
      </c>
      <c r="W47" s="13" t="n">
        <f aca="false">U47+V47</f>
        <v>350</v>
      </c>
    </row>
    <row r="48" customFormat="false" ht="15" hidden="false" customHeight="false" outlineLevel="0" collapsed="false">
      <c r="A48" s="14" t="s">
        <v>1662</v>
      </c>
      <c r="B48" s="14" t="s">
        <v>1654</v>
      </c>
      <c r="C48" s="14" t="s">
        <v>412</v>
      </c>
      <c r="D48" s="14" t="s">
        <v>89</v>
      </c>
      <c r="E48" s="15" t="n">
        <v>910000</v>
      </c>
      <c r="F48" s="15" t="n">
        <v>13517.67</v>
      </c>
      <c r="G48" s="15" t="n">
        <v>1689.71</v>
      </c>
      <c r="H48" s="15" t="n">
        <v>1689.71</v>
      </c>
      <c r="I48" s="15" t="n">
        <f aca="false">SUM(K48:T48)</f>
        <v>10138.3</v>
      </c>
      <c r="J48" s="15" t="n">
        <f aca="false">F48-(G48+H48+I48)</f>
        <v>-0.0500000000010914</v>
      </c>
      <c r="K48" s="15" t="n">
        <v>1013.83</v>
      </c>
      <c r="L48" s="15" t="n">
        <v>1013.83</v>
      </c>
      <c r="M48" s="15" t="n">
        <v>1013.83</v>
      </c>
      <c r="N48" s="15" t="n">
        <v>1013.83</v>
      </c>
      <c r="O48" s="15" t="n">
        <v>1013.83</v>
      </c>
      <c r="P48" s="15" t="n">
        <v>1013.83</v>
      </c>
      <c r="Q48" s="15" t="n">
        <v>1013.83</v>
      </c>
      <c r="R48" s="15" t="n">
        <v>1013.83</v>
      </c>
      <c r="S48" s="15" t="n">
        <v>1013.83</v>
      </c>
      <c r="T48" s="15" t="n">
        <v>1013.83</v>
      </c>
      <c r="U48" s="15" t="n">
        <v>350</v>
      </c>
      <c r="V48" s="15" t="n">
        <v>0</v>
      </c>
      <c r="W48" s="15" t="n">
        <f aca="false">U48+V48</f>
        <v>350</v>
      </c>
    </row>
    <row r="49" customFormat="false" ht="15" hidden="false" customHeight="false" outlineLevel="0" collapsed="false">
      <c r="A49" s="3" t="s">
        <v>1663</v>
      </c>
      <c r="B49" s="3" t="s">
        <v>1664</v>
      </c>
      <c r="C49" s="3" t="s">
        <v>500</v>
      </c>
      <c r="D49" s="3" t="s">
        <v>698</v>
      </c>
      <c r="E49" s="13" t="n">
        <v>1950000</v>
      </c>
      <c r="F49" s="13" t="n">
        <v>17185.1</v>
      </c>
      <c r="G49" s="13" t="n">
        <v>2148.14</v>
      </c>
      <c r="H49" s="13" t="n">
        <v>2148.14</v>
      </c>
      <c r="I49" s="13" t="n">
        <f aca="false">SUM(K49:T49)</f>
        <v>12888.8</v>
      </c>
      <c r="J49" s="13" t="n">
        <f aca="false">F49-(G49+H49+I49)</f>
        <v>0.0199999999967986</v>
      </c>
      <c r="K49" s="13" t="n">
        <v>1288.88</v>
      </c>
      <c r="L49" s="13" t="n">
        <v>1288.88</v>
      </c>
      <c r="M49" s="13" t="n">
        <v>1288.88</v>
      </c>
      <c r="N49" s="13" t="n">
        <v>1288.88</v>
      </c>
      <c r="O49" s="13" t="n">
        <v>1288.88</v>
      </c>
      <c r="P49" s="13" t="n">
        <v>1288.88</v>
      </c>
      <c r="Q49" s="13" t="n">
        <v>1288.88</v>
      </c>
      <c r="R49" s="13" t="n">
        <v>1288.88</v>
      </c>
      <c r="S49" s="13" t="n">
        <v>1288.88</v>
      </c>
      <c r="T49" s="13" t="n">
        <v>1288.88</v>
      </c>
      <c r="U49" s="13" t="n">
        <v>350</v>
      </c>
      <c r="V49" s="13" t="n">
        <v>250</v>
      </c>
      <c r="W49" s="13" t="n">
        <f aca="false">U49+V49</f>
        <v>600</v>
      </c>
    </row>
    <row r="50" customFormat="false" ht="15" hidden="false" customHeight="false" outlineLevel="0" collapsed="false">
      <c r="A50" s="14" t="s">
        <v>1665</v>
      </c>
      <c r="B50" s="14" t="s">
        <v>1597</v>
      </c>
      <c r="C50" s="14" t="s">
        <v>1666</v>
      </c>
      <c r="D50" s="14" t="s">
        <v>89</v>
      </c>
      <c r="E50" s="15" t="n">
        <v>475000</v>
      </c>
      <c r="F50" s="15" t="n">
        <v>12483.57</v>
      </c>
      <c r="G50" s="15" t="n">
        <v>1560.45</v>
      </c>
      <c r="H50" s="15" t="n">
        <v>1560.45</v>
      </c>
      <c r="I50" s="15" t="n">
        <f aca="false">SUM(K50:T50)</f>
        <v>9362.7</v>
      </c>
      <c r="J50" s="15" t="n">
        <f aca="false">F50-(G50+H50+I50)</f>
        <v>-0.0300000000006548</v>
      </c>
      <c r="K50" s="15" t="n">
        <v>936.27</v>
      </c>
      <c r="L50" s="15" t="n">
        <v>936.27</v>
      </c>
      <c r="M50" s="15" t="n">
        <v>936.27</v>
      </c>
      <c r="N50" s="15" t="n">
        <v>936.27</v>
      </c>
      <c r="O50" s="15" t="n">
        <v>936.27</v>
      </c>
      <c r="P50" s="15" t="n">
        <v>936.27</v>
      </c>
      <c r="Q50" s="15" t="n">
        <v>936.27</v>
      </c>
      <c r="R50" s="15" t="n">
        <v>936.27</v>
      </c>
      <c r="S50" s="15" t="n">
        <v>936.27</v>
      </c>
      <c r="T50" s="15" t="n">
        <v>936.27</v>
      </c>
      <c r="U50" s="15" t="n">
        <v>350</v>
      </c>
      <c r="V50" s="15" t="n">
        <v>0</v>
      </c>
      <c r="W50" s="15" t="n">
        <f aca="false">U50+V50</f>
        <v>350</v>
      </c>
    </row>
    <row r="51" customFormat="false" ht="15" hidden="false" customHeight="false" outlineLevel="0" collapsed="false">
      <c r="A51" s="3" t="s">
        <v>1667</v>
      </c>
      <c r="B51" s="3" t="s">
        <v>1636</v>
      </c>
      <c r="C51" s="3" t="s">
        <v>294</v>
      </c>
      <c r="D51" s="3" t="s">
        <v>153</v>
      </c>
      <c r="E51" s="13" t="n">
        <v>235000</v>
      </c>
      <c r="F51" s="13" t="n">
        <v>5672.84</v>
      </c>
      <c r="G51" s="13" t="n">
        <v>709.11</v>
      </c>
      <c r="H51" s="13" t="n">
        <v>709.11</v>
      </c>
      <c r="I51" s="13" t="n">
        <f aca="false">SUM(K51:T51)</f>
        <v>4254.6</v>
      </c>
      <c r="J51" s="13" t="n">
        <f aca="false">F51-(G51+H51+I51)</f>
        <v>0.0200000000004366</v>
      </c>
      <c r="K51" s="13" t="n">
        <v>425.46</v>
      </c>
      <c r="L51" s="13" t="n">
        <v>425.46</v>
      </c>
      <c r="M51" s="13" t="n">
        <v>425.46</v>
      </c>
      <c r="N51" s="13" t="n">
        <v>425.46</v>
      </c>
      <c r="O51" s="13" t="n">
        <v>425.46</v>
      </c>
      <c r="P51" s="13" t="n">
        <v>425.46</v>
      </c>
      <c r="Q51" s="13" t="n">
        <v>425.46</v>
      </c>
      <c r="R51" s="13" t="n">
        <v>425.46</v>
      </c>
      <c r="S51" s="13" t="n">
        <v>425.46</v>
      </c>
      <c r="T51" s="13" t="n">
        <v>425.46</v>
      </c>
      <c r="U51" s="13" t="n">
        <v>350</v>
      </c>
      <c r="V51" s="13" t="n">
        <v>0</v>
      </c>
      <c r="W51" s="13" t="n">
        <f aca="false">U51+V51</f>
        <v>350</v>
      </c>
    </row>
    <row r="52" customFormat="false" ht="15" hidden="false" customHeight="false" outlineLevel="0" collapsed="false">
      <c r="A52" s="14" t="s">
        <v>1668</v>
      </c>
      <c r="B52" s="14" t="s">
        <v>1614</v>
      </c>
      <c r="C52" s="14" t="s">
        <v>946</v>
      </c>
      <c r="D52" s="14" t="s">
        <v>448</v>
      </c>
      <c r="E52" s="15" t="n">
        <v>550000</v>
      </c>
      <c r="F52" s="15" t="n">
        <v>4243.76</v>
      </c>
      <c r="G52" s="15" t="n">
        <v>530.47</v>
      </c>
      <c r="H52" s="15" t="n">
        <v>530.47</v>
      </c>
      <c r="I52" s="15" t="n">
        <f aca="false">SUM(K52:T52)</f>
        <v>3182.8</v>
      </c>
      <c r="J52" s="15" t="n">
        <f aca="false">F52-(G52+H52+I52)</f>
        <v>0.0200000000004366</v>
      </c>
      <c r="K52" s="15" t="n">
        <v>318.28</v>
      </c>
      <c r="L52" s="15" t="n">
        <v>318.28</v>
      </c>
      <c r="M52" s="15" t="n">
        <v>318.28</v>
      </c>
      <c r="N52" s="15" t="n">
        <v>318.28</v>
      </c>
      <c r="O52" s="15" t="n">
        <v>318.28</v>
      </c>
      <c r="P52" s="15" t="n">
        <v>318.28</v>
      </c>
      <c r="Q52" s="15" t="n">
        <v>318.28</v>
      </c>
      <c r="R52" s="15" t="n">
        <v>318.28</v>
      </c>
      <c r="S52" s="15" t="n">
        <v>318.28</v>
      </c>
      <c r="T52" s="15" t="n">
        <v>318.28</v>
      </c>
      <c r="U52" s="15" t="n">
        <v>350</v>
      </c>
      <c r="V52" s="15" t="n">
        <v>0</v>
      </c>
      <c r="W52" s="15" t="n">
        <f aca="false">U52+V52</f>
        <v>350</v>
      </c>
    </row>
    <row r="53" customFormat="false" ht="15" hidden="false" customHeight="false" outlineLevel="0" collapsed="false">
      <c r="A53" s="3" t="s">
        <v>1669</v>
      </c>
      <c r="B53" s="3" t="s">
        <v>1605</v>
      </c>
      <c r="C53" s="3" t="s">
        <v>434</v>
      </c>
      <c r="D53" s="3" t="s">
        <v>118</v>
      </c>
      <c r="E53" s="13" t="n">
        <v>490000</v>
      </c>
      <c r="F53" s="13" t="n">
        <v>7652.01</v>
      </c>
      <c r="G53" s="13" t="n">
        <v>956.5</v>
      </c>
      <c r="H53" s="13" t="n">
        <v>956.5</v>
      </c>
      <c r="I53" s="13" t="n">
        <f aca="false">SUM(K53:T53)</f>
        <v>5739</v>
      </c>
      <c r="J53" s="13" t="n">
        <f aca="false">F53-(G53+H53+I53)</f>
        <v>0.0100000000011278</v>
      </c>
      <c r="K53" s="13" t="n">
        <v>573.9</v>
      </c>
      <c r="L53" s="13" t="n">
        <v>573.9</v>
      </c>
      <c r="M53" s="13" t="n">
        <v>573.9</v>
      </c>
      <c r="N53" s="13" t="n">
        <v>573.9</v>
      </c>
      <c r="O53" s="13" t="n">
        <v>573.9</v>
      </c>
      <c r="P53" s="13" t="n">
        <v>573.9</v>
      </c>
      <c r="Q53" s="13" t="n">
        <v>573.9</v>
      </c>
      <c r="R53" s="13" t="n">
        <v>573.9</v>
      </c>
      <c r="S53" s="13" t="n">
        <v>573.9</v>
      </c>
      <c r="T53" s="13" t="n">
        <v>573.9</v>
      </c>
      <c r="U53" s="13" t="n">
        <v>350</v>
      </c>
      <c r="V53" s="13" t="n">
        <v>0</v>
      </c>
      <c r="W53" s="13" t="n">
        <f aca="false">U53+V53</f>
        <v>350</v>
      </c>
    </row>
    <row r="54" customFormat="false" ht="15" hidden="false" customHeight="false" outlineLevel="0" collapsed="false">
      <c r="A54" s="14" t="s">
        <v>1670</v>
      </c>
      <c r="B54" s="14" t="s">
        <v>1623</v>
      </c>
      <c r="C54" s="14" t="s">
        <v>1478</v>
      </c>
      <c r="D54" s="14" t="s">
        <v>89</v>
      </c>
      <c r="E54" s="15" t="n">
        <v>685000</v>
      </c>
      <c r="F54" s="15" t="n">
        <v>6731.41</v>
      </c>
      <c r="G54" s="15" t="n">
        <v>841.43</v>
      </c>
      <c r="H54" s="15" t="n">
        <v>841.43</v>
      </c>
      <c r="I54" s="15" t="n">
        <f aca="false">SUM(K54:T54)</f>
        <v>5048.6</v>
      </c>
      <c r="J54" s="15" t="n">
        <f aca="false">F54-(G54+H54+I54)</f>
        <v>-0.0499999999992724</v>
      </c>
      <c r="K54" s="15" t="n">
        <v>504.86</v>
      </c>
      <c r="L54" s="15" t="n">
        <v>504.86</v>
      </c>
      <c r="M54" s="15" t="n">
        <v>504.86</v>
      </c>
      <c r="N54" s="15" t="n">
        <v>504.86</v>
      </c>
      <c r="O54" s="15" t="n">
        <v>504.86</v>
      </c>
      <c r="P54" s="15" t="n">
        <v>504.86</v>
      </c>
      <c r="Q54" s="15" t="n">
        <v>504.86</v>
      </c>
      <c r="R54" s="15" t="n">
        <v>504.86</v>
      </c>
      <c r="S54" s="15" t="n">
        <v>504.86</v>
      </c>
      <c r="T54" s="15" t="n">
        <v>504.86</v>
      </c>
      <c r="U54" s="15" t="n">
        <v>350</v>
      </c>
      <c r="V54" s="15" t="n">
        <v>0</v>
      </c>
      <c r="W54" s="15" t="n">
        <f aca="false">U54+V54</f>
        <v>350</v>
      </c>
    </row>
    <row r="55" customFormat="false" ht="15" hidden="false" customHeight="false" outlineLevel="0" collapsed="false">
      <c r="A55" s="3" t="s">
        <v>1671</v>
      </c>
      <c r="B55" s="3" t="s">
        <v>1601</v>
      </c>
      <c r="C55" s="3" t="s">
        <v>742</v>
      </c>
      <c r="D55" s="3" t="s">
        <v>73</v>
      </c>
      <c r="E55" s="13" t="n">
        <v>230000</v>
      </c>
      <c r="F55" s="13" t="n">
        <v>2596.58</v>
      </c>
      <c r="G55" s="13" t="n">
        <v>324.57</v>
      </c>
      <c r="H55" s="13" t="n">
        <v>324.57</v>
      </c>
      <c r="I55" s="13" t="n">
        <f aca="false">SUM(K55:T55)</f>
        <v>1947.4</v>
      </c>
      <c r="J55" s="13" t="n">
        <f aca="false">F55-(G55+H55+I55)</f>
        <v>0.0399999999999636</v>
      </c>
      <c r="K55" s="13" t="n">
        <v>194.74</v>
      </c>
      <c r="L55" s="13" t="n">
        <v>194.74</v>
      </c>
      <c r="M55" s="13" t="n">
        <v>194.74</v>
      </c>
      <c r="N55" s="13" t="n">
        <v>194.74</v>
      </c>
      <c r="O55" s="13" t="n">
        <v>194.74</v>
      </c>
      <c r="P55" s="13" t="n">
        <v>194.74</v>
      </c>
      <c r="Q55" s="13" t="n">
        <v>194.74</v>
      </c>
      <c r="R55" s="13" t="n">
        <v>194.74</v>
      </c>
      <c r="S55" s="13" t="n">
        <v>194.74</v>
      </c>
      <c r="T55" s="13" t="n">
        <v>194.74</v>
      </c>
      <c r="U55" s="13" t="n">
        <v>350</v>
      </c>
      <c r="V55" s="13" t="n">
        <v>0</v>
      </c>
      <c r="W55" s="13" t="n">
        <f aca="false">U55+V55</f>
        <v>350</v>
      </c>
    </row>
    <row r="56" customFormat="false" ht="15" hidden="false" customHeight="false" outlineLevel="0" collapsed="false">
      <c r="A56" s="14" t="s">
        <v>1672</v>
      </c>
      <c r="B56" s="14" t="s">
        <v>1595</v>
      </c>
      <c r="C56" s="14" t="s">
        <v>1186</v>
      </c>
      <c r="D56" s="14" t="s">
        <v>352</v>
      </c>
      <c r="E56" s="15" t="n">
        <v>285000</v>
      </c>
      <c r="F56" s="15" t="n">
        <v>4088.82</v>
      </c>
      <c r="G56" s="15" t="n">
        <v>511.1</v>
      </c>
      <c r="H56" s="15" t="n">
        <v>511.1</v>
      </c>
      <c r="I56" s="15" t="n">
        <f aca="false">SUM(K56:T56)</f>
        <v>3066.6</v>
      </c>
      <c r="J56" s="15" t="n">
        <f aca="false">F56-(G56+H56+I56)</f>
        <v>0.0199999999999818</v>
      </c>
      <c r="K56" s="15" t="n">
        <v>306.66</v>
      </c>
      <c r="L56" s="15" t="n">
        <v>306.66</v>
      </c>
      <c r="M56" s="15" t="n">
        <v>306.66</v>
      </c>
      <c r="N56" s="15" t="n">
        <v>306.66</v>
      </c>
      <c r="O56" s="15" t="n">
        <v>306.66</v>
      </c>
      <c r="P56" s="15" t="n">
        <v>306.66</v>
      </c>
      <c r="Q56" s="15" t="n">
        <v>306.66</v>
      </c>
      <c r="R56" s="15" t="n">
        <v>306.66</v>
      </c>
      <c r="S56" s="15" t="n">
        <v>306.66</v>
      </c>
      <c r="T56" s="15" t="n">
        <v>306.66</v>
      </c>
      <c r="U56" s="15" t="n">
        <v>350</v>
      </c>
      <c r="V56" s="15" t="n">
        <v>0</v>
      </c>
      <c r="W56" s="15" t="n">
        <f aca="false">U56+V56</f>
        <v>350</v>
      </c>
    </row>
    <row r="57" customFormat="false" ht="15" hidden="false" customHeight="false" outlineLevel="0" collapsed="false">
      <c r="A57" s="3" t="s">
        <v>1673</v>
      </c>
      <c r="B57" s="3" t="s">
        <v>1674</v>
      </c>
      <c r="C57" s="3" t="s">
        <v>1474</v>
      </c>
      <c r="D57" s="3" t="s">
        <v>157</v>
      </c>
      <c r="E57" s="13" t="n">
        <v>715000</v>
      </c>
      <c r="F57" s="13" t="n">
        <v>11171.75</v>
      </c>
      <c r="G57" s="13" t="n">
        <v>1396.47</v>
      </c>
      <c r="H57" s="13" t="n">
        <v>1396.47</v>
      </c>
      <c r="I57" s="13" t="n">
        <f aca="false">SUM(K57:T57)</f>
        <v>8378.8</v>
      </c>
      <c r="J57" s="13" t="n">
        <f aca="false">F57-(G57+H57+I57)</f>
        <v>0.0100000000002183</v>
      </c>
      <c r="K57" s="13" t="n">
        <v>837.88</v>
      </c>
      <c r="L57" s="13" t="n">
        <v>837.88</v>
      </c>
      <c r="M57" s="13" t="n">
        <v>837.88</v>
      </c>
      <c r="N57" s="13" t="n">
        <v>837.88</v>
      </c>
      <c r="O57" s="13" t="n">
        <v>837.88</v>
      </c>
      <c r="P57" s="13" t="n">
        <v>837.88</v>
      </c>
      <c r="Q57" s="13" t="n">
        <v>837.88</v>
      </c>
      <c r="R57" s="13" t="n">
        <v>837.88</v>
      </c>
      <c r="S57" s="13" t="n">
        <v>837.88</v>
      </c>
      <c r="T57" s="13" t="n">
        <v>837.88</v>
      </c>
      <c r="U57" s="13" t="n">
        <v>350</v>
      </c>
      <c r="V57" s="13" t="n">
        <v>0</v>
      </c>
      <c r="W57" s="13" t="n">
        <f aca="false">U57+V57</f>
        <v>350</v>
      </c>
    </row>
    <row r="58" customFormat="false" ht="15" hidden="false" customHeight="false" outlineLevel="0" collapsed="false">
      <c r="A58" s="14" t="s">
        <v>1675</v>
      </c>
      <c r="B58" s="14" t="s">
        <v>1627</v>
      </c>
      <c r="C58" s="14" t="s">
        <v>321</v>
      </c>
      <c r="D58" s="14" t="s">
        <v>208</v>
      </c>
      <c r="E58" s="15" t="n">
        <v>420000</v>
      </c>
      <c r="F58" s="15" t="n">
        <v>6932.14</v>
      </c>
      <c r="G58" s="15" t="n">
        <v>866.52</v>
      </c>
      <c r="H58" s="15" t="n">
        <v>866.52</v>
      </c>
      <c r="I58" s="15" t="n">
        <f aca="false">SUM(K58:T58)</f>
        <v>5199.1</v>
      </c>
      <c r="J58" s="15" t="n">
        <f aca="false">F58-(G58+H58+I58)</f>
        <v>0</v>
      </c>
      <c r="K58" s="15" t="n">
        <v>519.91</v>
      </c>
      <c r="L58" s="15" t="n">
        <v>519.91</v>
      </c>
      <c r="M58" s="15" t="n">
        <v>519.91</v>
      </c>
      <c r="N58" s="15" t="n">
        <v>519.91</v>
      </c>
      <c r="O58" s="15" t="n">
        <v>519.91</v>
      </c>
      <c r="P58" s="15" t="n">
        <v>519.91</v>
      </c>
      <c r="Q58" s="15" t="n">
        <v>519.91</v>
      </c>
      <c r="R58" s="15" t="n">
        <v>519.91</v>
      </c>
      <c r="S58" s="15" t="n">
        <v>519.91</v>
      </c>
      <c r="T58" s="15" t="n">
        <v>519.91</v>
      </c>
      <c r="U58" s="15" t="n">
        <v>350</v>
      </c>
      <c r="V58" s="15" t="n">
        <v>0</v>
      </c>
      <c r="W58" s="15" t="n">
        <f aca="false">U58+V58</f>
        <v>350</v>
      </c>
    </row>
    <row r="59" customFormat="false" ht="15" hidden="false" customHeight="false" outlineLevel="0" collapsed="false">
      <c r="A59" s="3" t="s">
        <v>1676</v>
      </c>
      <c r="B59" s="3" t="s">
        <v>1614</v>
      </c>
      <c r="C59" s="3" t="s">
        <v>1170</v>
      </c>
      <c r="D59" s="3" t="s">
        <v>109</v>
      </c>
      <c r="E59" s="13" t="n">
        <v>740000</v>
      </c>
      <c r="F59" s="13" t="n">
        <v>14875.75</v>
      </c>
      <c r="G59" s="13" t="n">
        <v>1859.47</v>
      </c>
      <c r="H59" s="13" t="n">
        <v>1859.47</v>
      </c>
      <c r="I59" s="13" t="n">
        <f aca="false">SUM(K59:T59)</f>
        <v>11156.8</v>
      </c>
      <c r="J59" s="13" t="n">
        <f aca="false">F59-(G59+H59+I59)</f>
        <v>0.00999999999839929</v>
      </c>
      <c r="K59" s="13" t="n">
        <v>1115.68</v>
      </c>
      <c r="L59" s="13" t="n">
        <v>1115.68</v>
      </c>
      <c r="M59" s="13" t="n">
        <v>1115.68</v>
      </c>
      <c r="N59" s="13" t="n">
        <v>1115.68</v>
      </c>
      <c r="O59" s="13" t="n">
        <v>1115.68</v>
      </c>
      <c r="P59" s="13" t="n">
        <v>1115.68</v>
      </c>
      <c r="Q59" s="13" t="n">
        <v>1115.68</v>
      </c>
      <c r="R59" s="13" t="n">
        <v>1115.68</v>
      </c>
      <c r="S59" s="13" t="n">
        <v>1115.68</v>
      </c>
      <c r="T59" s="13" t="n">
        <v>1115.68</v>
      </c>
      <c r="U59" s="13" t="n">
        <v>350</v>
      </c>
      <c r="V59" s="13" t="n">
        <v>0</v>
      </c>
      <c r="W59" s="13" t="n">
        <f aca="false">U59+V59</f>
        <v>350</v>
      </c>
    </row>
    <row r="60" customFormat="false" ht="15" hidden="false" customHeight="false" outlineLevel="0" collapsed="false">
      <c r="A60" s="14" t="s">
        <v>1677</v>
      </c>
      <c r="B60" s="14" t="s">
        <v>1601</v>
      </c>
      <c r="C60" s="14" t="s">
        <v>1678</v>
      </c>
      <c r="D60" s="14" t="s">
        <v>246</v>
      </c>
      <c r="E60" s="15" t="n">
        <v>205000</v>
      </c>
      <c r="F60" s="15" t="n">
        <v>3831.21</v>
      </c>
      <c r="G60" s="15" t="n">
        <v>478.9</v>
      </c>
      <c r="H60" s="15" t="n">
        <v>478.9</v>
      </c>
      <c r="I60" s="15" t="n">
        <f aca="false">SUM(K60:T60)</f>
        <v>2873.4</v>
      </c>
      <c r="J60" s="15" t="n">
        <f aca="false">F60-(G60+H60+I60)</f>
        <v>0.0100000000002183</v>
      </c>
      <c r="K60" s="15" t="n">
        <v>287.34</v>
      </c>
      <c r="L60" s="15" t="n">
        <v>287.34</v>
      </c>
      <c r="M60" s="15" t="n">
        <v>287.34</v>
      </c>
      <c r="N60" s="15" t="n">
        <v>287.34</v>
      </c>
      <c r="O60" s="15" t="n">
        <v>287.34</v>
      </c>
      <c r="P60" s="15" t="n">
        <v>287.34</v>
      </c>
      <c r="Q60" s="15" t="n">
        <v>287.34</v>
      </c>
      <c r="R60" s="15" t="n">
        <v>287.34</v>
      </c>
      <c r="S60" s="15" t="n">
        <v>287.34</v>
      </c>
      <c r="T60" s="15" t="n">
        <v>287.34</v>
      </c>
      <c r="U60" s="15" t="n">
        <v>350</v>
      </c>
      <c r="V60" s="15" t="n">
        <v>0</v>
      </c>
      <c r="W60" s="15" t="n">
        <f aca="false">U60+V60</f>
        <v>350</v>
      </c>
    </row>
    <row r="61" customFormat="false" ht="15" hidden="false" customHeight="false" outlineLevel="0" collapsed="false">
      <c r="A61" s="3" t="s">
        <v>1679</v>
      </c>
      <c r="B61" s="3" t="s">
        <v>1610</v>
      </c>
      <c r="C61" s="3" t="s">
        <v>239</v>
      </c>
      <c r="D61" s="3" t="s">
        <v>121</v>
      </c>
      <c r="E61" s="13" t="n">
        <v>1655000</v>
      </c>
      <c r="F61" s="13" t="n">
        <v>12988.38</v>
      </c>
      <c r="G61" s="13" t="n">
        <v>1623.55</v>
      </c>
      <c r="H61" s="13" t="n">
        <v>1623.55</v>
      </c>
      <c r="I61" s="13" t="n">
        <f aca="false">SUM(K61:T61)</f>
        <v>9741.3</v>
      </c>
      <c r="J61" s="13" t="n">
        <f aca="false">F61-(G61+H61+I61)</f>
        <v>-0.0200000000004366</v>
      </c>
      <c r="K61" s="13" t="n">
        <v>974.13</v>
      </c>
      <c r="L61" s="13" t="n">
        <v>974.13</v>
      </c>
      <c r="M61" s="13" t="n">
        <v>974.13</v>
      </c>
      <c r="N61" s="13" t="n">
        <v>974.13</v>
      </c>
      <c r="O61" s="13" t="n">
        <v>974.13</v>
      </c>
      <c r="P61" s="13" t="n">
        <v>974.13</v>
      </c>
      <c r="Q61" s="13" t="n">
        <v>974.13</v>
      </c>
      <c r="R61" s="13" t="n">
        <v>974.13</v>
      </c>
      <c r="S61" s="13" t="n">
        <v>974.13</v>
      </c>
      <c r="T61" s="13" t="n">
        <v>974.13</v>
      </c>
      <c r="U61" s="13" t="n">
        <v>350</v>
      </c>
      <c r="V61" s="13" t="n">
        <v>250</v>
      </c>
      <c r="W61" s="13" t="n">
        <f aca="false">U61+V61</f>
        <v>600</v>
      </c>
    </row>
    <row r="62" customFormat="false" ht="15" hidden="false" customHeight="false" outlineLevel="0" collapsed="false">
      <c r="A62" s="14" t="s">
        <v>1680</v>
      </c>
      <c r="B62" s="14" t="s">
        <v>1614</v>
      </c>
      <c r="C62" s="14" t="s">
        <v>616</v>
      </c>
      <c r="D62" s="14" t="s">
        <v>328</v>
      </c>
      <c r="E62" s="15" t="n">
        <v>895000</v>
      </c>
      <c r="F62" s="15" t="n">
        <v>18711.28</v>
      </c>
      <c r="G62" s="15" t="n">
        <v>2338.91</v>
      </c>
      <c r="H62" s="15" t="n">
        <v>2338.91</v>
      </c>
      <c r="I62" s="15" t="n">
        <f aca="false">SUM(K62:T62)</f>
        <v>14033.5</v>
      </c>
      <c r="J62" s="15" t="n">
        <f aca="false">F62-(G62+H62+I62)</f>
        <v>-0.0400000000008731</v>
      </c>
      <c r="K62" s="15" t="n">
        <v>1403.35</v>
      </c>
      <c r="L62" s="15" t="n">
        <v>1403.35</v>
      </c>
      <c r="M62" s="15" t="n">
        <v>1403.35</v>
      </c>
      <c r="N62" s="15" t="n">
        <v>1403.35</v>
      </c>
      <c r="O62" s="15" t="n">
        <v>1403.35</v>
      </c>
      <c r="P62" s="15" t="n">
        <v>1403.35</v>
      </c>
      <c r="Q62" s="15" t="n">
        <v>1403.35</v>
      </c>
      <c r="R62" s="15" t="n">
        <v>1403.35</v>
      </c>
      <c r="S62" s="15" t="n">
        <v>1403.35</v>
      </c>
      <c r="T62" s="15" t="n">
        <v>1403.35</v>
      </c>
      <c r="U62" s="15" t="n">
        <v>350</v>
      </c>
      <c r="V62" s="15" t="n">
        <v>0</v>
      </c>
      <c r="W62" s="15" t="n">
        <f aca="false">U62+V62</f>
        <v>350</v>
      </c>
    </row>
    <row r="63" customFormat="false" ht="15" hidden="false" customHeight="false" outlineLevel="0" collapsed="false">
      <c r="A63" s="3" t="s">
        <v>1681</v>
      </c>
      <c r="B63" s="3" t="s">
        <v>1601</v>
      </c>
      <c r="C63" s="3" t="s">
        <v>1682</v>
      </c>
      <c r="D63" s="3" t="s">
        <v>430</v>
      </c>
      <c r="E63" s="13" t="n">
        <v>990000</v>
      </c>
      <c r="F63" s="13" t="n">
        <v>10784.42</v>
      </c>
      <c r="G63" s="13" t="n">
        <v>1348.05</v>
      </c>
      <c r="H63" s="13" t="n">
        <v>1348.05</v>
      </c>
      <c r="I63" s="13" t="n">
        <f aca="false">SUM(K63:T63)</f>
        <v>8088.3</v>
      </c>
      <c r="J63" s="13" t="n">
        <f aca="false">F63-(G63+H63+I63)</f>
        <v>0.0200000000004366</v>
      </c>
      <c r="K63" s="13" t="n">
        <v>808.83</v>
      </c>
      <c r="L63" s="13" t="n">
        <v>808.83</v>
      </c>
      <c r="M63" s="13" t="n">
        <v>808.83</v>
      </c>
      <c r="N63" s="13" t="n">
        <v>808.83</v>
      </c>
      <c r="O63" s="13" t="n">
        <v>808.83</v>
      </c>
      <c r="P63" s="13" t="n">
        <v>808.83</v>
      </c>
      <c r="Q63" s="13" t="n">
        <v>808.83</v>
      </c>
      <c r="R63" s="13" t="n">
        <v>808.83</v>
      </c>
      <c r="S63" s="13" t="n">
        <v>808.83</v>
      </c>
      <c r="T63" s="13" t="n">
        <v>808.83</v>
      </c>
      <c r="U63" s="13" t="n">
        <v>350</v>
      </c>
      <c r="V63" s="13" t="n">
        <v>0</v>
      </c>
      <c r="W63" s="13" t="n">
        <f aca="false">U63+V63</f>
        <v>350</v>
      </c>
    </row>
    <row r="64" customFormat="false" ht="15" hidden="false" customHeight="false" outlineLevel="0" collapsed="false">
      <c r="A64" s="14" t="s">
        <v>1683</v>
      </c>
      <c r="B64" s="14" t="s">
        <v>1595</v>
      </c>
      <c r="C64" s="14" t="s">
        <v>419</v>
      </c>
      <c r="D64" s="14" t="s">
        <v>138</v>
      </c>
      <c r="E64" s="15" t="n">
        <v>1145000</v>
      </c>
      <c r="F64" s="15" t="n">
        <v>12259.69</v>
      </c>
      <c r="G64" s="15" t="n">
        <v>1532.46</v>
      </c>
      <c r="H64" s="15" t="n">
        <v>1532.46</v>
      </c>
      <c r="I64" s="15" t="n">
        <f aca="false">SUM(K64:T64)</f>
        <v>9194.8</v>
      </c>
      <c r="J64" s="15" t="n">
        <f aca="false">F64-(G64+H64+I64)</f>
        <v>-0.0299999999988358</v>
      </c>
      <c r="K64" s="15" t="n">
        <v>919.48</v>
      </c>
      <c r="L64" s="15" t="n">
        <v>919.48</v>
      </c>
      <c r="M64" s="15" t="n">
        <v>919.48</v>
      </c>
      <c r="N64" s="15" t="n">
        <v>919.48</v>
      </c>
      <c r="O64" s="15" t="n">
        <v>919.48</v>
      </c>
      <c r="P64" s="15" t="n">
        <v>919.48</v>
      </c>
      <c r="Q64" s="15" t="n">
        <v>919.48</v>
      </c>
      <c r="R64" s="15" t="n">
        <v>919.48</v>
      </c>
      <c r="S64" s="15" t="n">
        <v>919.48</v>
      </c>
      <c r="T64" s="15" t="n">
        <v>919.48</v>
      </c>
      <c r="U64" s="15" t="n">
        <v>350</v>
      </c>
      <c r="V64" s="15" t="n">
        <v>250</v>
      </c>
      <c r="W64" s="15" t="n">
        <f aca="false">U64+V64</f>
        <v>600</v>
      </c>
    </row>
    <row r="65" customFormat="false" ht="15" hidden="false" customHeight="false" outlineLevel="0" collapsed="false">
      <c r="A65" s="3" t="s">
        <v>1684</v>
      </c>
      <c r="B65" s="3" t="s">
        <v>1651</v>
      </c>
      <c r="C65" s="3" t="s">
        <v>160</v>
      </c>
      <c r="D65" s="3" t="s">
        <v>138</v>
      </c>
      <c r="E65" s="13" t="n">
        <v>345000</v>
      </c>
      <c r="F65" s="13" t="n">
        <v>5037.23</v>
      </c>
      <c r="G65" s="13" t="n">
        <v>629.65</v>
      </c>
      <c r="H65" s="13" t="n">
        <v>629.65</v>
      </c>
      <c r="I65" s="13" t="n">
        <f aca="false">SUM(K65:T65)</f>
        <v>3777.9</v>
      </c>
      <c r="J65" s="13" t="n">
        <f aca="false">F65-(G65+H65+I65)</f>
        <v>0.0299999999997453</v>
      </c>
      <c r="K65" s="13" t="n">
        <v>377.79</v>
      </c>
      <c r="L65" s="13" t="n">
        <v>377.79</v>
      </c>
      <c r="M65" s="13" t="n">
        <v>377.79</v>
      </c>
      <c r="N65" s="13" t="n">
        <v>377.79</v>
      </c>
      <c r="O65" s="13" t="n">
        <v>377.79</v>
      </c>
      <c r="P65" s="13" t="n">
        <v>377.79</v>
      </c>
      <c r="Q65" s="13" t="n">
        <v>377.79</v>
      </c>
      <c r="R65" s="13" t="n">
        <v>377.79</v>
      </c>
      <c r="S65" s="13" t="n">
        <v>377.79</v>
      </c>
      <c r="T65" s="13" t="n">
        <v>377.79</v>
      </c>
      <c r="U65" s="13" t="n">
        <v>350</v>
      </c>
      <c r="V65" s="13" t="n">
        <v>0</v>
      </c>
      <c r="W65" s="13" t="n">
        <f aca="false">U65+V65</f>
        <v>350</v>
      </c>
    </row>
    <row r="66" customFormat="false" ht="15" hidden="false" customHeight="false" outlineLevel="0" collapsed="false">
      <c r="A66" s="14" t="s">
        <v>1685</v>
      </c>
      <c r="B66" s="14" t="s">
        <v>1654</v>
      </c>
      <c r="C66" s="14" t="s">
        <v>991</v>
      </c>
      <c r="D66" s="14" t="s">
        <v>93</v>
      </c>
      <c r="E66" s="15" t="n">
        <v>515000</v>
      </c>
      <c r="F66" s="15" t="n">
        <v>4240.47</v>
      </c>
      <c r="G66" s="15" t="n">
        <v>530.06</v>
      </c>
      <c r="H66" s="15" t="n">
        <v>530.06</v>
      </c>
      <c r="I66" s="15" t="n">
        <f aca="false">SUM(K66:T66)</f>
        <v>3180.4</v>
      </c>
      <c r="J66" s="15" t="n">
        <f aca="false">F66-(G66+H66+I66)</f>
        <v>-0.0500000000001819</v>
      </c>
      <c r="K66" s="15" t="n">
        <v>318.04</v>
      </c>
      <c r="L66" s="15" t="n">
        <v>318.04</v>
      </c>
      <c r="M66" s="15" t="n">
        <v>318.04</v>
      </c>
      <c r="N66" s="15" t="n">
        <v>318.04</v>
      </c>
      <c r="O66" s="15" t="n">
        <v>318.04</v>
      </c>
      <c r="P66" s="15" t="n">
        <v>318.04</v>
      </c>
      <c r="Q66" s="15" t="n">
        <v>318.04</v>
      </c>
      <c r="R66" s="15" t="n">
        <v>318.04</v>
      </c>
      <c r="S66" s="15" t="n">
        <v>318.04</v>
      </c>
      <c r="T66" s="15" t="n">
        <v>318.04</v>
      </c>
      <c r="U66" s="15" t="n">
        <v>350</v>
      </c>
      <c r="V66" s="15" t="n">
        <v>0</v>
      </c>
      <c r="W66" s="15" t="n">
        <f aca="false">U66+V66</f>
        <v>350</v>
      </c>
    </row>
    <row r="67" customFormat="false" ht="15" hidden="false" customHeight="false" outlineLevel="0" collapsed="false">
      <c r="A67" s="3" t="s">
        <v>1686</v>
      </c>
      <c r="B67" s="3" t="s">
        <v>1618</v>
      </c>
      <c r="C67" s="3" t="s">
        <v>1308</v>
      </c>
      <c r="D67" s="3" t="s">
        <v>448</v>
      </c>
      <c r="E67" s="13" t="n">
        <v>700000</v>
      </c>
      <c r="F67" s="13" t="n">
        <v>5401.14</v>
      </c>
      <c r="G67" s="13" t="n">
        <v>675.14</v>
      </c>
      <c r="H67" s="13" t="n">
        <v>675.14</v>
      </c>
      <c r="I67" s="13" t="n">
        <f aca="false">SUM(K67:T67)</f>
        <v>4050.9</v>
      </c>
      <c r="J67" s="13" t="n">
        <f aca="false">F67-(G67+H67+I67)</f>
        <v>-0.0399999999999636</v>
      </c>
      <c r="K67" s="13" t="n">
        <v>405.09</v>
      </c>
      <c r="L67" s="13" t="n">
        <v>405.09</v>
      </c>
      <c r="M67" s="13" t="n">
        <v>405.09</v>
      </c>
      <c r="N67" s="13" t="n">
        <v>405.09</v>
      </c>
      <c r="O67" s="13" t="n">
        <v>405.09</v>
      </c>
      <c r="P67" s="13" t="n">
        <v>405.09</v>
      </c>
      <c r="Q67" s="13" t="n">
        <v>405.09</v>
      </c>
      <c r="R67" s="13" t="n">
        <v>405.09</v>
      </c>
      <c r="S67" s="13" t="n">
        <v>405.09</v>
      </c>
      <c r="T67" s="13" t="n">
        <v>405.09</v>
      </c>
      <c r="U67" s="13" t="n">
        <v>350</v>
      </c>
      <c r="V67" s="13" t="n">
        <v>0</v>
      </c>
      <c r="W67" s="13" t="n">
        <f aca="false">U67+V67</f>
        <v>350</v>
      </c>
    </row>
    <row r="68" customFormat="false" ht="15" hidden="false" customHeight="false" outlineLevel="0" collapsed="false">
      <c r="A68" s="14" t="s">
        <v>1687</v>
      </c>
      <c r="B68" s="14" t="s">
        <v>1599</v>
      </c>
      <c r="C68" s="14" t="s">
        <v>777</v>
      </c>
      <c r="D68" s="14" t="s">
        <v>193</v>
      </c>
      <c r="E68" s="15" t="n">
        <v>490000</v>
      </c>
      <c r="F68" s="15" t="n">
        <v>7776.44</v>
      </c>
      <c r="G68" s="15" t="n">
        <v>972.05</v>
      </c>
      <c r="H68" s="15" t="n">
        <v>972.05</v>
      </c>
      <c r="I68" s="15" t="n">
        <f aca="false">SUM(K68:T68)</f>
        <v>5832.3</v>
      </c>
      <c r="J68" s="15" t="n">
        <f aca="false">F68-(G68+H68+I68)</f>
        <v>0.0399999999999636</v>
      </c>
      <c r="K68" s="15" t="n">
        <v>583.23</v>
      </c>
      <c r="L68" s="15" t="n">
        <v>583.23</v>
      </c>
      <c r="M68" s="15" t="n">
        <v>583.23</v>
      </c>
      <c r="N68" s="15" t="n">
        <v>583.23</v>
      </c>
      <c r="O68" s="15" t="n">
        <v>583.23</v>
      </c>
      <c r="P68" s="15" t="n">
        <v>583.23</v>
      </c>
      <c r="Q68" s="15" t="n">
        <v>583.23</v>
      </c>
      <c r="R68" s="15" t="n">
        <v>583.23</v>
      </c>
      <c r="S68" s="15" t="n">
        <v>583.23</v>
      </c>
      <c r="T68" s="15" t="n">
        <v>583.23</v>
      </c>
      <c r="U68" s="15" t="n">
        <v>350</v>
      </c>
      <c r="V68" s="15" t="n">
        <v>0</v>
      </c>
      <c r="W68" s="15" t="n">
        <f aca="false">U68+V68</f>
        <v>350</v>
      </c>
    </row>
    <row r="69" customFormat="false" ht="15" hidden="false" customHeight="false" outlineLevel="0" collapsed="false">
      <c r="A69" s="3" t="s">
        <v>1688</v>
      </c>
      <c r="B69" s="3" t="s">
        <v>1595</v>
      </c>
      <c r="C69" s="3" t="s">
        <v>1146</v>
      </c>
      <c r="D69" s="3" t="s">
        <v>69</v>
      </c>
      <c r="E69" s="13" t="n">
        <v>300000</v>
      </c>
      <c r="F69" s="13" t="n">
        <v>5665.06</v>
      </c>
      <c r="G69" s="13" t="n">
        <v>708.13</v>
      </c>
      <c r="H69" s="13" t="n">
        <v>708.13</v>
      </c>
      <c r="I69" s="13" t="n">
        <f aca="false">SUM(K69:T69)</f>
        <v>4248.8</v>
      </c>
      <c r="J69" s="13" t="n">
        <f aca="false">F69-(G69+H69+I69)</f>
        <v>0</v>
      </c>
      <c r="K69" s="13" t="n">
        <v>424.88</v>
      </c>
      <c r="L69" s="13" t="n">
        <v>424.88</v>
      </c>
      <c r="M69" s="13" t="n">
        <v>424.88</v>
      </c>
      <c r="N69" s="13" t="n">
        <v>424.88</v>
      </c>
      <c r="O69" s="13" t="n">
        <v>424.88</v>
      </c>
      <c r="P69" s="13" t="n">
        <v>424.88</v>
      </c>
      <c r="Q69" s="13" t="n">
        <v>424.88</v>
      </c>
      <c r="R69" s="13" t="n">
        <v>424.88</v>
      </c>
      <c r="S69" s="13" t="n">
        <v>424.88</v>
      </c>
      <c r="T69" s="13" t="n">
        <v>424.88</v>
      </c>
      <c r="U69" s="13" t="n">
        <v>350</v>
      </c>
      <c r="V69" s="13" t="n">
        <v>0</v>
      </c>
      <c r="W69" s="13" t="n">
        <f aca="false">U69+V69</f>
        <v>350</v>
      </c>
    </row>
    <row r="70" customFormat="false" ht="15" hidden="false" customHeight="false" outlineLevel="0" collapsed="false">
      <c r="A70" s="14" t="s">
        <v>1689</v>
      </c>
      <c r="B70" s="14" t="s">
        <v>1690</v>
      </c>
      <c r="C70" s="14" t="s">
        <v>531</v>
      </c>
      <c r="D70" s="14" t="s">
        <v>377</v>
      </c>
      <c r="E70" s="15" t="n">
        <v>685000</v>
      </c>
      <c r="F70" s="15" t="n">
        <v>12120.02</v>
      </c>
      <c r="G70" s="15" t="n">
        <v>1515</v>
      </c>
      <c r="H70" s="15" t="n">
        <v>1515</v>
      </c>
      <c r="I70" s="15" t="n">
        <f aca="false">SUM(K70:T70)</f>
        <v>9090</v>
      </c>
      <c r="J70" s="15" t="n">
        <f aca="false">F70-(G70+H70+I70)</f>
        <v>0.0200000000004366</v>
      </c>
      <c r="K70" s="15" t="n">
        <v>909</v>
      </c>
      <c r="L70" s="15" t="n">
        <v>909</v>
      </c>
      <c r="M70" s="15" t="n">
        <v>909</v>
      </c>
      <c r="N70" s="15" t="n">
        <v>909</v>
      </c>
      <c r="O70" s="15" t="n">
        <v>909</v>
      </c>
      <c r="P70" s="15" t="n">
        <v>909</v>
      </c>
      <c r="Q70" s="15" t="n">
        <v>909</v>
      </c>
      <c r="R70" s="15" t="n">
        <v>909</v>
      </c>
      <c r="S70" s="15" t="n">
        <v>909</v>
      </c>
      <c r="T70" s="15" t="n">
        <v>909</v>
      </c>
      <c r="U70" s="15" t="n">
        <v>350</v>
      </c>
      <c r="V70" s="15" t="n">
        <v>0</v>
      </c>
      <c r="W70" s="15" t="n">
        <f aca="false">U70+V70</f>
        <v>350</v>
      </c>
    </row>
    <row r="71" customFormat="false" ht="15" hidden="false" customHeight="false" outlineLevel="0" collapsed="false">
      <c r="A71" s="3" t="s">
        <v>1691</v>
      </c>
      <c r="B71" s="3" t="s">
        <v>1593</v>
      </c>
      <c r="C71" s="3" t="s">
        <v>1692</v>
      </c>
      <c r="D71" s="3" t="s">
        <v>193</v>
      </c>
      <c r="E71" s="13" t="n">
        <v>1240000</v>
      </c>
      <c r="F71" s="13" t="n">
        <v>20991.1</v>
      </c>
      <c r="G71" s="13" t="n">
        <v>2623.89</v>
      </c>
      <c r="H71" s="13" t="n">
        <v>2623.89</v>
      </c>
      <c r="I71" s="13" t="n">
        <f aca="false">SUM(K71:T71)</f>
        <v>15743.3</v>
      </c>
      <c r="J71" s="13" t="n">
        <f aca="false">F71-(G71+H71+I71)</f>
        <v>0.0200000000004366</v>
      </c>
      <c r="K71" s="13" t="n">
        <v>1574.33</v>
      </c>
      <c r="L71" s="13" t="n">
        <v>1574.33</v>
      </c>
      <c r="M71" s="13" t="n">
        <v>1574.33</v>
      </c>
      <c r="N71" s="13" t="n">
        <v>1574.33</v>
      </c>
      <c r="O71" s="13" t="n">
        <v>1574.33</v>
      </c>
      <c r="P71" s="13" t="n">
        <v>1574.33</v>
      </c>
      <c r="Q71" s="13" t="n">
        <v>1574.33</v>
      </c>
      <c r="R71" s="13" t="n">
        <v>1574.33</v>
      </c>
      <c r="S71" s="13" t="n">
        <v>1574.33</v>
      </c>
      <c r="T71" s="13" t="n">
        <v>1574.33</v>
      </c>
      <c r="U71" s="13" t="n">
        <v>350</v>
      </c>
      <c r="V71" s="13" t="n">
        <v>250</v>
      </c>
      <c r="W71" s="13" t="n">
        <f aca="false">U71+V71</f>
        <v>600</v>
      </c>
    </row>
    <row r="72" customFormat="false" ht="15" hidden="false" customHeight="false" outlineLevel="0" collapsed="false">
      <c r="A72" s="14" t="s">
        <v>1693</v>
      </c>
      <c r="B72" s="14" t="s">
        <v>1694</v>
      </c>
      <c r="C72" s="14" t="s">
        <v>755</v>
      </c>
      <c r="D72" s="14" t="s">
        <v>69</v>
      </c>
      <c r="E72" s="15" t="n">
        <v>1480000</v>
      </c>
      <c r="F72" s="15" t="n">
        <v>13366.25</v>
      </c>
      <c r="G72" s="15" t="n">
        <v>1670.78</v>
      </c>
      <c r="H72" s="15" t="n">
        <v>1670.78</v>
      </c>
      <c r="I72" s="15" t="n">
        <f aca="false">SUM(K72:T72)</f>
        <v>10024.7</v>
      </c>
      <c r="J72" s="15" t="n">
        <f aca="false">F72-(G72+H72+I72)</f>
        <v>-0.00999999999839929</v>
      </c>
      <c r="K72" s="15" t="n">
        <v>1002.47</v>
      </c>
      <c r="L72" s="15" t="n">
        <v>1002.47</v>
      </c>
      <c r="M72" s="15" t="n">
        <v>1002.47</v>
      </c>
      <c r="N72" s="15" t="n">
        <v>1002.47</v>
      </c>
      <c r="O72" s="15" t="n">
        <v>1002.47</v>
      </c>
      <c r="P72" s="15" t="n">
        <v>1002.47</v>
      </c>
      <c r="Q72" s="15" t="n">
        <v>1002.47</v>
      </c>
      <c r="R72" s="15" t="n">
        <v>1002.47</v>
      </c>
      <c r="S72" s="15" t="n">
        <v>1002.47</v>
      </c>
      <c r="T72" s="15" t="n">
        <v>1002.47</v>
      </c>
      <c r="U72" s="15" t="n">
        <v>350</v>
      </c>
      <c r="V72" s="15" t="n">
        <v>250</v>
      </c>
      <c r="W72" s="15" t="n">
        <f aca="false">U72+V72</f>
        <v>600</v>
      </c>
    </row>
    <row r="73" customFormat="false" ht="15" hidden="false" customHeight="false" outlineLevel="0" collapsed="false">
      <c r="A73" s="3" t="s">
        <v>1695</v>
      </c>
      <c r="B73" s="3" t="s">
        <v>1591</v>
      </c>
      <c r="C73" s="3" t="s">
        <v>1186</v>
      </c>
      <c r="D73" s="3" t="s">
        <v>325</v>
      </c>
      <c r="E73" s="13" t="n">
        <v>285000</v>
      </c>
      <c r="F73" s="13" t="n">
        <v>4993.43</v>
      </c>
      <c r="G73" s="13" t="n">
        <v>624.18</v>
      </c>
      <c r="H73" s="13" t="n">
        <v>624.18</v>
      </c>
      <c r="I73" s="13" t="n">
        <f aca="false">SUM(K73:T73)</f>
        <v>3745.1</v>
      </c>
      <c r="J73" s="13" t="n">
        <f aca="false">F73-(G73+H73+I73)</f>
        <v>-0.0299999999997453</v>
      </c>
      <c r="K73" s="13" t="n">
        <v>374.51</v>
      </c>
      <c r="L73" s="13" t="n">
        <v>374.51</v>
      </c>
      <c r="M73" s="13" t="n">
        <v>374.51</v>
      </c>
      <c r="N73" s="13" t="n">
        <v>374.51</v>
      </c>
      <c r="O73" s="13" t="n">
        <v>374.51</v>
      </c>
      <c r="P73" s="13" t="n">
        <v>374.51</v>
      </c>
      <c r="Q73" s="13" t="n">
        <v>374.51</v>
      </c>
      <c r="R73" s="13" t="n">
        <v>374.51</v>
      </c>
      <c r="S73" s="13" t="n">
        <v>374.51</v>
      </c>
      <c r="T73" s="13" t="n">
        <v>374.51</v>
      </c>
      <c r="U73" s="13" t="n">
        <v>350</v>
      </c>
      <c r="V73" s="13" t="n">
        <v>0</v>
      </c>
      <c r="W73" s="13" t="n">
        <f aca="false">U73+V73</f>
        <v>350</v>
      </c>
    </row>
    <row r="74" customFormat="false" ht="15" hidden="false" customHeight="false" outlineLevel="0" collapsed="false">
      <c r="A74" s="14" t="s">
        <v>1696</v>
      </c>
      <c r="B74" s="14" t="s">
        <v>1593</v>
      </c>
      <c r="C74" s="14" t="s">
        <v>1112</v>
      </c>
      <c r="D74" s="14" t="s">
        <v>157</v>
      </c>
      <c r="E74" s="15" t="n">
        <v>730000</v>
      </c>
      <c r="F74" s="15" t="n">
        <v>16670.49</v>
      </c>
      <c r="G74" s="15" t="n">
        <v>2083.81</v>
      </c>
      <c r="H74" s="15" t="n">
        <v>2083.81</v>
      </c>
      <c r="I74" s="15" t="n">
        <f aca="false">SUM(K74:T74)</f>
        <v>12502.9</v>
      </c>
      <c r="J74" s="15" t="n">
        <f aca="false">F74-(G74+H74+I74)</f>
        <v>-0.0299999999988358</v>
      </c>
      <c r="K74" s="15" t="n">
        <v>1250.29</v>
      </c>
      <c r="L74" s="15" t="n">
        <v>1250.29</v>
      </c>
      <c r="M74" s="15" t="n">
        <v>1250.29</v>
      </c>
      <c r="N74" s="15" t="n">
        <v>1250.29</v>
      </c>
      <c r="O74" s="15" t="n">
        <v>1250.29</v>
      </c>
      <c r="P74" s="15" t="n">
        <v>1250.29</v>
      </c>
      <c r="Q74" s="15" t="n">
        <v>1250.29</v>
      </c>
      <c r="R74" s="15" t="n">
        <v>1250.29</v>
      </c>
      <c r="S74" s="15" t="n">
        <v>1250.29</v>
      </c>
      <c r="T74" s="15" t="n">
        <v>1250.29</v>
      </c>
      <c r="U74" s="15" t="n">
        <v>350</v>
      </c>
      <c r="V74" s="15" t="n">
        <v>0</v>
      </c>
      <c r="W74" s="15" t="n">
        <f aca="false">U74+V74</f>
        <v>350</v>
      </c>
    </row>
    <row r="75" customFormat="false" ht="15" hidden="false" customHeight="false" outlineLevel="0" collapsed="false">
      <c r="A75" s="3" t="s">
        <v>1697</v>
      </c>
      <c r="B75" s="3" t="s">
        <v>1593</v>
      </c>
      <c r="C75" s="3" t="s">
        <v>425</v>
      </c>
      <c r="D75" s="3" t="s">
        <v>157</v>
      </c>
      <c r="E75" s="13" t="n">
        <v>380000</v>
      </c>
      <c r="F75" s="13" t="n">
        <v>6850.88</v>
      </c>
      <c r="G75" s="13" t="n">
        <v>856.36</v>
      </c>
      <c r="H75" s="13" t="n">
        <v>856.36</v>
      </c>
      <c r="I75" s="13" t="n">
        <f aca="false">SUM(K75:T75)</f>
        <v>5138.2</v>
      </c>
      <c r="J75" s="13" t="n">
        <f aca="false">F75-(G75+H75+I75)</f>
        <v>-0.0399999999999636</v>
      </c>
      <c r="K75" s="13" t="n">
        <v>513.82</v>
      </c>
      <c r="L75" s="13" t="n">
        <v>513.82</v>
      </c>
      <c r="M75" s="13" t="n">
        <v>513.82</v>
      </c>
      <c r="N75" s="13" t="n">
        <v>513.82</v>
      </c>
      <c r="O75" s="13" t="n">
        <v>513.82</v>
      </c>
      <c r="P75" s="13" t="n">
        <v>513.82</v>
      </c>
      <c r="Q75" s="13" t="n">
        <v>513.82</v>
      </c>
      <c r="R75" s="13" t="n">
        <v>513.82</v>
      </c>
      <c r="S75" s="13" t="n">
        <v>513.82</v>
      </c>
      <c r="T75" s="13" t="n">
        <v>513.82</v>
      </c>
      <c r="U75" s="13" t="n">
        <v>350</v>
      </c>
      <c r="V75" s="13" t="n">
        <v>0</v>
      </c>
      <c r="W75" s="13" t="n">
        <f aca="false">U75+V75</f>
        <v>350</v>
      </c>
    </row>
    <row r="76" customFormat="false" ht="15" hidden="false" customHeight="false" outlineLevel="0" collapsed="false">
      <c r="A76" s="14" t="s">
        <v>1698</v>
      </c>
      <c r="B76" s="14" t="s">
        <v>1605</v>
      </c>
      <c r="C76" s="14" t="s">
        <v>1074</v>
      </c>
      <c r="D76" s="14" t="s">
        <v>153</v>
      </c>
      <c r="E76" s="15" t="n">
        <v>745000</v>
      </c>
      <c r="F76" s="15" t="n">
        <v>7428.22</v>
      </c>
      <c r="G76" s="15" t="n">
        <v>928.53</v>
      </c>
      <c r="H76" s="15" t="n">
        <v>928.53</v>
      </c>
      <c r="I76" s="15" t="n">
        <f aca="false">SUM(K76:T76)</f>
        <v>5571.2</v>
      </c>
      <c r="J76" s="15" t="n">
        <f aca="false">F76-(G76+H76+I76)</f>
        <v>-0.0399999999999636</v>
      </c>
      <c r="K76" s="15" t="n">
        <v>557.12</v>
      </c>
      <c r="L76" s="15" t="n">
        <v>557.12</v>
      </c>
      <c r="M76" s="15" t="n">
        <v>557.12</v>
      </c>
      <c r="N76" s="15" t="n">
        <v>557.12</v>
      </c>
      <c r="O76" s="15" t="n">
        <v>557.12</v>
      </c>
      <c r="P76" s="15" t="n">
        <v>557.12</v>
      </c>
      <c r="Q76" s="15" t="n">
        <v>557.12</v>
      </c>
      <c r="R76" s="15" t="n">
        <v>557.12</v>
      </c>
      <c r="S76" s="15" t="n">
        <v>557.12</v>
      </c>
      <c r="T76" s="15" t="n">
        <v>557.12</v>
      </c>
      <c r="U76" s="15" t="n">
        <v>350</v>
      </c>
      <c r="V76" s="15" t="n">
        <v>0</v>
      </c>
      <c r="W76" s="15" t="n">
        <f aca="false">U76+V76</f>
        <v>350</v>
      </c>
    </row>
    <row r="77" customFormat="false" ht="15" hidden="false" customHeight="false" outlineLevel="0" collapsed="false">
      <c r="A77" s="3" t="s">
        <v>1699</v>
      </c>
      <c r="B77" s="3" t="s">
        <v>1661</v>
      </c>
      <c r="C77" s="3" t="s">
        <v>1700</v>
      </c>
      <c r="D77" s="3" t="s">
        <v>180</v>
      </c>
      <c r="E77" s="13" t="n">
        <v>690000</v>
      </c>
      <c r="F77" s="13" t="n">
        <v>13426.77</v>
      </c>
      <c r="G77" s="13" t="n">
        <v>1678.35</v>
      </c>
      <c r="H77" s="13" t="n">
        <v>1678.35</v>
      </c>
      <c r="I77" s="13" t="n">
        <f aca="false">SUM(K77:T77)</f>
        <v>10070.1</v>
      </c>
      <c r="J77" s="13" t="n">
        <f aca="false">F77-(G77+H77+I77)</f>
        <v>-0.0299999999988358</v>
      </c>
      <c r="K77" s="13" t="n">
        <v>1007.01</v>
      </c>
      <c r="L77" s="13" t="n">
        <v>1007.01</v>
      </c>
      <c r="M77" s="13" t="n">
        <v>1007.01</v>
      </c>
      <c r="N77" s="13" t="n">
        <v>1007.01</v>
      </c>
      <c r="O77" s="13" t="n">
        <v>1007.01</v>
      </c>
      <c r="P77" s="13" t="n">
        <v>1007.01</v>
      </c>
      <c r="Q77" s="13" t="n">
        <v>1007.01</v>
      </c>
      <c r="R77" s="13" t="n">
        <v>1007.01</v>
      </c>
      <c r="S77" s="13" t="n">
        <v>1007.01</v>
      </c>
      <c r="T77" s="13" t="n">
        <v>1007.01</v>
      </c>
      <c r="U77" s="13" t="n">
        <v>350</v>
      </c>
      <c r="V77" s="13" t="n">
        <v>0</v>
      </c>
      <c r="W77" s="13" t="n">
        <f aca="false">U77+V77</f>
        <v>350</v>
      </c>
    </row>
    <row r="78" customFormat="false" ht="15" hidden="false" customHeight="false" outlineLevel="0" collapsed="false">
      <c r="A78" s="14" t="s">
        <v>1701</v>
      </c>
      <c r="B78" s="14" t="s">
        <v>1702</v>
      </c>
      <c r="C78" s="14" t="s">
        <v>1120</v>
      </c>
      <c r="D78" s="14" t="s">
        <v>911</v>
      </c>
      <c r="E78" s="15" t="n">
        <v>810000</v>
      </c>
      <c r="F78" s="15" t="n">
        <v>9625.77</v>
      </c>
      <c r="G78" s="15" t="n">
        <v>1203.22</v>
      </c>
      <c r="H78" s="15" t="n">
        <v>1203.22</v>
      </c>
      <c r="I78" s="15" t="n">
        <f aca="false">SUM(K78:T78)</f>
        <v>7219.3</v>
      </c>
      <c r="J78" s="15" t="n">
        <f aca="false">F78-(G78+H78+I78)</f>
        <v>0.0300000000006548</v>
      </c>
      <c r="K78" s="15" t="n">
        <v>721.93</v>
      </c>
      <c r="L78" s="15" t="n">
        <v>721.93</v>
      </c>
      <c r="M78" s="15" t="n">
        <v>721.93</v>
      </c>
      <c r="N78" s="15" t="n">
        <v>721.93</v>
      </c>
      <c r="O78" s="15" t="n">
        <v>721.93</v>
      </c>
      <c r="P78" s="15" t="n">
        <v>721.93</v>
      </c>
      <c r="Q78" s="15" t="n">
        <v>721.93</v>
      </c>
      <c r="R78" s="15" t="n">
        <v>721.93</v>
      </c>
      <c r="S78" s="15" t="n">
        <v>721.93</v>
      </c>
      <c r="T78" s="15" t="n">
        <v>721.93</v>
      </c>
      <c r="U78" s="15" t="n">
        <v>350</v>
      </c>
      <c r="V78" s="15" t="n">
        <v>0</v>
      </c>
      <c r="W78" s="15" t="n">
        <f aca="false">U78+V78</f>
        <v>350</v>
      </c>
    </row>
    <row r="79" customFormat="false" ht="15" hidden="false" customHeight="false" outlineLevel="0" collapsed="false">
      <c r="A79" s="3" t="s">
        <v>1703</v>
      </c>
      <c r="B79" s="3" t="s">
        <v>1661</v>
      </c>
      <c r="C79" s="3" t="s">
        <v>900</v>
      </c>
      <c r="D79" s="3" t="s">
        <v>251</v>
      </c>
      <c r="E79" s="13" t="n">
        <v>1060000</v>
      </c>
      <c r="F79" s="13" t="n">
        <v>11053.5</v>
      </c>
      <c r="G79" s="13" t="n">
        <v>1381.69</v>
      </c>
      <c r="H79" s="13" t="n">
        <v>1381.69</v>
      </c>
      <c r="I79" s="13" t="n">
        <f aca="false">SUM(K79:T79)</f>
        <v>8290.1</v>
      </c>
      <c r="J79" s="13" t="n">
        <f aca="false">F79-(G79+H79+I79)</f>
        <v>0.0200000000004366</v>
      </c>
      <c r="K79" s="13" t="n">
        <v>829.01</v>
      </c>
      <c r="L79" s="13" t="n">
        <v>829.01</v>
      </c>
      <c r="M79" s="13" t="n">
        <v>829.01</v>
      </c>
      <c r="N79" s="13" t="n">
        <v>829.01</v>
      </c>
      <c r="O79" s="13" t="n">
        <v>829.01</v>
      </c>
      <c r="P79" s="13" t="n">
        <v>829.01</v>
      </c>
      <c r="Q79" s="13" t="n">
        <v>829.01</v>
      </c>
      <c r="R79" s="13" t="n">
        <v>829.01</v>
      </c>
      <c r="S79" s="13" t="n">
        <v>829.01</v>
      </c>
      <c r="T79" s="13" t="n">
        <v>829.01</v>
      </c>
      <c r="U79" s="13" t="n">
        <v>350</v>
      </c>
      <c r="V79" s="13" t="n">
        <v>250</v>
      </c>
      <c r="W79" s="13" t="n">
        <f aca="false">U79+V79</f>
        <v>600</v>
      </c>
    </row>
    <row r="80" customFormat="false" ht="15" hidden="false" customHeight="false" outlineLevel="0" collapsed="false">
      <c r="A80" s="14" t="s">
        <v>1704</v>
      </c>
      <c r="B80" s="14" t="s">
        <v>1601</v>
      </c>
      <c r="C80" s="14" t="s">
        <v>749</v>
      </c>
      <c r="D80" s="14" t="s">
        <v>93</v>
      </c>
      <c r="E80" s="15" t="n">
        <v>675000</v>
      </c>
      <c r="F80" s="15" t="n">
        <v>9506.94</v>
      </c>
      <c r="G80" s="15" t="n">
        <v>1188.37</v>
      </c>
      <c r="H80" s="15" t="n">
        <v>1188.37</v>
      </c>
      <c r="I80" s="15" t="n">
        <f aca="false">SUM(K80:T80)</f>
        <v>7130.2</v>
      </c>
      <c r="J80" s="15" t="n">
        <f aca="false">F80-(G80+H80+I80)</f>
        <v>0</v>
      </c>
      <c r="K80" s="15" t="n">
        <v>713.02</v>
      </c>
      <c r="L80" s="15" t="n">
        <v>713.02</v>
      </c>
      <c r="M80" s="15" t="n">
        <v>713.02</v>
      </c>
      <c r="N80" s="15" t="n">
        <v>713.02</v>
      </c>
      <c r="O80" s="15" t="n">
        <v>713.02</v>
      </c>
      <c r="P80" s="15" t="n">
        <v>713.02</v>
      </c>
      <c r="Q80" s="15" t="n">
        <v>713.02</v>
      </c>
      <c r="R80" s="15" t="n">
        <v>713.02</v>
      </c>
      <c r="S80" s="15" t="n">
        <v>713.02</v>
      </c>
      <c r="T80" s="15" t="n">
        <v>713.02</v>
      </c>
      <c r="U80" s="15" t="n">
        <v>350</v>
      </c>
      <c r="V80" s="15" t="n">
        <v>0</v>
      </c>
      <c r="W80" s="15" t="n">
        <f aca="false">U80+V80</f>
        <v>350</v>
      </c>
    </row>
    <row r="81" customFormat="false" ht="15" hidden="false" customHeight="false" outlineLevel="0" collapsed="false">
      <c r="A81" s="3" t="s">
        <v>1705</v>
      </c>
      <c r="B81" s="3" t="s">
        <v>1618</v>
      </c>
      <c r="C81" s="3" t="s">
        <v>1400</v>
      </c>
      <c r="D81" s="3" t="s">
        <v>138</v>
      </c>
      <c r="E81" s="13" t="n">
        <v>835000</v>
      </c>
      <c r="F81" s="13" t="n">
        <v>10566.01</v>
      </c>
      <c r="G81" s="13" t="n">
        <v>1320.75</v>
      </c>
      <c r="H81" s="13" t="n">
        <v>1320.75</v>
      </c>
      <c r="I81" s="13" t="n">
        <f aca="false">SUM(K81:T81)</f>
        <v>7924.5</v>
      </c>
      <c r="J81" s="13" t="n">
        <f aca="false">F81-(G81+H81+I81)</f>
        <v>0.0100000000002183</v>
      </c>
      <c r="K81" s="13" t="n">
        <v>792.45</v>
      </c>
      <c r="L81" s="13" t="n">
        <v>792.45</v>
      </c>
      <c r="M81" s="13" t="n">
        <v>792.45</v>
      </c>
      <c r="N81" s="13" t="n">
        <v>792.45</v>
      </c>
      <c r="O81" s="13" t="n">
        <v>792.45</v>
      </c>
      <c r="P81" s="13" t="n">
        <v>792.45</v>
      </c>
      <c r="Q81" s="13" t="n">
        <v>792.45</v>
      </c>
      <c r="R81" s="13" t="n">
        <v>792.45</v>
      </c>
      <c r="S81" s="13" t="n">
        <v>792.45</v>
      </c>
      <c r="T81" s="13" t="n">
        <v>792.45</v>
      </c>
      <c r="U81" s="13" t="n">
        <v>350</v>
      </c>
      <c r="V81" s="13" t="n">
        <v>0</v>
      </c>
      <c r="W81" s="13" t="n">
        <f aca="false">U81+V81</f>
        <v>350</v>
      </c>
    </row>
    <row r="82" customFormat="false" ht="15" hidden="false" customHeight="false" outlineLevel="0" collapsed="false">
      <c r="A82" s="14" t="s">
        <v>1706</v>
      </c>
      <c r="B82" s="14" t="s">
        <v>1674</v>
      </c>
      <c r="C82" s="14" t="s">
        <v>819</v>
      </c>
      <c r="D82" s="14" t="s">
        <v>230</v>
      </c>
      <c r="E82" s="15" t="n">
        <v>1870000</v>
      </c>
      <c r="F82" s="15" t="n">
        <v>14314.81</v>
      </c>
      <c r="G82" s="15" t="n">
        <v>1789.35</v>
      </c>
      <c r="H82" s="15" t="n">
        <v>1789.35</v>
      </c>
      <c r="I82" s="15" t="n">
        <f aca="false">SUM(K82:T82)</f>
        <v>10736.1</v>
      </c>
      <c r="J82" s="15" t="n">
        <f aca="false">F82-(G82+H82+I82)</f>
        <v>0.0100000000002183</v>
      </c>
      <c r="K82" s="15" t="n">
        <v>1073.61</v>
      </c>
      <c r="L82" s="15" t="n">
        <v>1073.61</v>
      </c>
      <c r="M82" s="15" t="n">
        <v>1073.61</v>
      </c>
      <c r="N82" s="15" t="n">
        <v>1073.61</v>
      </c>
      <c r="O82" s="15" t="n">
        <v>1073.61</v>
      </c>
      <c r="P82" s="15" t="n">
        <v>1073.61</v>
      </c>
      <c r="Q82" s="15" t="n">
        <v>1073.61</v>
      </c>
      <c r="R82" s="15" t="n">
        <v>1073.61</v>
      </c>
      <c r="S82" s="15" t="n">
        <v>1073.61</v>
      </c>
      <c r="T82" s="15" t="n">
        <v>1073.61</v>
      </c>
      <c r="U82" s="15" t="n">
        <v>350</v>
      </c>
      <c r="V82" s="15" t="n">
        <v>250</v>
      </c>
      <c r="W82" s="15" t="n">
        <f aca="false">U82+V82</f>
        <v>600</v>
      </c>
    </row>
    <row r="83" customFormat="false" ht="15" hidden="false" customHeight="false" outlineLevel="0" collapsed="false">
      <c r="A83" s="3" t="s">
        <v>1707</v>
      </c>
      <c r="B83" s="3" t="s">
        <v>1708</v>
      </c>
      <c r="C83" s="3" t="s">
        <v>662</v>
      </c>
      <c r="D83" s="3" t="s">
        <v>172</v>
      </c>
      <c r="E83" s="13" t="n">
        <v>940000</v>
      </c>
      <c r="F83" s="13" t="n">
        <v>10756.92</v>
      </c>
      <c r="G83" s="13" t="n">
        <v>1344.62</v>
      </c>
      <c r="H83" s="13" t="n">
        <v>1344.62</v>
      </c>
      <c r="I83" s="13" t="n">
        <f aca="false">SUM(K83:T83)</f>
        <v>8067.7</v>
      </c>
      <c r="J83" s="13" t="n">
        <f aca="false">F83-(G83+H83+I83)</f>
        <v>-0.0200000000004366</v>
      </c>
      <c r="K83" s="13" t="n">
        <v>806.77</v>
      </c>
      <c r="L83" s="13" t="n">
        <v>806.77</v>
      </c>
      <c r="M83" s="13" t="n">
        <v>806.77</v>
      </c>
      <c r="N83" s="13" t="n">
        <v>806.77</v>
      </c>
      <c r="O83" s="13" t="n">
        <v>806.77</v>
      </c>
      <c r="P83" s="13" t="n">
        <v>806.77</v>
      </c>
      <c r="Q83" s="13" t="n">
        <v>806.77</v>
      </c>
      <c r="R83" s="13" t="n">
        <v>806.77</v>
      </c>
      <c r="S83" s="13" t="n">
        <v>806.77</v>
      </c>
      <c r="T83" s="13" t="n">
        <v>806.77</v>
      </c>
      <c r="U83" s="13" t="n">
        <v>350</v>
      </c>
      <c r="V83" s="13" t="n">
        <v>0</v>
      </c>
      <c r="W83" s="13" t="n">
        <f aca="false">U83+V83</f>
        <v>350</v>
      </c>
    </row>
    <row r="84" customFormat="false" ht="15" hidden="false" customHeight="false" outlineLevel="0" collapsed="false">
      <c r="A84" s="14" t="s">
        <v>1709</v>
      </c>
      <c r="B84" s="14" t="s">
        <v>1601</v>
      </c>
      <c r="C84" s="14" t="s">
        <v>362</v>
      </c>
      <c r="D84" s="14" t="s">
        <v>203</v>
      </c>
      <c r="E84" s="15" t="n">
        <v>710000</v>
      </c>
      <c r="F84" s="15" t="n">
        <v>8906.15</v>
      </c>
      <c r="G84" s="15" t="n">
        <v>1113.27</v>
      </c>
      <c r="H84" s="15" t="n">
        <v>1113.27</v>
      </c>
      <c r="I84" s="15" t="n">
        <f aca="false">SUM(K84:T84)</f>
        <v>6679.6</v>
      </c>
      <c r="J84" s="15" t="n">
        <f aca="false">F84-(G84+H84+I84)</f>
        <v>0.0100000000002183</v>
      </c>
      <c r="K84" s="15" t="n">
        <v>667.96</v>
      </c>
      <c r="L84" s="15" t="n">
        <v>667.96</v>
      </c>
      <c r="M84" s="15" t="n">
        <v>667.96</v>
      </c>
      <c r="N84" s="15" t="n">
        <v>667.96</v>
      </c>
      <c r="O84" s="15" t="n">
        <v>667.96</v>
      </c>
      <c r="P84" s="15" t="n">
        <v>667.96</v>
      </c>
      <c r="Q84" s="15" t="n">
        <v>667.96</v>
      </c>
      <c r="R84" s="15" t="n">
        <v>667.96</v>
      </c>
      <c r="S84" s="15" t="n">
        <v>667.96</v>
      </c>
      <c r="T84" s="15" t="n">
        <v>667.96</v>
      </c>
      <c r="U84" s="15" t="n">
        <v>350</v>
      </c>
      <c r="V84" s="15" t="n">
        <v>0</v>
      </c>
      <c r="W84" s="15" t="n">
        <f aca="false">U84+V84</f>
        <v>350</v>
      </c>
    </row>
    <row r="85" customFormat="false" ht="15" hidden="false" customHeight="false" outlineLevel="0" collapsed="false">
      <c r="A85" s="3" t="s">
        <v>1710</v>
      </c>
      <c r="B85" s="3" t="s">
        <v>1595</v>
      </c>
      <c r="C85" s="3" t="s">
        <v>1236</v>
      </c>
      <c r="D85" s="3" t="s">
        <v>189</v>
      </c>
      <c r="E85" s="13" t="n">
        <v>275000</v>
      </c>
      <c r="F85" s="13" t="n">
        <v>5888.93</v>
      </c>
      <c r="G85" s="13" t="n">
        <v>736.12</v>
      </c>
      <c r="H85" s="13" t="n">
        <v>736.12</v>
      </c>
      <c r="I85" s="13" t="n">
        <f aca="false">SUM(K85:T85)</f>
        <v>4416.7</v>
      </c>
      <c r="J85" s="13" t="n">
        <f aca="false">F85-(G85+H85+I85)</f>
        <v>-0.00999999999930878</v>
      </c>
      <c r="K85" s="13" t="n">
        <v>441.67</v>
      </c>
      <c r="L85" s="13" t="n">
        <v>441.67</v>
      </c>
      <c r="M85" s="13" t="n">
        <v>441.67</v>
      </c>
      <c r="N85" s="13" t="n">
        <v>441.67</v>
      </c>
      <c r="O85" s="13" t="n">
        <v>441.67</v>
      </c>
      <c r="P85" s="13" t="n">
        <v>441.67</v>
      </c>
      <c r="Q85" s="13" t="n">
        <v>441.67</v>
      </c>
      <c r="R85" s="13" t="n">
        <v>441.67</v>
      </c>
      <c r="S85" s="13" t="n">
        <v>441.67</v>
      </c>
      <c r="T85" s="13" t="n">
        <v>441.67</v>
      </c>
      <c r="U85" s="13" t="n">
        <v>350</v>
      </c>
      <c r="V85" s="13" t="n">
        <v>0</v>
      </c>
      <c r="W85" s="13" t="n">
        <f aca="false">U85+V85</f>
        <v>350</v>
      </c>
    </row>
    <row r="86" customFormat="false" ht="15" hidden="false" customHeight="false" outlineLevel="0" collapsed="false">
      <c r="A86" s="14" t="s">
        <v>1711</v>
      </c>
      <c r="B86" s="14" t="s">
        <v>1708</v>
      </c>
      <c r="C86" s="14" t="s">
        <v>1549</v>
      </c>
      <c r="D86" s="14" t="s">
        <v>256</v>
      </c>
      <c r="E86" s="15" t="n">
        <v>1285000</v>
      </c>
      <c r="F86" s="15" t="n">
        <v>15912.22</v>
      </c>
      <c r="G86" s="15" t="n">
        <v>1989.03</v>
      </c>
      <c r="H86" s="15" t="n">
        <v>1989.03</v>
      </c>
      <c r="I86" s="15" t="n">
        <f aca="false">SUM(K86:T86)</f>
        <v>11934.2</v>
      </c>
      <c r="J86" s="15" t="n">
        <f aca="false">F86-(G86+H86+I86)</f>
        <v>-0.0400000000008731</v>
      </c>
      <c r="K86" s="15" t="n">
        <v>1193.42</v>
      </c>
      <c r="L86" s="15" t="n">
        <v>1193.42</v>
      </c>
      <c r="M86" s="15" t="n">
        <v>1193.42</v>
      </c>
      <c r="N86" s="15" t="n">
        <v>1193.42</v>
      </c>
      <c r="O86" s="15" t="n">
        <v>1193.42</v>
      </c>
      <c r="P86" s="15" t="n">
        <v>1193.42</v>
      </c>
      <c r="Q86" s="15" t="n">
        <v>1193.42</v>
      </c>
      <c r="R86" s="15" t="n">
        <v>1193.42</v>
      </c>
      <c r="S86" s="15" t="n">
        <v>1193.42</v>
      </c>
      <c r="T86" s="15" t="n">
        <v>1193.42</v>
      </c>
      <c r="U86" s="15" t="n">
        <v>350</v>
      </c>
      <c r="V86" s="15" t="n">
        <v>250</v>
      </c>
      <c r="W86" s="15" t="n">
        <f aca="false">U86+V86</f>
        <v>600</v>
      </c>
    </row>
    <row r="87" customFormat="false" ht="15" hidden="false" customHeight="false" outlineLevel="0" collapsed="false">
      <c r="A87" s="3" t="s">
        <v>1712</v>
      </c>
      <c r="B87" s="3" t="s">
        <v>1702</v>
      </c>
      <c r="C87" s="3" t="s">
        <v>692</v>
      </c>
      <c r="D87" s="3" t="s">
        <v>328</v>
      </c>
      <c r="E87" s="13" t="n">
        <v>435000</v>
      </c>
      <c r="F87" s="13" t="n">
        <v>7179.72</v>
      </c>
      <c r="G87" s="13" t="n">
        <v>897.47</v>
      </c>
      <c r="H87" s="13" t="n">
        <v>897.47</v>
      </c>
      <c r="I87" s="13" t="n">
        <f aca="false">SUM(K87:T87)</f>
        <v>5384.8</v>
      </c>
      <c r="J87" s="13" t="n">
        <f aca="false">F87-(G87+H87+I87)</f>
        <v>-0.0199999999995271</v>
      </c>
      <c r="K87" s="13" t="n">
        <v>538.48</v>
      </c>
      <c r="L87" s="13" t="n">
        <v>538.48</v>
      </c>
      <c r="M87" s="13" t="n">
        <v>538.48</v>
      </c>
      <c r="N87" s="13" t="n">
        <v>538.48</v>
      </c>
      <c r="O87" s="13" t="n">
        <v>538.48</v>
      </c>
      <c r="P87" s="13" t="n">
        <v>538.48</v>
      </c>
      <c r="Q87" s="13" t="n">
        <v>538.48</v>
      </c>
      <c r="R87" s="13" t="n">
        <v>538.48</v>
      </c>
      <c r="S87" s="13" t="n">
        <v>538.48</v>
      </c>
      <c r="T87" s="13" t="n">
        <v>538.48</v>
      </c>
      <c r="U87" s="13" t="n">
        <v>350</v>
      </c>
      <c r="V87" s="13" t="n">
        <v>0</v>
      </c>
      <c r="W87" s="13" t="n">
        <f aca="false">U87+V87</f>
        <v>350</v>
      </c>
    </row>
    <row r="88" customFormat="false" ht="15" hidden="false" customHeight="false" outlineLevel="0" collapsed="false">
      <c r="A88" s="14" t="s">
        <v>1713</v>
      </c>
      <c r="B88" s="14" t="s">
        <v>1690</v>
      </c>
      <c r="C88" s="14" t="s">
        <v>425</v>
      </c>
      <c r="D88" s="14" t="s">
        <v>911</v>
      </c>
      <c r="E88" s="15" t="n">
        <v>1275000</v>
      </c>
      <c r="F88" s="15" t="n">
        <v>8857.9</v>
      </c>
      <c r="G88" s="15" t="n">
        <v>1107.24</v>
      </c>
      <c r="H88" s="15" t="n">
        <v>1107.24</v>
      </c>
      <c r="I88" s="15" t="n">
        <f aca="false">SUM(K88:T88)</f>
        <v>6643.4</v>
      </c>
      <c r="J88" s="15" t="n">
        <f aca="false">F88-(G88+H88+I88)</f>
        <v>0.0199999999986176</v>
      </c>
      <c r="K88" s="15" t="n">
        <v>664.34</v>
      </c>
      <c r="L88" s="15" t="n">
        <v>664.34</v>
      </c>
      <c r="M88" s="15" t="n">
        <v>664.34</v>
      </c>
      <c r="N88" s="15" t="n">
        <v>664.34</v>
      </c>
      <c r="O88" s="15" t="n">
        <v>664.34</v>
      </c>
      <c r="P88" s="15" t="n">
        <v>664.34</v>
      </c>
      <c r="Q88" s="15" t="n">
        <v>664.34</v>
      </c>
      <c r="R88" s="15" t="n">
        <v>664.34</v>
      </c>
      <c r="S88" s="15" t="n">
        <v>664.34</v>
      </c>
      <c r="T88" s="15" t="n">
        <v>664.34</v>
      </c>
      <c r="U88" s="15" t="n">
        <v>350</v>
      </c>
      <c r="V88" s="15" t="n">
        <v>250</v>
      </c>
      <c r="W88" s="15" t="n">
        <f aca="false">U88+V88</f>
        <v>600</v>
      </c>
    </row>
    <row r="89" customFormat="false" ht="15" hidden="false" customHeight="false" outlineLevel="0" collapsed="false">
      <c r="A89" s="3" t="s">
        <v>1714</v>
      </c>
      <c r="B89" s="3" t="s">
        <v>1654</v>
      </c>
      <c r="C89" s="3" t="s">
        <v>447</v>
      </c>
      <c r="D89" s="3" t="s">
        <v>99</v>
      </c>
      <c r="E89" s="13" t="n">
        <v>365000</v>
      </c>
      <c r="F89" s="13" t="n">
        <v>4033.54</v>
      </c>
      <c r="G89" s="13" t="n">
        <v>504.19</v>
      </c>
      <c r="H89" s="13" t="n">
        <v>504.19</v>
      </c>
      <c r="I89" s="13" t="n">
        <f aca="false">SUM(K89:T89)</f>
        <v>3025.2</v>
      </c>
      <c r="J89" s="13" t="n">
        <f aca="false">F89-(G89+H89+I89)</f>
        <v>-0.0399999999999636</v>
      </c>
      <c r="K89" s="13" t="n">
        <v>302.52</v>
      </c>
      <c r="L89" s="13" t="n">
        <v>302.52</v>
      </c>
      <c r="M89" s="13" t="n">
        <v>302.52</v>
      </c>
      <c r="N89" s="13" t="n">
        <v>302.52</v>
      </c>
      <c r="O89" s="13" t="n">
        <v>302.52</v>
      </c>
      <c r="P89" s="13" t="n">
        <v>302.52</v>
      </c>
      <c r="Q89" s="13" t="n">
        <v>302.52</v>
      </c>
      <c r="R89" s="13" t="n">
        <v>302.52</v>
      </c>
      <c r="S89" s="13" t="n">
        <v>302.52</v>
      </c>
      <c r="T89" s="13" t="n">
        <v>302.52</v>
      </c>
      <c r="U89" s="13" t="n">
        <v>350</v>
      </c>
      <c r="V89" s="13" t="n">
        <v>0</v>
      </c>
      <c r="W89" s="13" t="n">
        <f aca="false">U89+V89</f>
        <v>350</v>
      </c>
    </row>
    <row r="90" customFormat="false" ht="15" hidden="false" customHeight="false" outlineLevel="0" collapsed="false">
      <c r="A90" s="14" t="s">
        <v>1715</v>
      </c>
      <c r="B90" s="14" t="s">
        <v>1593</v>
      </c>
      <c r="C90" s="14" t="s">
        <v>1154</v>
      </c>
      <c r="D90" s="14" t="s">
        <v>89</v>
      </c>
      <c r="E90" s="15" t="n">
        <v>490000</v>
      </c>
      <c r="F90" s="15" t="n">
        <v>12877.78</v>
      </c>
      <c r="G90" s="15" t="n">
        <v>1609.72</v>
      </c>
      <c r="H90" s="15" t="n">
        <v>1609.72</v>
      </c>
      <c r="I90" s="15" t="n">
        <f aca="false">SUM(K90:T90)</f>
        <v>9658.3</v>
      </c>
      <c r="J90" s="15" t="n">
        <f aca="false">F90-(G90+H90+I90)</f>
        <v>0.0399999999990541</v>
      </c>
      <c r="K90" s="15" t="n">
        <v>965.83</v>
      </c>
      <c r="L90" s="15" t="n">
        <v>965.83</v>
      </c>
      <c r="M90" s="15" t="n">
        <v>965.83</v>
      </c>
      <c r="N90" s="15" t="n">
        <v>965.83</v>
      </c>
      <c r="O90" s="15" t="n">
        <v>965.83</v>
      </c>
      <c r="P90" s="15" t="n">
        <v>965.83</v>
      </c>
      <c r="Q90" s="15" t="n">
        <v>965.83</v>
      </c>
      <c r="R90" s="15" t="n">
        <v>965.83</v>
      </c>
      <c r="S90" s="15" t="n">
        <v>965.83</v>
      </c>
      <c r="T90" s="15" t="n">
        <v>965.83</v>
      </c>
      <c r="U90" s="15" t="n">
        <v>350</v>
      </c>
      <c r="V90" s="15" t="n">
        <v>0</v>
      </c>
      <c r="W90" s="15" t="n">
        <f aca="false">U90+V90</f>
        <v>350</v>
      </c>
    </row>
    <row r="91" customFormat="false" ht="15" hidden="false" customHeight="false" outlineLevel="0" collapsed="false">
      <c r="A91" s="3" t="s">
        <v>1716</v>
      </c>
      <c r="B91" s="3" t="s">
        <v>1636</v>
      </c>
      <c r="C91" s="3" t="s">
        <v>896</v>
      </c>
      <c r="D91" s="3" t="s">
        <v>189</v>
      </c>
      <c r="E91" s="13" t="n">
        <v>1350000</v>
      </c>
      <c r="F91" s="13" t="n">
        <v>9552.64</v>
      </c>
      <c r="G91" s="13" t="n">
        <v>1194.08</v>
      </c>
      <c r="H91" s="13" t="n">
        <v>1194.08</v>
      </c>
      <c r="I91" s="13" t="n">
        <f aca="false">SUM(K91:T91)</f>
        <v>7164.5</v>
      </c>
      <c r="J91" s="13" t="n">
        <f aca="false">F91-(G91+H91+I91)</f>
        <v>-0.0200000000004366</v>
      </c>
      <c r="K91" s="13" t="n">
        <v>716.45</v>
      </c>
      <c r="L91" s="13" t="n">
        <v>716.45</v>
      </c>
      <c r="M91" s="13" t="n">
        <v>716.45</v>
      </c>
      <c r="N91" s="13" t="n">
        <v>716.45</v>
      </c>
      <c r="O91" s="13" t="n">
        <v>716.45</v>
      </c>
      <c r="P91" s="13" t="n">
        <v>716.45</v>
      </c>
      <c r="Q91" s="13" t="n">
        <v>716.45</v>
      </c>
      <c r="R91" s="13" t="n">
        <v>716.45</v>
      </c>
      <c r="S91" s="13" t="n">
        <v>716.45</v>
      </c>
      <c r="T91" s="13" t="n">
        <v>716.45</v>
      </c>
      <c r="U91" s="13" t="n">
        <v>350</v>
      </c>
      <c r="V91" s="13" t="n">
        <v>250</v>
      </c>
      <c r="W91" s="13" t="n">
        <f aca="false">U91+V91</f>
        <v>600</v>
      </c>
    </row>
    <row r="92" customFormat="false" ht="15" hidden="false" customHeight="false" outlineLevel="0" collapsed="false">
      <c r="A92" s="14" t="s">
        <v>1717</v>
      </c>
      <c r="B92" s="14" t="s">
        <v>1623</v>
      </c>
      <c r="C92" s="14" t="s">
        <v>781</v>
      </c>
      <c r="D92" s="14" t="s">
        <v>279</v>
      </c>
      <c r="E92" s="15" t="n">
        <v>420000</v>
      </c>
      <c r="F92" s="15" t="n">
        <v>5693.6</v>
      </c>
      <c r="G92" s="15" t="n">
        <v>711.7</v>
      </c>
      <c r="H92" s="15" t="n">
        <v>711.7</v>
      </c>
      <c r="I92" s="15" t="n">
        <f aca="false">SUM(K92:T92)</f>
        <v>4270.2</v>
      </c>
      <c r="J92" s="15" t="n">
        <f aca="false">F92-(G92+H92+I92)</f>
        <v>0</v>
      </c>
      <c r="K92" s="15" t="n">
        <v>427.02</v>
      </c>
      <c r="L92" s="15" t="n">
        <v>427.02</v>
      </c>
      <c r="M92" s="15" t="n">
        <v>427.02</v>
      </c>
      <c r="N92" s="15" t="n">
        <v>427.02</v>
      </c>
      <c r="O92" s="15" t="n">
        <v>427.02</v>
      </c>
      <c r="P92" s="15" t="n">
        <v>427.02</v>
      </c>
      <c r="Q92" s="15" t="n">
        <v>427.02</v>
      </c>
      <c r="R92" s="15" t="n">
        <v>427.02</v>
      </c>
      <c r="S92" s="15" t="n">
        <v>427.02</v>
      </c>
      <c r="T92" s="15" t="n">
        <v>427.02</v>
      </c>
      <c r="U92" s="15" t="n">
        <v>350</v>
      </c>
      <c r="V92" s="15" t="n">
        <v>0</v>
      </c>
      <c r="W92" s="15" t="n">
        <f aca="false">U92+V92</f>
        <v>350</v>
      </c>
    </row>
    <row r="93" customFormat="false" ht="15" hidden="false" customHeight="false" outlineLevel="0" collapsed="false">
      <c r="A93" s="3" t="s">
        <v>1718</v>
      </c>
      <c r="B93" s="3" t="s">
        <v>1640</v>
      </c>
      <c r="C93" s="3" t="s">
        <v>1719</v>
      </c>
      <c r="D93" s="3" t="s">
        <v>382</v>
      </c>
      <c r="E93" s="13" t="n">
        <v>310000</v>
      </c>
      <c r="F93" s="13" t="n">
        <v>4408.13</v>
      </c>
      <c r="G93" s="13" t="n">
        <v>551.02</v>
      </c>
      <c r="H93" s="13" t="n">
        <v>551.02</v>
      </c>
      <c r="I93" s="13" t="n">
        <f aca="false">SUM(K93:T93)</f>
        <v>3306.1</v>
      </c>
      <c r="J93" s="13" t="n">
        <f aca="false">F93-(G93+H93+I93)</f>
        <v>-0.0100000000002183</v>
      </c>
      <c r="K93" s="13" t="n">
        <v>330.61</v>
      </c>
      <c r="L93" s="13" t="n">
        <v>330.61</v>
      </c>
      <c r="M93" s="13" t="n">
        <v>330.61</v>
      </c>
      <c r="N93" s="13" t="n">
        <v>330.61</v>
      </c>
      <c r="O93" s="13" t="n">
        <v>330.61</v>
      </c>
      <c r="P93" s="13" t="n">
        <v>330.61</v>
      </c>
      <c r="Q93" s="13" t="n">
        <v>330.61</v>
      </c>
      <c r="R93" s="13" t="n">
        <v>330.61</v>
      </c>
      <c r="S93" s="13" t="n">
        <v>330.61</v>
      </c>
      <c r="T93" s="13" t="n">
        <v>330.61</v>
      </c>
      <c r="U93" s="13" t="n">
        <v>350</v>
      </c>
      <c r="V93" s="13" t="n">
        <v>0</v>
      </c>
      <c r="W93" s="13" t="n">
        <f aca="false">U93+V93</f>
        <v>350</v>
      </c>
    </row>
    <row r="94" customFormat="false" ht="15" hidden="false" customHeight="false" outlineLevel="0" collapsed="false">
      <c r="A94" s="14" t="s">
        <v>1720</v>
      </c>
      <c r="B94" s="14" t="s">
        <v>1664</v>
      </c>
      <c r="C94" s="14" t="s">
        <v>1619</v>
      </c>
      <c r="D94" s="14" t="s">
        <v>279</v>
      </c>
      <c r="E94" s="15" t="n">
        <v>270000</v>
      </c>
      <c r="F94" s="15" t="n">
        <v>3119.47</v>
      </c>
      <c r="G94" s="15" t="n">
        <v>389.93</v>
      </c>
      <c r="H94" s="15" t="n">
        <v>389.93</v>
      </c>
      <c r="I94" s="15" t="n">
        <f aca="false">SUM(K94:T94)</f>
        <v>2339.6</v>
      </c>
      <c r="J94" s="15" t="n">
        <f aca="false">F94-(G94+H94+I94)</f>
        <v>0.00999999999976353</v>
      </c>
      <c r="K94" s="15" t="n">
        <v>233.96</v>
      </c>
      <c r="L94" s="15" t="n">
        <v>233.96</v>
      </c>
      <c r="M94" s="15" t="n">
        <v>233.96</v>
      </c>
      <c r="N94" s="15" t="n">
        <v>233.96</v>
      </c>
      <c r="O94" s="15" t="n">
        <v>233.96</v>
      </c>
      <c r="P94" s="15" t="n">
        <v>233.96</v>
      </c>
      <c r="Q94" s="15" t="n">
        <v>233.96</v>
      </c>
      <c r="R94" s="15" t="n">
        <v>233.96</v>
      </c>
      <c r="S94" s="15" t="n">
        <v>233.96</v>
      </c>
      <c r="T94" s="15" t="n">
        <v>233.96</v>
      </c>
      <c r="U94" s="15" t="n">
        <v>350</v>
      </c>
      <c r="V94" s="15" t="n">
        <v>0</v>
      </c>
      <c r="W94" s="15" t="n">
        <f aca="false">U94+V94</f>
        <v>350</v>
      </c>
    </row>
    <row r="95" customFormat="false" ht="15" hidden="false" customHeight="false" outlineLevel="0" collapsed="false">
      <c r="A95" s="3" t="s">
        <v>1721</v>
      </c>
      <c r="B95" s="3" t="s">
        <v>1702</v>
      </c>
      <c r="C95" s="3" t="s">
        <v>427</v>
      </c>
      <c r="D95" s="3" t="s">
        <v>89</v>
      </c>
      <c r="E95" s="13" t="n">
        <v>450000</v>
      </c>
      <c r="F95" s="13" t="n">
        <v>7712.96</v>
      </c>
      <c r="G95" s="13" t="n">
        <v>964.12</v>
      </c>
      <c r="H95" s="13" t="n">
        <v>964.12</v>
      </c>
      <c r="I95" s="13" t="n">
        <f aca="false">SUM(K95:T95)</f>
        <v>5784.7</v>
      </c>
      <c r="J95" s="13" t="n">
        <f aca="false">F95-(G95+H95+I95)</f>
        <v>0.0199999999995271</v>
      </c>
      <c r="K95" s="13" t="n">
        <v>578.47</v>
      </c>
      <c r="L95" s="13" t="n">
        <v>578.47</v>
      </c>
      <c r="M95" s="13" t="n">
        <v>578.47</v>
      </c>
      <c r="N95" s="13" t="n">
        <v>578.47</v>
      </c>
      <c r="O95" s="13" t="n">
        <v>578.47</v>
      </c>
      <c r="P95" s="13" t="n">
        <v>578.47</v>
      </c>
      <c r="Q95" s="13" t="n">
        <v>578.47</v>
      </c>
      <c r="R95" s="13" t="n">
        <v>578.47</v>
      </c>
      <c r="S95" s="13" t="n">
        <v>578.47</v>
      </c>
      <c r="T95" s="13" t="n">
        <v>578.47</v>
      </c>
      <c r="U95" s="13" t="n">
        <v>350</v>
      </c>
      <c r="V95" s="13" t="n">
        <v>0</v>
      </c>
      <c r="W95" s="13" t="n">
        <f aca="false">U95+V95</f>
        <v>350</v>
      </c>
    </row>
    <row r="96" customFormat="false" ht="15" hidden="false" customHeight="false" outlineLevel="0" collapsed="false">
      <c r="A96" s="14" t="s">
        <v>1722</v>
      </c>
      <c r="B96" s="14" t="s">
        <v>1654</v>
      </c>
      <c r="C96" s="14" t="s">
        <v>773</v>
      </c>
      <c r="D96" s="14" t="s">
        <v>448</v>
      </c>
      <c r="E96" s="15" t="n">
        <v>510000</v>
      </c>
      <c r="F96" s="15" t="n">
        <v>5948.44</v>
      </c>
      <c r="G96" s="15" t="n">
        <v>743.55</v>
      </c>
      <c r="H96" s="15" t="n">
        <v>743.55</v>
      </c>
      <c r="I96" s="15" t="n">
        <f aca="false">SUM(K96:T96)</f>
        <v>4461.3</v>
      </c>
      <c r="J96" s="15" t="n">
        <f aca="false">F96-(G96+H96+I96)</f>
        <v>0.0399999999999636</v>
      </c>
      <c r="K96" s="15" t="n">
        <v>446.13</v>
      </c>
      <c r="L96" s="15" t="n">
        <v>446.13</v>
      </c>
      <c r="M96" s="15" t="n">
        <v>446.13</v>
      </c>
      <c r="N96" s="15" t="n">
        <v>446.13</v>
      </c>
      <c r="O96" s="15" t="n">
        <v>446.13</v>
      </c>
      <c r="P96" s="15" t="n">
        <v>446.13</v>
      </c>
      <c r="Q96" s="15" t="n">
        <v>446.13</v>
      </c>
      <c r="R96" s="15" t="n">
        <v>446.13</v>
      </c>
      <c r="S96" s="15" t="n">
        <v>446.13</v>
      </c>
      <c r="T96" s="15" t="n">
        <v>446.13</v>
      </c>
      <c r="U96" s="15" t="n">
        <v>350</v>
      </c>
      <c r="V96" s="15" t="n">
        <v>0</v>
      </c>
      <c r="W96" s="15" t="n">
        <f aca="false">U96+V96</f>
        <v>350</v>
      </c>
    </row>
    <row r="97" customFormat="false" ht="15" hidden="false" customHeight="false" outlineLevel="0" collapsed="false">
      <c r="A97" s="3" t="s">
        <v>1723</v>
      </c>
      <c r="B97" s="3" t="s">
        <v>1640</v>
      </c>
      <c r="C97" s="3" t="s">
        <v>878</v>
      </c>
      <c r="D97" s="3" t="s">
        <v>203</v>
      </c>
      <c r="E97" s="13" t="n">
        <v>450000</v>
      </c>
      <c r="F97" s="13" t="n">
        <v>6513.16</v>
      </c>
      <c r="G97" s="13" t="n">
        <v>814.14</v>
      </c>
      <c r="H97" s="13" t="n">
        <v>814.14</v>
      </c>
      <c r="I97" s="13" t="n">
        <f aca="false">SUM(K97:T97)</f>
        <v>4884.9</v>
      </c>
      <c r="J97" s="13" t="n">
        <f aca="false">F97-(G97+H97+I97)</f>
        <v>-0.0199999999995271</v>
      </c>
      <c r="K97" s="13" t="n">
        <v>488.49</v>
      </c>
      <c r="L97" s="13" t="n">
        <v>488.49</v>
      </c>
      <c r="M97" s="13" t="n">
        <v>488.49</v>
      </c>
      <c r="N97" s="13" t="n">
        <v>488.49</v>
      </c>
      <c r="O97" s="13" t="n">
        <v>488.49</v>
      </c>
      <c r="P97" s="13" t="n">
        <v>488.49</v>
      </c>
      <c r="Q97" s="13" t="n">
        <v>488.49</v>
      </c>
      <c r="R97" s="13" t="n">
        <v>488.49</v>
      </c>
      <c r="S97" s="13" t="n">
        <v>488.49</v>
      </c>
      <c r="T97" s="13" t="n">
        <v>488.49</v>
      </c>
      <c r="U97" s="13" t="n">
        <v>350</v>
      </c>
      <c r="V97" s="13" t="n">
        <v>0</v>
      </c>
      <c r="W97" s="13" t="n">
        <f aca="false">U97+V97</f>
        <v>350</v>
      </c>
    </row>
    <row r="98" customFormat="false" ht="15" hidden="false" customHeight="false" outlineLevel="0" collapsed="false">
      <c r="A98" s="14" t="s">
        <v>1724</v>
      </c>
      <c r="B98" s="14" t="s">
        <v>1661</v>
      </c>
      <c r="C98" s="14" t="s">
        <v>1541</v>
      </c>
      <c r="D98" s="14" t="s">
        <v>153</v>
      </c>
      <c r="E98" s="15" t="n">
        <v>615000</v>
      </c>
      <c r="F98" s="15" t="n">
        <v>10488.99</v>
      </c>
      <c r="G98" s="15" t="n">
        <v>1311.12</v>
      </c>
      <c r="H98" s="15" t="n">
        <v>1311.12</v>
      </c>
      <c r="I98" s="15" t="n">
        <f aca="false">SUM(K98:T98)</f>
        <v>7866.7</v>
      </c>
      <c r="J98" s="15" t="n">
        <f aca="false">F98-(G98+H98+I98)</f>
        <v>0.0500000000010914</v>
      </c>
      <c r="K98" s="15" t="n">
        <v>786.67</v>
      </c>
      <c r="L98" s="15" t="n">
        <v>786.67</v>
      </c>
      <c r="M98" s="15" t="n">
        <v>786.67</v>
      </c>
      <c r="N98" s="15" t="n">
        <v>786.67</v>
      </c>
      <c r="O98" s="15" t="n">
        <v>786.67</v>
      </c>
      <c r="P98" s="15" t="n">
        <v>786.67</v>
      </c>
      <c r="Q98" s="15" t="n">
        <v>786.67</v>
      </c>
      <c r="R98" s="15" t="n">
        <v>786.67</v>
      </c>
      <c r="S98" s="15" t="n">
        <v>786.67</v>
      </c>
      <c r="T98" s="15" t="n">
        <v>786.67</v>
      </c>
      <c r="U98" s="15" t="n">
        <v>350</v>
      </c>
      <c r="V98" s="15" t="n">
        <v>0</v>
      </c>
      <c r="W98" s="15" t="n">
        <f aca="false">U98+V98</f>
        <v>350</v>
      </c>
    </row>
    <row r="99" customFormat="false" ht="15" hidden="false" customHeight="false" outlineLevel="0" collapsed="false">
      <c r="A99" s="3" t="s">
        <v>1725</v>
      </c>
      <c r="B99" s="3" t="s">
        <v>1593</v>
      </c>
      <c r="C99" s="3" t="s">
        <v>516</v>
      </c>
      <c r="D99" s="3" t="s">
        <v>118</v>
      </c>
      <c r="E99" s="13" t="n">
        <v>480000</v>
      </c>
      <c r="F99" s="13" t="n">
        <v>11493.64</v>
      </c>
      <c r="G99" s="13" t="n">
        <v>1436.7</v>
      </c>
      <c r="H99" s="13" t="n">
        <v>1436.7</v>
      </c>
      <c r="I99" s="13" t="n">
        <f aca="false">SUM(K99:T99)</f>
        <v>8620.2</v>
      </c>
      <c r="J99" s="13" t="n">
        <f aca="false">F99-(G99+H99+I99)</f>
        <v>0.0399999999990541</v>
      </c>
      <c r="K99" s="13" t="n">
        <v>862.02</v>
      </c>
      <c r="L99" s="13" t="n">
        <v>862.02</v>
      </c>
      <c r="M99" s="13" t="n">
        <v>862.02</v>
      </c>
      <c r="N99" s="13" t="n">
        <v>862.02</v>
      </c>
      <c r="O99" s="13" t="n">
        <v>862.02</v>
      </c>
      <c r="P99" s="13" t="n">
        <v>862.02</v>
      </c>
      <c r="Q99" s="13" t="n">
        <v>862.02</v>
      </c>
      <c r="R99" s="13" t="n">
        <v>862.02</v>
      </c>
      <c r="S99" s="13" t="n">
        <v>862.02</v>
      </c>
      <c r="T99" s="13" t="n">
        <v>862.02</v>
      </c>
      <c r="U99" s="13" t="n">
        <v>350</v>
      </c>
      <c r="V99" s="13" t="n">
        <v>0</v>
      </c>
      <c r="W99" s="13" t="n">
        <f aca="false">U99+V99</f>
        <v>350</v>
      </c>
    </row>
    <row r="100" customFormat="false" ht="15" hidden="false" customHeight="false" outlineLevel="0" collapsed="false">
      <c r="A100" s="14" t="s">
        <v>1726</v>
      </c>
      <c r="B100" s="14" t="s">
        <v>1614</v>
      </c>
      <c r="C100" s="14" t="s">
        <v>182</v>
      </c>
      <c r="D100" s="14" t="s">
        <v>138</v>
      </c>
      <c r="E100" s="15" t="n">
        <v>495000</v>
      </c>
      <c r="F100" s="15" t="n">
        <v>7227.32</v>
      </c>
      <c r="G100" s="15" t="n">
        <v>903.41</v>
      </c>
      <c r="H100" s="15" t="n">
        <v>903.41</v>
      </c>
      <c r="I100" s="15" t="n">
        <f aca="false">SUM(K100:T100)</f>
        <v>5420.5</v>
      </c>
      <c r="J100" s="15" t="n">
        <f aca="false">F100-(G100+H100+I100)</f>
        <v>0</v>
      </c>
      <c r="K100" s="15" t="n">
        <v>542.05</v>
      </c>
      <c r="L100" s="15" t="n">
        <v>542.05</v>
      </c>
      <c r="M100" s="15" t="n">
        <v>542.05</v>
      </c>
      <c r="N100" s="15" t="n">
        <v>542.05</v>
      </c>
      <c r="O100" s="15" t="n">
        <v>542.05</v>
      </c>
      <c r="P100" s="15" t="n">
        <v>542.05</v>
      </c>
      <c r="Q100" s="15" t="n">
        <v>542.05</v>
      </c>
      <c r="R100" s="15" t="n">
        <v>542.05</v>
      </c>
      <c r="S100" s="15" t="n">
        <v>542.05</v>
      </c>
      <c r="T100" s="15" t="n">
        <v>542.05</v>
      </c>
      <c r="U100" s="15" t="n">
        <v>350</v>
      </c>
      <c r="V100" s="15" t="n">
        <v>0</v>
      </c>
      <c r="W100" s="15" t="n">
        <f aca="false">U100+V100</f>
        <v>350</v>
      </c>
    </row>
    <row r="101" customFormat="false" ht="15" hidden="false" customHeight="false" outlineLevel="0" collapsed="false">
      <c r="A101" s="3" t="s">
        <v>1727</v>
      </c>
      <c r="B101" s="3" t="s">
        <v>1664</v>
      </c>
      <c r="C101" s="3" t="s">
        <v>349</v>
      </c>
      <c r="D101" s="3" t="s">
        <v>153</v>
      </c>
      <c r="E101" s="13" t="n">
        <v>1645000</v>
      </c>
      <c r="F101" s="13" t="n">
        <v>16401.92</v>
      </c>
      <c r="G101" s="13" t="n">
        <v>2050.24</v>
      </c>
      <c r="H101" s="13" t="n">
        <v>2050.24</v>
      </c>
      <c r="I101" s="13" t="n">
        <f aca="false">SUM(K101:T101)</f>
        <v>12301.4</v>
      </c>
      <c r="J101" s="13" t="n">
        <f aca="false">F101-(G101+H101+I101)</f>
        <v>0.0400000000008731</v>
      </c>
      <c r="K101" s="13" t="n">
        <v>1230.14</v>
      </c>
      <c r="L101" s="13" t="n">
        <v>1230.14</v>
      </c>
      <c r="M101" s="13" t="n">
        <v>1230.14</v>
      </c>
      <c r="N101" s="13" t="n">
        <v>1230.14</v>
      </c>
      <c r="O101" s="13" t="n">
        <v>1230.14</v>
      </c>
      <c r="P101" s="13" t="n">
        <v>1230.14</v>
      </c>
      <c r="Q101" s="13" t="n">
        <v>1230.14</v>
      </c>
      <c r="R101" s="13" t="n">
        <v>1230.14</v>
      </c>
      <c r="S101" s="13" t="n">
        <v>1230.14</v>
      </c>
      <c r="T101" s="13" t="n">
        <v>1230.14</v>
      </c>
      <c r="U101" s="13" t="n">
        <v>350</v>
      </c>
      <c r="V101" s="13" t="n">
        <v>250</v>
      </c>
      <c r="W101" s="13" t="n">
        <f aca="false">U101+V101</f>
        <v>600</v>
      </c>
    </row>
    <row r="102" customFormat="false" ht="15" hidden="false" customHeight="false" outlineLevel="0" collapsed="false">
      <c r="A102" s="14" t="s">
        <v>1728</v>
      </c>
      <c r="B102" s="14" t="s">
        <v>1708</v>
      </c>
      <c r="C102" s="14" t="s">
        <v>570</v>
      </c>
      <c r="D102" s="14" t="s">
        <v>208</v>
      </c>
      <c r="E102" s="15" t="n">
        <v>595000</v>
      </c>
      <c r="F102" s="15" t="n">
        <v>8511.13</v>
      </c>
      <c r="G102" s="15" t="n">
        <v>1063.89</v>
      </c>
      <c r="H102" s="15" t="n">
        <v>1063.89</v>
      </c>
      <c r="I102" s="15" t="n">
        <f aca="false">SUM(K102:T102)</f>
        <v>6383.3</v>
      </c>
      <c r="J102" s="15" t="n">
        <f aca="false">F102-(G102+H102+I102)</f>
        <v>0.0499999999992724</v>
      </c>
      <c r="K102" s="15" t="n">
        <v>638.33</v>
      </c>
      <c r="L102" s="15" t="n">
        <v>638.33</v>
      </c>
      <c r="M102" s="15" t="n">
        <v>638.33</v>
      </c>
      <c r="N102" s="15" t="n">
        <v>638.33</v>
      </c>
      <c r="O102" s="15" t="n">
        <v>638.33</v>
      </c>
      <c r="P102" s="15" t="n">
        <v>638.33</v>
      </c>
      <c r="Q102" s="15" t="n">
        <v>638.33</v>
      </c>
      <c r="R102" s="15" t="n">
        <v>638.33</v>
      </c>
      <c r="S102" s="15" t="n">
        <v>638.33</v>
      </c>
      <c r="T102" s="15" t="n">
        <v>638.33</v>
      </c>
      <c r="U102" s="15" t="n">
        <v>350</v>
      </c>
      <c r="V102" s="15" t="n">
        <v>0</v>
      </c>
      <c r="W102" s="15" t="n">
        <f aca="false">U102+V102</f>
        <v>350</v>
      </c>
    </row>
    <row r="103" customFormat="false" ht="15" hidden="false" customHeight="false" outlineLevel="0" collapsed="false">
      <c r="A103" s="3" t="s">
        <v>1729</v>
      </c>
      <c r="B103" s="3" t="s">
        <v>1640</v>
      </c>
      <c r="C103" s="3" t="s">
        <v>1492</v>
      </c>
      <c r="D103" s="3" t="s">
        <v>69</v>
      </c>
      <c r="E103" s="13" t="n">
        <v>770000</v>
      </c>
      <c r="F103" s="13" t="n">
        <v>12011.56</v>
      </c>
      <c r="G103" s="13" t="n">
        <v>1501.44</v>
      </c>
      <c r="H103" s="13" t="n">
        <v>1501.44</v>
      </c>
      <c r="I103" s="13" t="n">
        <f aca="false">SUM(K103:T103)</f>
        <v>9008.7</v>
      </c>
      <c r="J103" s="13" t="n">
        <f aca="false">F103-(G103+H103+I103)</f>
        <v>-0.0200000000022555</v>
      </c>
      <c r="K103" s="13" t="n">
        <v>900.87</v>
      </c>
      <c r="L103" s="13" t="n">
        <v>900.87</v>
      </c>
      <c r="M103" s="13" t="n">
        <v>900.87</v>
      </c>
      <c r="N103" s="13" t="n">
        <v>900.87</v>
      </c>
      <c r="O103" s="13" t="n">
        <v>900.87</v>
      </c>
      <c r="P103" s="13" t="n">
        <v>900.87</v>
      </c>
      <c r="Q103" s="13" t="n">
        <v>900.87</v>
      </c>
      <c r="R103" s="13" t="n">
        <v>900.87</v>
      </c>
      <c r="S103" s="13" t="n">
        <v>900.87</v>
      </c>
      <c r="T103" s="13" t="n">
        <v>900.87</v>
      </c>
      <c r="U103" s="13" t="n">
        <v>350</v>
      </c>
      <c r="V103" s="13" t="n">
        <v>0</v>
      </c>
      <c r="W103" s="13" t="n">
        <f aca="false">U103+V103</f>
        <v>350</v>
      </c>
    </row>
    <row r="104" customFormat="false" ht="15" hidden="false" customHeight="false" outlineLevel="0" collapsed="false">
      <c r="A104" s="14" t="s">
        <v>1730</v>
      </c>
      <c r="B104" s="14" t="s">
        <v>1589</v>
      </c>
      <c r="C104" s="14" t="s">
        <v>570</v>
      </c>
      <c r="D104" s="14" t="s">
        <v>132</v>
      </c>
      <c r="E104" s="15" t="n">
        <v>290000</v>
      </c>
      <c r="F104" s="15" t="n">
        <v>3681.9</v>
      </c>
      <c r="G104" s="15" t="n">
        <v>460.24</v>
      </c>
      <c r="H104" s="15" t="n">
        <v>460.24</v>
      </c>
      <c r="I104" s="15" t="n">
        <f aca="false">SUM(K104:T104)</f>
        <v>2761.4</v>
      </c>
      <c r="J104" s="15" t="n">
        <f aca="false">F104-(G104+H104+I104)</f>
        <v>0.0200000000004366</v>
      </c>
      <c r="K104" s="15" t="n">
        <v>276.14</v>
      </c>
      <c r="L104" s="15" t="n">
        <v>276.14</v>
      </c>
      <c r="M104" s="15" t="n">
        <v>276.14</v>
      </c>
      <c r="N104" s="15" t="n">
        <v>276.14</v>
      </c>
      <c r="O104" s="15" t="n">
        <v>276.14</v>
      </c>
      <c r="P104" s="15" t="n">
        <v>276.14</v>
      </c>
      <c r="Q104" s="15" t="n">
        <v>276.14</v>
      </c>
      <c r="R104" s="15" t="n">
        <v>276.14</v>
      </c>
      <c r="S104" s="15" t="n">
        <v>276.14</v>
      </c>
      <c r="T104" s="15" t="n">
        <v>276.14</v>
      </c>
      <c r="U104" s="15" t="n">
        <v>350</v>
      </c>
      <c r="V104" s="15" t="n">
        <v>0</v>
      </c>
      <c r="W104" s="15" t="n">
        <f aca="false">U104+V104</f>
        <v>350</v>
      </c>
    </row>
    <row r="105" customFormat="false" ht="15" hidden="false" customHeight="false" outlineLevel="0" collapsed="false">
      <c r="A105" s="3" t="s">
        <v>1731</v>
      </c>
      <c r="B105" s="3" t="s">
        <v>1631</v>
      </c>
      <c r="C105" s="3" t="s">
        <v>673</v>
      </c>
      <c r="D105" s="3" t="s">
        <v>99</v>
      </c>
      <c r="E105" s="13" t="n">
        <v>790000</v>
      </c>
      <c r="F105" s="13" t="n">
        <v>17278.38</v>
      </c>
      <c r="G105" s="13" t="n">
        <v>2159.8</v>
      </c>
      <c r="H105" s="13" t="n">
        <v>2159.8</v>
      </c>
      <c r="I105" s="13" t="n">
        <f aca="false">SUM(K105:T105)</f>
        <v>12958.8</v>
      </c>
      <c r="J105" s="13" t="n">
        <f aca="false">F105-(G105+H105+I105)</f>
        <v>-0.0200000000004366</v>
      </c>
      <c r="K105" s="13" t="n">
        <v>1295.88</v>
      </c>
      <c r="L105" s="13" t="n">
        <v>1295.88</v>
      </c>
      <c r="M105" s="13" t="n">
        <v>1295.88</v>
      </c>
      <c r="N105" s="13" t="n">
        <v>1295.88</v>
      </c>
      <c r="O105" s="13" t="n">
        <v>1295.88</v>
      </c>
      <c r="P105" s="13" t="n">
        <v>1295.88</v>
      </c>
      <c r="Q105" s="13" t="n">
        <v>1295.88</v>
      </c>
      <c r="R105" s="13" t="n">
        <v>1295.88</v>
      </c>
      <c r="S105" s="13" t="n">
        <v>1295.88</v>
      </c>
      <c r="T105" s="13" t="n">
        <v>1295.88</v>
      </c>
      <c r="U105" s="13" t="n">
        <v>350</v>
      </c>
      <c r="V105" s="13" t="n">
        <v>0</v>
      </c>
      <c r="W105" s="13" t="n">
        <f aca="false">U105+V105</f>
        <v>350</v>
      </c>
    </row>
    <row r="106" customFormat="false" ht="15" hidden="false" customHeight="false" outlineLevel="0" collapsed="false">
      <c r="A106" s="14" t="s">
        <v>1732</v>
      </c>
      <c r="B106" s="14" t="s">
        <v>1589</v>
      </c>
      <c r="C106" s="14" t="s">
        <v>98</v>
      </c>
      <c r="D106" s="14" t="s">
        <v>430</v>
      </c>
      <c r="E106" s="15" t="n">
        <v>830000</v>
      </c>
      <c r="F106" s="15" t="n">
        <v>9041.49</v>
      </c>
      <c r="G106" s="15" t="n">
        <v>1130.19</v>
      </c>
      <c r="H106" s="15" t="n">
        <v>1130.19</v>
      </c>
      <c r="I106" s="15" t="n">
        <f aca="false">SUM(K106:T106)</f>
        <v>6781.1</v>
      </c>
      <c r="J106" s="15" t="n">
        <f aca="false">F106-(G106+H106+I106)</f>
        <v>0.0100000000002183</v>
      </c>
      <c r="K106" s="15" t="n">
        <v>678.11</v>
      </c>
      <c r="L106" s="15" t="n">
        <v>678.11</v>
      </c>
      <c r="M106" s="15" t="n">
        <v>678.11</v>
      </c>
      <c r="N106" s="15" t="n">
        <v>678.11</v>
      </c>
      <c r="O106" s="15" t="n">
        <v>678.11</v>
      </c>
      <c r="P106" s="15" t="n">
        <v>678.11</v>
      </c>
      <c r="Q106" s="15" t="n">
        <v>678.11</v>
      </c>
      <c r="R106" s="15" t="n">
        <v>678.11</v>
      </c>
      <c r="S106" s="15" t="n">
        <v>678.11</v>
      </c>
      <c r="T106" s="15" t="n">
        <v>678.11</v>
      </c>
      <c r="U106" s="15" t="n">
        <v>350</v>
      </c>
      <c r="V106" s="15" t="n">
        <v>0</v>
      </c>
      <c r="W106" s="15" t="n">
        <f aca="false">U106+V106</f>
        <v>350</v>
      </c>
    </row>
    <row r="107" customFormat="false" ht="15" hidden="false" customHeight="false" outlineLevel="0" collapsed="false">
      <c r="A107" s="3" t="s">
        <v>1733</v>
      </c>
      <c r="B107" s="3" t="s">
        <v>1595</v>
      </c>
      <c r="C107" s="3" t="s">
        <v>318</v>
      </c>
      <c r="D107" s="3" t="s">
        <v>153</v>
      </c>
      <c r="E107" s="13" t="n">
        <v>1030000</v>
      </c>
      <c r="F107" s="13" t="n">
        <v>21620.82</v>
      </c>
      <c r="G107" s="13" t="n">
        <v>2702.6</v>
      </c>
      <c r="H107" s="13" t="n">
        <v>2702.6</v>
      </c>
      <c r="I107" s="13" t="n">
        <f aca="false">SUM(K107:T107)</f>
        <v>16215.6</v>
      </c>
      <c r="J107" s="13" t="n">
        <f aca="false">F107-(G107+H107+I107)</f>
        <v>0.0200000000004366</v>
      </c>
      <c r="K107" s="13" t="n">
        <v>1621.56</v>
      </c>
      <c r="L107" s="13" t="n">
        <v>1621.56</v>
      </c>
      <c r="M107" s="13" t="n">
        <v>1621.56</v>
      </c>
      <c r="N107" s="13" t="n">
        <v>1621.56</v>
      </c>
      <c r="O107" s="13" t="n">
        <v>1621.56</v>
      </c>
      <c r="P107" s="13" t="n">
        <v>1621.56</v>
      </c>
      <c r="Q107" s="13" t="n">
        <v>1621.56</v>
      </c>
      <c r="R107" s="13" t="n">
        <v>1621.56</v>
      </c>
      <c r="S107" s="13" t="n">
        <v>1621.56</v>
      </c>
      <c r="T107" s="13" t="n">
        <v>1621.56</v>
      </c>
      <c r="U107" s="13" t="n">
        <v>350</v>
      </c>
      <c r="V107" s="13" t="n">
        <v>250</v>
      </c>
      <c r="W107" s="13" t="n">
        <f aca="false">U107+V107</f>
        <v>600</v>
      </c>
    </row>
    <row r="108" customFormat="false" ht="15" hidden="false" customHeight="false" outlineLevel="0" collapsed="false">
      <c r="A108" s="14" t="s">
        <v>1734</v>
      </c>
      <c r="B108" s="14" t="s">
        <v>1627</v>
      </c>
      <c r="C108" s="14" t="s">
        <v>878</v>
      </c>
      <c r="D108" s="14" t="s">
        <v>138</v>
      </c>
      <c r="E108" s="15" t="n">
        <v>600000</v>
      </c>
      <c r="F108" s="15" t="n">
        <v>7592.34</v>
      </c>
      <c r="G108" s="15" t="n">
        <v>949.04</v>
      </c>
      <c r="H108" s="15" t="n">
        <v>949.04</v>
      </c>
      <c r="I108" s="15" t="n">
        <f aca="false">SUM(K108:T108)</f>
        <v>5694.3</v>
      </c>
      <c r="J108" s="15" t="n">
        <f aca="false">F108-(G108+H108+I108)</f>
        <v>-0.0399999999999636</v>
      </c>
      <c r="K108" s="15" t="n">
        <v>569.43</v>
      </c>
      <c r="L108" s="15" t="n">
        <v>569.43</v>
      </c>
      <c r="M108" s="15" t="n">
        <v>569.43</v>
      </c>
      <c r="N108" s="15" t="n">
        <v>569.43</v>
      </c>
      <c r="O108" s="15" t="n">
        <v>569.43</v>
      </c>
      <c r="P108" s="15" t="n">
        <v>569.43</v>
      </c>
      <c r="Q108" s="15" t="n">
        <v>569.43</v>
      </c>
      <c r="R108" s="15" t="n">
        <v>569.43</v>
      </c>
      <c r="S108" s="15" t="n">
        <v>569.43</v>
      </c>
      <c r="T108" s="15" t="n">
        <v>569.43</v>
      </c>
      <c r="U108" s="15" t="n">
        <v>350</v>
      </c>
      <c r="V108" s="15" t="n">
        <v>0</v>
      </c>
      <c r="W108" s="15" t="n">
        <f aca="false">U108+V108</f>
        <v>350</v>
      </c>
    </row>
    <row r="109" customFormat="false" ht="15" hidden="false" customHeight="false" outlineLevel="0" collapsed="false">
      <c r="A109" s="3" t="s">
        <v>1735</v>
      </c>
      <c r="B109" s="3" t="s">
        <v>1601</v>
      </c>
      <c r="C109" s="3" t="s">
        <v>1566</v>
      </c>
      <c r="D109" s="3" t="s">
        <v>93</v>
      </c>
      <c r="E109" s="13" t="n">
        <v>1190000</v>
      </c>
      <c r="F109" s="13" t="n">
        <v>20628.15</v>
      </c>
      <c r="G109" s="13" t="n">
        <v>2578.52</v>
      </c>
      <c r="H109" s="13" t="n">
        <v>2578.52</v>
      </c>
      <c r="I109" s="13" t="n">
        <f aca="false">SUM(K109:T109)</f>
        <v>15471.1</v>
      </c>
      <c r="J109" s="13" t="n">
        <f aca="false">F109-(G109+H109+I109)</f>
        <v>0.0100000000020373</v>
      </c>
      <c r="K109" s="13" t="n">
        <v>1547.11</v>
      </c>
      <c r="L109" s="13" t="n">
        <v>1547.11</v>
      </c>
      <c r="M109" s="13" t="n">
        <v>1547.11</v>
      </c>
      <c r="N109" s="13" t="n">
        <v>1547.11</v>
      </c>
      <c r="O109" s="13" t="n">
        <v>1547.11</v>
      </c>
      <c r="P109" s="13" t="n">
        <v>1547.11</v>
      </c>
      <c r="Q109" s="13" t="n">
        <v>1547.11</v>
      </c>
      <c r="R109" s="13" t="n">
        <v>1547.11</v>
      </c>
      <c r="S109" s="13" t="n">
        <v>1547.11</v>
      </c>
      <c r="T109" s="13" t="n">
        <v>1547.11</v>
      </c>
      <c r="U109" s="13" t="n">
        <v>350</v>
      </c>
      <c r="V109" s="13" t="n">
        <v>250</v>
      </c>
      <c r="W109" s="13" t="n">
        <f aca="false">U109+V109</f>
        <v>600</v>
      </c>
    </row>
    <row r="110" customFormat="false" ht="15" hidden="false" customHeight="false" outlineLevel="0" collapsed="false">
      <c r="A110" s="14" t="s">
        <v>1736</v>
      </c>
      <c r="B110" s="14" t="s">
        <v>1674</v>
      </c>
      <c r="C110" s="14" t="s">
        <v>1329</v>
      </c>
      <c r="D110" s="14" t="s">
        <v>121</v>
      </c>
      <c r="E110" s="15" t="n">
        <v>275000</v>
      </c>
      <c r="F110" s="15" t="n">
        <v>2726.13</v>
      </c>
      <c r="G110" s="15" t="n">
        <v>340.77</v>
      </c>
      <c r="H110" s="15" t="n">
        <v>340.77</v>
      </c>
      <c r="I110" s="15" t="n">
        <f aca="false">SUM(K110:T110)</f>
        <v>2044.6</v>
      </c>
      <c r="J110" s="15" t="n">
        <f aca="false">F110-(G110+H110+I110)</f>
        <v>-0.0100000000002183</v>
      </c>
      <c r="K110" s="15" t="n">
        <v>204.46</v>
      </c>
      <c r="L110" s="15" t="n">
        <v>204.46</v>
      </c>
      <c r="M110" s="15" t="n">
        <v>204.46</v>
      </c>
      <c r="N110" s="15" t="n">
        <v>204.46</v>
      </c>
      <c r="O110" s="15" t="n">
        <v>204.46</v>
      </c>
      <c r="P110" s="15" t="n">
        <v>204.46</v>
      </c>
      <c r="Q110" s="15" t="n">
        <v>204.46</v>
      </c>
      <c r="R110" s="15" t="n">
        <v>204.46</v>
      </c>
      <c r="S110" s="15" t="n">
        <v>204.46</v>
      </c>
      <c r="T110" s="15" t="n">
        <v>204.46</v>
      </c>
      <c r="U110" s="15" t="n">
        <v>350</v>
      </c>
      <c r="V110" s="15" t="n">
        <v>0</v>
      </c>
      <c r="W110" s="15" t="n">
        <f aca="false">U110+V110</f>
        <v>350</v>
      </c>
    </row>
    <row r="111" customFormat="false" ht="15" hidden="false" customHeight="false" outlineLevel="0" collapsed="false">
      <c r="A111" s="3" t="s">
        <v>1737</v>
      </c>
      <c r="B111" s="3" t="s">
        <v>1589</v>
      </c>
      <c r="C111" s="3" t="s">
        <v>1738</v>
      </c>
      <c r="D111" s="3" t="s">
        <v>406</v>
      </c>
      <c r="E111" s="13" t="n">
        <v>820000</v>
      </c>
      <c r="F111" s="13" t="n">
        <v>4905.62</v>
      </c>
      <c r="G111" s="13" t="n">
        <v>613.2</v>
      </c>
      <c r="H111" s="13" t="n">
        <v>613.2</v>
      </c>
      <c r="I111" s="13" t="n">
        <f aca="false">SUM(K111:T111)</f>
        <v>3679.2</v>
      </c>
      <c r="J111" s="13" t="n">
        <f aca="false">F111-(G111+H111+I111)</f>
        <v>0.0199999999995271</v>
      </c>
      <c r="K111" s="13" t="n">
        <v>367.92</v>
      </c>
      <c r="L111" s="13" t="n">
        <v>367.92</v>
      </c>
      <c r="M111" s="13" t="n">
        <v>367.92</v>
      </c>
      <c r="N111" s="13" t="n">
        <v>367.92</v>
      </c>
      <c r="O111" s="13" t="n">
        <v>367.92</v>
      </c>
      <c r="P111" s="13" t="n">
        <v>367.92</v>
      </c>
      <c r="Q111" s="13" t="n">
        <v>367.92</v>
      </c>
      <c r="R111" s="13" t="n">
        <v>367.92</v>
      </c>
      <c r="S111" s="13" t="n">
        <v>367.92</v>
      </c>
      <c r="T111" s="13" t="n">
        <v>367.92</v>
      </c>
      <c r="U111" s="13" t="n">
        <v>350</v>
      </c>
      <c r="V111" s="13" t="n">
        <v>0</v>
      </c>
      <c r="W111" s="13" t="n">
        <f aca="false">U111+V111</f>
        <v>350</v>
      </c>
    </row>
    <row r="112" customFormat="false" ht="15" hidden="false" customHeight="false" outlineLevel="0" collapsed="false">
      <c r="A112" s="14" t="s">
        <v>1739</v>
      </c>
      <c r="B112" s="14" t="s">
        <v>1740</v>
      </c>
      <c r="C112" s="14" t="s">
        <v>545</v>
      </c>
      <c r="D112" s="14" t="s">
        <v>102</v>
      </c>
      <c r="E112" s="15" t="n">
        <v>365000</v>
      </c>
      <c r="F112" s="15" t="n">
        <v>8171.5</v>
      </c>
      <c r="G112" s="15" t="n">
        <v>1021.44</v>
      </c>
      <c r="H112" s="15" t="n">
        <v>1021.44</v>
      </c>
      <c r="I112" s="15" t="n">
        <f aca="false">SUM(K112:T112)</f>
        <v>6128.6</v>
      </c>
      <c r="J112" s="15" t="n">
        <f aca="false">F112-(G112+H112+I112)</f>
        <v>0.0200000000004366</v>
      </c>
      <c r="K112" s="15" t="n">
        <v>612.86</v>
      </c>
      <c r="L112" s="15" t="n">
        <v>612.86</v>
      </c>
      <c r="M112" s="15" t="n">
        <v>612.86</v>
      </c>
      <c r="N112" s="15" t="n">
        <v>612.86</v>
      </c>
      <c r="O112" s="15" t="n">
        <v>612.86</v>
      </c>
      <c r="P112" s="15" t="n">
        <v>612.86</v>
      </c>
      <c r="Q112" s="15" t="n">
        <v>612.86</v>
      </c>
      <c r="R112" s="15" t="n">
        <v>612.86</v>
      </c>
      <c r="S112" s="15" t="n">
        <v>612.86</v>
      </c>
      <c r="T112" s="15" t="n">
        <v>612.86</v>
      </c>
      <c r="U112" s="15" t="n">
        <v>350</v>
      </c>
      <c r="V112" s="15" t="n">
        <v>0</v>
      </c>
      <c r="W112" s="15" t="n">
        <f aca="false">U112+V112</f>
        <v>350</v>
      </c>
    </row>
    <row r="113" customFormat="false" ht="15" hidden="false" customHeight="false" outlineLevel="0" collapsed="false">
      <c r="A113" s="3" t="s">
        <v>1741</v>
      </c>
      <c r="B113" s="3" t="s">
        <v>1629</v>
      </c>
      <c r="C113" s="3" t="s">
        <v>303</v>
      </c>
      <c r="D113" s="3" t="s">
        <v>85</v>
      </c>
      <c r="E113" s="13" t="n">
        <v>365000</v>
      </c>
      <c r="F113" s="13" t="n">
        <v>6441.43</v>
      </c>
      <c r="G113" s="13" t="n">
        <v>805.18</v>
      </c>
      <c r="H113" s="13" t="n">
        <v>805.18</v>
      </c>
      <c r="I113" s="13" t="n">
        <f aca="false">SUM(K113:T113)</f>
        <v>4831.1</v>
      </c>
      <c r="J113" s="13" t="n">
        <f aca="false">F113-(G113+H113+I113)</f>
        <v>-0.0299999999988358</v>
      </c>
      <c r="K113" s="13" t="n">
        <v>483.11</v>
      </c>
      <c r="L113" s="13" t="n">
        <v>483.11</v>
      </c>
      <c r="M113" s="13" t="n">
        <v>483.11</v>
      </c>
      <c r="N113" s="13" t="n">
        <v>483.11</v>
      </c>
      <c r="O113" s="13" t="n">
        <v>483.11</v>
      </c>
      <c r="P113" s="13" t="n">
        <v>483.11</v>
      </c>
      <c r="Q113" s="13" t="n">
        <v>483.11</v>
      </c>
      <c r="R113" s="13" t="n">
        <v>483.11</v>
      </c>
      <c r="S113" s="13" t="n">
        <v>483.11</v>
      </c>
      <c r="T113" s="13" t="n">
        <v>483.11</v>
      </c>
      <c r="U113" s="13" t="n">
        <v>350</v>
      </c>
      <c r="V113" s="13" t="n">
        <v>0</v>
      </c>
      <c r="W113" s="13" t="n">
        <f aca="false">U113+V113</f>
        <v>350</v>
      </c>
    </row>
    <row r="114" customFormat="false" ht="15" hidden="false" customHeight="false" outlineLevel="0" collapsed="false">
      <c r="A114" s="14" t="s">
        <v>1742</v>
      </c>
      <c r="B114" s="14" t="s">
        <v>1597</v>
      </c>
      <c r="C114" s="14" t="s">
        <v>1743</v>
      </c>
      <c r="D114" s="14" t="s">
        <v>118</v>
      </c>
      <c r="E114" s="15" t="n">
        <v>1345000</v>
      </c>
      <c r="F114" s="15" t="n">
        <v>15402.93</v>
      </c>
      <c r="G114" s="15" t="n">
        <v>1925.37</v>
      </c>
      <c r="H114" s="15" t="n">
        <v>1925.37</v>
      </c>
      <c r="I114" s="15" t="n">
        <f aca="false">SUM(K114:T114)</f>
        <v>11552.2</v>
      </c>
      <c r="J114" s="15" t="n">
        <f aca="false">F114-(G114+H114+I114)</f>
        <v>-0.00999999999839929</v>
      </c>
      <c r="K114" s="15" t="n">
        <v>1155.22</v>
      </c>
      <c r="L114" s="15" t="n">
        <v>1155.22</v>
      </c>
      <c r="M114" s="15" t="n">
        <v>1155.22</v>
      </c>
      <c r="N114" s="15" t="n">
        <v>1155.22</v>
      </c>
      <c r="O114" s="15" t="n">
        <v>1155.22</v>
      </c>
      <c r="P114" s="15" t="n">
        <v>1155.22</v>
      </c>
      <c r="Q114" s="15" t="n">
        <v>1155.22</v>
      </c>
      <c r="R114" s="15" t="n">
        <v>1155.22</v>
      </c>
      <c r="S114" s="15" t="n">
        <v>1155.22</v>
      </c>
      <c r="T114" s="15" t="n">
        <v>1155.22</v>
      </c>
      <c r="U114" s="15" t="n">
        <v>350</v>
      </c>
      <c r="V114" s="15" t="n">
        <v>250</v>
      </c>
      <c r="W114" s="15" t="n">
        <f aca="false">U114+V114</f>
        <v>600</v>
      </c>
    </row>
    <row r="115" customFormat="false" ht="15" hidden="false" customHeight="false" outlineLevel="0" collapsed="false">
      <c r="A115" s="3" t="s">
        <v>1744</v>
      </c>
      <c r="B115" s="3" t="s">
        <v>1605</v>
      </c>
      <c r="C115" s="3" t="s">
        <v>1103</v>
      </c>
      <c r="D115" s="3" t="s">
        <v>93</v>
      </c>
      <c r="E115" s="13" t="n">
        <v>925000</v>
      </c>
      <c r="F115" s="13" t="n">
        <v>13028.02</v>
      </c>
      <c r="G115" s="13" t="n">
        <v>1628.5</v>
      </c>
      <c r="H115" s="13" t="n">
        <v>1628.5</v>
      </c>
      <c r="I115" s="13" t="n">
        <f aca="false">SUM(K115:T115)</f>
        <v>9771</v>
      </c>
      <c r="J115" s="13" t="n">
        <f aca="false">F115-(G115+H115+I115)</f>
        <v>0.0200000000004366</v>
      </c>
      <c r="K115" s="13" t="n">
        <v>977.1</v>
      </c>
      <c r="L115" s="13" t="n">
        <v>977.1</v>
      </c>
      <c r="M115" s="13" t="n">
        <v>977.1</v>
      </c>
      <c r="N115" s="13" t="n">
        <v>977.1</v>
      </c>
      <c r="O115" s="13" t="n">
        <v>977.1</v>
      </c>
      <c r="P115" s="13" t="n">
        <v>977.1</v>
      </c>
      <c r="Q115" s="13" t="n">
        <v>977.1</v>
      </c>
      <c r="R115" s="13" t="n">
        <v>977.1</v>
      </c>
      <c r="S115" s="13" t="n">
        <v>977.1</v>
      </c>
      <c r="T115" s="13" t="n">
        <v>977.1</v>
      </c>
      <c r="U115" s="13" t="n">
        <v>350</v>
      </c>
      <c r="V115" s="13" t="n">
        <v>0</v>
      </c>
      <c r="W115" s="13" t="n">
        <f aca="false">U115+V115</f>
        <v>350</v>
      </c>
    </row>
    <row r="116" customFormat="false" ht="15" hidden="false" customHeight="false" outlineLevel="0" collapsed="false">
      <c r="A116" s="14" t="s">
        <v>1745</v>
      </c>
      <c r="B116" s="14" t="s">
        <v>1629</v>
      </c>
      <c r="C116" s="14" t="s">
        <v>381</v>
      </c>
      <c r="D116" s="14" t="s">
        <v>112</v>
      </c>
      <c r="E116" s="15" t="n">
        <v>355000</v>
      </c>
      <c r="F116" s="15" t="n">
        <v>4281.81</v>
      </c>
      <c r="G116" s="15" t="n">
        <v>535.23</v>
      </c>
      <c r="H116" s="15" t="n">
        <v>535.23</v>
      </c>
      <c r="I116" s="15" t="n">
        <f aca="false">SUM(K116:T116)</f>
        <v>3211.4</v>
      </c>
      <c r="J116" s="15" t="n">
        <f aca="false">F116-(G116+H116+I116)</f>
        <v>-0.0499999999992724</v>
      </c>
      <c r="K116" s="15" t="n">
        <v>321.14</v>
      </c>
      <c r="L116" s="15" t="n">
        <v>321.14</v>
      </c>
      <c r="M116" s="15" t="n">
        <v>321.14</v>
      </c>
      <c r="N116" s="15" t="n">
        <v>321.14</v>
      </c>
      <c r="O116" s="15" t="n">
        <v>321.14</v>
      </c>
      <c r="P116" s="15" t="n">
        <v>321.14</v>
      </c>
      <c r="Q116" s="15" t="n">
        <v>321.14</v>
      </c>
      <c r="R116" s="15" t="n">
        <v>321.14</v>
      </c>
      <c r="S116" s="15" t="n">
        <v>321.14</v>
      </c>
      <c r="T116" s="15" t="n">
        <v>321.14</v>
      </c>
      <c r="U116" s="15" t="n">
        <v>350</v>
      </c>
      <c r="V116" s="15" t="n">
        <v>0</v>
      </c>
      <c r="W116" s="15" t="n">
        <f aca="false">U116+V116</f>
        <v>350</v>
      </c>
    </row>
    <row r="117" customFormat="false" ht="15" hidden="false" customHeight="false" outlineLevel="0" collapsed="false">
      <c r="A117" s="3" t="s">
        <v>1746</v>
      </c>
      <c r="B117" s="3" t="s">
        <v>1631</v>
      </c>
      <c r="C117" s="3" t="s">
        <v>489</v>
      </c>
      <c r="D117" s="3" t="s">
        <v>406</v>
      </c>
      <c r="E117" s="13" t="n">
        <v>835000</v>
      </c>
      <c r="F117" s="13" t="n">
        <v>10253.62</v>
      </c>
      <c r="G117" s="13" t="n">
        <v>1281.7</v>
      </c>
      <c r="H117" s="13" t="n">
        <v>1281.7</v>
      </c>
      <c r="I117" s="13" t="n">
        <f aca="false">SUM(K117:T117)</f>
        <v>7690.2</v>
      </c>
      <c r="J117" s="13" t="n">
        <f aca="false">F117-(G117+H117+I117)</f>
        <v>0.0200000000004366</v>
      </c>
      <c r="K117" s="13" t="n">
        <v>769.02</v>
      </c>
      <c r="L117" s="13" t="n">
        <v>769.02</v>
      </c>
      <c r="M117" s="13" t="n">
        <v>769.02</v>
      </c>
      <c r="N117" s="13" t="n">
        <v>769.02</v>
      </c>
      <c r="O117" s="13" t="n">
        <v>769.02</v>
      </c>
      <c r="P117" s="13" t="n">
        <v>769.02</v>
      </c>
      <c r="Q117" s="13" t="n">
        <v>769.02</v>
      </c>
      <c r="R117" s="13" t="n">
        <v>769.02</v>
      </c>
      <c r="S117" s="13" t="n">
        <v>769.02</v>
      </c>
      <c r="T117" s="13" t="n">
        <v>769.02</v>
      </c>
      <c r="U117" s="13" t="n">
        <v>350</v>
      </c>
      <c r="V117" s="13" t="n">
        <v>0</v>
      </c>
      <c r="W117" s="13" t="n">
        <f aca="false">U117+V117</f>
        <v>350</v>
      </c>
    </row>
    <row r="118" customFormat="false" ht="15" hidden="false" customHeight="false" outlineLevel="0" collapsed="false">
      <c r="A118" s="14" t="s">
        <v>1747</v>
      </c>
      <c r="B118" s="14" t="s">
        <v>1640</v>
      </c>
      <c r="C118" s="14" t="s">
        <v>1748</v>
      </c>
      <c r="D118" s="14" t="s">
        <v>312</v>
      </c>
      <c r="E118" s="15" t="n">
        <v>355000</v>
      </c>
      <c r="F118" s="15" t="n">
        <v>3201.88</v>
      </c>
      <c r="G118" s="15" t="n">
        <v>400.24</v>
      </c>
      <c r="H118" s="15" t="n">
        <v>400.24</v>
      </c>
      <c r="I118" s="15" t="n">
        <f aca="false">SUM(K118:T118)</f>
        <v>2401.4</v>
      </c>
      <c r="J118" s="15" t="n">
        <f aca="false">F118-(G118+H118+I118)</f>
        <v>0</v>
      </c>
      <c r="K118" s="15" t="n">
        <v>240.14</v>
      </c>
      <c r="L118" s="15" t="n">
        <v>240.14</v>
      </c>
      <c r="M118" s="15" t="n">
        <v>240.14</v>
      </c>
      <c r="N118" s="15" t="n">
        <v>240.14</v>
      </c>
      <c r="O118" s="15" t="n">
        <v>240.14</v>
      </c>
      <c r="P118" s="15" t="n">
        <v>240.14</v>
      </c>
      <c r="Q118" s="15" t="n">
        <v>240.14</v>
      </c>
      <c r="R118" s="15" t="n">
        <v>240.14</v>
      </c>
      <c r="S118" s="15" t="n">
        <v>240.14</v>
      </c>
      <c r="T118" s="15" t="n">
        <v>240.14</v>
      </c>
      <c r="U118" s="15" t="n">
        <v>350</v>
      </c>
      <c r="V118" s="15" t="n">
        <v>0</v>
      </c>
      <c r="W118" s="15" t="n">
        <f aca="false">U118+V118</f>
        <v>350</v>
      </c>
    </row>
    <row r="119" customFormat="false" ht="15" hidden="false" customHeight="false" outlineLevel="0" collapsed="false">
      <c r="A119" s="3" t="s">
        <v>1749</v>
      </c>
      <c r="B119" s="3" t="s">
        <v>1750</v>
      </c>
      <c r="C119" s="3" t="s">
        <v>135</v>
      </c>
      <c r="D119" s="3" t="s">
        <v>312</v>
      </c>
      <c r="E119" s="13" t="n">
        <v>1335000</v>
      </c>
      <c r="F119" s="13" t="n">
        <v>17057.94</v>
      </c>
      <c r="G119" s="13" t="n">
        <v>2132.24</v>
      </c>
      <c r="H119" s="13" t="n">
        <v>2132.24</v>
      </c>
      <c r="I119" s="13" t="n">
        <f aca="false">SUM(K119:T119)</f>
        <v>12793.5</v>
      </c>
      <c r="J119" s="13" t="n">
        <f aca="false">F119-(G119+H119+I119)</f>
        <v>-0.0400000000008731</v>
      </c>
      <c r="K119" s="13" t="n">
        <v>1279.35</v>
      </c>
      <c r="L119" s="13" t="n">
        <v>1279.35</v>
      </c>
      <c r="M119" s="13" t="n">
        <v>1279.35</v>
      </c>
      <c r="N119" s="13" t="n">
        <v>1279.35</v>
      </c>
      <c r="O119" s="13" t="n">
        <v>1279.35</v>
      </c>
      <c r="P119" s="13" t="n">
        <v>1279.35</v>
      </c>
      <c r="Q119" s="13" t="n">
        <v>1279.35</v>
      </c>
      <c r="R119" s="13" t="n">
        <v>1279.35</v>
      </c>
      <c r="S119" s="13" t="n">
        <v>1279.35</v>
      </c>
      <c r="T119" s="13" t="n">
        <v>1279.35</v>
      </c>
      <c r="U119" s="13" t="n">
        <v>350</v>
      </c>
      <c r="V119" s="13" t="n">
        <v>250</v>
      </c>
      <c r="W119" s="13" t="n">
        <f aca="false">U119+V119</f>
        <v>600</v>
      </c>
    </row>
    <row r="120" customFormat="false" ht="15" hidden="false" customHeight="false" outlineLevel="0" collapsed="false">
      <c r="A120" s="14" t="s">
        <v>1751</v>
      </c>
      <c r="B120" s="14" t="s">
        <v>1661</v>
      </c>
      <c r="C120" s="14" t="s">
        <v>1356</v>
      </c>
      <c r="D120" s="14" t="s">
        <v>99</v>
      </c>
      <c r="E120" s="15" t="n">
        <v>405000</v>
      </c>
      <c r="F120" s="15" t="n">
        <v>6993.08</v>
      </c>
      <c r="G120" s="15" t="n">
        <v>874.13</v>
      </c>
      <c r="H120" s="15" t="n">
        <v>874.13</v>
      </c>
      <c r="I120" s="15" t="n">
        <f aca="false">SUM(K120:T120)</f>
        <v>5244.8</v>
      </c>
      <c r="J120" s="15" t="n">
        <f aca="false">F120-(G120+H120+I120)</f>
        <v>0.0200000000004366</v>
      </c>
      <c r="K120" s="15" t="n">
        <v>524.48</v>
      </c>
      <c r="L120" s="15" t="n">
        <v>524.48</v>
      </c>
      <c r="M120" s="15" t="n">
        <v>524.48</v>
      </c>
      <c r="N120" s="15" t="n">
        <v>524.48</v>
      </c>
      <c r="O120" s="15" t="n">
        <v>524.48</v>
      </c>
      <c r="P120" s="15" t="n">
        <v>524.48</v>
      </c>
      <c r="Q120" s="15" t="n">
        <v>524.48</v>
      </c>
      <c r="R120" s="15" t="n">
        <v>524.48</v>
      </c>
      <c r="S120" s="15" t="n">
        <v>524.48</v>
      </c>
      <c r="T120" s="15" t="n">
        <v>524.48</v>
      </c>
      <c r="U120" s="15" t="n">
        <v>350</v>
      </c>
      <c r="V120" s="15" t="n">
        <v>0</v>
      </c>
      <c r="W120" s="15" t="n">
        <f aca="false">U120+V120</f>
        <v>350</v>
      </c>
    </row>
    <row r="121" customFormat="false" ht="15" hidden="false" customHeight="false" outlineLevel="0" collapsed="false">
      <c r="A121" s="3" t="s">
        <v>1752</v>
      </c>
      <c r="B121" s="3" t="s">
        <v>1661</v>
      </c>
      <c r="C121" s="3" t="s">
        <v>347</v>
      </c>
      <c r="D121" s="3" t="s">
        <v>157</v>
      </c>
      <c r="E121" s="13" t="n">
        <v>605000</v>
      </c>
      <c r="F121" s="13" t="n">
        <v>11343.62</v>
      </c>
      <c r="G121" s="13" t="n">
        <v>1417.95</v>
      </c>
      <c r="H121" s="13" t="n">
        <v>1417.95</v>
      </c>
      <c r="I121" s="13" t="n">
        <f aca="false">SUM(K121:T121)</f>
        <v>8507.7</v>
      </c>
      <c r="J121" s="13" t="n">
        <f aca="false">F121-(G121+H121+I121)</f>
        <v>0.0200000000004366</v>
      </c>
      <c r="K121" s="13" t="n">
        <v>850.77</v>
      </c>
      <c r="L121" s="13" t="n">
        <v>850.77</v>
      </c>
      <c r="M121" s="13" t="n">
        <v>850.77</v>
      </c>
      <c r="N121" s="13" t="n">
        <v>850.77</v>
      </c>
      <c r="O121" s="13" t="n">
        <v>850.77</v>
      </c>
      <c r="P121" s="13" t="n">
        <v>850.77</v>
      </c>
      <c r="Q121" s="13" t="n">
        <v>850.77</v>
      </c>
      <c r="R121" s="13" t="n">
        <v>850.77</v>
      </c>
      <c r="S121" s="13" t="n">
        <v>850.77</v>
      </c>
      <c r="T121" s="13" t="n">
        <v>850.77</v>
      </c>
      <c r="U121" s="13" t="n">
        <v>350</v>
      </c>
      <c r="V121" s="13" t="n">
        <v>0</v>
      </c>
      <c r="W121" s="13" t="n">
        <f aca="false">U121+V121</f>
        <v>350</v>
      </c>
    </row>
    <row r="122" customFormat="false" ht="15" hidden="false" customHeight="false" outlineLevel="0" collapsed="false">
      <c r="A122" s="14" t="s">
        <v>1753</v>
      </c>
      <c r="B122" s="14" t="s">
        <v>1599</v>
      </c>
      <c r="C122" s="14" t="s">
        <v>1204</v>
      </c>
      <c r="D122" s="14" t="s">
        <v>698</v>
      </c>
      <c r="E122" s="15" t="n">
        <v>290000</v>
      </c>
      <c r="F122" s="15" t="n">
        <v>5044.21</v>
      </c>
      <c r="G122" s="15" t="n">
        <v>630.53</v>
      </c>
      <c r="H122" s="15" t="n">
        <v>630.53</v>
      </c>
      <c r="I122" s="15" t="n">
        <f aca="false">SUM(K122:T122)</f>
        <v>3783.2</v>
      </c>
      <c r="J122" s="15" t="n">
        <f aca="false">F122-(G122+H122+I122)</f>
        <v>-0.0500000000001819</v>
      </c>
      <c r="K122" s="15" t="n">
        <v>378.32</v>
      </c>
      <c r="L122" s="15" t="n">
        <v>378.32</v>
      </c>
      <c r="M122" s="15" t="n">
        <v>378.32</v>
      </c>
      <c r="N122" s="15" t="n">
        <v>378.32</v>
      </c>
      <c r="O122" s="15" t="n">
        <v>378.32</v>
      </c>
      <c r="P122" s="15" t="n">
        <v>378.32</v>
      </c>
      <c r="Q122" s="15" t="n">
        <v>378.32</v>
      </c>
      <c r="R122" s="15" t="n">
        <v>378.32</v>
      </c>
      <c r="S122" s="15" t="n">
        <v>378.32</v>
      </c>
      <c r="T122" s="15" t="n">
        <v>378.32</v>
      </c>
      <c r="U122" s="15" t="n">
        <v>350</v>
      </c>
      <c r="V122" s="15" t="n">
        <v>0</v>
      </c>
      <c r="W122" s="15" t="n">
        <f aca="false">U122+V122</f>
        <v>350</v>
      </c>
    </row>
    <row r="123" customFormat="false" ht="15" hidden="false" customHeight="false" outlineLevel="0" collapsed="false">
      <c r="A123" s="3" t="s">
        <v>1754</v>
      </c>
      <c r="B123" s="3" t="s">
        <v>1664</v>
      </c>
      <c r="C123" s="3" t="s">
        <v>137</v>
      </c>
      <c r="D123" s="3" t="s">
        <v>138</v>
      </c>
      <c r="E123" s="13" t="n">
        <v>1950000</v>
      </c>
      <c r="F123" s="13" t="n">
        <v>14425.45</v>
      </c>
      <c r="G123" s="13" t="n">
        <v>1803.18</v>
      </c>
      <c r="H123" s="13" t="n">
        <v>1803.18</v>
      </c>
      <c r="I123" s="13" t="n">
        <f aca="false">SUM(K123:T123)</f>
        <v>10819.1</v>
      </c>
      <c r="J123" s="13" t="n">
        <f aca="false">F123-(G123+H123+I123)</f>
        <v>-0.0100000000002183</v>
      </c>
      <c r="K123" s="13" t="n">
        <v>1081.91</v>
      </c>
      <c r="L123" s="13" t="n">
        <v>1081.91</v>
      </c>
      <c r="M123" s="13" t="n">
        <v>1081.91</v>
      </c>
      <c r="N123" s="13" t="n">
        <v>1081.91</v>
      </c>
      <c r="O123" s="13" t="n">
        <v>1081.91</v>
      </c>
      <c r="P123" s="13" t="n">
        <v>1081.91</v>
      </c>
      <c r="Q123" s="13" t="n">
        <v>1081.91</v>
      </c>
      <c r="R123" s="13" t="n">
        <v>1081.91</v>
      </c>
      <c r="S123" s="13" t="n">
        <v>1081.91</v>
      </c>
      <c r="T123" s="13" t="n">
        <v>1081.91</v>
      </c>
      <c r="U123" s="13" t="n">
        <v>350</v>
      </c>
      <c r="V123" s="13" t="n">
        <v>250</v>
      </c>
      <c r="W123" s="13" t="n">
        <f aca="false">U123+V123</f>
        <v>600</v>
      </c>
    </row>
    <row r="124" customFormat="false" ht="15" hidden="false" customHeight="false" outlineLevel="0" collapsed="false">
      <c r="A124" s="14" t="s">
        <v>1755</v>
      </c>
      <c r="B124" s="14" t="s">
        <v>1740</v>
      </c>
      <c r="C124" s="14" t="s">
        <v>258</v>
      </c>
      <c r="D124" s="14" t="s">
        <v>89</v>
      </c>
      <c r="E124" s="15" t="n">
        <v>1385000</v>
      </c>
      <c r="F124" s="15" t="n">
        <v>17408.43</v>
      </c>
      <c r="G124" s="15" t="n">
        <v>2176.05</v>
      </c>
      <c r="H124" s="15" t="n">
        <v>2176.05</v>
      </c>
      <c r="I124" s="15" t="n">
        <f aca="false">SUM(K124:T124)</f>
        <v>13056.3</v>
      </c>
      <c r="J124" s="15" t="n">
        <f aca="false">F124-(G124+H124+I124)</f>
        <v>0.0299999999988358</v>
      </c>
      <c r="K124" s="15" t="n">
        <v>1305.63</v>
      </c>
      <c r="L124" s="15" t="n">
        <v>1305.63</v>
      </c>
      <c r="M124" s="15" t="n">
        <v>1305.63</v>
      </c>
      <c r="N124" s="15" t="n">
        <v>1305.63</v>
      </c>
      <c r="O124" s="15" t="n">
        <v>1305.63</v>
      </c>
      <c r="P124" s="15" t="n">
        <v>1305.63</v>
      </c>
      <c r="Q124" s="15" t="n">
        <v>1305.63</v>
      </c>
      <c r="R124" s="15" t="n">
        <v>1305.63</v>
      </c>
      <c r="S124" s="15" t="n">
        <v>1305.63</v>
      </c>
      <c r="T124" s="15" t="n">
        <v>1305.63</v>
      </c>
      <c r="U124" s="15" t="n">
        <v>350</v>
      </c>
      <c r="V124" s="15" t="n">
        <v>250</v>
      </c>
      <c r="W124" s="15" t="n">
        <f aca="false">U124+V124</f>
        <v>600</v>
      </c>
    </row>
    <row r="125" customFormat="false" ht="15" hidden="false" customHeight="false" outlineLevel="0" collapsed="false">
      <c r="A125" s="3" t="s">
        <v>1756</v>
      </c>
      <c r="B125" s="3" t="s">
        <v>1601</v>
      </c>
      <c r="C125" s="3" t="s">
        <v>1067</v>
      </c>
      <c r="D125" s="3" t="s">
        <v>189</v>
      </c>
      <c r="E125" s="13" t="n">
        <v>335000</v>
      </c>
      <c r="F125" s="13" t="n">
        <v>4678.56</v>
      </c>
      <c r="G125" s="13" t="n">
        <v>584.82</v>
      </c>
      <c r="H125" s="13" t="n">
        <v>584.82</v>
      </c>
      <c r="I125" s="13" t="n">
        <f aca="false">SUM(K125:T125)</f>
        <v>3508.9</v>
      </c>
      <c r="J125" s="13" t="n">
        <f aca="false">F125-(G125+H125+I125)</f>
        <v>0.0200000000004366</v>
      </c>
      <c r="K125" s="13" t="n">
        <v>350.89</v>
      </c>
      <c r="L125" s="13" t="n">
        <v>350.89</v>
      </c>
      <c r="M125" s="13" t="n">
        <v>350.89</v>
      </c>
      <c r="N125" s="13" t="n">
        <v>350.89</v>
      </c>
      <c r="O125" s="13" t="n">
        <v>350.89</v>
      </c>
      <c r="P125" s="13" t="n">
        <v>350.89</v>
      </c>
      <c r="Q125" s="13" t="n">
        <v>350.89</v>
      </c>
      <c r="R125" s="13" t="n">
        <v>350.89</v>
      </c>
      <c r="S125" s="13" t="n">
        <v>350.89</v>
      </c>
      <c r="T125" s="13" t="n">
        <v>350.89</v>
      </c>
      <c r="U125" s="13" t="n">
        <v>350</v>
      </c>
      <c r="V125" s="13" t="n">
        <v>0</v>
      </c>
      <c r="W125" s="13" t="n">
        <f aca="false">U125+V125</f>
        <v>350</v>
      </c>
    </row>
    <row r="126" customFormat="false" ht="15" hidden="false" customHeight="false" outlineLevel="0" collapsed="false">
      <c r="A126" s="14" t="s">
        <v>1757</v>
      </c>
      <c r="B126" s="14" t="s">
        <v>1614</v>
      </c>
      <c r="C126" s="14" t="s">
        <v>237</v>
      </c>
      <c r="D126" s="14" t="s">
        <v>93</v>
      </c>
      <c r="E126" s="15" t="n">
        <v>520000</v>
      </c>
      <c r="F126" s="15" t="n">
        <v>7323.86</v>
      </c>
      <c r="G126" s="15" t="n">
        <v>915.48</v>
      </c>
      <c r="H126" s="15" t="n">
        <v>915.48</v>
      </c>
      <c r="I126" s="15" t="n">
        <f aca="false">SUM(K126:T126)</f>
        <v>5492.9</v>
      </c>
      <c r="J126" s="15" t="n">
        <f aca="false">F126-(G126+H126+I126)</f>
        <v>0</v>
      </c>
      <c r="K126" s="15" t="n">
        <v>549.29</v>
      </c>
      <c r="L126" s="15" t="n">
        <v>549.29</v>
      </c>
      <c r="M126" s="15" t="n">
        <v>549.29</v>
      </c>
      <c r="N126" s="15" t="n">
        <v>549.29</v>
      </c>
      <c r="O126" s="15" t="n">
        <v>549.29</v>
      </c>
      <c r="P126" s="15" t="n">
        <v>549.29</v>
      </c>
      <c r="Q126" s="15" t="n">
        <v>549.29</v>
      </c>
      <c r="R126" s="15" t="n">
        <v>549.29</v>
      </c>
      <c r="S126" s="15" t="n">
        <v>549.29</v>
      </c>
      <c r="T126" s="15" t="n">
        <v>549.29</v>
      </c>
      <c r="U126" s="15" t="n">
        <v>350</v>
      </c>
      <c r="V126" s="15" t="n">
        <v>0</v>
      </c>
      <c r="W126" s="15" t="n">
        <f aca="false">U126+V126</f>
        <v>350</v>
      </c>
    </row>
    <row r="127" customFormat="false" ht="15" hidden="false" customHeight="false" outlineLevel="0" collapsed="false">
      <c r="A127" s="3" t="s">
        <v>1758</v>
      </c>
      <c r="B127" s="3" t="s">
        <v>1661</v>
      </c>
      <c r="C127" s="3" t="s">
        <v>1224</v>
      </c>
      <c r="D127" s="3" t="s">
        <v>138</v>
      </c>
      <c r="E127" s="13" t="n">
        <v>530000</v>
      </c>
      <c r="F127" s="13" t="n">
        <v>6706.57</v>
      </c>
      <c r="G127" s="13" t="n">
        <v>838.32</v>
      </c>
      <c r="H127" s="13" t="n">
        <v>838.32</v>
      </c>
      <c r="I127" s="13" t="n">
        <f aca="false">SUM(K127:T127)</f>
        <v>5029.9</v>
      </c>
      <c r="J127" s="13" t="n">
        <f aca="false">F127-(G127+H127+I127)</f>
        <v>0.0299999999997453</v>
      </c>
      <c r="K127" s="13" t="n">
        <v>502.99</v>
      </c>
      <c r="L127" s="13" t="n">
        <v>502.99</v>
      </c>
      <c r="M127" s="13" t="n">
        <v>502.99</v>
      </c>
      <c r="N127" s="13" t="n">
        <v>502.99</v>
      </c>
      <c r="O127" s="13" t="n">
        <v>502.99</v>
      </c>
      <c r="P127" s="13" t="n">
        <v>502.99</v>
      </c>
      <c r="Q127" s="13" t="n">
        <v>502.99</v>
      </c>
      <c r="R127" s="13" t="n">
        <v>502.99</v>
      </c>
      <c r="S127" s="13" t="n">
        <v>502.99</v>
      </c>
      <c r="T127" s="13" t="n">
        <v>502.99</v>
      </c>
      <c r="U127" s="13" t="n">
        <v>350</v>
      </c>
      <c r="V127" s="13" t="n">
        <v>0</v>
      </c>
      <c r="W127" s="13" t="n">
        <f aca="false">U127+V127</f>
        <v>350</v>
      </c>
    </row>
    <row r="128" customFormat="false" ht="15" hidden="false" customHeight="false" outlineLevel="0" collapsed="false">
      <c r="A128" s="14" t="s">
        <v>1759</v>
      </c>
      <c r="B128" s="14" t="s">
        <v>1589</v>
      </c>
      <c r="C128" s="14" t="s">
        <v>261</v>
      </c>
      <c r="D128" s="14" t="s">
        <v>157</v>
      </c>
      <c r="E128" s="15" t="n">
        <v>620000</v>
      </c>
      <c r="F128" s="15" t="n">
        <v>9687.39</v>
      </c>
      <c r="G128" s="15" t="n">
        <v>1210.92</v>
      </c>
      <c r="H128" s="15" t="n">
        <v>1210.92</v>
      </c>
      <c r="I128" s="15" t="n">
        <f aca="false">SUM(K128:T128)</f>
        <v>7265.5</v>
      </c>
      <c r="J128" s="15" t="n">
        <f aca="false">F128-(G128+H128+I128)</f>
        <v>0.0499999999992724</v>
      </c>
      <c r="K128" s="15" t="n">
        <v>726.55</v>
      </c>
      <c r="L128" s="15" t="n">
        <v>726.55</v>
      </c>
      <c r="M128" s="15" t="n">
        <v>726.55</v>
      </c>
      <c r="N128" s="15" t="n">
        <v>726.55</v>
      </c>
      <c r="O128" s="15" t="n">
        <v>726.55</v>
      </c>
      <c r="P128" s="15" t="n">
        <v>726.55</v>
      </c>
      <c r="Q128" s="15" t="n">
        <v>726.55</v>
      </c>
      <c r="R128" s="15" t="n">
        <v>726.55</v>
      </c>
      <c r="S128" s="15" t="n">
        <v>726.55</v>
      </c>
      <c r="T128" s="15" t="n">
        <v>726.55</v>
      </c>
      <c r="U128" s="15" t="n">
        <v>350</v>
      </c>
      <c r="V128" s="15" t="n">
        <v>0</v>
      </c>
      <c r="W128" s="15" t="n">
        <f aca="false">U128+V128</f>
        <v>350</v>
      </c>
    </row>
    <row r="129" customFormat="false" ht="15" hidden="false" customHeight="false" outlineLevel="0" collapsed="false">
      <c r="A129" s="3" t="s">
        <v>1760</v>
      </c>
      <c r="B129" s="3" t="s">
        <v>1750</v>
      </c>
      <c r="C129" s="3" t="s">
        <v>101</v>
      </c>
      <c r="D129" s="3" t="s">
        <v>73</v>
      </c>
      <c r="E129" s="13" t="n">
        <v>555000</v>
      </c>
      <c r="F129" s="13" t="n">
        <v>7145.06</v>
      </c>
      <c r="G129" s="13" t="n">
        <v>893.13</v>
      </c>
      <c r="H129" s="13" t="n">
        <v>893.13</v>
      </c>
      <c r="I129" s="13" t="n">
        <f aca="false">SUM(K129:T129)</f>
        <v>5358.8</v>
      </c>
      <c r="J129" s="13" t="n">
        <f aca="false">F129-(G129+H129+I129)</f>
        <v>0</v>
      </c>
      <c r="K129" s="13" t="n">
        <v>535.88</v>
      </c>
      <c r="L129" s="13" t="n">
        <v>535.88</v>
      </c>
      <c r="M129" s="13" t="n">
        <v>535.88</v>
      </c>
      <c r="N129" s="13" t="n">
        <v>535.88</v>
      </c>
      <c r="O129" s="13" t="n">
        <v>535.88</v>
      </c>
      <c r="P129" s="13" t="n">
        <v>535.88</v>
      </c>
      <c r="Q129" s="13" t="n">
        <v>535.88</v>
      </c>
      <c r="R129" s="13" t="n">
        <v>535.88</v>
      </c>
      <c r="S129" s="13" t="n">
        <v>535.88</v>
      </c>
      <c r="T129" s="13" t="n">
        <v>535.88</v>
      </c>
      <c r="U129" s="13" t="n">
        <v>350</v>
      </c>
      <c r="V129" s="13" t="n">
        <v>0</v>
      </c>
      <c r="W129" s="13" t="n">
        <f aca="false">U129+V129</f>
        <v>350</v>
      </c>
    </row>
    <row r="130" customFormat="false" ht="15" hidden="false" customHeight="false" outlineLevel="0" collapsed="false">
      <c r="A130" s="14" t="s">
        <v>1761</v>
      </c>
      <c r="B130" s="14" t="s">
        <v>1623</v>
      </c>
      <c r="C130" s="14" t="s">
        <v>982</v>
      </c>
      <c r="D130" s="14" t="s">
        <v>157</v>
      </c>
      <c r="E130" s="15" t="n">
        <v>985000</v>
      </c>
      <c r="F130" s="15" t="n">
        <v>15390.45</v>
      </c>
      <c r="G130" s="15" t="n">
        <v>1923.81</v>
      </c>
      <c r="H130" s="15" t="n">
        <v>1923.81</v>
      </c>
      <c r="I130" s="15" t="n">
        <f aca="false">SUM(K130:T130)</f>
        <v>11542.8</v>
      </c>
      <c r="J130" s="15" t="n">
        <f aca="false">F130-(G130+H130+I130)</f>
        <v>0.0299999999988358</v>
      </c>
      <c r="K130" s="15" t="n">
        <v>1154.28</v>
      </c>
      <c r="L130" s="15" t="n">
        <v>1154.28</v>
      </c>
      <c r="M130" s="15" t="n">
        <v>1154.28</v>
      </c>
      <c r="N130" s="15" t="n">
        <v>1154.28</v>
      </c>
      <c r="O130" s="15" t="n">
        <v>1154.28</v>
      </c>
      <c r="P130" s="15" t="n">
        <v>1154.28</v>
      </c>
      <c r="Q130" s="15" t="n">
        <v>1154.28</v>
      </c>
      <c r="R130" s="15" t="n">
        <v>1154.28</v>
      </c>
      <c r="S130" s="15" t="n">
        <v>1154.28</v>
      </c>
      <c r="T130" s="15" t="n">
        <v>1154.28</v>
      </c>
      <c r="U130" s="15" t="n">
        <v>350</v>
      </c>
      <c r="V130" s="15" t="n">
        <v>0</v>
      </c>
      <c r="W130" s="15" t="n">
        <f aca="false">U130+V130</f>
        <v>350</v>
      </c>
    </row>
    <row r="131" customFormat="false" ht="15" hidden="false" customHeight="false" outlineLevel="0" collapsed="false">
      <c r="A131" s="3" t="s">
        <v>1762</v>
      </c>
      <c r="B131" s="3" t="s">
        <v>1664</v>
      </c>
      <c r="C131" s="3" t="s">
        <v>628</v>
      </c>
      <c r="D131" s="3" t="s">
        <v>89</v>
      </c>
      <c r="E131" s="13" t="n">
        <v>860000</v>
      </c>
      <c r="F131" s="13" t="n">
        <v>7468.43</v>
      </c>
      <c r="G131" s="13" t="n">
        <v>933.55</v>
      </c>
      <c r="H131" s="13" t="n">
        <v>933.55</v>
      </c>
      <c r="I131" s="13" t="n">
        <f aca="false">SUM(K131:T131)</f>
        <v>5601.3</v>
      </c>
      <c r="J131" s="13" t="n">
        <f aca="false">F131-(G131+H131+I131)</f>
        <v>0.0300000000006548</v>
      </c>
      <c r="K131" s="13" t="n">
        <v>560.13</v>
      </c>
      <c r="L131" s="13" t="n">
        <v>560.13</v>
      </c>
      <c r="M131" s="13" t="n">
        <v>560.13</v>
      </c>
      <c r="N131" s="13" t="n">
        <v>560.13</v>
      </c>
      <c r="O131" s="13" t="n">
        <v>560.13</v>
      </c>
      <c r="P131" s="13" t="n">
        <v>560.13</v>
      </c>
      <c r="Q131" s="13" t="n">
        <v>560.13</v>
      </c>
      <c r="R131" s="13" t="n">
        <v>560.13</v>
      </c>
      <c r="S131" s="13" t="n">
        <v>560.13</v>
      </c>
      <c r="T131" s="13" t="n">
        <v>560.13</v>
      </c>
      <c r="U131" s="13" t="n">
        <v>350</v>
      </c>
      <c r="V131" s="13" t="n">
        <v>0</v>
      </c>
      <c r="W131" s="13" t="n">
        <f aca="false">U131+V131</f>
        <v>350</v>
      </c>
    </row>
    <row r="132" customFormat="false" ht="15" hidden="false" customHeight="false" outlineLevel="0" collapsed="false">
      <c r="A132" s="14" t="s">
        <v>1763</v>
      </c>
      <c r="B132" s="14" t="s">
        <v>1740</v>
      </c>
      <c r="C132" s="14" t="s">
        <v>554</v>
      </c>
      <c r="D132" s="14" t="s">
        <v>338</v>
      </c>
      <c r="E132" s="15" t="n">
        <v>435000</v>
      </c>
      <c r="F132" s="15" t="n">
        <v>10500.79</v>
      </c>
      <c r="G132" s="15" t="n">
        <v>1312.6</v>
      </c>
      <c r="H132" s="15" t="n">
        <v>1312.6</v>
      </c>
      <c r="I132" s="15" t="n">
        <f aca="false">SUM(K132:T132)</f>
        <v>7875.6</v>
      </c>
      <c r="J132" s="15" t="n">
        <f aca="false">F132-(G132+H132+I132)</f>
        <v>-0.00999999999839929</v>
      </c>
      <c r="K132" s="15" t="n">
        <v>787.56</v>
      </c>
      <c r="L132" s="15" t="n">
        <v>787.56</v>
      </c>
      <c r="M132" s="15" t="n">
        <v>787.56</v>
      </c>
      <c r="N132" s="15" t="n">
        <v>787.56</v>
      </c>
      <c r="O132" s="15" t="n">
        <v>787.56</v>
      </c>
      <c r="P132" s="15" t="n">
        <v>787.56</v>
      </c>
      <c r="Q132" s="15" t="n">
        <v>787.56</v>
      </c>
      <c r="R132" s="15" t="n">
        <v>787.56</v>
      </c>
      <c r="S132" s="15" t="n">
        <v>787.56</v>
      </c>
      <c r="T132" s="15" t="n">
        <v>787.56</v>
      </c>
      <c r="U132" s="15" t="n">
        <v>350</v>
      </c>
      <c r="V132" s="15" t="n">
        <v>0</v>
      </c>
      <c r="W132" s="15" t="n">
        <f aca="false">U132+V132</f>
        <v>350</v>
      </c>
    </row>
    <row r="133" customFormat="false" ht="15" hidden="false" customHeight="false" outlineLevel="0" collapsed="false">
      <c r="A133" s="3" t="s">
        <v>1764</v>
      </c>
      <c r="B133" s="3" t="s">
        <v>1608</v>
      </c>
      <c r="C133" s="3" t="s">
        <v>543</v>
      </c>
      <c r="D133" s="3" t="s">
        <v>208</v>
      </c>
      <c r="E133" s="13" t="n">
        <v>645000</v>
      </c>
      <c r="F133" s="13" t="n">
        <v>9226.35</v>
      </c>
      <c r="G133" s="13" t="n">
        <v>1153.29</v>
      </c>
      <c r="H133" s="13" t="n">
        <v>1153.29</v>
      </c>
      <c r="I133" s="13" t="n">
        <f aca="false">SUM(K133:T133)</f>
        <v>6919.8</v>
      </c>
      <c r="J133" s="13" t="n">
        <f aca="false">F133-(G133+H133+I133)</f>
        <v>-0.0299999999988358</v>
      </c>
      <c r="K133" s="13" t="n">
        <v>691.98</v>
      </c>
      <c r="L133" s="13" t="n">
        <v>691.98</v>
      </c>
      <c r="M133" s="13" t="n">
        <v>691.98</v>
      </c>
      <c r="N133" s="13" t="n">
        <v>691.98</v>
      </c>
      <c r="O133" s="13" t="n">
        <v>691.98</v>
      </c>
      <c r="P133" s="13" t="n">
        <v>691.98</v>
      </c>
      <c r="Q133" s="13" t="n">
        <v>691.98</v>
      </c>
      <c r="R133" s="13" t="n">
        <v>691.98</v>
      </c>
      <c r="S133" s="13" t="n">
        <v>691.98</v>
      </c>
      <c r="T133" s="13" t="n">
        <v>691.98</v>
      </c>
      <c r="U133" s="13" t="n">
        <v>350</v>
      </c>
      <c r="V133" s="13" t="n">
        <v>0</v>
      </c>
      <c r="W133" s="13" t="n">
        <f aca="false">U133+V133</f>
        <v>350</v>
      </c>
    </row>
    <row r="134" customFormat="false" ht="15" hidden="false" customHeight="false" outlineLevel="0" collapsed="false">
      <c r="A134" s="14" t="s">
        <v>1765</v>
      </c>
      <c r="B134" s="14" t="s">
        <v>1694</v>
      </c>
      <c r="C134" s="14" t="s">
        <v>1184</v>
      </c>
      <c r="D134" s="14" t="s">
        <v>230</v>
      </c>
      <c r="E134" s="15" t="n">
        <v>780000</v>
      </c>
      <c r="F134" s="15" t="n">
        <v>12256.02</v>
      </c>
      <c r="G134" s="15" t="n">
        <v>1532</v>
      </c>
      <c r="H134" s="15" t="n">
        <v>1532</v>
      </c>
      <c r="I134" s="15" t="n">
        <f aca="false">SUM(K134:T134)</f>
        <v>9192</v>
      </c>
      <c r="J134" s="15" t="n">
        <f aca="false">F134-(G134+H134+I134)</f>
        <v>0.0199999999986176</v>
      </c>
      <c r="K134" s="15" t="n">
        <v>919.2</v>
      </c>
      <c r="L134" s="15" t="n">
        <v>919.2</v>
      </c>
      <c r="M134" s="15" t="n">
        <v>919.2</v>
      </c>
      <c r="N134" s="15" t="n">
        <v>919.2</v>
      </c>
      <c r="O134" s="15" t="n">
        <v>919.2</v>
      </c>
      <c r="P134" s="15" t="n">
        <v>919.2</v>
      </c>
      <c r="Q134" s="15" t="n">
        <v>919.2</v>
      </c>
      <c r="R134" s="15" t="n">
        <v>919.2</v>
      </c>
      <c r="S134" s="15" t="n">
        <v>919.2</v>
      </c>
      <c r="T134" s="15" t="n">
        <v>919.2</v>
      </c>
      <c r="U134" s="15" t="n">
        <v>350</v>
      </c>
      <c r="V134" s="15" t="n">
        <v>0</v>
      </c>
      <c r="W134" s="15" t="n">
        <f aca="false">U134+V134</f>
        <v>350</v>
      </c>
    </row>
    <row r="135" customFormat="false" ht="15" hidden="false" customHeight="false" outlineLevel="0" collapsed="false">
      <c r="A135" s="3" t="s">
        <v>1766</v>
      </c>
      <c r="B135" s="3" t="s">
        <v>1595</v>
      </c>
      <c r="C135" s="3" t="s">
        <v>533</v>
      </c>
      <c r="D135" s="3" t="s">
        <v>121</v>
      </c>
      <c r="E135" s="13" t="n">
        <v>735000</v>
      </c>
      <c r="F135" s="13" t="n">
        <v>14420.62</v>
      </c>
      <c r="G135" s="13" t="n">
        <v>1802.58</v>
      </c>
      <c r="H135" s="13" t="n">
        <v>1802.58</v>
      </c>
      <c r="I135" s="13" t="n">
        <f aca="false">SUM(K135:T135)</f>
        <v>10815.5</v>
      </c>
      <c r="J135" s="13" t="n">
        <f aca="false">F135-(G135+H135+I135)</f>
        <v>-0.0399999999972351</v>
      </c>
      <c r="K135" s="13" t="n">
        <v>1081.55</v>
      </c>
      <c r="L135" s="13" t="n">
        <v>1081.55</v>
      </c>
      <c r="M135" s="13" t="n">
        <v>1081.55</v>
      </c>
      <c r="N135" s="13" t="n">
        <v>1081.55</v>
      </c>
      <c r="O135" s="13" t="n">
        <v>1081.55</v>
      </c>
      <c r="P135" s="13" t="n">
        <v>1081.55</v>
      </c>
      <c r="Q135" s="13" t="n">
        <v>1081.55</v>
      </c>
      <c r="R135" s="13" t="n">
        <v>1081.55</v>
      </c>
      <c r="S135" s="13" t="n">
        <v>1081.55</v>
      </c>
      <c r="T135" s="13" t="n">
        <v>1081.55</v>
      </c>
      <c r="U135" s="13" t="n">
        <v>350</v>
      </c>
      <c r="V135" s="13" t="n">
        <v>0</v>
      </c>
      <c r="W135" s="13" t="n">
        <f aca="false">U135+V135</f>
        <v>350</v>
      </c>
    </row>
    <row r="136" customFormat="false" ht="15" hidden="false" customHeight="false" outlineLevel="0" collapsed="false">
      <c r="A136" s="14" t="s">
        <v>1767</v>
      </c>
      <c r="B136" s="14" t="s">
        <v>1664</v>
      </c>
      <c r="C136" s="14" t="s">
        <v>827</v>
      </c>
      <c r="D136" s="14" t="s">
        <v>172</v>
      </c>
      <c r="E136" s="15" t="n">
        <v>745000</v>
      </c>
      <c r="F136" s="15" t="n">
        <v>12460.24</v>
      </c>
      <c r="G136" s="15" t="n">
        <v>1557.53</v>
      </c>
      <c r="H136" s="15" t="n">
        <v>1557.53</v>
      </c>
      <c r="I136" s="15" t="n">
        <f aca="false">SUM(K136:T136)</f>
        <v>9345.2</v>
      </c>
      <c r="J136" s="15" t="n">
        <f aca="false">F136-(G136+H136+I136)</f>
        <v>-0.0200000000004366</v>
      </c>
      <c r="K136" s="15" t="n">
        <v>934.52</v>
      </c>
      <c r="L136" s="15" t="n">
        <v>934.52</v>
      </c>
      <c r="M136" s="15" t="n">
        <v>934.52</v>
      </c>
      <c r="N136" s="15" t="n">
        <v>934.52</v>
      </c>
      <c r="O136" s="15" t="n">
        <v>934.52</v>
      </c>
      <c r="P136" s="15" t="n">
        <v>934.52</v>
      </c>
      <c r="Q136" s="15" t="n">
        <v>934.52</v>
      </c>
      <c r="R136" s="15" t="n">
        <v>934.52</v>
      </c>
      <c r="S136" s="15" t="n">
        <v>934.52</v>
      </c>
      <c r="T136" s="15" t="n">
        <v>934.52</v>
      </c>
      <c r="U136" s="15" t="n">
        <v>350</v>
      </c>
      <c r="V136" s="15" t="n">
        <v>0</v>
      </c>
      <c r="W136" s="15" t="n">
        <f aca="false">U136+V136</f>
        <v>350</v>
      </c>
    </row>
    <row r="137" customFormat="false" ht="15" hidden="false" customHeight="false" outlineLevel="0" collapsed="false">
      <c r="A137" s="3" t="s">
        <v>1768</v>
      </c>
      <c r="B137" s="3" t="s">
        <v>1599</v>
      </c>
      <c r="C137" s="3" t="s">
        <v>690</v>
      </c>
      <c r="D137" s="3" t="s">
        <v>312</v>
      </c>
      <c r="E137" s="13" t="n">
        <v>1950000</v>
      </c>
      <c r="F137" s="13" t="n">
        <v>13923.7</v>
      </c>
      <c r="G137" s="13" t="n">
        <v>1740.46</v>
      </c>
      <c r="H137" s="13" t="n">
        <v>1740.46</v>
      </c>
      <c r="I137" s="13" t="n">
        <f aca="false">SUM(K137:T137)</f>
        <v>10442.8</v>
      </c>
      <c r="J137" s="13" t="n">
        <f aca="false">F137-(G137+H137+I137)</f>
        <v>-0.0200000000004366</v>
      </c>
      <c r="K137" s="13" t="n">
        <v>1044.28</v>
      </c>
      <c r="L137" s="13" t="n">
        <v>1044.28</v>
      </c>
      <c r="M137" s="13" t="n">
        <v>1044.28</v>
      </c>
      <c r="N137" s="13" t="n">
        <v>1044.28</v>
      </c>
      <c r="O137" s="13" t="n">
        <v>1044.28</v>
      </c>
      <c r="P137" s="13" t="n">
        <v>1044.28</v>
      </c>
      <c r="Q137" s="13" t="n">
        <v>1044.28</v>
      </c>
      <c r="R137" s="13" t="n">
        <v>1044.28</v>
      </c>
      <c r="S137" s="13" t="n">
        <v>1044.28</v>
      </c>
      <c r="T137" s="13" t="n">
        <v>1044.28</v>
      </c>
      <c r="U137" s="13" t="n">
        <v>350</v>
      </c>
      <c r="V137" s="13" t="n">
        <v>250</v>
      </c>
      <c r="W137" s="13" t="n">
        <f aca="false">U137+V137</f>
        <v>600</v>
      </c>
    </row>
    <row r="138" customFormat="false" ht="15" hidden="false" customHeight="false" outlineLevel="0" collapsed="false">
      <c r="A138" s="14" t="s">
        <v>1769</v>
      </c>
      <c r="B138" s="14" t="s">
        <v>1591</v>
      </c>
      <c r="C138" s="14" t="s">
        <v>1578</v>
      </c>
      <c r="D138" s="14" t="s">
        <v>115</v>
      </c>
      <c r="E138" s="15" t="n">
        <v>365000</v>
      </c>
      <c r="F138" s="15" t="n">
        <v>6117.04</v>
      </c>
      <c r="G138" s="15" t="n">
        <v>764.63</v>
      </c>
      <c r="H138" s="15" t="n">
        <v>764.63</v>
      </c>
      <c r="I138" s="15" t="n">
        <f aca="false">SUM(K138:T138)</f>
        <v>4587.8</v>
      </c>
      <c r="J138" s="15" t="n">
        <f aca="false">F138-(G138+H138+I138)</f>
        <v>-0.0199999999995271</v>
      </c>
      <c r="K138" s="15" t="n">
        <v>458.78</v>
      </c>
      <c r="L138" s="15" t="n">
        <v>458.78</v>
      </c>
      <c r="M138" s="15" t="n">
        <v>458.78</v>
      </c>
      <c r="N138" s="15" t="n">
        <v>458.78</v>
      </c>
      <c r="O138" s="15" t="n">
        <v>458.78</v>
      </c>
      <c r="P138" s="15" t="n">
        <v>458.78</v>
      </c>
      <c r="Q138" s="15" t="n">
        <v>458.78</v>
      </c>
      <c r="R138" s="15" t="n">
        <v>458.78</v>
      </c>
      <c r="S138" s="15" t="n">
        <v>458.78</v>
      </c>
      <c r="T138" s="15" t="n">
        <v>458.78</v>
      </c>
      <c r="U138" s="15" t="n">
        <v>350</v>
      </c>
      <c r="V138" s="15" t="n">
        <v>0</v>
      </c>
      <c r="W138" s="15" t="n">
        <f aca="false">U138+V138</f>
        <v>350</v>
      </c>
    </row>
    <row r="139" customFormat="false" ht="15" hidden="false" customHeight="false" outlineLevel="0" collapsed="false">
      <c r="A139" s="3" t="s">
        <v>1770</v>
      </c>
      <c r="B139" s="3" t="s">
        <v>1618</v>
      </c>
      <c r="C139" s="3" t="s">
        <v>554</v>
      </c>
      <c r="D139" s="3" t="s">
        <v>93</v>
      </c>
      <c r="E139" s="13" t="n">
        <v>375000</v>
      </c>
      <c r="F139" s="13" t="n">
        <v>3412.74</v>
      </c>
      <c r="G139" s="13" t="n">
        <v>426.59</v>
      </c>
      <c r="H139" s="13" t="n">
        <v>426.59</v>
      </c>
      <c r="I139" s="13" t="n">
        <f aca="false">SUM(K139:T139)</f>
        <v>2559.6</v>
      </c>
      <c r="J139" s="13" t="n">
        <f aca="false">F139-(G139+H139+I139)</f>
        <v>-0.0399999999999636</v>
      </c>
      <c r="K139" s="13" t="n">
        <v>255.96</v>
      </c>
      <c r="L139" s="13" t="n">
        <v>255.96</v>
      </c>
      <c r="M139" s="13" t="n">
        <v>255.96</v>
      </c>
      <c r="N139" s="13" t="n">
        <v>255.96</v>
      </c>
      <c r="O139" s="13" t="n">
        <v>255.96</v>
      </c>
      <c r="P139" s="13" t="n">
        <v>255.96</v>
      </c>
      <c r="Q139" s="13" t="n">
        <v>255.96</v>
      </c>
      <c r="R139" s="13" t="n">
        <v>255.96</v>
      </c>
      <c r="S139" s="13" t="n">
        <v>255.96</v>
      </c>
      <c r="T139" s="13" t="n">
        <v>255.96</v>
      </c>
      <c r="U139" s="13" t="n">
        <v>350</v>
      </c>
      <c r="V139" s="13" t="n">
        <v>0</v>
      </c>
      <c r="W139" s="13" t="n">
        <f aca="false">U139+V139</f>
        <v>350</v>
      </c>
    </row>
    <row r="140" customFormat="false" ht="15" hidden="false" customHeight="false" outlineLevel="0" collapsed="false">
      <c r="A140" s="14" t="s">
        <v>1771</v>
      </c>
      <c r="B140" s="14" t="s">
        <v>1627</v>
      </c>
      <c r="C140" s="14" t="s">
        <v>616</v>
      </c>
      <c r="D140" s="14" t="s">
        <v>312</v>
      </c>
      <c r="E140" s="15" t="n">
        <v>1320000</v>
      </c>
      <c r="F140" s="15" t="n">
        <v>13641.85</v>
      </c>
      <c r="G140" s="15" t="n">
        <v>1705.23</v>
      </c>
      <c r="H140" s="15" t="n">
        <v>1705.23</v>
      </c>
      <c r="I140" s="15" t="n">
        <f aca="false">SUM(K140:T140)</f>
        <v>10231.4</v>
      </c>
      <c r="J140" s="15" t="n">
        <f aca="false">F140-(G140+H140+I140)</f>
        <v>-0.0100000000002183</v>
      </c>
      <c r="K140" s="15" t="n">
        <v>1023.14</v>
      </c>
      <c r="L140" s="15" t="n">
        <v>1023.14</v>
      </c>
      <c r="M140" s="15" t="n">
        <v>1023.14</v>
      </c>
      <c r="N140" s="15" t="n">
        <v>1023.14</v>
      </c>
      <c r="O140" s="15" t="n">
        <v>1023.14</v>
      </c>
      <c r="P140" s="15" t="n">
        <v>1023.14</v>
      </c>
      <c r="Q140" s="15" t="n">
        <v>1023.14</v>
      </c>
      <c r="R140" s="15" t="n">
        <v>1023.14</v>
      </c>
      <c r="S140" s="15" t="n">
        <v>1023.14</v>
      </c>
      <c r="T140" s="15" t="n">
        <v>1023.14</v>
      </c>
      <c r="U140" s="15" t="n">
        <v>350</v>
      </c>
      <c r="V140" s="15" t="n">
        <v>250</v>
      </c>
      <c r="W140" s="15" t="n">
        <f aca="false">U140+V140</f>
        <v>600</v>
      </c>
    </row>
    <row r="141" customFormat="false" ht="15" hidden="false" customHeight="false" outlineLevel="0" collapsed="false">
      <c r="A141" s="3" t="s">
        <v>1772</v>
      </c>
      <c r="B141" s="3" t="s">
        <v>1614</v>
      </c>
      <c r="C141" s="3" t="s">
        <v>232</v>
      </c>
      <c r="D141" s="3" t="s">
        <v>189</v>
      </c>
      <c r="E141" s="13" t="n">
        <v>610000</v>
      </c>
      <c r="F141" s="13" t="n">
        <v>4884.32</v>
      </c>
      <c r="G141" s="13" t="n">
        <v>610.54</v>
      </c>
      <c r="H141" s="13" t="n">
        <v>610.54</v>
      </c>
      <c r="I141" s="13" t="n">
        <f aca="false">SUM(K141:T141)</f>
        <v>3663.2</v>
      </c>
      <c r="J141" s="13" t="n">
        <f aca="false">F141-(G141+H141+I141)</f>
        <v>0.0399999999990541</v>
      </c>
      <c r="K141" s="13" t="n">
        <v>366.32</v>
      </c>
      <c r="L141" s="13" t="n">
        <v>366.32</v>
      </c>
      <c r="M141" s="13" t="n">
        <v>366.32</v>
      </c>
      <c r="N141" s="13" t="n">
        <v>366.32</v>
      </c>
      <c r="O141" s="13" t="n">
        <v>366.32</v>
      </c>
      <c r="P141" s="13" t="n">
        <v>366.32</v>
      </c>
      <c r="Q141" s="13" t="n">
        <v>366.32</v>
      </c>
      <c r="R141" s="13" t="n">
        <v>366.32</v>
      </c>
      <c r="S141" s="13" t="n">
        <v>366.32</v>
      </c>
      <c r="T141" s="13" t="n">
        <v>366.32</v>
      </c>
      <c r="U141" s="13" t="n">
        <v>350</v>
      </c>
      <c r="V141" s="13" t="n">
        <v>0</v>
      </c>
      <c r="W141" s="13" t="n">
        <f aca="false">U141+V141</f>
        <v>350</v>
      </c>
    </row>
    <row r="142" customFormat="false" ht="15" hidden="false" customHeight="false" outlineLevel="0" collapsed="false">
      <c r="A142" s="14" t="s">
        <v>1773</v>
      </c>
      <c r="B142" s="14" t="s">
        <v>1750</v>
      </c>
      <c r="C142" s="14" t="s">
        <v>1774</v>
      </c>
      <c r="D142" s="14" t="s">
        <v>153</v>
      </c>
      <c r="E142" s="15" t="n">
        <v>260000</v>
      </c>
      <c r="F142" s="15" t="n">
        <v>5116.58</v>
      </c>
      <c r="G142" s="15" t="n">
        <v>639.57</v>
      </c>
      <c r="H142" s="15" t="n">
        <v>639.57</v>
      </c>
      <c r="I142" s="15" t="n">
        <f aca="false">SUM(K142:T142)</f>
        <v>3837.4</v>
      </c>
      <c r="J142" s="15" t="n">
        <f aca="false">F142-(G142+H142+I142)</f>
        <v>0.0399999999999636</v>
      </c>
      <c r="K142" s="15" t="n">
        <v>383.74</v>
      </c>
      <c r="L142" s="15" t="n">
        <v>383.74</v>
      </c>
      <c r="M142" s="15" t="n">
        <v>383.74</v>
      </c>
      <c r="N142" s="15" t="n">
        <v>383.74</v>
      </c>
      <c r="O142" s="15" t="n">
        <v>383.74</v>
      </c>
      <c r="P142" s="15" t="n">
        <v>383.74</v>
      </c>
      <c r="Q142" s="15" t="n">
        <v>383.74</v>
      </c>
      <c r="R142" s="15" t="n">
        <v>383.74</v>
      </c>
      <c r="S142" s="15" t="n">
        <v>383.74</v>
      </c>
      <c r="T142" s="15" t="n">
        <v>383.74</v>
      </c>
      <c r="U142" s="15" t="n">
        <v>350</v>
      </c>
      <c r="V142" s="15" t="n">
        <v>0</v>
      </c>
      <c r="W142" s="15" t="n">
        <f aca="false">U142+V142</f>
        <v>350</v>
      </c>
    </row>
    <row r="143" customFormat="false" ht="15" hidden="false" customHeight="false" outlineLevel="0" collapsed="false">
      <c r="A143" s="3" t="s">
        <v>1775</v>
      </c>
      <c r="B143" s="3" t="s">
        <v>1597</v>
      </c>
      <c r="C143" s="3" t="s">
        <v>169</v>
      </c>
      <c r="D143" s="3" t="s">
        <v>279</v>
      </c>
      <c r="E143" s="13" t="n">
        <v>905000</v>
      </c>
      <c r="F143" s="13" t="n">
        <v>13244.24</v>
      </c>
      <c r="G143" s="13" t="n">
        <v>1655.53</v>
      </c>
      <c r="H143" s="13" t="n">
        <v>1655.53</v>
      </c>
      <c r="I143" s="13" t="n">
        <f aca="false">SUM(K143:T143)</f>
        <v>9933.2</v>
      </c>
      <c r="J143" s="13" t="n">
        <f aca="false">F143-(G143+H143+I143)</f>
        <v>-0.0200000000004366</v>
      </c>
      <c r="K143" s="13" t="n">
        <v>993.32</v>
      </c>
      <c r="L143" s="13" t="n">
        <v>993.32</v>
      </c>
      <c r="M143" s="13" t="n">
        <v>993.32</v>
      </c>
      <c r="N143" s="13" t="n">
        <v>993.32</v>
      </c>
      <c r="O143" s="13" t="n">
        <v>993.32</v>
      </c>
      <c r="P143" s="13" t="n">
        <v>993.32</v>
      </c>
      <c r="Q143" s="13" t="n">
        <v>993.32</v>
      </c>
      <c r="R143" s="13" t="n">
        <v>993.32</v>
      </c>
      <c r="S143" s="13" t="n">
        <v>993.32</v>
      </c>
      <c r="T143" s="13" t="n">
        <v>993.32</v>
      </c>
      <c r="U143" s="13" t="n">
        <v>350</v>
      </c>
      <c r="V143" s="13" t="n">
        <v>0</v>
      </c>
      <c r="W143" s="13" t="n">
        <f aca="false">U143+V143</f>
        <v>350</v>
      </c>
    </row>
    <row r="144" customFormat="false" ht="15" hidden="false" customHeight="false" outlineLevel="0" collapsed="false">
      <c r="A144" s="14" t="s">
        <v>1776</v>
      </c>
      <c r="B144" s="14" t="s">
        <v>1777</v>
      </c>
      <c r="C144" s="14" t="s">
        <v>1360</v>
      </c>
      <c r="D144" s="14" t="s">
        <v>85</v>
      </c>
      <c r="E144" s="15" t="n">
        <v>365000</v>
      </c>
      <c r="F144" s="15" t="n">
        <v>6441.43</v>
      </c>
      <c r="G144" s="15" t="n">
        <v>805.18</v>
      </c>
      <c r="H144" s="15" t="n">
        <v>805.18</v>
      </c>
      <c r="I144" s="15" t="n">
        <f aca="false">SUM(K144:T144)</f>
        <v>4831.1</v>
      </c>
      <c r="J144" s="15" t="n">
        <f aca="false">F144-(G144+H144+I144)</f>
        <v>-0.0299999999988358</v>
      </c>
      <c r="K144" s="15" t="n">
        <v>483.11</v>
      </c>
      <c r="L144" s="15" t="n">
        <v>483.11</v>
      </c>
      <c r="M144" s="15" t="n">
        <v>483.11</v>
      </c>
      <c r="N144" s="15" t="n">
        <v>483.11</v>
      </c>
      <c r="O144" s="15" t="n">
        <v>483.11</v>
      </c>
      <c r="P144" s="15" t="n">
        <v>483.11</v>
      </c>
      <c r="Q144" s="15" t="n">
        <v>483.11</v>
      </c>
      <c r="R144" s="15" t="n">
        <v>483.11</v>
      </c>
      <c r="S144" s="15" t="n">
        <v>483.11</v>
      </c>
      <c r="T144" s="15" t="n">
        <v>483.11</v>
      </c>
      <c r="U144" s="15" t="n">
        <v>350</v>
      </c>
      <c r="V144" s="15" t="n">
        <v>0</v>
      </c>
      <c r="W144" s="15" t="n">
        <f aca="false">U144+V144</f>
        <v>350</v>
      </c>
    </row>
    <row r="145" customFormat="false" ht="15" hidden="false" customHeight="false" outlineLevel="0" collapsed="false">
      <c r="A145" s="3" t="s">
        <v>1778</v>
      </c>
      <c r="B145" s="3" t="s">
        <v>1629</v>
      </c>
      <c r="C145" s="3" t="s">
        <v>1779</v>
      </c>
      <c r="D145" s="3" t="s">
        <v>89</v>
      </c>
      <c r="E145" s="13" t="n">
        <v>825000</v>
      </c>
      <c r="F145" s="13" t="n">
        <v>12255.03</v>
      </c>
      <c r="G145" s="13" t="n">
        <v>1531.88</v>
      </c>
      <c r="H145" s="13" t="n">
        <v>1531.88</v>
      </c>
      <c r="I145" s="13" t="n">
        <f aca="false">SUM(K145:T145)</f>
        <v>9191.3</v>
      </c>
      <c r="J145" s="13" t="n">
        <f aca="false">F145-(G145+H145+I145)</f>
        <v>-0.0299999999988358</v>
      </c>
      <c r="K145" s="13" t="n">
        <v>919.13</v>
      </c>
      <c r="L145" s="13" t="n">
        <v>919.13</v>
      </c>
      <c r="M145" s="13" t="n">
        <v>919.13</v>
      </c>
      <c r="N145" s="13" t="n">
        <v>919.13</v>
      </c>
      <c r="O145" s="13" t="n">
        <v>919.13</v>
      </c>
      <c r="P145" s="13" t="n">
        <v>919.13</v>
      </c>
      <c r="Q145" s="13" t="n">
        <v>919.13</v>
      </c>
      <c r="R145" s="13" t="n">
        <v>919.13</v>
      </c>
      <c r="S145" s="13" t="n">
        <v>919.13</v>
      </c>
      <c r="T145" s="13" t="n">
        <v>919.13</v>
      </c>
      <c r="U145" s="13" t="n">
        <v>350</v>
      </c>
      <c r="V145" s="13" t="n">
        <v>0</v>
      </c>
      <c r="W145" s="13" t="n">
        <f aca="false">U145+V145</f>
        <v>350</v>
      </c>
    </row>
    <row r="146" customFormat="false" ht="15" hidden="false" customHeight="false" outlineLevel="0" collapsed="false">
      <c r="A146" s="14" t="s">
        <v>1780</v>
      </c>
      <c r="B146" s="14" t="s">
        <v>1629</v>
      </c>
      <c r="C146" s="14" t="s">
        <v>628</v>
      </c>
      <c r="D146" s="14" t="s">
        <v>102</v>
      </c>
      <c r="E146" s="15" t="n">
        <v>390000</v>
      </c>
      <c r="F146" s="15" t="n">
        <v>5694.26</v>
      </c>
      <c r="G146" s="15" t="n">
        <v>711.78</v>
      </c>
      <c r="H146" s="15" t="n">
        <v>711.78</v>
      </c>
      <c r="I146" s="15" t="n">
        <f aca="false">SUM(K146:T146)</f>
        <v>4270.7</v>
      </c>
      <c r="J146" s="15" t="n">
        <f aca="false">F146-(G146+H146+I146)</f>
        <v>0</v>
      </c>
      <c r="K146" s="15" t="n">
        <v>427.07</v>
      </c>
      <c r="L146" s="15" t="n">
        <v>427.07</v>
      </c>
      <c r="M146" s="15" t="n">
        <v>427.07</v>
      </c>
      <c r="N146" s="15" t="n">
        <v>427.07</v>
      </c>
      <c r="O146" s="15" t="n">
        <v>427.07</v>
      </c>
      <c r="P146" s="15" t="n">
        <v>427.07</v>
      </c>
      <c r="Q146" s="15" t="n">
        <v>427.07</v>
      </c>
      <c r="R146" s="15" t="n">
        <v>427.07</v>
      </c>
      <c r="S146" s="15" t="n">
        <v>427.07</v>
      </c>
      <c r="T146" s="15" t="n">
        <v>427.07</v>
      </c>
      <c r="U146" s="15" t="n">
        <v>350</v>
      </c>
      <c r="V146" s="15" t="n">
        <v>0</v>
      </c>
      <c r="W146" s="15" t="n">
        <f aca="false">U146+V146</f>
        <v>350</v>
      </c>
    </row>
    <row r="147" customFormat="false" ht="15" hidden="false" customHeight="false" outlineLevel="0" collapsed="false">
      <c r="A147" s="3" t="s">
        <v>1781</v>
      </c>
      <c r="B147" s="3" t="s">
        <v>1740</v>
      </c>
      <c r="C147" s="3" t="s">
        <v>677</v>
      </c>
      <c r="D147" s="3" t="s">
        <v>138</v>
      </c>
      <c r="E147" s="13" t="n">
        <v>650000</v>
      </c>
      <c r="F147" s="13" t="n">
        <v>4808.48</v>
      </c>
      <c r="G147" s="13" t="n">
        <v>601.06</v>
      </c>
      <c r="H147" s="13" t="n">
        <v>601.06</v>
      </c>
      <c r="I147" s="13" t="n">
        <f aca="false">SUM(K147:T147)</f>
        <v>3606.4</v>
      </c>
      <c r="J147" s="13" t="n">
        <f aca="false">F147-(G147+H147+I147)</f>
        <v>-0.0399999999999636</v>
      </c>
      <c r="K147" s="13" t="n">
        <v>360.64</v>
      </c>
      <c r="L147" s="13" t="n">
        <v>360.64</v>
      </c>
      <c r="M147" s="13" t="n">
        <v>360.64</v>
      </c>
      <c r="N147" s="13" t="n">
        <v>360.64</v>
      </c>
      <c r="O147" s="13" t="n">
        <v>360.64</v>
      </c>
      <c r="P147" s="13" t="n">
        <v>360.64</v>
      </c>
      <c r="Q147" s="13" t="n">
        <v>360.64</v>
      </c>
      <c r="R147" s="13" t="n">
        <v>360.64</v>
      </c>
      <c r="S147" s="13" t="n">
        <v>360.64</v>
      </c>
      <c r="T147" s="13" t="n">
        <v>360.64</v>
      </c>
      <c r="U147" s="13" t="n">
        <v>350</v>
      </c>
      <c r="V147" s="13" t="n">
        <v>0</v>
      </c>
      <c r="W147" s="13" t="n">
        <f aca="false">U147+V147</f>
        <v>350</v>
      </c>
    </row>
    <row r="148" customFormat="false" ht="15" hidden="false" customHeight="false" outlineLevel="0" collapsed="false">
      <c r="A148" s="14" t="s">
        <v>1782</v>
      </c>
      <c r="B148" s="14" t="s">
        <v>1591</v>
      </c>
      <c r="C148" s="14" t="s">
        <v>405</v>
      </c>
      <c r="D148" s="14" t="s">
        <v>147</v>
      </c>
      <c r="E148" s="15" t="n">
        <v>1535000</v>
      </c>
      <c r="F148" s="15" t="n">
        <v>10565.48</v>
      </c>
      <c r="G148" s="15" t="n">
        <v>1320.68</v>
      </c>
      <c r="H148" s="15" t="n">
        <v>1320.68</v>
      </c>
      <c r="I148" s="15" t="n">
        <f aca="false">SUM(K148:T148)</f>
        <v>7924.1</v>
      </c>
      <c r="J148" s="15" t="n">
        <f aca="false">F148-(G148+H148+I148)</f>
        <v>0.0200000000004366</v>
      </c>
      <c r="K148" s="15" t="n">
        <v>792.41</v>
      </c>
      <c r="L148" s="15" t="n">
        <v>792.41</v>
      </c>
      <c r="M148" s="15" t="n">
        <v>792.41</v>
      </c>
      <c r="N148" s="15" t="n">
        <v>792.41</v>
      </c>
      <c r="O148" s="15" t="n">
        <v>792.41</v>
      </c>
      <c r="P148" s="15" t="n">
        <v>792.41</v>
      </c>
      <c r="Q148" s="15" t="n">
        <v>792.41</v>
      </c>
      <c r="R148" s="15" t="n">
        <v>792.41</v>
      </c>
      <c r="S148" s="15" t="n">
        <v>792.41</v>
      </c>
      <c r="T148" s="15" t="n">
        <v>792.41</v>
      </c>
      <c r="U148" s="15" t="n">
        <v>350</v>
      </c>
      <c r="V148" s="15" t="n">
        <v>250</v>
      </c>
      <c r="W148" s="15" t="n">
        <f aca="false">U148+V148</f>
        <v>600</v>
      </c>
    </row>
    <row r="149" customFormat="false" ht="15" hidden="false" customHeight="false" outlineLevel="0" collapsed="false">
      <c r="A149" s="3" t="s">
        <v>1783</v>
      </c>
      <c r="B149" s="3" t="s">
        <v>1664</v>
      </c>
      <c r="C149" s="3" t="s">
        <v>917</v>
      </c>
      <c r="D149" s="3" t="s">
        <v>89</v>
      </c>
      <c r="E149" s="13" t="n">
        <v>445000</v>
      </c>
      <c r="F149" s="13" t="n">
        <v>4881.44</v>
      </c>
      <c r="G149" s="13" t="n">
        <v>610.18</v>
      </c>
      <c r="H149" s="13" t="n">
        <v>610.18</v>
      </c>
      <c r="I149" s="13" t="n">
        <f aca="false">SUM(K149:T149)</f>
        <v>3661.1</v>
      </c>
      <c r="J149" s="13" t="n">
        <f aca="false">F149-(G149+H149+I149)</f>
        <v>-0.0200000000004366</v>
      </c>
      <c r="K149" s="13" t="n">
        <v>366.11</v>
      </c>
      <c r="L149" s="13" t="n">
        <v>366.11</v>
      </c>
      <c r="M149" s="13" t="n">
        <v>366.11</v>
      </c>
      <c r="N149" s="13" t="n">
        <v>366.11</v>
      </c>
      <c r="O149" s="13" t="n">
        <v>366.11</v>
      </c>
      <c r="P149" s="13" t="n">
        <v>366.11</v>
      </c>
      <c r="Q149" s="13" t="n">
        <v>366.11</v>
      </c>
      <c r="R149" s="13" t="n">
        <v>366.11</v>
      </c>
      <c r="S149" s="13" t="n">
        <v>366.11</v>
      </c>
      <c r="T149" s="13" t="n">
        <v>366.11</v>
      </c>
      <c r="U149" s="13" t="n">
        <v>350</v>
      </c>
      <c r="V149" s="13" t="n">
        <v>0</v>
      </c>
      <c r="W149" s="13" t="n">
        <f aca="false">U149+V149</f>
        <v>350</v>
      </c>
    </row>
    <row r="150" customFormat="false" ht="15" hidden="false" customHeight="false" outlineLevel="0" collapsed="false">
      <c r="A150" s="14" t="s">
        <v>1784</v>
      </c>
      <c r="B150" s="14" t="s">
        <v>1740</v>
      </c>
      <c r="C150" s="14" t="s">
        <v>1785</v>
      </c>
      <c r="D150" s="14" t="s">
        <v>430</v>
      </c>
      <c r="E150" s="15" t="n">
        <v>320000</v>
      </c>
      <c r="F150" s="15" t="n">
        <v>4022.17</v>
      </c>
      <c r="G150" s="15" t="n">
        <v>502.77</v>
      </c>
      <c r="H150" s="15" t="n">
        <v>502.77</v>
      </c>
      <c r="I150" s="15" t="n">
        <f aca="false">SUM(K150:T150)</f>
        <v>3016.6</v>
      </c>
      <c r="J150" s="15" t="n">
        <f aca="false">F150-(G150+H150+I150)</f>
        <v>0.0300000000002001</v>
      </c>
      <c r="K150" s="15" t="n">
        <v>301.66</v>
      </c>
      <c r="L150" s="15" t="n">
        <v>301.66</v>
      </c>
      <c r="M150" s="15" t="n">
        <v>301.66</v>
      </c>
      <c r="N150" s="15" t="n">
        <v>301.66</v>
      </c>
      <c r="O150" s="15" t="n">
        <v>301.66</v>
      </c>
      <c r="P150" s="15" t="n">
        <v>301.66</v>
      </c>
      <c r="Q150" s="15" t="n">
        <v>301.66</v>
      </c>
      <c r="R150" s="15" t="n">
        <v>301.66</v>
      </c>
      <c r="S150" s="15" t="n">
        <v>301.66</v>
      </c>
      <c r="T150" s="15" t="n">
        <v>301.66</v>
      </c>
      <c r="U150" s="15" t="n">
        <v>350</v>
      </c>
      <c r="V150" s="15" t="n">
        <v>0</v>
      </c>
      <c r="W150" s="15" t="n">
        <f aca="false">U150+V150</f>
        <v>350</v>
      </c>
    </row>
    <row r="151" customFormat="false" ht="15" hidden="false" customHeight="false" outlineLevel="0" collapsed="false">
      <c r="A151" s="3" t="s">
        <v>1786</v>
      </c>
      <c r="B151" s="3" t="s">
        <v>1690</v>
      </c>
      <c r="C151" s="3" t="s">
        <v>1000</v>
      </c>
      <c r="D151" s="3" t="s">
        <v>193</v>
      </c>
      <c r="E151" s="13" t="n">
        <v>675000</v>
      </c>
      <c r="F151" s="13" t="n">
        <v>9284.12</v>
      </c>
      <c r="G151" s="13" t="n">
        <v>1160.52</v>
      </c>
      <c r="H151" s="13" t="n">
        <v>1160.52</v>
      </c>
      <c r="I151" s="13" t="n">
        <f aca="false">SUM(K151:T151)</f>
        <v>6963.1</v>
      </c>
      <c r="J151" s="13" t="n">
        <f aca="false">F151-(G151+H151+I151)</f>
        <v>-0.0199999999986176</v>
      </c>
      <c r="K151" s="13" t="n">
        <v>696.31</v>
      </c>
      <c r="L151" s="13" t="n">
        <v>696.31</v>
      </c>
      <c r="M151" s="13" t="n">
        <v>696.31</v>
      </c>
      <c r="N151" s="13" t="n">
        <v>696.31</v>
      </c>
      <c r="O151" s="13" t="n">
        <v>696.31</v>
      </c>
      <c r="P151" s="13" t="n">
        <v>696.31</v>
      </c>
      <c r="Q151" s="13" t="n">
        <v>696.31</v>
      </c>
      <c r="R151" s="13" t="n">
        <v>696.31</v>
      </c>
      <c r="S151" s="13" t="n">
        <v>696.31</v>
      </c>
      <c r="T151" s="13" t="n">
        <v>696.31</v>
      </c>
      <c r="U151" s="13" t="n">
        <v>350</v>
      </c>
      <c r="V151" s="13" t="n">
        <v>0</v>
      </c>
      <c r="W151" s="13" t="n">
        <f aca="false">U151+V151</f>
        <v>350</v>
      </c>
    </row>
    <row r="152" customFormat="false" ht="15" hidden="false" customHeight="false" outlineLevel="0" collapsed="false">
      <c r="A152" s="14" t="s">
        <v>1787</v>
      </c>
      <c r="B152" s="14" t="s">
        <v>1740</v>
      </c>
      <c r="C152" s="14" t="s">
        <v>1327</v>
      </c>
      <c r="D152" s="14" t="s">
        <v>115</v>
      </c>
      <c r="E152" s="15" t="n">
        <v>795000</v>
      </c>
      <c r="F152" s="15" t="n">
        <v>16876.33</v>
      </c>
      <c r="G152" s="15" t="n">
        <v>2109.54</v>
      </c>
      <c r="H152" s="15" t="n">
        <v>2109.54</v>
      </c>
      <c r="I152" s="15" t="n">
        <f aca="false">SUM(K152:T152)</f>
        <v>12657.2</v>
      </c>
      <c r="J152" s="15" t="n">
        <f aca="false">F152-(G152+H152+I152)</f>
        <v>0.0500000000029104</v>
      </c>
      <c r="K152" s="15" t="n">
        <v>1265.72</v>
      </c>
      <c r="L152" s="15" t="n">
        <v>1265.72</v>
      </c>
      <c r="M152" s="15" t="n">
        <v>1265.72</v>
      </c>
      <c r="N152" s="15" t="n">
        <v>1265.72</v>
      </c>
      <c r="O152" s="15" t="n">
        <v>1265.72</v>
      </c>
      <c r="P152" s="15" t="n">
        <v>1265.72</v>
      </c>
      <c r="Q152" s="15" t="n">
        <v>1265.72</v>
      </c>
      <c r="R152" s="15" t="n">
        <v>1265.72</v>
      </c>
      <c r="S152" s="15" t="n">
        <v>1265.72</v>
      </c>
      <c r="T152" s="15" t="n">
        <v>1265.72</v>
      </c>
      <c r="U152" s="15" t="n">
        <v>350</v>
      </c>
      <c r="V152" s="15" t="n">
        <v>0</v>
      </c>
      <c r="W152" s="15" t="n">
        <f aca="false">U152+V152</f>
        <v>350</v>
      </c>
    </row>
    <row r="153" customFormat="false" ht="15" hidden="false" customHeight="false" outlineLevel="0" collapsed="false">
      <c r="A153" s="3" t="s">
        <v>1788</v>
      </c>
      <c r="B153" s="3" t="s">
        <v>1654</v>
      </c>
      <c r="C153" s="3" t="s">
        <v>1178</v>
      </c>
      <c r="D153" s="3" t="s">
        <v>121</v>
      </c>
      <c r="E153" s="13" t="n">
        <v>1090000</v>
      </c>
      <c r="F153" s="13" t="n">
        <v>12381.19</v>
      </c>
      <c r="G153" s="13" t="n">
        <v>1547.65</v>
      </c>
      <c r="H153" s="13" t="n">
        <v>1547.65</v>
      </c>
      <c r="I153" s="13" t="n">
        <f aca="false">SUM(K153:T153)</f>
        <v>9285.9</v>
      </c>
      <c r="J153" s="13" t="n">
        <f aca="false">F153-(G153+H153+I153)</f>
        <v>-0.0100000000002183</v>
      </c>
      <c r="K153" s="13" t="n">
        <v>928.59</v>
      </c>
      <c r="L153" s="13" t="n">
        <v>928.59</v>
      </c>
      <c r="M153" s="13" t="n">
        <v>928.59</v>
      </c>
      <c r="N153" s="13" t="n">
        <v>928.59</v>
      </c>
      <c r="O153" s="13" t="n">
        <v>928.59</v>
      </c>
      <c r="P153" s="13" t="n">
        <v>928.59</v>
      </c>
      <c r="Q153" s="13" t="n">
        <v>928.59</v>
      </c>
      <c r="R153" s="13" t="n">
        <v>928.59</v>
      </c>
      <c r="S153" s="13" t="n">
        <v>928.59</v>
      </c>
      <c r="T153" s="13" t="n">
        <v>928.59</v>
      </c>
      <c r="U153" s="13" t="n">
        <v>350</v>
      </c>
      <c r="V153" s="13" t="n">
        <v>250</v>
      </c>
      <c r="W153" s="13" t="n">
        <f aca="false">U153+V153</f>
        <v>600</v>
      </c>
    </row>
    <row r="154" customFormat="false" ht="15" hidden="false" customHeight="false" outlineLevel="0" collapsed="false">
      <c r="A154" s="14" t="s">
        <v>1789</v>
      </c>
      <c r="B154" s="14" t="s">
        <v>1614</v>
      </c>
      <c r="C154" s="14" t="s">
        <v>398</v>
      </c>
      <c r="D154" s="14" t="s">
        <v>251</v>
      </c>
      <c r="E154" s="15" t="n">
        <v>460000</v>
      </c>
      <c r="F154" s="15" t="n">
        <v>6541.1</v>
      </c>
      <c r="G154" s="15" t="n">
        <v>817.64</v>
      </c>
      <c r="H154" s="15" t="n">
        <v>817.64</v>
      </c>
      <c r="I154" s="15" t="n">
        <f aca="false">SUM(K154:T154)</f>
        <v>4905.8</v>
      </c>
      <c r="J154" s="15" t="n">
        <f aca="false">F154-(G154+H154+I154)</f>
        <v>0.0200000000004366</v>
      </c>
      <c r="K154" s="15" t="n">
        <v>490.58</v>
      </c>
      <c r="L154" s="15" t="n">
        <v>490.58</v>
      </c>
      <c r="M154" s="15" t="n">
        <v>490.58</v>
      </c>
      <c r="N154" s="15" t="n">
        <v>490.58</v>
      </c>
      <c r="O154" s="15" t="n">
        <v>490.58</v>
      </c>
      <c r="P154" s="15" t="n">
        <v>490.58</v>
      </c>
      <c r="Q154" s="15" t="n">
        <v>490.58</v>
      </c>
      <c r="R154" s="15" t="n">
        <v>490.58</v>
      </c>
      <c r="S154" s="15" t="n">
        <v>490.58</v>
      </c>
      <c r="T154" s="15" t="n">
        <v>490.58</v>
      </c>
      <c r="U154" s="15" t="n">
        <v>350</v>
      </c>
      <c r="V154" s="15" t="n">
        <v>0</v>
      </c>
      <c r="W154" s="15" t="n">
        <f aca="false">U154+V154</f>
        <v>350</v>
      </c>
    </row>
    <row r="155" customFormat="false" ht="15" hidden="false" customHeight="false" outlineLevel="0" collapsed="false">
      <c r="A155" s="3" t="s">
        <v>1790</v>
      </c>
      <c r="B155" s="3" t="s">
        <v>1595</v>
      </c>
      <c r="C155" s="3" t="s">
        <v>1791</v>
      </c>
      <c r="D155" s="3" t="s">
        <v>157</v>
      </c>
      <c r="E155" s="13" t="n">
        <v>1055000</v>
      </c>
      <c r="F155" s="13" t="n">
        <v>13948.16</v>
      </c>
      <c r="G155" s="13" t="n">
        <v>1743.52</v>
      </c>
      <c r="H155" s="13" t="n">
        <v>1743.52</v>
      </c>
      <c r="I155" s="13" t="n">
        <f aca="false">SUM(K155:T155)</f>
        <v>10461.1</v>
      </c>
      <c r="J155" s="13" t="n">
        <f aca="false">F155-(G155+H155+I155)</f>
        <v>0.0200000000004366</v>
      </c>
      <c r="K155" s="13" t="n">
        <v>1046.11</v>
      </c>
      <c r="L155" s="13" t="n">
        <v>1046.11</v>
      </c>
      <c r="M155" s="13" t="n">
        <v>1046.11</v>
      </c>
      <c r="N155" s="13" t="n">
        <v>1046.11</v>
      </c>
      <c r="O155" s="13" t="n">
        <v>1046.11</v>
      </c>
      <c r="P155" s="13" t="n">
        <v>1046.11</v>
      </c>
      <c r="Q155" s="13" t="n">
        <v>1046.11</v>
      </c>
      <c r="R155" s="13" t="n">
        <v>1046.11</v>
      </c>
      <c r="S155" s="13" t="n">
        <v>1046.11</v>
      </c>
      <c r="T155" s="13" t="n">
        <v>1046.11</v>
      </c>
      <c r="U155" s="13" t="n">
        <v>350</v>
      </c>
      <c r="V155" s="13" t="n">
        <v>250</v>
      </c>
      <c r="W155" s="13" t="n">
        <f aca="false">U155+V155</f>
        <v>600</v>
      </c>
    </row>
    <row r="156" customFormat="false" ht="15" hidden="false" customHeight="false" outlineLevel="0" collapsed="false">
      <c r="A156" s="14" t="s">
        <v>1792</v>
      </c>
      <c r="B156" s="14" t="s">
        <v>1654</v>
      </c>
      <c r="C156" s="14" t="s">
        <v>503</v>
      </c>
      <c r="D156" s="14" t="s">
        <v>698</v>
      </c>
      <c r="E156" s="15" t="n">
        <v>760000</v>
      </c>
      <c r="F156" s="15" t="n">
        <v>11456.73</v>
      </c>
      <c r="G156" s="15" t="n">
        <v>1432.09</v>
      </c>
      <c r="H156" s="15" t="n">
        <v>1432.09</v>
      </c>
      <c r="I156" s="15" t="n">
        <f aca="false">SUM(K156:T156)</f>
        <v>8592.5</v>
      </c>
      <c r="J156" s="15" t="n">
        <f aca="false">F156-(G156+H156+I156)</f>
        <v>0.0499999999992724</v>
      </c>
      <c r="K156" s="15" t="n">
        <v>859.25</v>
      </c>
      <c r="L156" s="15" t="n">
        <v>859.25</v>
      </c>
      <c r="M156" s="15" t="n">
        <v>859.25</v>
      </c>
      <c r="N156" s="15" t="n">
        <v>859.25</v>
      </c>
      <c r="O156" s="15" t="n">
        <v>859.25</v>
      </c>
      <c r="P156" s="15" t="n">
        <v>859.25</v>
      </c>
      <c r="Q156" s="15" t="n">
        <v>859.25</v>
      </c>
      <c r="R156" s="15" t="n">
        <v>859.25</v>
      </c>
      <c r="S156" s="15" t="n">
        <v>859.25</v>
      </c>
      <c r="T156" s="15" t="n">
        <v>859.25</v>
      </c>
      <c r="U156" s="15" t="n">
        <v>350</v>
      </c>
      <c r="V156" s="15" t="n">
        <v>0</v>
      </c>
      <c r="W156" s="15" t="n">
        <f aca="false">U156+V156</f>
        <v>350</v>
      </c>
    </row>
    <row r="157" customFormat="false" ht="15" hidden="false" customHeight="false" outlineLevel="0" collapsed="false">
      <c r="A157" s="3" t="s">
        <v>1793</v>
      </c>
      <c r="B157" s="3" t="s">
        <v>1636</v>
      </c>
      <c r="C157" s="3" t="s">
        <v>585</v>
      </c>
      <c r="D157" s="3" t="s">
        <v>69</v>
      </c>
      <c r="E157" s="13" t="n">
        <v>1170000</v>
      </c>
      <c r="F157" s="13" t="n">
        <v>6532.06</v>
      </c>
      <c r="G157" s="13" t="n">
        <v>816.51</v>
      </c>
      <c r="H157" s="13" t="n">
        <v>816.51</v>
      </c>
      <c r="I157" s="13" t="n">
        <f aca="false">SUM(K157:T157)</f>
        <v>4899</v>
      </c>
      <c r="J157" s="13" t="n">
        <f aca="false">F157-(G157+H157+I157)</f>
        <v>0.0400000000017826</v>
      </c>
      <c r="K157" s="13" t="n">
        <v>489.9</v>
      </c>
      <c r="L157" s="13" t="n">
        <v>489.9</v>
      </c>
      <c r="M157" s="13" t="n">
        <v>489.9</v>
      </c>
      <c r="N157" s="13" t="n">
        <v>489.9</v>
      </c>
      <c r="O157" s="13" t="n">
        <v>489.9</v>
      </c>
      <c r="P157" s="13" t="n">
        <v>489.9</v>
      </c>
      <c r="Q157" s="13" t="n">
        <v>489.9</v>
      </c>
      <c r="R157" s="13" t="n">
        <v>489.9</v>
      </c>
      <c r="S157" s="13" t="n">
        <v>489.9</v>
      </c>
      <c r="T157" s="13" t="n">
        <v>489.9</v>
      </c>
      <c r="U157" s="13" t="n">
        <v>350</v>
      </c>
      <c r="V157" s="13" t="n">
        <v>250</v>
      </c>
      <c r="W157" s="13" t="n">
        <f aca="false">U157+V157</f>
        <v>600</v>
      </c>
    </row>
    <row r="158" customFormat="false" ht="15" hidden="false" customHeight="false" outlineLevel="0" collapsed="false">
      <c r="A158" s="14" t="s">
        <v>1794</v>
      </c>
      <c r="B158" s="14" t="s">
        <v>1694</v>
      </c>
      <c r="C158" s="14" t="s">
        <v>1514</v>
      </c>
      <c r="D158" s="14" t="s">
        <v>112</v>
      </c>
      <c r="E158" s="15" t="n">
        <v>490000</v>
      </c>
      <c r="F158" s="15" t="n">
        <v>5910.09</v>
      </c>
      <c r="G158" s="15" t="n">
        <v>738.76</v>
      </c>
      <c r="H158" s="15" t="n">
        <v>738.76</v>
      </c>
      <c r="I158" s="15" t="n">
        <f aca="false">SUM(K158:T158)</f>
        <v>4432.6</v>
      </c>
      <c r="J158" s="15" t="n">
        <f aca="false">F158-(G158+H158+I158)</f>
        <v>-0.0300000000006548</v>
      </c>
      <c r="K158" s="15" t="n">
        <v>443.26</v>
      </c>
      <c r="L158" s="15" t="n">
        <v>443.26</v>
      </c>
      <c r="M158" s="15" t="n">
        <v>443.26</v>
      </c>
      <c r="N158" s="15" t="n">
        <v>443.26</v>
      </c>
      <c r="O158" s="15" t="n">
        <v>443.26</v>
      </c>
      <c r="P158" s="15" t="n">
        <v>443.26</v>
      </c>
      <c r="Q158" s="15" t="n">
        <v>443.26</v>
      </c>
      <c r="R158" s="15" t="n">
        <v>443.26</v>
      </c>
      <c r="S158" s="15" t="n">
        <v>443.26</v>
      </c>
      <c r="T158" s="15" t="n">
        <v>443.26</v>
      </c>
      <c r="U158" s="15" t="n">
        <v>350</v>
      </c>
      <c r="V158" s="15" t="n">
        <v>0</v>
      </c>
      <c r="W158" s="15" t="n">
        <f aca="false">U158+V158</f>
        <v>350</v>
      </c>
    </row>
    <row r="159" customFormat="false" ht="15" hidden="false" customHeight="false" outlineLevel="0" collapsed="false">
      <c r="A159" s="3" t="s">
        <v>1795</v>
      </c>
      <c r="B159" s="3" t="s">
        <v>1664</v>
      </c>
      <c r="C159" s="3" t="s">
        <v>108</v>
      </c>
      <c r="D159" s="3" t="s">
        <v>115</v>
      </c>
      <c r="E159" s="13" t="n">
        <v>415000</v>
      </c>
      <c r="F159" s="13" t="n">
        <v>4451.2</v>
      </c>
      <c r="G159" s="13" t="n">
        <v>556.4</v>
      </c>
      <c r="H159" s="13" t="n">
        <v>556.4</v>
      </c>
      <c r="I159" s="13" t="n">
        <f aca="false">SUM(K159:T159)</f>
        <v>3338.4</v>
      </c>
      <c r="J159" s="13" t="n">
        <f aca="false">F159-(G159+H159+I159)</f>
        <v>0</v>
      </c>
      <c r="K159" s="13" t="n">
        <v>333.84</v>
      </c>
      <c r="L159" s="13" t="n">
        <v>333.84</v>
      </c>
      <c r="M159" s="13" t="n">
        <v>333.84</v>
      </c>
      <c r="N159" s="13" t="n">
        <v>333.84</v>
      </c>
      <c r="O159" s="13" t="n">
        <v>333.84</v>
      </c>
      <c r="P159" s="13" t="n">
        <v>333.84</v>
      </c>
      <c r="Q159" s="13" t="n">
        <v>333.84</v>
      </c>
      <c r="R159" s="13" t="n">
        <v>333.84</v>
      </c>
      <c r="S159" s="13" t="n">
        <v>333.84</v>
      </c>
      <c r="T159" s="13" t="n">
        <v>333.84</v>
      </c>
      <c r="U159" s="13" t="n">
        <v>350</v>
      </c>
      <c r="V159" s="13" t="n">
        <v>0</v>
      </c>
      <c r="W159" s="13" t="n">
        <f aca="false">U159+V159</f>
        <v>350</v>
      </c>
    </row>
    <row r="160" customFormat="false" ht="15" hidden="false" customHeight="false" outlineLevel="0" collapsed="false">
      <c r="A160" s="14" t="s">
        <v>1796</v>
      </c>
      <c r="B160" s="14" t="s">
        <v>1631</v>
      </c>
      <c r="C160" s="14" t="s">
        <v>1480</v>
      </c>
      <c r="D160" s="14" t="s">
        <v>73</v>
      </c>
      <c r="E160" s="15" t="n">
        <v>340000</v>
      </c>
      <c r="F160" s="15" t="n">
        <v>7744.19</v>
      </c>
      <c r="G160" s="15" t="n">
        <v>968.02</v>
      </c>
      <c r="H160" s="15" t="n">
        <v>968.02</v>
      </c>
      <c r="I160" s="15" t="n">
        <f aca="false">SUM(K160:T160)</f>
        <v>5808.1</v>
      </c>
      <c r="J160" s="15" t="n">
        <f aca="false">F160-(G160+H160+I160)</f>
        <v>0.0500000000010914</v>
      </c>
      <c r="K160" s="15" t="n">
        <v>580.81</v>
      </c>
      <c r="L160" s="15" t="n">
        <v>580.81</v>
      </c>
      <c r="M160" s="15" t="n">
        <v>580.81</v>
      </c>
      <c r="N160" s="15" t="n">
        <v>580.81</v>
      </c>
      <c r="O160" s="15" t="n">
        <v>580.81</v>
      </c>
      <c r="P160" s="15" t="n">
        <v>580.81</v>
      </c>
      <c r="Q160" s="15" t="n">
        <v>580.81</v>
      </c>
      <c r="R160" s="15" t="n">
        <v>580.81</v>
      </c>
      <c r="S160" s="15" t="n">
        <v>580.81</v>
      </c>
      <c r="T160" s="15" t="n">
        <v>580.81</v>
      </c>
      <c r="U160" s="15" t="n">
        <v>350</v>
      </c>
      <c r="V160" s="15" t="n">
        <v>0</v>
      </c>
      <c r="W160" s="15" t="n">
        <f aca="false">U160+V160</f>
        <v>350</v>
      </c>
    </row>
    <row r="161" customFormat="false" ht="15" hidden="false" customHeight="false" outlineLevel="0" collapsed="false">
      <c r="A161" s="3" t="s">
        <v>1797</v>
      </c>
      <c r="B161" s="3" t="s">
        <v>1702</v>
      </c>
      <c r="C161" s="3" t="s">
        <v>913</v>
      </c>
      <c r="D161" s="3" t="s">
        <v>166</v>
      </c>
      <c r="E161" s="13" t="n">
        <v>320000</v>
      </c>
      <c r="F161" s="13" t="n">
        <v>5484.77</v>
      </c>
      <c r="G161" s="13" t="n">
        <v>685.6</v>
      </c>
      <c r="H161" s="13" t="n">
        <v>685.6</v>
      </c>
      <c r="I161" s="13" t="n">
        <f aca="false">SUM(K161:T161)</f>
        <v>4113.6</v>
      </c>
      <c r="J161" s="13" t="n">
        <f aca="false">F161-(G161+H161+I161)</f>
        <v>-0.0299999999997453</v>
      </c>
      <c r="K161" s="13" t="n">
        <v>411.36</v>
      </c>
      <c r="L161" s="13" t="n">
        <v>411.36</v>
      </c>
      <c r="M161" s="13" t="n">
        <v>411.36</v>
      </c>
      <c r="N161" s="13" t="n">
        <v>411.36</v>
      </c>
      <c r="O161" s="13" t="n">
        <v>411.36</v>
      </c>
      <c r="P161" s="13" t="n">
        <v>411.36</v>
      </c>
      <c r="Q161" s="13" t="n">
        <v>411.36</v>
      </c>
      <c r="R161" s="13" t="n">
        <v>411.36</v>
      </c>
      <c r="S161" s="13" t="n">
        <v>411.36</v>
      </c>
      <c r="T161" s="13" t="n">
        <v>411.36</v>
      </c>
      <c r="U161" s="13" t="n">
        <v>350</v>
      </c>
      <c r="V161" s="13" t="n">
        <v>0</v>
      </c>
      <c r="W161" s="13" t="n">
        <f aca="false">U161+V161</f>
        <v>350</v>
      </c>
    </row>
    <row r="162" customFormat="false" ht="15" hidden="false" customHeight="false" outlineLevel="0" collapsed="false">
      <c r="A162" s="14" t="s">
        <v>1798</v>
      </c>
      <c r="B162" s="14" t="s">
        <v>1601</v>
      </c>
      <c r="C162" s="14" t="s">
        <v>1215</v>
      </c>
      <c r="D162" s="14" t="s">
        <v>377</v>
      </c>
      <c r="E162" s="15" t="n">
        <v>600000</v>
      </c>
      <c r="F162" s="15" t="n">
        <v>8846.73</v>
      </c>
      <c r="G162" s="15" t="n">
        <v>1105.84</v>
      </c>
      <c r="H162" s="15" t="n">
        <v>1105.84</v>
      </c>
      <c r="I162" s="15" t="n">
        <f aca="false">SUM(K162:T162)</f>
        <v>6635</v>
      </c>
      <c r="J162" s="15" t="n">
        <f aca="false">F162-(G162+H162+I162)</f>
        <v>0.0499999999992724</v>
      </c>
      <c r="K162" s="15" t="n">
        <v>663.5</v>
      </c>
      <c r="L162" s="15" t="n">
        <v>663.5</v>
      </c>
      <c r="M162" s="15" t="n">
        <v>663.5</v>
      </c>
      <c r="N162" s="15" t="n">
        <v>663.5</v>
      </c>
      <c r="O162" s="15" t="n">
        <v>663.5</v>
      </c>
      <c r="P162" s="15" t="n">
        <v>663.5</v>
      </c>
      <c r="Q162" s="15" t="n">
        <v>663.5</v>
      </c>
      <c r="R162" s="15" t="n">
        <v>663.5</v>
      </c>
      <c r="S162" s="15" t="n">
        <v>663.5</v>
      </c>
      <c r="T162" s="15" t="n">
        <v>663.5</v>
      </c>
      <c r="U162" s="15" t="n">
        <v>350</v>
      </c>
      <c r="V162" s="15" t="n">
        <v>0</v>
      </c>
      <c r="W162" s="15" t="n">
        <f aca="false">U162+V162</f>
        <v>350</v>
      </c>
    </row>
    <row r="163" customFormat="false" ht="15" hidden="false" customHeight="false" outlineLevel="0" collapsed="false">
      <c r="A163" s="3" t="s">
        <v>1799</v>
      </c>
      <c r="B163" s="3" t="s">
        <v>1708</v>
      </c>
      <c r="C163" s="3" t="s">
        <v>1130</v>
      </c>
      <c r="D163" s="3" t="s">
        <v>328</v>
      </c>
      <c r="E163" s="13" t="n">
        <v>385000</v>
      </c>
      <c r="F163" s="13" t="n">
        <v>6354.46</v>
      </c>
      <c r="G163" s="13" t="n">
        <v>794.31</v>
      </c>
      <c r="H163" s="13" t="n">
        <v>794.31</v>
      </c>
      <c r="I163" s="13" t="n">
        <f aca="false">SUM(K163:T163)</f>
        <v>4765.8</v>
      </c>
      <c r="J163" s="13" t="n">
        <f aca="false">F163-(G163+H163+I163)</f>
        <v>0.0399999999999636</v>
      </c>
      <c r="K163" s="13" t="n">
        <v>476.58</v>
      </c>
      <c r="L163" s="13" t="n">
        <v>476.58</v>
      </c>
      <c r="M163" s="13" t="n">
        <v>476.58</v>
      </c>
      <c r="N163" s="13" t="n">
        <v>476.58</v>
      </c>
      <c r="O163" s="13" t="n">
        <v>476.58</v>
      </c>
      <c r="P163" s="13" t="n">
        <v>476.58</v>
      </c>
      <c r="Q163" s="13" t="n">
        <v>476.58</v>
      </c>
      <c r="R163" s="13" t="n">
        <v>476.58</v>
      </c>
      <c r="S163" s="13" t="n">
        <v>476.58</v>
      </c>
      <c r="T163" s="13" t="n">
        <v>476.58</v>
      </c>
      <c r="U163" s="13" t="n">
        <v>350</v>
      </c>
      <c r="V163" s="13" t="n">
        <v>0</v>
      </c>
      <c r="W163" s="13" t="n">
        <f aca="false">U163+V163</f>
        <v>350</v>
      </c>
    </row>
    <row r="164" customFormat="false" ht="15" hidden="false" customHeight="false" outlineLevel="0" collapsed="false">
      <c r="A164" s="14" t="s">
        <v>1800</v>
      </c>
      <c r="B164" s="14" t="s">
        <v>1694</v>
      </c>
      <c r="C164" s="14" t="s">
        <v>1116</v>
      </c>
      <c r="D164" s="14" t="s">
        <v>157</v>
      </c>
      <c r="E164" s="15" t="n">
        <v>440000</v>
      </c>
      <c r="F164" s="15" t="n">
        <v>5076.87</v>
      </c>
      <c r="G164" s="15" t="n">
        <v>634.61</v>
      </c>
      <c r="H164" s="15" t="n">
        <v>634.61</v>
      </c>
      <c r="I164" s="15" t="n">
        <f aca="false">SUM(K164:T164)</f>
        <v>3807.7</v>
      </c>
      <c r="J164" s="15" t="n">
        <f aca="false">F164-(G164+H164+I164)</f>
        <v>-0.0500000000001819</v>
      </c>
      <c r="K164" s="15" t="n">
        <v>380.77</v>
      </c>
      <c r="L164" s="15" t="n">
        <v>380.77</v>
      </c>
      <c r="M164" s="15" t="n">
        <v>380.77</v>
      </c>
      <c r="N164" s="15" t="n">
        <v>380.77</v>
      </c>
      <c r="O164" s="15" t="n">
        <v>380.77</v>
      </c>
      <c r="P164" s="15" t="n">
        <v>380.77</v>
      </c>
      <c r="Q164" s="15" t="n">
        <v>380.77</v>
      </c>
      <c r="R164" s="15" t="n">
        <v>380.77</v>
      </c>
      <c r="S164" s="15" t="n">
        <v>380.77</v>
      </c>
      <c r="T164" s="15" t="n">
        <v>380.77</v>
      </c>
      <c r="U164" s="15" t="n">
        <v>350</v>
      </c>
      <c r="V164" s="15" t="n">
        <v>0</v>
      </c>
      <c r="W164" s="15" t="n">
        <f aca="false">U164+V164</f>
        <v>350</v>
      </c>
    </row>
    <row r="165" customFormat="false" ht="15" hidden="false" customHeight="false" outlineLevel="0" collapsed="false">
      <c r="A165" s="3" t="s">
        <v>1801</v>
      </c>
      <c r="B165" s="3" t="s">
        <v>1694</v>
      </c>
      <c r="C165" s="3" t="s">
        <v>269</v>
      </c>
      <c r="D165" s="3" t="s">
        <v>85</v>
      </c>
      <c r="E165" s="13" t="n">
        <v>380000</v>
      </c>
      <c r="F165" s="13" t="n">
        <v>4291.94</v>
      </c>
      <c r="G165" s="13" t="n">
        <v>536.49</v>
      </c>
      <c r="H165" s="13" t="n">
        <v>536.49</v>
      </c>
      <c r="I165" s="13" t="n">
        <f aca="false">SUM(K165:T165)</f>
        <v>3219</v>
      </c>
      <c r="J165" s="13" t="n">
        <f aca="false">F165-(G165+H165+I165)</f>
        <v>-0.0399999999999636</v>
      </c>
      <c r="K165" s="13" t="n">
        <v>321.9</v>
      </c>
      <c r="L165" s="13" t="n">
        <v>321.9</v>
      </c>
      <c r="M165" s="13" t="n">
        <v>321.9</v>
      </c>
      <c r="N165" s="13" t="n">
        <v>321.9</v>
      </c>
      <c r="O165" s="13" t="n">
        <v>321.9</v>
      </c>
      <c r="P165" s="13" t="n">
        <v>321.9</v>
      </c>
      <c r="Q165" s="13" t="n">
        <v>321.9</v>
      </c>
      <c r="R165" s="13" t="n">
        <v>321.9</v>
      </c>
      <c r="S165" s="13" t="n">
        <v>321.9</v>
      </c>
      <c r="T165" s="13" t="n">
        <v>321.9</v>
      </c>
      <c r="U165" s="13" t="n">
        <v>350</v>
      </c>
      <c r="V165" s="13" t="n">
        <v>0</v>
      </c>
      <c r="W165" s="13" t="n">
        <f aca="false">U165+V165</f>
        <v>350</v>
      </c>
    </row>
    <row r="166" customFormat="false" ht="15" hidden="false" customHeight="false" outlineLevel="0" collapsed="false">
      <c r="A166" s="14" t="s">
        <v>1802</v>
      </c>
      <c r="B166" s="14" t="s">
        <v>1661</v>
      </c>
      <c r="C166" s="14" t="s">
        <v>1803</v>
      </c>
      <c r="D166" s="14" t="s">
        <v>377</v>
      </c>
      <c r="E166" s="15" t="n">
        <v>370000</v>
      </c>
      <c r="F166" s="15" t="n">
        <v>6294.79</v>
      </c>
      <c r="G166" s="15" t="n">
        <v>786.85</v>
      </c>
      <c r="H166" s="15" t="n">
        <v>786.85</v>
      </c>
      <c r="I166" s="15" t="n">
        <f aca="false">SUM(K166:T166)</f>
        <v>4721.1</v>
      </c>
      <c r="J166" s="15" t="n">
        <f aca="false">F166-(G166+H166+I166)</f>
        <v>-0.00999999999930878</v>
      </c>
      <c r="K166" s="15" t="n">
        <v>472.11</v>
      </c>
      <c r="L166" s="15" t="n">
        <v>472.11</v>
      </c>
      <c r="M166" s="15" t="n">
        <v>472.11</v>
      </c>
      <c r="N166" s="15" t="n">
        <v>472.11</v>
      </c>
      <c r="O166" s="15" t="n">
        <v>472.11</v>
      </c>
      <c r="P166" s="15" t="n">
        <v>472.11</v>
      </c>
      <c r="Q166" s="15" t="n">
        <v>472.11</v>
      </c>
      <c r="R166" s="15" t="n">
        <v>472.11</v>
      </c>
      <c r="S166" s="15" t="n">
        <v>472.11</v>
      </c>
      <c r="T166" s="15" t="n">
        <v>472.11</v>
      </c>
      <c r="U166" s="15" t="n">
        <v>350</v>
      </c>
      <c r="V166" s="15" t="n">
        <v>0</v>
      </c>
      <c r="W166" s="15" t="n">
        <f aca="false">U166+V166</f>
        <v>350</v>
      </c>
    </row>
    <row r="167" customFormat="false" ht="15" hidden="false" customHeight="false" outlineLevel="0" collapsed="false">
      <c r="A167" s="3" t="s">
        <v>1804</v>
      </c>
      <c r="B167" s="3" t="s">
        <v>1740</v>
      </c>
      <c r="C167" s="3" t="s">
        <v>184</v>
      </c>
      <c r="D167" s="3" t="s">
        <v>89</v>
      </c>
      <c r="E167" s="13" t="n">
        <v>1125000</v>
      </c>
      <c r="F167" s="13" t="n">
        <v>20567.89</v>
      </c>
      <c r="G167" s="13" t="n">
        <v>2570.99</v>
      </c>
      <c r="H167" s="13" t="n">
        <v>2570.99</v>
      </c>
      <c r="I167" s="13" t="n">
        <f aca="false">SUM(K167:T167)</f>
        <v>15425.9</v>
      </c>
      <c r="J167" s="13" t="n">
        <f aca="false">F167-(G167+H167+I167)</f>
        <v>0.0100000000020373</v>
      </c>
      <c r="K167" s="13" t="n">
        <v>1542.59</v>
      </c>
      <c r="L167" s="13" t="n">
        <v>1542.59</v>
      </c>
      <c r="M167" s="13" t="n">
        <v>1542.59</v>
      </c>
      <c r="N167" s="13" t="n">
        <v>1542.59</v>
      </c>
      <c r="O167" s="13" t="n">
        <v>1542.59</v>
      </c>
      <c r="P167" s="13" t="n">
        <v>1542.59</v>
      </c>
      <c r="Q167" s="13" t="n">
        <v>1542.59</v>
      </c>
      <c r="R167" s="13" t="n">
        <v>1542.59</v>
      </c>
      <c r="S167" s="13" t="n">
        <v>1542.59</v>
      </c>
      <c r="T167" s="13" t="n">
        <v>1542.59</v>
      </c>
      <c r="U167" s="13" t="n">
        <v>350</v>
      </c>
      <c r="V167" s="13" t="n">
        <v>250</v>
      </c>
      <c r="W167" s="13" t="n">
        <f aca="false">U167+V167</f>
        <v>600</v>
      </c>
    </row>
    <row r="168" customFormat="false" ht="15" hidden="false" customHeight="false" outlineLevel="0" collapsed="false">
      <c r="A168" s="14" t="s">
        <v>1805</v>
      </c>
      <c r="B168" s="14" t="s">
        <v>1614</v>
      </c>
      <c r="C168" s="14" t="s">
        <v>606</v>
      </c>
      <c r="D168" s="14" t="s">
        <v>89</v>
      </c>
      <c r="E168" s="15" t="n">
        <v>425000</v>
      </c>
      <c r="F168" s="15" t="n">
        <v>7284.46</v>
      </c>
      <c r="G168" s="15" t="n">
        <v>910.56</v>
      </c>
      <c r="H168" s="15" t="n">
        <v>910.56</v>
      </c>
      <c r="I168" s="15" t="n">
        <f aca="false">SUM(K168:T168)</f>
        <v>5463.3</v>
      </c>
      <c r="J168" s="15" t="n">
        <f aca="false">F168-(G168+H168+I168)</f>
        <v>0.0399999999999636</v>
      </c>
      <c r="K168" s="15" t="n">
        <v>546.33</v>
      </c>
      <c r="L168" s="15" t="n">
        <v>546.33</v>
      </c>
      <c r="M168" s="15" t="n">
        <v>546.33</v>
      </c>
      <c r="N168" s="15" t="n">
        <v>546.33</v>
      </c>
      <c r="O168" s="15" t="n">
        <v>546.33</v>
      </c>
      <c r="P168" s="15" t="n">
        <v>546.33</v>
      </c>
      <c r="Q168" s="15" t="n">
        <v>546.33</v>
      </c>
      <c r="R168" s="15" t="n">
        <v>546.33</v>
      </c>
      <c r="S168" s="15" t="n">
        <v>546.33</v>
      </c>
      <c r="T168" s="15" t="n">
        <v>546.33</v>
      </c>
      <c r="U168" s="15" t="n">
        <v>350</v>
      </c>
      <c r="V168" s="15" t="n">
        <v>0</v>
      </c>
      <c r="W168" s="15" t="n">
        <f aca="false">U168+V168</f>
        <v>350</v>
      </c>
    </row>
    <row r="169" customFormat="false" ht="15" hidden="false" customHeight="false" outlineLevel="0" collapsed="false">
      <c r="A169" s="3" t="s">
        <v>1806</v>
      </c>
      <c r="B169" s="3" t="s">
        <v>1654</v>
      </c>
      <c r="C169" s="3" t="s">
        <v>626</v>
      </c>
      <c r="D169" s="3" t="s">
        <v>185</v>
      </c>
      <c r="E169" s="13" t="n">
        <v>995000</v>
      </c>
      <c r="F169" s="13" t="n">
        <v>16161.49</v>
      </c>
      <c r="G169" s="13" t="n">
        <v>2020.19</v>
      </c>
      <c r="H169" s="13" t="n">
        <v>2020.19</v>
      </c>
      <c r="I169" s="13" t="n">
        <f aca="false">SUM(K169:T169)</f>
        <v>12121.1</v>
      </c>
      <c r="J169" s="13" t="n">
        <f aca="false">F169-(G169+H169+I169)</f>
        <v>0.0100000000002183</v>
      </c>
      <c r="K169" s="13" t="n">
        <v>1212.11</v>
      </c>
      <c r="L169" s="13" t="n">
        <v>1212.11</v>
      </c>
      <c r="M169" s="13" t="n">
        <v>1212.11</v>
      </c>
      <c r="N169" s="13" t="n">
        <v>1212.11</v>
      </c>
      <c r="O169" s="13" t="n">
        <v>1212.11</v>
      </c>
      <c r="P169" s="13" t="n">
        <v>1212.11</v>
      </c>
      <c r="Q169" s="13" t="n">
        <v>1212.11</v>
      </c>
      <c r="R169" s="13" t="n">
        <v>1212.11</v>
      </c>
      <c r="S169" s="13" t="n">
        <v>1212.11</v>
      </c>
      <c r="T169" s="13" t="n">
        <v>1212.11</v>
      </c>
      <c r="U169" s="13" t="n">
        <v>350</v>
      </c>
      <c r="V169" s="13" t="n">
        <v>0</v>
      </c>
      <c r="W169" s="13" t="n">
        <f aca="false">U169+V169</f>
        <v>350</v>
      </c>
    </row>
    <row r="170" customFormat="false" ht="15" hidden="false" customHeight="false" outlineLevel="0" collapsed="false">
      <c r="A170" s="14" t="s">
        <v>1807</v>
      </c>
      <c r="B170" s="14" t="s">
        <v>1636</v>
      </c>
      <c r="C170" s="14" t="s">
        <v>72</v>
      </c>
      <c r="D170" s="14" t="s">
        <v>93</v>
      </c>
      <c r="E170" s="15" t="n">
        <v>435000</v>
      </c>
      <c r="F170" s="15" t="n">
        <v>7069.26</v>
      </c>
      <c r="G170" s="15" t="n">
        <v>883.66</v>
      </c>
      <c r="H170" s="15" t="n">
        <v>883.66</v>
      </c>
      <c r="I170" s="15" t="n">
        <f aca="false">SUM(K170:T170)</f>
        <v>5301.9</v>
      </c>
      <c r="J170" s="15" t="n">
        <f aca="false">F170-(G170+H170+I170)</f>
        <v>0.0399999999990541</v>
      </c>
      <c r="K170" s="15" t="n">
        <v>530.19</v>
      </c>
      <c r="L170" s="15" t="n">
        <v>530.19</v>
      </c>
      <c r="M170" s="15" t="n">
        <v>530.19</v>
      </c>
      <c r="N170" s="15" t="n">
        <v>530.19</v>
      </c>
      <c r="O170" s="15" t="n">
        <v>530.19</v>
      </c>
      <c r="P170" s="15" t="n">
        <v>530.19</v>
      </c>
      <c r="Q170" s="15" t="n">
        <v>530.19</v>
      </c>
      <c r="R170" s="15" t="n">
        <v>530.19</v>
      </c>
      <c r="S170" s="15" t="n">
        <v>530.19</v>
      </c>
      <c r="T170" s="15" t="n">
        <v>530.19</v>
      </c>
      <c r="U170" s="15" t="n">
        <v>350</v>
      </c>
      <c r="V170" s="15" t="n">
        <v>0</v>
      </c>
      <c r="W170" s="15" t="n">
        <f aca="false">U170+V170</f>
        <v>350</v>
      </c>
    </row>
    <row r="171" customFormat="false" ht="15" hidden="false" customHeight="false" outlineLevel="0" collapsed="false">
      <c r="A171" s="3" t="s">
        <v>1808</v>
      </c>
      <c r="B171" s="3" t="s">
        <v>1591</v>
      </c>
      <c r="C171" s="3" t="s">
        <v>1105</v>
      </c>
      <c r="D171" s="3" t="s">
        <v>406</v>
      </c>
      <c r="E171" s="13" t="n">
        <v>320000</v>
      </c>
      <c r="F171" s="13" t="n">
        <v>3778.4</v>
      </c>
      <c r="G171" s="13" t="n">
        <v>472.3</v>
      </c>
      <c r="H171" s="13" t="n">
        <v>472.3</v>
      </c>
      <c r="I171" s="13" t="n">
        <f aca="false">SUM(K171:T171)</f>
        <v>2833.8</v>
      </c>
      <c r="J171" s="13" t="n">
        <f aca="false">F171-(G171+H171+I171)</f>
        <v>0</v>
      </c>
      <c r="K171" s="13" t="n">
        <v>283.38</v>
      </c>
      <c r="L171" s="13" t="n">
        <v>283.38</v>
      </c>
      <c r="M171" s="13" t="n">
        <v>283.38</v>
      </c>
      <c r="N171" s="13" t="n">
        <v>283.38</v>
      </c>
      <c r="O171" s="13" t="n">
        <v>283.38</v>
      </c>
      <c r="P171" s="13" t="n">
        <v>283.38</v>
      </c>
      <c r="Q171" s="13" t="n">
        <v>283.38</v>
      </c>
      <c r="R171" s="13" t="n">
        <v>283.38</v>
      </c>
      <c r="S171" s="13" t="n">
        <v>283.38</v>
      </c>
      <c r="T171" s="13" t="n">
        <v>283.38</v>
      </c>
      <c r="U171" s="13" t="n">
        <v>350</v>
      </c>
      <c r="V171" s="13" t="n">
        <v>0</v>
      </c>
      <c r="W171" s="13" t="n">
        <f aca="false">U171+V171</f>
        <v>350</v>
      </c>
    </row>
    <row r="172" customFormat="false" ht="15" hidden="false" customHeight="false" outlineLevel="0" collapsed="false">
      <c r="A172" s="14" t="s">
        <v>1809</v>
      </c>
      <c r="B172" s="14" t="s">
        <v>1627</v>
      </c>
      <c r="C172" s="14" t="s">
        <v>165</v>
      </c>
      <c r="D172" s="14" t="s">
        <v>81</v>
      </c>
      <c r="E172" s="15" t="n">
        <v>850000</v>
      </c>
      <c r="F172" s="15" t="n">
        <v>7919.74</v>
      </c>
      <c r="G172" s="15" t="n">
        <v>989.97</v>
      </c>
      <c r="H172" s="15" t="n">
        <v>989.97</v>
      </c>
      <c r="I172" s="15" t="n">
        <f aca="false">SUM(K172:T172)</f>
        <v>5939.8</v>
      </c>
      <c r="J172" s="15" t="n">
        <f aca="false">F172-(G172+H172+I172)</f>
        <v>0</v>
      </c>
      <c r="K172" s="15" t="n">
        <v>593.98</v>
      </c>
      <c r="L172" s="15" t="n">
        <v>593.98</v>
      </c>
      <c r="M172" s="15" t="n">
        <v>593.98</v>
      </c>
      <c r="N172" s="15" t="n">
        <v>593.98</v>
      </c>
      <c r="O172" s="15" t="n">
        <v>593.98</v>
      </c>
      <c r="P172" s="15" t="n">
        <v>593.98</v>
      </c>
      <c r="Q172" s="15" t="n">
        <v>593.98</v>
      </c>
      <c r="R172" s="15" t="n">
        <v>593.98</v>
      </c>
      <c r="S172" s="15" t="n">
        <v>593.98</v>
      </c>
      <c r="T172" s="15" t="n">
        <v>593.98</v>
      </c>
      <c r="U172" s="15" t="n">
        <v>350</v>
      </c>
      <c r="V172" s="15" t="n">
        <v>0</v>
      </c>
      <c r="W172" s="15" t="n">
        <f aca="false">U172+V172</f>
        <v>350</v>
      </c>
    </row>
    <row r="173" customFormat="false" ht="15" hidden="false" customHeight="false" outlineLevel="0" collapsed="false">
      <c r="A173" s="3" t="s">
        <v>1810</v>
      </c>
      <c r="B173" s="3" t="s">
        <v>1651</v>
      </c>
      <c r="C173" s="3" t="s">
        <v>863</v>
      </c>
      <c r="D173" s="3" t="s">
        <v>352</v>
      </c>
      <c r="E173" s="13" t="n">
        <v>570000</v>
      </c>
      <c r="F173" s="13" t="n">
        <v>7087.29</v>
      </c>
      <c r="G173" s="13" t="n">
        <v>885.91</v>
      </c>
      <c r="H173" s="13" t="n">
        <v>885.91</v>
      </c>
      <c r="I173" s="13" t="n">
        <f aca="false">SUM(K173:T173)</f>
        <v>5315.5</v>
      </c>
      <c r="J173" s="13" t="n">
        <f aca="false">F173-(G173+H173+I173)</f>
        <v>-0.0299999999997453</v>
      </c>
      <c r="K173" s="13" t="n">
        <v>531.55</v>
      </c>
      <c r="L173" s="13" t="n">
        <v>531.55</v>
      </c>
      <c r="M173" s="13" t="n">
        <v>531.55</v>
      </c>
      <c r="N173" s="13" t="n">
        <v>531.55</v>
      </c>
      <c r="O173" s="13" t="n">
        <v>531.55</v>
      </c>
      <c r="P173" s="13" t="n">
        <v>531.55</v>
      </c>
      <c r="Q173" s="13" t="n">
        <v>531.55</v>
      </c>
      <c r="R173" s="13" t="n">
        <v>531.55</v>
      </c>
      <c r="S173" s="13" t="n">
        <v>531.55</v>
      </c>
      <c r="T173" s="13" t="n">
        <v>531.55</v>
      </c>
      <c r="U173" s="13" t="n">
        <v>350</v>
      </c>
      <c r="V173" s="13" t="n">
        <v>0</v>
      </c>
      <c r="W173" s="13" t="n">
        <f aca="false">U173+V173</f>
        <v>350</v>
      </c>
    </row>
    <row r="174" customFormat="false" ht="15" hidden="false" customHeight="false" outlineLevel="0" collapsed="false">
      <c r="A174" s="14" t="s">
        <v>1811</v>
      </c>
      <c r="B174" s="14" t="s">
        <v>1629</v>
      </c>
      <c r="C174" s="14" t="s">
        <v>831</v>
      </c>
      <c r="D174" s="14" t="s">
        <v>279</v>
      </c>
      <c r="E174" s="15" t="n">
        <v>740000</v>
      </c>
      <c r="F174" s="15" t="n">
        <v>10829.54</v>
      </c>
      <c r="G174" s="15" t="n">
        <v>1353.69</v>
      </c>
      <c r="H174" s="15" t="n">
        <v>1353.69</v>
      </c>
      <c r="I174" s="15" t="n">
        <f aca="false">SUM(K174:T174)</f>
        <v>8122.2</v>
      </c>
      <c r="J174" s="15" t="n">
        <f aca="false">F174-(G174+H174+I174)</f>
        <v>-0.0400000000008731</v>
      </c>
      <c r="K174" s="15" t="n">
        <v>812.22</v>
      </c>
      <c r="L174" s="15" t="n">
        <v>812.22</v>
      </c>
      <c r="M174" s="15" t="n">
        <v>812.22</v>
      </c>
      <c r="N174" s="15" t="n">
        <v>812.22</v>
      </c>
      <c r="O174" s="15" t="n">
        <v>812.22</v>
      </c>
      <c r="P174" s="15" t="n">
        <v>812.22</v>
      </c>
      <c r="Q174" s="15" t="n">
        <v>812.22</v>
      </c>
      <c r="R174" s="15" t="n">
        <v>812.22</v>
      </c>
      <c r="S174" s="15" t="n">
        <v>812.22</v>
      </c>
      <c r="T174" s="15" t="n">
        <v>812.22</v>
      </c>
      <c r="U174" s="15" t="n">
        <v>350</v>
      </c>
      <c r="V174" s="15" t="n">
        <v>0</v>
      </c>
      <c r="W174" s="15" t="n">
        <f aca="false">U174+V174</f>
        <v>350</v>
      </c>
    </row>
    <row r="175" customFormat="false" ht="15" hidden="false" customHeight="false" outlineLevel="0" collapsed="false">
      <c r="A175" s="3" t="s">
        <v>1812</v>
      </c>
      <c r="B175" s="3" t="s">
        <v>1631</v>
      </c>
      <c r="C175" s="3" t="s">
        <v>578</v>
      </c>
      <c r="D175" s="3" t="s">
        <v>125</v>
      </c>
      <c r="E175" s="13" t="n">
        <v>280000</v>
      </c>
      <c r="F175" s="13" t="n">
        <v>2184.16</v>
      </c>
      <c r="G175" s="13" t="n">
        <v>273.02</v>
      </c>
      <c r="H175" s="13" t="n">
        <v>273.02</v>
      </c>
      <c r="I175" s="13" t="n">
        <f aca="false">SUM(K175:T175)</f>
        <v>1638.1</v>
      </c>
      <c r="J175" s="13" t="n">
        <f aca="false">F175-(G175+H175+I175)</f>
        <v>0.0199999999999818</v>
      </c>
      <c r="K175" s="13" t="n">
        <v>163.81</v>
      </c>
      <c r="L175" s="13" t="n">
        <v>163.81</v>
      </c>
      <c r="M175" s="13" t="n">
        <v>163.81</v>
      </c>
      <c r="N175" s="13" t="n">
        <v>163.81</v>
      </c>
      <c r="O175" s="13" t="n">
        <v>163.81</v>
      </c>
      <c r="P175" s="13" t="n">
        <v>163.81</v>
      </c>
      <c r="Q175" s="13" t="n">
        <v>163.81</v>
      </c>
      <c r="R175" s="13" t="n">
        <v>163.81</v>
      </c>
      <c r="S175" s="13" t="n">
        <v>163.81</v>
      </c>
      <c r="T175" s="13" t="n">
        <v>163.81</v>
      </c>
      <c r="U175" s="13" t="n">
        <v>350</v>
      </c>
      <c r="V175" s="13" t="n">
        <v>0</v>
      </c>
      <c r="W175" s="13" t="n">
        <f aca="false">U175+V175</f>
        <v>350</v>
      </c>
    </row>
    <row r="176" customFormat="false" ht="15" hidden="false" customHeight="false" outlineLevel="0" collapsed="false">
      <c r="A176" s="14" t="s">
        <v>1813</v>
      </c>
      <c r="B176" s="14" t="s">
        <v>1597</v>
      </c>
      <c r="C176" s="14" t="s">
        <v>192</v>
      </c>
      <c r="D176" s="14" t="s">
        <v>89</v>
      </c>
      <c r="E176" s="15" t="n">
        <v>195000</v>
      </c>
      <c r="F176" s="15" t="n">
        <v>4099.86</v>
      </c>
      <c r="G176" s="15" t="n">
        <v>512.48</v>
      </c>
      <c r="H176" s="15" t="n">
        <v>512.48</v>
      </c>
      <c r="I176" s="15" t="n">
        <f aca="false">SUM(K176:T176)</f>
        <v>3074.9</v>
      </c>
      <c r="J176" s="15" t="n">
        <f aca="false">F176-(G176+H176+I176)</f>
        <v>0</v>
      </c>
      <c r="K176" s="15" t="n">
        <v>307.49</v>
      </c>
      <c r="L176" s="15" t="n">
        <v>307.49</v>
      </c>
      <c r="M176" s="15" t="n">
        <v>307.49</v>
      </c>
      <c r="N176" s="15" t="n">
        <v>307.49</v>
      </c>
      <c r="O176" s="15" t="n">
        <v>307.49</v>
      </c>
      <c r="P176" s="15" t="n">
        <v>307.49</v>
      </c>
      <c r="Q176" s="15" t="n">
        <v>307.49</v>
      </c>
      <c r="R176" s="15" t="n">
        <v>307.49</v>
      </c>
      <c r="S176" s="15" t="n">
        <v>307.49</v>
      </c>
      <c r="T176" s="15" t="n">
        <v>307.49</v>
      </c>
      <c r="U176" s="15" t="n">
        <v>350</v>
      </c>
      <c r="V176" s="15" t="n">
        <v>0</v>
      </c>
      <c r="W176" s="15" t="n">
        <f aca="false">U176+V176</f>
        <v>350</v>
      </c>
    </row>
    <row r="177" customFormat="false" ht="15" hidden="false" customHeight="false" outlineLevel="0" collapsed="false">
      <c r="A177" s="3" t="s">
        <v>1814</v>
      </c>
      <c r="B177" s="3" t="s">
        <v>1614</v>
      </c>
      <c r="C177" s="3" t="s">
        <v>227</v>
      </c>
      <c r="D177" s="3" t="s">
        <v>99</v>
      </c>
      <c r="E177" s="13" t="n">
        <v>390000</v>
      </c>
      <c r="F177" s="13" t="n">
        <v>6734.08</v>
      </c>
      <c r="G177" s="13" t="n">
        <v>841.76</v>
      </c>
      <c r="H177" s="13" t="n">
        <v>841.76</v>
      </c>
      <c r="I177" s="13" t="n">
        <f aca="false">SUM(K177:T177)</f>
        <v>5050.6</v>
      </c>
      <c r="J177" s="13" t="n">
        <f aca="false">F177-(G177+H177+I177)</f>
        <v>-0.0400000000008731</v>
      </c>
      <c r="K177" s="13" t="n">
        <v>505.06</v>
      </c>
      <c r="L177" s="13" t="n">
        <v>505.06</v>
      </c>
      <c r="M177" s="13" t="n">
        <v>505.06</v>
      </c>
      <c r="N177" s="13" t="n">
        <v>505.06</v>
      </c>
      <c r="O177" s="13" t="n">
        <v>505.06</v>
      </c>
      <c r="P177" s="13" t="n">
        <v>505.06</v>
      </c>
      <c r="Q177" s="13" t="n">
        <v>505.06</v>
      </c>
      <c r="R177" s="13" t="n">
        <v>505.06</v>
      </c>
      <c r="S177" s="13" t="n">
        <v>505.06</v>
      </c>
      <c r="T177" s="13" t="n">
        <v>505.06</v>
      </c>
      <c r="U177" s="13" t="n">
        <v>350</v>
      </c>
      <c r="V177" s="13" t="n">
        <v>0</v>
      </c>
      <c r="W177" s="13" t="n">
        <f aca="false">U177+V177</f>
        <v>350</v>
      </c>
    </row>
    <row r="178" customFormat="false" ht="15" hidden="false" customHeight="false" outlineLevel="0" collapsed="false">
      <c r="A178" s="14" t="s">
        <v>1815</v>
      </c>
      <c r="B178" s="14" t="s">
        <v>1750</v>
      </c>
      <c r="C178" s="14" t="s">
        <v>436</v>
      </c>
      <c r="D178" s="14" t="s">
        <v>185</v>
      </c>
      <c r="E178" s="15" t="n">
        <v>895000</v>
      </c>
      <c r="F178" s="15" t="n">
        <v>9946.52</v>
      </c>
      <c r="G178" s="15" t="n">
        <v>1243.32</v>
      </c>
      <c r="H178" s="15" t="n">
        <v>1243.32</v>
      </c>
      <c r="I178" s="15" t="n">
        <f aca="false">SUM(K178:T178)</f>
        <v>7459.9</v>
      </c>
      <c r="J178" s="15" t="n">
        <f aca="false">F178-(G178+H178+I178)</f>
        <v>-0.0199999999986176</v>
      </c>
      <c r="K178" s="15" t="n">
        <v>745.99</v>
      </c>
      <c r="L178" s="15" t="n">
        <v>745.99</v>
      </c>
      <c r="M178" s="15" t="n">
        <v>745.99</v>
      </c>
      <c r="N178" s="15" t="n">
        <v>745.99</v>
      </c>
      <c r="O178" s="15" t="n">
        <v>745.99</v>
      </c>
      <c r="P178" s="15" t="n">
        <v>745.99</v>
      </c>
      <c r="Q178" s="15" t="n">
        <v>745.99</v>
      </c>
      <c r="R178" s="15" t="n">
        <v>745.99</v>
      </c>
      <c r="S178" s="15" t="n">
        <v>745.99</v>
      </c>
      <c r="T178" s="15" t="n">
        <v>745.99</v>
      </c>
      <c r="U178" s="15" t="n">
        <v>350</v>
      </c>
      <c r="V178" s="15" t="n">
        <v>0</v>
      </c>
      <c r="W178" s="15" t="n">
        <f aca="false">U178+V178</f>
        <v>350</v>
      </c>
    </row>
    <row r="179" customFormat="false" ht="15" hidden="false" customHeight="false" outlineLevel="0" collapsed="false">
      <c r="A179" s="3" t="s">
        <v>1816</v>
      </c>
      <c r="B179" s="3" t="s">
        <v>1636</v>
      </c>
      <c r="C179" s="3" t="s">
        <v>379</v>
      </c>
      <c r="D179" s="3" t="s">
        <v>85</v>
      </c>
      <c r="E179" s="13" t="n">
        <v>240000</v>
      </c>
      <c r="F179" s="13" t="n">
        <v>5195.5</v>
      </c>
      <c r="G179" s="13" t="n">
        <v>649.44</v>
      </c>
      <c r="H179" s="13" t="n">
        <v>649.44</v>
      </c>
      <c r="I179" s="13" t="n">
        <f aca="false">SUM(K179:T179)</f>
        <v>3896.6</v>
      </c>
      <c r="J179" s="13" t="n">
        <f aca="false">F179-(G179+H179+I179)</f>
        <v>0.0200000000004366</v>
      </c>
      <c r="K179" s="13" t="n">
        <v>389.66</v>
      </c>
      <c r="L179" s="13" t="n">
        <v>389.66</v>
      </c>
      <c r="M179" s="13" t="n">
        <v>389.66</v>
      </c>
      <c r="N179" s="13" t="n">
        <v>389.66</v>
      </c>
      <c r="O179" s="13" t="n">
        <v>389.66</v>
      </c>
      <c r="P179" s="13" t="n">
        <v>389.66</v>
      </c>
      <c r="Q179" s="13" t="n">
        <v>389.66</v>
      </c>
      <c r="R179" s="13" t="n">
        <v>389.66</v>
      </c>
      <c r="S179" s="13" t="n">
        <v>389.66</v>
      </c>
      <c r="T179" s="13" t="n">
        <v>389.66</v>
      </c>
      <c r="U179" s="13" t="n">
        <v>350</v>
      </c>
      <c r="V179" s="13" t="n">
        <v>0</v>
      </c>
      <c r="W179" s="13" t="n">
        <f aca="false">U179+V179</f>
        <v>350</v>
      </c>
    </row>
    <row r="180" customFormat="false" ht="15" hidden="false" customHeight="false" outlineLevel="0" collapsed="false">
      <c r="A180" s="14" t="s">
        <v>1817</v>
      </c>
      <c r="B180" s="14" t="s">
        <v>1608</v>
      </c>
      <c r="C180" s="14" t="s">
        <v>1219</v>
      </c>
      <c r="D180" s="14" t="s">
        <v>203</v>
      </c>
      <c r="E180" s="15" t="n">
        <v>565000</v>
      </c>
      <c r="F180" s="15" t="n">
        <v>10358.34</v>
      </c>
      <c r="G180" s="15" t="n">
        <v>1294.79</v>
      </c>
      <c r="H180" s="15" t="n">
        <v>1294.79</v>
      </c>
      <c r="I180" s="15" t="n">
        <f aca="false">SUM(K180:T180)</f>
        <v>7768.8</v>
      </c>
      <c r="J180" s="15" t="n">
        <f aca="false">F180-(G180+H180+I180)</f>
        <v>-0.0400000000008731</v>
      </c>
      <c r="K180" s="15" t="n">
        <v>776.88</v>
      </c>
      <c r="L180" s="15" t="n">
        <v>776.88</v>
      </c>
      <c r="M180" s="15" t="n">
        <v>776.88</v>
      </c>
      <c r="N180" s="15" t="n">
        <v>776.88</v>
      </c>
      <c r="O180" s="15" t="n">
        <v>776.88</v>
      </c>
      <c r="P180" s="15" t="n">
        <v>776.88</v>
      </c>
      <c r="Q180" s="15" t="n">
        <v>776.88</v>
      </c>
      <c r="R180" s="15" t="n">
        <v>776.88</v>
      </c>
      <c r="S180" s="15" t="n">
        <v>776.88</v>
      </c>
      <c r="T180" s="15" t="n">
        <v>776.88</v>
      </c>
      <c r="U180" s="15" t="n">
        <v>350</v>
      </c>
      <c r="V180" s="15" t="n">
        <v>0</v>
      </c>
      <c r="W180" s="15" t="n">
        <f aca="false">U180+V180</f>
        <v>350</v>
      </c>
    </row>
    <row r="181" customFormat="false" ht="15" hidden="false" customHeight="false" outlineLevel="0" collapsed="false">
      <c r="A181" s="3" t="s">
        <v>1818</v>
      </c>
      <c r="B181" s="3" t="s">
        <v>1654</v>
      </c>
      <c r="C181" s="3" t="s">
        <v>730</v>
      </c>
      <c r="D181" s="3" t="s">
        <v>279</v>
      </c>
      <c r="E181" s="13" t="n">
        <v>530000</v>
      </c>
      <c r="F181" s="13" t="n">
        <v>7756.29</v>
      </c>
      <c r="G181" s="13" t="n">
        <v>969.54</v>
      </c>
      <c r="H181" s="13" t="n">
        <v>969.54</v>
      </c>
      <c r="I181" s="13" t="n">
        <f aca="false">SUM(K181:T181)</f>
        <v>5817.2</v>
      </c>
      <c r="J181" s="13" t="n">
        <f aca="false">F181-(G181+H181+I181)</f>
        <v>0.00999999999930878</v>
      </c>
      <c r="K181" s="13" t="n">
        <v>581.72</v>
      </c>
      <c r="L181" s="13" t="n">
        <v>581.72</v>
      </c>
      <c r="M181" s="13" t="n">
        <v>581.72</v>
      </c>
      <c r="N181" s="13" t="n">
        <v>581.72</v>
      </c>
      <c r="O181" s="13" t="n">
        <v>581.72</v>
      </c>
      <c r="P181" s="13" t="n">
        <v>581.72</v>
      </c>
      <c r="Q181" s="13" t="n">
        <v>581.72</v>
      </c>
      <c r="R181" s="13" t="n">
        <v>581.72</v>
      </c>
      <c r="S181" s="13" t="n">
        <v>581.72</v>
      </c>
      <c r="T181" s="13" t="n">
        <v>581.72</v>
      </c>
      <c r="U181" s="13" t="n">
        <v>350</v>
      </c>
      <c r="V181" s="13" t="n">
        <v>0</v>
      </c>
      <c r="W181" s="13" t="n">
        <f aca="false">U181+V181</f>
        <v>350</v>
      </c>
    </row>
    <row r="182" customFormat="false" ht="15" hidden="false" customHeight="false" outlineLevel="0" collapsed="false">
      <c r="A182" s="14" t="s">
        <v>1819</v>
      </c>
      <c r="B182" s="14" t="s">
        <v>1690</v>
      </c>
      <c r="C182" s="14" t="s">
        <v>1400</v>
      </c>
      <c r="D182" s="14" t="s">
        <v>99</v>
      </c>
      <c r="E182" s="15" t="n">
        <v>1440000</v>
      </c>
      <c r="F182" s="15" t="n">
        <v>18233.81</v>
      </c>
      <c r="G182" s="15" t="n">
        <v>2279.23</v>
      </c>
      <c r="H182" s="15" t="n">
        <v>2279.23</v>
      </c>
      <c r="I182" s="15" t="n">
        <f aca="false">SUM(K182:T182)</f>
        <v>13675.4</v>
      </c>
      <c r="J182" s="15" t="n">
        <f aca="false">F182-(G182+H182+I182)</f>
        <v>-0.0499999999992724</v>
      </c>
      <c r="K182" s="15" t="n">
        <v>1367.54</v>
      </c>
      <c r="L182" s="15" t="n">
        <v>1367.54</v>
      </c>
      <c r="M182" s="15" t="n">
        <v>1367.54</v>
      </c>
      <c r="N182" s="15" t="n">
        <v>1367.54</v>
      </c>
      <c r="O182" s="15" t="n">
        <v>1367.54</v>
      </c>
      <c r="P182" s="15" t="n">
        <v>1367.54</v>
      </c>
      <c r="Q182" s="15" t="n">
        <v>1367.54</v>
      </c>
      <c r="R182" s="15" t="n">
        <v>1367.54</v>
      </c>
      <c r="S182" s="15" t="n">
        <v>1367.54</v>
      </c>
      <c r="T182" s="15" t="n">
        <v>1367.54</v>
      </c>
      <c r="U182" s="15" t="n">
        <v>350</v>
      </c>
      <c r="V182" s="15" t="n">
        <v>250</v>
      </c>
      <c r="W182" s="15" t="n">
        <f aca="false">U182+V182</f>
        <v>600</v>
      </c>
    </row>
    <row r="183" customFormat="false" ht="15" hidden="false" customHeight="false" outlineLevel="0" collapsed="false">
      <c r="A183" s="3" t="s">
        <v>1820</v>
      </c>
      <c r="B183" s="3" t="s">
        <v>1593</v>
      </c>
      <c r="C183" s="3" t="s">
        <v>276</v>
      </c>
      <c r="D183" s="3" t="s">
        <v>69</v>
      </c>
      <c r="E183" s="13" t="n">
        <v>550000</v>
      </c>
      <c r="F183" s="13" t="n">
        <v>5870.31</v>
      </c>
      <c r="G183" s="13" t="n">
        <v>733.79</v>
      </c>
      <c r="H183" s="13" t="n">
        <v>733.79</v>
      </c>
      <c r="I183" s="13" t="n">
        <f aca="false">SUM(K183:T183)</f>
        <v>4402.7</v>
      </c>
      <c r="J183" s="13" t="n">
        <f aca="false">F183-(G183+H183+I183)</f>
        <v>0.0300000000006548</v>
      </c>
      <c r="K183" s="13" t="n">
        <v>440.27</v>
      </c>
      <c r="L183" s="13" t="n">
        <v>440.27</v>
      </c>
      <c r="M183" s="13" t="n">
        <v>440.27</v>
      </c>
      <c r="N183" s="13" t="n">
        <v>440.27</v>
      </c>
      <c r="O183" s="13" t="n">
        <v>440.27</v>
      </c>
      <c r="P183" s="13" t="n">
        <v>440.27</v>
      </c>
      <c r="Q183" s="13" t="n">
        <v>440.27</v>
      </c>
      <c r="R183" s="13" t="n">
        <v>440.27</v>
      </c>
      <c r="S183" s="13" t="n">
        <v>440.27</v>
      </c>
      <c r="T183" s="13" t="n">
        <v>440.27</v>
      </c>
      <c r="U183" s="13" t="n">
        <v>350</v>
      </c>
      <c r="V183" s="13" t="n">
        <v>0</v>
      </c>
      <c r="W183" s="13" t="n">
        <f aca="false">U183+V183</f>
        <v>350</v>
      </c>
    </row>
    <row r="184" customFormat="false" ht="15" hidden="false" customHeight="false" outlineLevel="0" collapsed="false">
      <c r="A184" s="14" t="s">
        <v>1821</v>
      </c>
      <c r="B184" s="14" t="s">
        <v>1601</v>
      </c>
      <c r="C184" s="14" t="s">
        <v>1822</v>
      </c>
      <c r="D184" s="14" t="s">
        <v>193</v>
      </c>
      <c r="E184" s="15" t="n">
        <v>295000</v>
      </c>
      <c r="F184" s="15" t="n">
        <v>4681.73</v>
      </c>
      <c r="G184" s="15" t="n">
        <v>585.22</v>
      </c>
      <c r="H184" s="15" t="n">
        <v>585.22</v>
      </c>
      <c r="I184" s="15" t="n">
        <f aca="false">SUM(K184:T184)</f>
        <v>3511.3</v>
      </c>
      <c r="J184" s="15" t="n">
        <f aca="false">F184-(G184+H184+I184)</f>
        <v>-0.0100000000002183</v>
      </c>
      <c r="K184" s="15" t="n">
        <v>351.13</v>
      </c>
      <c r="L184" s="15" t="n">
        <v>351.13</v>
      </c>
      <c r="M184" s="15" t="n">
        <v>351.13</v>
      </c>
      <c r="N184" s="15" t="n">
        <v>351.13</v>
      </c>
      <c r="O184" s="15" t="n">
        <v>351.13</v>
      </c>
      <c r="P184" s="15" t="n">
        <v>351.13</v>
      </c>
      <c r="Q184" s="15" t="n">
        <v>351.13</v>
      </c>
      <c r="R184" s="15" t="n">
        <v>351.13</v>
      </c>
      <c r="S184" s="15" t="n">
        <v>351.13</v>
      </c>
      <c r="T184" s="15" t="n">
        <v>351.13</v>
      </c>
      <c r="U184" s="15" t="n">
        <v>350</v>
      </c>
      <c r="V184" s="15" t="n">
        <v>0</v>
      </c>
      <c r="W184" s="15" t="n">
        <f aca="false">U184+V184</f>
        <v>350</v>
      </c>
    </row>
    <row r="185" customFormat="false" ht="15" hidden="false" customHeight="false" outlineLevel="0" collapsed="false">
      <c r="A185" s="3" t="s">
        <v>1823</v>
      </c>
      <c r="B185" s="3" t="s">
        <v>1629</v>
      </c>
      <c r="C185" s="3" t="s">
        <v>1002</v>
      </c>
      <c r="D185" s="3" t="s">
        <v>180</v>
      </c>
      <c r="E185" s="13" t="n">
        <v>1165000</v>
      </c>
      <c r="F185" s="13" t="n">
        <v>19090.39</v>
      </c>
      <c r="G185" s="13" t="n">
        <v>2386.3</v>
      </c>
      <c r="H185" s="13" t="n">
        <v>2386.3</v>
      </c>
      <c r="I185" s="13" t="n">
        <f aca="false">SUM(K185:T185)</f>
        <v>14317.8</v>
      </c>
      <c r="J185" s="13" t="n">
        <f aca="false">F185-(G185+H185+I185)</f>
        <v>-0.0100000000020373</v>
      </c>
      <c r="K185" s="13" t="n">
        <v>1431.78</v>
      </c>
      <c r="L185" s="13" t="n">
        <v>1431.78</v>
      </c>
      <c r="M185" s="13" t="n">
        <v>1431.78</v>
      </c>
      <c r="N185" s="13" t="n">
        <v>1431.78</v>
      </c>
      <c r="O185" s="13" t="n">
        <v>1431.78</v>
      </c>
      <c r="P185" s="13" t="n">
        <v>1431.78</v>
      </c>
      <c r="Q185" s="13" t="n">
        <v>1431.78</v>
      </c>
      <c r="R185" s="13" t="n">
        <v>1431.78</v>
      </c>
      <c r="S185" s="13" t="n">
        <v>1431.78</v>
      </c>
      <c r="T185" s="13" t="n">
        <v>1431.78</v>
      </c>
      <c r="U185" s="13" t="n">
        <v>350</v>
      </c>
      <c r="V185" s="13" t="n">
        <v>250</v>
      </c>
      <c r="W185" s="13" t="n">
        <f aca="false">U185+V185</f>
        <v>600</v>
      </c>
    </row>
    <row r="186" customFormat="false" ht="15" hidden="false" customHeight="false" outlineLevel="0" collapsed="false">
      <c r="A186" s="14" t="s">
        <v>1824</v>
      </c>
      <c r="B186" s="14" t="s">
        <v>1654</v>
      </c>
      <c r="C186" s="14" t="s">
        <v>1603</v>
      </c>
      <c r="D186" s="14" t="s">
        <v>138</v>
      </c>
      <c r="E186" s="15" t="n">
        <v>615000</v>
      </c>
      <c r="F186" s="15" t="n">
        <v>11373.91</v>
      </c>
      <c r="G186" s="15" t="n">
        <v>1421.74</v>
      </c>
      <c r="H186" s="15" t="n">
        <v>1421.74</v>
      </c>
      <c r="I186" s="15" t="n">
        <f aca="false">SUM(K186:T186)</f>
        <v>8530.4</v>
      </c>
      <c r="J186" s="15" t="n">
        <f aca="false">F186-(G186+H186+I186)</f>
        <v>0.0300000000006548</v>
      </c>
      <c r="K186" s="15" t="n">
        <v>853.04</v>
      </c>
      <c r="L186" s="15" t="n">
        <v>853.04</v>
      </c>
      <c r="M186" s="15" t="n">
        <v>853.04</v>
      </c>
      <c r="N186" s="15" t="n">
        <v>853.04</v>
      </c>
      <c r="O186" s="15" t="n">
        <v>853.04</v>
      </c>
      <c r="P186" s="15" t="n">
        <v>853.04</v>
      </c>
      <c r="Q186" s="15" t="n">
        <v>853.04</v>
      </c>
      <c r="R186" s="15" t="n">
        <v>853.04</v>
      </c>
      <c r="S186" s="15" t="n">
        <v>853.04</v>
      </c>
      <c r="T186" s="15" t="n">
        <v>853.04</v>
      </c>
      <c r="U186" s="15" t="n">
        <v>350</v>
      </c>
      <c r="V186" s="15" t="n">
        <v>0</v>
      </c>
      <c r="W186" s="15" t="n">
        <f aca="false">U186+V186</f>
        <v>350</v>
      </c>
    </row>
    <row r="187" customFormat="false" ht="15" hidden="false" customHeight="false" outlineLevel="0" collapsed="false">
      <c r="A187" s="3" t="s">
        <v>1825</v>
      </c>
      <c r="B187" s="3" t="s">
        <v>1593</v>
      </c>
      <c r="C187" s="3" t="s">
        <v>1322</v>
      </c>
      <c r="D187" s="3" t="s">
        <v>157</v>
      </c>
      <c r="E187" s="13" t="n">
        <v>1285000</v>
      </c>
      <c r="F187" s="13" t="n">
        <v>24711.26</v>
      </c>
      <c r="G187" s="13" t="n">
        <v>3088.91</v>
      </c>
      <c r="H187" s="13" t="n">
        <v>3088.91</v>
      </c>
      <c r="I187" s="13" t="n">
        <f aca="false">SUM(K187:T187)</f>
        <v>18533.4</v>
      </c>
      <c r="J187" s="13" t="n">
        <f aca="false">F187-(G187+H187+I187)</f>
        <v>0.0400000000008731</v>
      </c>
      <c r="K187" s="13" t="n">
        <v>1853.34</v>
      </c>
      <c r="L187" s="13" t="n">
        <v>1853.34</v>
      </c>
      <c r="M187" s="13" t="n">
        <v>1853.34</v>
      </c>
      <c r="N187" s="13" t="n">
        <v>1853.34</v>
      </c>
      <c r="O187" s="13" t="n">
        <v>1853.34</v>
      </c>
      <c r="P187" s="13" t="n">
        <v>1853.34</v>
      </c>
      <c r="Q187" s="13" t="n">
        <v>1853.34</v>
      </c>
      <c r="R187" s="13" t="n">
        <v>1853.34</v>
      </c>
      <c r="S187" s="13" t="n">
        <v>1853.34</v>
      </c>
      <c r="T187" s="13" t="n">
        <v>1853.34</v>
      </c>
      <c r="U187" s="13" t="n">
        <v>350</v>
      </c>
      <c r="V187" s="13" t="n">
        <v>250</v>
      </c>
      <c r="W187" s="13" t="n">
        <f aca="false">U187+V187</f>
        <v>600</v>
      </c>
    </row>
    <row r="188" customFormat="false" ht="15" hidden="false" customHeight="false" outlineLevel="0" collapsed="false">
      <c r="A188" s="14" t="s">
        <v>1826</v>
      </c>
      <c r="B188" s="14" t="s">
        <v>1601</v>
      </c>
      <c r="C188" s="14" t="s">
        <v>206</v>
      </c>
      <c r="D188" s="14" t="s">
        <v>112</v>
      </c>
      <c r="E188" s="15" t="n">
        <v>550000</v>
      </c>
      <c r="F188" s="15" t="n">
        <v>6899.13</v>
      </c>
      <c r="G188" s="15" t="n">
        <v>862.39</v>
      </c>
      <c r="H188" s="15" t="n">
        <v>862.39</v>
      </c>
      <c r="I188" s="15" t="n">
        <f aca="false">SUM(K188:T188)</f>
        <v>5174.3</v>
      </c>
      <c r="J188" s="15" t="n">
        <f aca="false">F188-(G188+H188+I188)</f>
        <v>0.0500000000001819</v>
      </c>
      <c r="K188" s="15" t="n">
        <v>517.43</v>
      </c>
      <c r="L188" s="15" t="n">
        <v>517.43</v>
      </c>
      <c r="M188" s="15" t="n">
        <v>517.43</v>
      </c>
      <c r="N188" s="15" t="n">
        <v>517.43</v>
      </c>
      <c r="O188" s="15" t="n">
        <v>517.43</v>
      </c>
      <c r="P188" s="15" t="n">
        <v>517.43</v>
      </c>
      <c r="Q188" s="15" t="n">
        <v>517.43</v>
      </c>
      <c r="R188" s="15" t="n">
        <v>517.43</v>
      </c>
      <c r="S188" s="15" t="n">
        <v>517.43</v>
      </c>
      <c r="T188" s="15" t="n">
        <v>517.43</v>
      </c>
      <c r="U188" s="15" t="n">
        <v>350</v>
      </c>
      <c r="V188" s="15" t="n">
        <v>0</v>
      </c>
      <c r="W188" s="15" t="n">
        <f aca="false">U188+V188</f>
        <v>350</v>
      </c>
    </row>
    <row r="189" customFormat="false" ht="15" hidden="false" customHeight="false" outlineLevel="0" collapsed="false">
      <c r="A189" s="3" t="s">
        <v>1827</v>
      </c>
      <c r="B189" s="3" t="s">
        <v>1777</v>
      </c>
      <c r="C189" s="3" t="s">
        <v>1828</v>
      </c>
      <c r="D189" s="3" t="s">
        <v>246</v>
      </c>
      <c r="E189" s="13" t="n">
        <v>1020000</v>
      </c>
      <c r="F189" s="13" t="n">
        <v>7873.69</v>
      </c>
      <c r="G189" s="13" t="n">
        <v>984.21</v>
      </c>
      <c r="H189" s="13" t="n">
        <v>984.21</v>
      </c>
      <c r="I189" s="13" t="n">
        <f aca="false">SUM(K189:T189)</f>
        <v>5905.3</v>
      </c>
      <c r="J189" s="13" t="n">
        <f aca="false">F189-(G189+H189+I189)</f>
        <v>-0.0299999999997453</v>
      </c>
      <c r="K189" s="13" t="n">
        <v>590.53</v>
      </c>
      <c r="L189" s="13" t="n">
        <v>590.53</v>
      </c>
      <c r="M189" s="13" t="n">
        <v>590.53</v>
      </c>
      <c r="N189" s="13" t="n">
        <v>590.53</v>
      </c>
      <c r="O189" s="13" t="n">
        <v>590.53</v>
      </c>
      <c r="P189" s="13" t="n">
        <v>590.53</v>
      </c>
      <c r="Q189" s="13" t="n">
        <v>590.53</v>
      </c>
      <c r="R189" s="13" t="n">
        <v>590.53</v>
      </c>
      <c r="S189" s="13" t="n">
        <v>590.53</v>
      </c>
      <c r="T189" s="13" t="n">
        <v>590.53</v>
      </c>
      <c r="U189" s="13" t="n">
        <v>350</v>
      </c>
      <c r="V189" s="13" t="n">
        <v>250</v>
      </c>
      <c r="W189" s="13" t="n">
        <f aca="false">U189+V189</f>
        <v>600</v>
      </c>
    </row>
    <row r="190" customFormat="false" ht="15" hidden="false" customHeight="false" outlineLevel="0" collapsed="false">
      <c r="A190" s="14" t="s">
        <v>1829</v>
      </c>
      <c r="B190" s="14" t="s">
        <v>1614</v>
      </c>
      <c r="C190" s="14" t="s">
        <v>398</v>
      </c>
      <c r="D190" s="14" t="s">
        <v>698</v>
      </c>
      <c r="E190" s="15" t="n">
        <v>275000</v>
      </c>
      <c r="F190" s="15" t="n">
        <v>7334.39</v>
      </c>
      <c r="G190" s="15" t="n">
        <v>916.8</v>
      </c>
      <c r="H190" s="15" t="n">
        <v>916.8</v>
      </c>
      <c r="I190" s="15" t="n">
        <f aca="false">SUM(K190:T190)</f>
        <v>5500.8</v>
      </c>
      <c r="J190" s="15" t="n">
        <f aca="false">F190-(G190+H190+I190)</f>
        <v>-0.00999999999930878</v>
      </c>
      <c r="K190" s="15" t="n">
        <v>550.08</v>
      </c>
      <c r="L190" s="15" t="n">
        <v>550.08</v>
      </c>
      <c r="M190" s="15" t="n">
        <v>550.08</v>
      </c>
      <c r="N190" s="15" t="n">
        <v>550.08</v>
      </c>
      <c r="O190" s="15" t="n">
        <v>550.08</v>
      </c>
      <c r="P190" s="15" t="n">
        <v>550.08</v>
      </c>
      <c r="Q190" s="15" t="n">
        <v>550.08</v>
      </c>
      <c r="R190" s="15" t="n">
        <v>550.08</v>
      </c>
      <c r="S190" s="15" t="n">
        <v>550.08</v>
      </c>
      <c r="T190" s="15" t="n">
        <v>550.08</v>
      </c>
      <c r="U190" s="15" t="n">
        <v>350</v>
      </c>
      <c r="V190" s="15" t="n">
        <v>0</v>
      </c>
      <c r="W190" s="15" t="n">
        <f aca="false">U190+V190</f>
        <v>350</v>
      </c>
    </row>
    <row r="191" customFormat="false" ht="15" hidden="false" customHeight="false" outlineLevel="0" collapsed="false">
      <c r="A191" s="3" t="s">
        <v>1830</v>
      </c>
      <c r="B191" s="3" t="s">
        <v>1595</v>
      </c>
      <c r="C191" s="3" t="s">
        <v>374</v>
      </c>
      <c r="D191" s="3" t="s">
        <v>233</v>
      </c>
      <c r="E191" s="13" t="n">
        <v>275000</v>
      </c>
      <c r="F191" s="13" t="n">
        <v>3421.63</v>
      </c>
      <c r="G191" s="13" t="n">
        <v>427.7</v>
      </c>
      <c r="H191" s="13" t="n">
        <v>427.7</v>
      </c>
      <c r="I191" s="13" t="n">
        <f aca="false">SUM(K191:T191)</f>
        <v>2566.2</v>
      </c>
      <c r="J191" s="13" t="n">
        <f aca="false">F191-(G191+H191+I191)</f>
        <v>0.0300000000002001</v>
      </c>
      <c r="K191" s="13" t="n">
        <v>256.62</v>
      </c>
      <c r="L191" s="13" t="n">
        <v>256.62</v>
      </c>
      <c r="M191" s="13" t="n">
        <v>256.62</v>
      </c>
      <c r="N191" s="13" t="n">
        <v>256.62</v>
      </c>
      <c r="O191" s="13" t="n">
        <v>256.62</v>
      </c>
      <c r="P191" s="13" t="n">
        <v>256.62</v>
      </c>
      <c r="Q191" s="13" t="n">
        <v>256.62</v>
      </c>
      <c r="R191" s="13" t="n">
        <v>256.62</v>
      </c>
      <c r="S191" s="13" t="n">
        <v>256.62</v>
      </c>
      <c r="T191" s="13" t="n">
        <v>256.62</v>
      </c>
      <c r="U191" s="13" t="n">
        <v>350</v>
      </c>
      <c r="V191" s="13" t="n">
        <v>0</v>
      </c>
      <c r="W191" s="13" t="n">
        <f aca="false">U191+V191</f>
        <v>350</v>
      </c>
    </row>
    <row r="192" customFormat="false" ht="15" hidden="false" customHeight="false" outlineLevel="0" collapsed="false">
      <c r="A192" s="14" t="s">
        <v>1831</v>
      </c>
      <c r="B192" s="14" t="s">
        <v>1708</v>
      </c>
      <c r="C192" s="14" t="s">
        <v>370</v>
      </c>
      <c r="D192" s="14" t="s">
        <v>233</v>
      </c>
      <c r="E192" s="15" t="n">
        <v>695000</v>
      </c>
      <c r="F192" s="15" t="n">
        <v>10953.38</v>
      </c>
      <c r="G192" s="15" t="n">
        <v>1369.17</v>
      </c>
      <c r="H192" s="15" t="n">
        <v>1369.17</v>
      </c>
      <c r="I192" s="15" t="n">
        <f aca="false">SUM(K192:T192)</f>
        <v>8215</v>
      </c>
      <c r="J192" s="15" t="n">
        <f aca="false">F192-(G192+H192+I192)</f>
        <v>0.0399999999990541</v>
      </c>
      <c r="K192" s="15" t="n">
        <v>821.5</v>
      </c>
      <c r="L192" s="15" t="n">
        <v>821.5</v>
      </c>
      <c r="M192" s="15" t="n">
        <v>821.5</v>
      </c>
      <c r="N192" s="15" t="n">
        <v>821.5</v>
      </c>
      <c r="O192" s="15" t="n">
        <v>821.5</v>
      </c>
      <c r="P192" s="15" t="n">
        <v>821.5</v>
      </c>
      <c r="Q192" s="15" t="n">
        <v>821.5</v>
      </c>
      <c r="R192" s="15" t="n">
        <v>821.5</v>
      </c>
      <c r="S192" s="15" t="n">
        <v>821.5</v>
      </c>
      <c r="T192" s="15" t="n">
        <v>821.5</v>
      </c>
      <c r="U192" s="15" t="n">
        <v>350</v>
      </c>
      <c r="V192" s="15" t="n">
        <v>0</v>
      </c>
      <c r="W192" s="15" t="n">
        <f aca="false">U192+V192</f>
        <v>350</v>
      </c>
    </row>
    <row r="193" customFormat="false" ht="15" hidden="false" customHeight="false" outlineLevel="0" collapsed="false">
      <c r="A193" s="3" t="s">
        <v>1832</v>
      </c>
      <c r="B193" s="3" t="s">
        <v>1654</v>
      </c>
      <c r="C193" s="3" t="s">
        <v>725</v>
      </c>
      <c r="D193" s="3" t="s">
        <v>138</v>
      </c>
      <c r="E193" s="13" t="n">
        <v>325000</v>
      </c>
      <c r="F193" s="13" t="n">
        <v>4745.22</v>
      </c>
      <c r="G193" s="13" t="n">
        <v>593.15</v>
      </c>
      <c r="H193" s="13" t="n">
        <v>593.15</v>
      </c>
      <c r="I193" s="13" t="n">
        <f aca="false">SUM(K193:T193)</f>
        <v>3558.9</v>
      </c>
      <c r="J193" s="13" t="n">
        <f aca="false">F193-(G193+H193+I193)</f>
        <v>0.0200000000004366</v>
      </c>
      <c r="K193" s="13" t="n">
        <v>355.89</v>
      </c>
      <c r="L193" s="13" t="n">
        <v>355.89</v>
      </c>
      <c r="M193" s="13" t="n">
        <v>355.89</v>
      </c>
      <c r="N193" s="13" t="n">
        <v>355.89</v>
      </c>
      <c r="O193" s="13" t="n">
        <v>355.89</v>
      </c>
      <c r="P193" s="13" t="n">
        <v>355.89</v>
      </c>
      <c r="Q193" s="13" t="n">
        <v>355.89</v>
      </c>
      <c r="R193" s="13" t="n">
        <v>355.89</v>
      </c>
      <c r="S193" s="13" t="n">
        <v>355.89</v>
      </c>
      <c r="T193" s="13" t="n">
        <v>355.89</v>
      </c>
      <c r="U193" s="13" t="n">
        <v>350</v>
      </c>
      <c r="V193" s="13" t="n">
        <v>0</v>
      </c>
      <c r="W193" s="13" t="n">
        <f aca="false">U193+V193</f>
        <v>350</v>
      </c>
    </row>
    <row r="194" customFormat="false" ht="15" hidden="false" customHeight="false" outlineLevel="0" collapsed="false">
      <c r="A194" s="8" t="s">
        <v>459</v>
      </c>
      <c r="E194" s="9" t="n">
        <f aca="false">SUM(E5:E193)</f>
        <v>136355000</v>
      </c>
      <c r="F194" s="9" t="n">
        <f aca="false">SUM(F5:F193)</f>
        <v>1814547.58</v>
      </c>
      <c r="G194" s="9" t="n">
        <f aca="false">SUM(G5:G193)</f>
        <v>226818.43</v>
      </c>
      <c r="H194" s="9" t="n">
        <f aca="false">SUM(H5:H193)</f>
        <v>226818.43</v>
      </c>
      <c r="I194" s="9" t="n">
        <f aca="false">SUM(I5:I193)</f>
        <v>1360910.6</v>
      </c>
      <c r="J194" s="9" t="n">
        <f aca="false">SUM(J5:J193)</f>
        <v>0.120000000014898</v>
      </c>
      <c r="K194" s="9" t="n">
        <f aca="false">SUM(K5:K193)</f>
        <v>136091.06</v>
      </c>
      <c r="L194" s="9" t="n">
        <f aca="false">SUM(L5:L193)</f>
        <v>136091.06</v>
      </c>
      <c r="M194" s="9" t="n">
        <f aca="false">SUM(M5:M193)</f>
        <v>136091.06</v>
      </c>
      <c r="N194" s="9" t="n">
        <f aca="false">SUM(N5:N193)</f>
        <v>136091.06</v>
      </c>
      <c r="O194" s="9" t="n">
        <f aca="false">SUM(O5:O193)</f>
        <v>136091.06</v>
      </c>
      <c r="P194" s="9" t="n">
        <f aca="false">SUM(P5:P193)</f>
        <v>136091.06</v>
      </c>
      <c r="Q194" s="9" t="n">
        <f aca="false">SUM(Q5:Q193)</f>
        <v>136091.06</v>
      </c>
      <c r="R194" s="9" t="n">
        <f aca="false">SUM(R5:R193)</f>
        <v>136091.06</v>
      </c>
      <c r="S194" s="9" t="n">
        <f aca="false">SUM(S5:S193)</f>
        <v>136091.06</v>
      </c>
      <c r="T194" s="9" t="n">
        <f aca="false">SUM(T5:T193)</f>
        <v>136091.06</v>
      </c>
      <c r="U194" s="9" t="n">
        <f aca="false">SUM(U5:U193)</f>
        <v>66150</v>
      </c>
      <c r="V194" s="9" t="n">
        <f aca="false">SUM(V5:V193)</f>
        <v>10000</v>
      </c>
      <c r="W194" s="9" t="n">
        <f aca="false">SUM(W5:W193)</f>
        <v>76150</v>
      </c>
    </row>
    <row r="195" customFormat="false" ht="15" hidden="false" customHeight="false" outlineLevel="0" collapsed="false">
      <c r="A195" s="4" t="s">
        <v>460</v>
      </c>
      <c r="F195" s="16" t="n">
        <f aca="false">F194-(G194+H194+I194+J194)</f>
        <v>0</v>
      </c>
    </row>
    <row r="196" customFormat="false" ht="15" hidden="false" customHeight="false" outlineLevel="0" collapsed="false">
      <c r="A196" s="4" t="s">
        <v>461</v>
      </c>
      <c r="I196" s="16" t="n">
        <f aca="false">I194-SUM(K194:T194)</f>
        <v>0</v>
      </c>
    </row>
  </sheetData>
  <autoFilter ref="A4:W19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21" min="11" style="0" width="11"/>
    <col collapsed="false" customWidth="true" hidden="false" outlineLevel="0" max="22" min="22" style="0" width="13"/>
    <col collapsed="false" customWidth="true" hidden="false" outlineLevel="0" max="23" min="23" style="0" width="11"/>
  </cols>
  <sheetData>
    <row r="1" customFormat="false" ht="17.35" hidden="false" customHeight="false" outlineLevel="0" collapsed="false">
      <c r="A1" s="1" t="s">
        <v>1833</v>
      </c>
    </row>
    <row r="2" customFormat="false" ht="15" hidden="false" customHeight="false" outlineLevel="0" collapsed="false">
      <c r="A2" s="4" t="s">
        <v>60</v>
      </c>
    </row>
    <row r="4" customFormat="false" ht="15" hidden="false" customHeight="false" outlineLevel="0" collapsed="false">
      <c r="A4" s="5" t="s">
        <v>61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15</v>
      </c>
      <c r="G4" s="5" t="s">
        <v>16</v>
      </c>
      <c r="H4" s="5" t="s">
        <v>17</v>
      </c>
      <c r="I4" s="5" t="s">
        <v>18</v>
      </c>
      <c r="J4" s="5" t="s">
        <v>19</v>
      </c>
      <c r="K4" s="5" t="s">
        <v>20</v>
      </c>
      <c r="L4" s="5" t="s">
        <v>21</v>
      </c>
      <c r="M4" s="5" t="s">
        <v>22</v>
      </c>
      <c r="N4" s="5" t="s">
        <v>23</v>
      </c>
      <c r="O4" s="5" t="s">
        <v>24</v>
      </c>
      <c r="P4" s="5" t="s">
        <v>25</v>
      </c>
      <c r="Q4" s="5" t="s">
        <v>26</v>
      </c>
      <c r="R4" s="5" t="s">
        <v>27</v>
      </c>
      <c r="S4" s="5" t="s">
        <v>28</v>
      </c>
      <c r="T4" s="5" t="s">
        <v>29</v>
      </c>
      <c r="U4" s="5" t="s">
        <v>30</v>
      </c>
      <c r="V4" s="5" t="s">
        <v>31</v>
      </c>
      <c r="W4" s="5" t="s">
        <v>32</v>
      </c>
    </row>
    <row r="5" customFormat="false" ht="15" hidden="false" customHeight="false" outlineLevel="0" collapsed="false">
      <c r="A5" s="3" t="s">
        <v>1834</v>
      </c>
      <c r="B5" s="3" t="s">
        <v>1835</v>
      </c>
      <c r="C5" s="3" t="s">
        <v>1193</v>
      </c>
      <c r="D5" s="3" t="s">
        <v>85</v>
      </c>
      <c r="E5" s="13" t="n">
        <v>315000</v>
      </c>
      <c r="F5" s="13" t="n">
        <v>8352.86</v>
      </c>
      <c r="G5" s="13" t="n">
        <v>1044.11</v>
      </c>
      <c r="H5" s="13" t="n">
        <v>1044.11</v>
      </c>
      <c r="I5" s="13" t="n">
        <f aca="false">SUM(K5:T5)</f>
        <v>6264.6</v>
      </c>
      <c r="J5" s="13" t="n">
        <f aca="false">F5-(G5+H5+I5)</f>
        <v>0.0400000000008731</v>
      </c>
      <c r="K5" s="13" t="n">
        <v>626.46</v>
      </c>
      <c r="L5" s="13" t="n">
        <v>626.46</v>
      </c>
      <c r="M5" s="13" t="n">
        <v>626.46</v>
      </c>
      <c r="N5" s="13" t="n">
        <v>626.46</v>
      </c>
      <c r="O5" s="13" t="n">
        <v>626.46</v>
      </c>
      <c r="P5" s="13" t="n">
        <v>626.46</v>
      </c>
      <c r="Q5" s="13" t="n">
        <v>626.46</v>
      </c>
      <c r="R5" s="13" t="n">
        <v>626.46</v>
      </c>
      <c r="S5" s="13" t="n">
        <v>626.46</v>
      </c>
      <c r="T5" s="13" t="n">
        <v>626.46</v>
      </c>
      <c r="U5" s="13" t="n">
        <v>350</v>
      </c>
      <c r="V5" s="13" t="n">
        <v>0</v>
      </c>
      <c r="W5" s="13" t="n">
        <f aca="false">U5+V5</f>
        <v>350</v>
      </c>
    </row>
    <row r="6" customFormat="false" ht="15" hidden="false" customHeight="false" outlineLevel="0" collapsed="false">
      <c r="A6" s="14" t="s">
        <v>1836</v>
      </c>
      <c r="B6" s="14" t="s">
        <v>1837</v>
      </c>
      <c r="C6" s="14" t="s">
        <v>565</v>
      </c>
      <c r="D6" s="14" t="s">
        <v>77</v>
      </c>
      <c r="E6" s="15" t="n">
        <v>1080000</v>
      </c>
      <c r="F6" s="15" t="n">
        <v>18202.43</v>
      </c>
      <c r="G6" s="15" t="n">
        <v>2275.3</v>
      </c>
      <c r="H6" s="15" t="n">
        <v>2275.3</v>
      </c>
      <c r="I6" s="15" t="n">
        <f aca="false">SUM(K6:T6)</f>
        <v>13651.8</v>
      </c>
      <c r="J6" s="15" t="n">
        <f aca="false">F6-(G6+H6+I6)</f>
        <v>0.0299999999988358</v>
      </c>
      <c r="K6" s="15" t="n">
        <v>1365.18</v>
      </c>
      <c r="L6" s="15" t="n">
        <v>1365.18</v>
      </c>
      <c r="M6" s="15" t="n">
        <v>1365.18</v>
      </c>
      <c r="N6" s="15" t="n">
        <v>1365.18</v>
      </c>
      <c r="O6" s="15" t="n">
        <v>1365.18</v>
      </c>
      <c r="P6" s="15" t="n">
        <v>1365.18</v>
      </c>
      <c r="Q6" s="15" t="n">
        <v>1365.18</v>
      </c>
      <c r="R6" s="15" t="n">
        <v>1365.18</v>
      </c>
      <c r="S6" s="15" t="n">
        <v>1365.18</v>
      </c>
      <c r="T6" s="15" t="n">
        <v>1365.18</v>
      </c>
      <c r="U6" s="15" t="n">
        <v>350</v>
      </c>
      <c r="V6" s="15" t="n">
        <v>250</v>
      </c>
      <c r="W6" s="15" t="n">
        <f aca="false">U6+V6</f>
        <v>600</v>
      </c>
    </row>
    <row r="7" customFormat="false" ht="15" hidden="false" customHeight="false" outlineLevel="0" collapsed="false">
      <c r="A7" s="3" t="s">
        <v>1838</v>
      </c>
      <c r="B7" s="3" t="s">
        <v>1839</v>
      </c>
      <c r="C7" s="3" t="s">
        <v>1828</v>
      </c>
      <c r="D7" s="3" t="s">
        <v>112</v>
      </c>
      <c r="E7" s="13" t="n">
        <v>745000</v>
      </c>
      <c r="F7" s="13" t="n">
        <v>7631.41</v>
      </c>
      <c r="G7" s="13" t="n">
        <v>953.93</v>
      </c>
      <c r="H7" s="13" t="n">
        <v>953.93</v>
      </c>
      <c r="I7" s="13" t="n">
        <f aca="false">SUM(K7:T7)</f>
        <v>5723.6</v>
      </c>
      <c r="J7" s="13" t="n">
        <f aca="false">F7-(G7+H7+I7)</f>
        <v>-0.0499999999992724</v>
      </c>
      <c r="K7" s="13" t="n">
        <v>572.36</v>
      </c>
      <c r="L7" s="13" t="n">
        <v>572.36</v>
      </c>
      <c r="M7" s="13" t="n">
        <v>572.36</v>
      </c>
      <c r="N7" s="13" t="n">
        <v>572.36</v>
      </c>
      <c r="O7" s="13" t="n">
        <v>572.36</v>
      </c>
      <c r="P7" s="13" t="n">
        <v>572.36</v>
      </c>
      <c r="Q7" s="13" t="n">
        <v>572.36</v>
      </c>
      <c r="R7" s="13" t="n">
        <v>572.36</v>
      </c>
      <c r="S7" s="13" t="n">
        <v>572.36</v>
      </c>
      <c r="T7" s="13" t="n">
        <v>572.36</v>
      </c>
      <c r="U7" s="13" t="n">
        <v>350</v>
      </c>
      <c r="V7" s="13" t="n">
        <v>0</v>
      </c>
      <c r="W7" s="13" t="n">
        <f aca="false">U7+V7</f>
        <v>350</v>
      </c>
    </row>
    <row r="8" customFormat="false" ht="15" hidden="false" customHeight="false" outlineLevel="0" collapsed="false">
      <c r="A8" s="14" t="s">
        <v>1840</v>
      </c>
      <c r="B8" s="14" t="s">
        <v>1841</v>
      </c>
      <c r="C8" s="14" t="s">
        <v>1571</v>
      </c>
      <c r="D8" s="14" t="s">
        <v>279</v>
      </c>
      <c r="E8" s="15" t="n">
        <v>200000</v>
      </c>
      <c r="F8" s="15" t="n">
        <v>2777.61</v>
      </c>
      <c r="G8" s="15" t="n">
        <v>347.2</v>
      </c>
      <c r="H8" s="15" t="n">
        <v>347.2</v>
      </c>
      <c r="I8" s="15" t="n">
        <f aca="false">SUM(K8:T8)</f>
        <v>2083.2</v>
      </c>
      <c r="J8" s="15" t="n">
        <f aca="false">F8-(G8+H8+I8)</f>
        <v>0.0100000000002183</v>
      </c>
      <c r="K8" s="15" t="n">
        <v>208.32</v>
      </c>
      <c r="L8" s="15" t="n">
        <v>208.32</v>
      </c>
      <c r="M8" s="15" t="n">
        <v>208.32</v>
      </c>
      <c r="N8" s="15" t="n">
        <v>208.32</v>
      </c>
      <c r="O8" s="15" t="n">
        <v>208.32</v>
      </c>
      <c r="P8" s="15" t="n">
        <v>208.32</v>
      </c>
      <c r="Q8" s="15" t="n">
        <v>208.32</v>
      </c>
      <c r="R8" s="15" t="n">
        <v>208.32</v>
      </c>
      <c r="S8" s="15" t="n">
        <v>208.32</v>
      </c>
      <c r="T8" s="15" t="n">
        <v>208.32</v>
      </c>
      <c r="U8" s="15" t="n">
        <v>350</v>
      </c>
      <c r="V8" s="15" t="n">
        <v>0</v>
      </c>
      <c r="W8" s="15" t="n">
        <f aca="false">U8+V8</f>
        <v>350</v>
      </c>
    </row>
    <row r="9" customFormat="false" ht="15" hidden="false" customHeight="false" outlineLevel="0" collapsed="false">
      <c r="A9" s="3" t="s">
        <v>1842</v>
      </c>
      <c r="B9" s="3" t="s">
        <v>1843</v>
      </c>
      <c r="C9" s="3" t="s">
        <v>101</v>
      </c>
      <c r="D9" s="3" t="s">
        <v>89</v>
      </c>
      <c r="E9" s="13" t="n">
        <v>405000</v>
      </c>
      <c r="F9" s="13" t="n">
        <v>6802.4</v>
      </c>
      <c r="G9" s="13" t="n">
        <v>850.3</v>
      </c>
      <c r="H9" s="13" t="n">
        <v>850.3</v>
      </c>
      <c r="I9" s="13" t="n">
        <f aca="false">SUM(K9:T9)</f>
        <v>5101.8</v>
      </c>
      <c r="J9" s="13" t="n">
        <f aca="false">F9-(G9+H9+I9)</f>
        <v>0</v>
      </c>
      <c r="K9" s="13" t="n">
        <v>510.18</v>
      </c>
      <c r="L9" s="13" t="n">
        <v>510.18</v>
      </c>
      <c r="M9" s="13" t="n">
        <v>510.18</v>
      </c>
      <c r="N9" s="13" t="n">
        <v>510.18</v>
      </c>
      <c r="O9" s="13" t="n">
        <v>510.18</v>
      </c>
      <c r="P9" s="13" t="n">
        <v>510.18</v>
      </c>
      <c r="Q9" s="13" t="n">
        <v>510.18</v>
      </c>
      <c r="R9" s="13" t="n">
        <v>510.18</v>
      </c>
      <c r="S9" s="13" t="n">
        <v>510.18</v>
      </c>
      <c r="T9" s="13" t="n">
        <v>510.18</v>
      </c>
      <c r="U9" s="13" t="n">
        <v>350</v>
      </c>
      <c r="V9" s="13" t="n">
        <v>0</v>
      </c>
      <c r="W9" s="13" t="n">
        <f aca="false">U9+V9</f>
        <v>350</v>
      </c>
    </row>
    <row r="10" customFormat="false" ht="15" hidden="false" customHeight="false" outlineLevel="0" collapsed="false">
      <c r="A10" s="14" t="s">
        <v>1844</v>
      </c>
      <c r="B10" s="14" t="s">
        <v>1845</v>
      </c>
      <c r="C10" s="14" t="s">
        <v>1017</v>
      </c>
      <c r="D10" s="14" t="s">
        <v>298</v>
      </c>
      <c r="E10" s="15" t="n">
        <v>610000</v>
      </c>
      <c r="F10" s="15" t="n">
        <v>8287.54</v>
      </c>
      <c r="G10" s="15" t="n">
        <v>1035.94</v>
      </c>
      <c r="H10" s="15" t="n">
        <v>1035.94</v>
      </c>
      <c r="I10" s="15" t="n">
        <f aca="false">SUM(K10:T10)</f>
        <v>6215.7</v>
      </c>
      <c r="J10" s="15" t="n">
        <f aca="false">F10-(G10+H10+I10)</f>
        <v>-0.0399999999990541</v>
      </c>
      <c r="K10" s="15" t="n">
        <v>621.57</v>
      </c>
      <c r="L10" s="15" t="n">
        <v>621.57</v>
      </c>
      <c r="M10" s="15" t="n">
        <v>621.57</v>
      </c>
      <c r="N10" s="15" t="n">
        <v>621.57</v>
      </c>
      <c r="O10" s="15" t="n">
        <v>621.57</v>
      </c>
      <c r="P10" s="15" t="n">
        <v>621.57</v>
      </c>
      <c r="Q10" s="15" t="n">
        <v>621.57</v>
      </c>
      <c r="R10" s="15" t="n">
        <v>621.57</v>
      </c>
      <c r="S10" s="15" t="n">
        <v>621.57</v>
      </c>
      <c r="T10" s="15" t="n">
        <v>621.57</v>
      </c>
      <c r="U10" s="15" t="n">
        <v>350</v>
      </c>
      <c r="V10" s="15" t="n">
        <v>0</v>
      </c>
      <c r="W10" s="15" t="n">
        <f aca="false">U10+V10</f>
        <v>350</v>
      </c>
    </row>
    <row r="11" customFormat="false" ht="15" hidden="false" customHeight="false" outlineLevel="0" collapsed="false">
      <c r="A11" s="3" t="s">
        <v>1846</v>
      </c>
      <c r="B11" s="3" t="s">
        <v>1839</v>
      </c>
      <c r="C11" s="3" t="s">
        <v>398</v>
      </c>
      <c r="D11" s="3" t="s">
        <v>197</v>
      </c>
      <c r="E11" s="13" t="n">
        <v>650000</v>
      </c>
      <c r="F11" s="13" t="n">
        <v>11165.43</v>
      </c>
      <c r="G11" s="13" t="n">
        <v>1395.68</v>
      </c>
      <c r="H11" s="13" t="n">
        <v>1395.68</v>
      </c>
      <c r="I11" s="13" t="n">
        <f aca="false">SUM(K11:T11)</f>
        <v>8374.1</v>
      </c>
      <c r="J11" s="13" t="n">
        <f aca="false">F11-(G11+H11+I11)</f>
        <v>-0.0300000000006548</v>
      </c>
      <c r="K11" s="13" t="n">
        <v>837.41</v>
      </c>
      <c r="L11" s="13" t="n">
        <v>837.41</v>
      </c>
      <c r="M11" s="13" t="n">
        <v>837.41</v>
      </c>
      <c r="N11" s="13" t="n">
        <v>837.41</v>
      </c>
      <c r="O11" s="13" t="n">
        <v>837.41</v>
      </c>
      <c r="P11" s="13" t="n">
        <v>837.41</v>
      </c>
      <c r="Q11" s="13" t="n">
        <v>837.41</v>
      </c>
      <c r="R11" s="13" t="n">
        <v>837.41</v>
      </c>
      <c r="S11" s="13" t="n">
        <v>837.41</v>
      </c>
      <c r="T11" s="13" t="n">
        <v>837.41</v>
      </c>
      <c r="U11" s="13" t="n">
        <v>350</v>
      </c>
      <c r="V11" s="13" t="n">
        <v>0</v>
      </c>
      <c r="W11" s="13" t="n">
        <f aca="false">U11+V11</f>
        <v>350</v>
      </c>
    </row>
    <row r="12" customFormat="false" ht="15" hidden="false" customHeight="false" outlineLevel="0" collapsed="false">
      <c r="A12" s="14" t="s">
        <v>1847</v>
      </c>
      <c r="B12" s="14" t="s">
        <v>1848</v>
      </c>
      <c r="C12" s="14" t="s">
        <v>1849</v>
      </c>
      <c r="D12" s="14" t="s">
        <v>246</v>
      </c>
      <c r="E12" s="15" t="n">
        <v>465000</v>
      </c>
      <c r="F12" s="15" t="n">
        <v>6942.37</v>
      </c>
      <c r="G12" s="15" t="n">
        <v>867.8</v>
      </c>
      <c r="H12" s="15" t="n">
        <v>867.8</v>
      </c>
      <c r="I12" s="15" t="n">
        <f aca="false">SUM(K12:T12)</f>
        <v>5206.8</v>
      </c>
      <c r="J12" s="15" t="n">
        <f aca="false">F12-(G12+H12+I12)</f>
        <v>-0.0299999999997453</v>
      </c>
      <c r="K12" s="15" t="n">
        <v>520.68</v>
      </c>
      <c r="L12" s="15" t="n">
        <v>520.68</v>
      </c>
      <c r="M12" s="15" t="n">
        <v>520.68</v>
      </c>
      <c r="N12" s="15" t="n">
        <v>520.68</v>
      </c>
      <c r="O12" s="15" t="n">
        <v>520.68</v>
      </c>
      <c r="P12" s="15" t="n">
        <v>520.68</v>
      </c>
      <c r="Q12" s="15" t="n">
        <v>520.68</v>
      </c>
      <c r="R12" s="15" t="n">
        <v>520.68</v>
      </c>
      <c r="S12" s="15" t="n">
        <v>520.68</v>
      </c>
      <c r="T12" s="15" t="n">
        <v>520.68</v>
      </c>
      <c r="U12" s="15" t="n">
        <v>350</v>
      </c>
      <c r="V12" s="15" t="n">
        <v>0</v>
      </c>
      <c r="W12" s="15" t="n">
        <f aca="false">U12+V12</f>
        <v>350</v>
      </c>
    </row>
    <row r="13" customFormat="false" ht="15" hidden="false" customHeight="false" outlineLevel="0" collapsed="false">
      <c r="A13" s="3" t="s">
        <v>1850</v>
      </c>
      <c r="B13" s="3" t="s">
        <v>1837</v>
      </c>
      <c r="C13" s="3" t="s">
        <v>1517</v>
      </c>
      <c r="D13" s="3" t="s">
        <v>81</v>
      </c>
      <c r="E13" s="13" t="n">
        <v>490000</v>
      </c>
      <c r="F13" s="13" t="n">
        <v>7803.31</v>
      </c>
      <c r="G13" s="13" t="n">
        <v>975.41</v>
      </c>
      <c r="H13" s="13" t="n">
        <v>975.41</v>
      </c>
      <c r="I13" s="13" t="n">
        <f aca="false">SUM(K13:T13)</f>
        <v>5852.5</v>
      </c>
      <c r="J13" s="13" t="n">
        <f aca="false">F13-(G13+H13+I13)</f>
        <v>-0.00999999999930878</v>
      </c>
      <c r="K13" s="13" t="n">
        <v>585.25</v>
      </c>
      <c r="L13" s="13" t="n">
        <v>585.25</v>
      </c>
      <c r="M13" s="13" t="n">
        <v>585.25</v>
      </c>
      <c r="N13" s="13" t="n">
        <v>585.25</v>
      </c>
      <c r="O13" s="13" t="n">
        <v>585.25</v>
      </c>
      <c r="P13" s="13" t="n">
        <v>585.25</v>
      </c>
      <c r="Q13" s="13" t="n">
        <v>585.25</v>
      </c>
      <c r="R13" s="13" t="n">
        <v>585.25</v>
      </c>
      <c r="S13" s="13" t="n">
        <v>585.25</v>
      </c>
      <c r="T13" s="13" t="n">
        <v>585.25</v>
      </c>
      <c r="U13" s="13" t="n">
        <v>350</v>
      </c>
      <c r="V13" s="13" t="n">
        <v>0</v>
      </c>
      <c r="W13" s="13" t="n">
        <f aca="false">U13+V13</f>
        <v>350</v>
      </c>
    </row>
    <row r="14" customFormat="false" ht="15" hidden="false" customHeight="false" outlineLevel="0" collapsed="false">
      <c r="A14" s="14" t="s">
        <v>1851</v>
      </c>
      <c r="B14" s="14" t="s">
        <v>1841</v>
      </c>
      <c r="C14" s="14" t="s">
        <v>1236</v>
      </c>
      <c r="D14" s="14" t="s">
        <v>93</v>
      </c>
      <c r="E14" s="15" t="n">
        <v>1255000</v>
      </c>
      <c r="F14" s="15" t="n">
        <v>21318.45</v>
      </c>
      <c r="G14" s="15" t="n">
        <v>2664.81</v>
      </c>
      <c r="H14" s="15" t="n">
        <v>2664.81</v>
      </c>
      <c r="I14" s="15" t="n">
        <f aca="false">SUM(K14:T14)</f>
        <v>15988.8</v>
      </c>
      <c r="J14" s="15" t="n">
        <f aca="false">F14-(G14+H14+I14)</f>
        <v>0.0299999999988358</v>
      </c>
      <c r="K14" s="15" t="n">
        <v>1598.88</v>
      </c>
      <c r="L14" s="15" t="n">
        <v>1598.88</v>
      </c>
      <c r="M14" s="15" t="n">
        <v>1598.88</v>
      </c>
      <c r="N14" s="15" t="n">
        <v>1598.88</v>
      </c>
      <c r="O14" s="15" t="n">
        <v>1598.88</v>
      </c>
      <c r="P14" s="15" t="n">
        <v>1598.88</v>
      </c>
      <c r="Q14" s="15" t="n">
        <v>1598.88</v>
      </c>
      <c r="R14" s="15" t="n">
        <v>1598.88</v>
      </c>
      <c r="S14" s="15" t="n">
        <v>1598.88</v>
      </c>
      <c r="T14" s="15" t="n">
        <v>1598.88</v>
      </c>
      <c r="U14" s="15" t="n">
        <v>350</v>
      </c>
      <c r="V14" s="15" t="n">
        <v>250</v>
      </c>
      <c r="W14" s="15" t="n">
        <f aca="false">U14+V14</f>
        <v>600</v>
      </c>
    </row>
    <row r="15" customFormat="false" ht="15" hidden="false" customHeight="false" outlineLevel="0" collapsed="false">
      <c r="A15" s="3" t="s">
        <v>1852</v>
      </c>
      <c r="B15" s="3" t="s">
        <v>1848</v>
      </c>
      <c r="C15" s="3" t="s">
        <v>541</v>
      </c>
      <c r="D15" s="3" t="s">
        <v>85</v>
      </c>
      <c r="E15" s="13" t="n">
        <v>530000</v>
      </c>
      <c r="F15" s="13" t="n">
        <v>5254.98</v>
      </c>
      <c r="G15" s="13" t="n">
        <v>656.87</v>
      </c>
      <c r="H15" s="13" t="n">
        <v>656.87</v>
      </c>
      <c r="I15" s="13" t="n">
        <f aca="false">SUM(K15:T15)</f>
        <v>3941.2</v>
      </c>
      <c r="J15" s="13" t="n">
        <f aca="false">F15-(G15+H15+I15)</f>
        <v>0.0399999999999636</v>
      </c>
      <c r="K15" s="13" t="n">
        <v>394.12</v>
      </c>
      <c r="L15" s="13" t="n">
        <v>394.12</v>
      </c>
      <c r="M15" s="13" t="n">
        <v>394.12</v>
      </c>
      <c r="N15" s="13" t="n">
        <v>394.12</v>
      </c>
      <c r="O15" s="13" t="n">
        <v>394.12</v>
      </c>
      <c r="P15" s="13" t="n">
        <v>394.12</v>
      </c>
      <c r="Q15" s="13" t="n">
        <v>394.12</v>
      </c>
      <c r="R15" s="13" t="n">
        <v>394.12</v>
      </c>
      <c r="S15" s="13" t="n">
        <v>394.12</v>
      </c>
      <c r="T15" s="13" t="n">
        <v>394.12</v>
      </c>
      <c r="U15" s="13" t="n">
        <v>350</v>
      </c>
      <c r="V15" s="13" t="n">
        <v>0</v>
      </c>
      <c r="W15" s="13" t="n">
        <f aca="false">U15+V15</f>
        <v>350</v>
      </c>
    </row>
    <row r="16" customFormat="false" ht="15" hidden="false" customHeight="false" outlineLevel="0" collapsed="false">
      <c r="A16" s="14" t="s">
        <v>1853</v>
      </c>
      <c r="B16" s="14" t="s">
        <v>1854</v>
      </c>
      <c r="C16" s="14" t="s">
        <v>276</v>
      </c>
      <c r="D16" s="14" t="s">
        <v>698</v>
      </c>
      <c r="E16" s="15" t="n">
        <v>250000</v>
      </c>
      <c r="F16" s="15" t="n">
        <v>6533.86</v>
      </c>
      <c r="G16" s="15" t="n">
        <v>816.73</v>
      </c>
      <c r="H16" s="15" t="n">
        <v>816.73</v>
      </c>
      <c r="I16" s="15" t="n">
        <f aca="false">SUM(K16:T16)</f>
        <v>4900.4</v>
      </c>
      <c r="J16" s="15" t="n">
        <f aca="false">F16-(G16+H16+I16)</f>
        <v>0</v>
      </c>
      <c r="K16" s="15" t="n">
        <v>490.04</v>
      </c>
      <c r="L16" s="15" t="n">
        <v>490.04</v>
      </c>
      <c r="M16" s="15" t="n">
        <v>490.04</v>
      </c>
      <c r="N16" s="15" t="n">
        <v>490.04</v>
      </c>
      <c r="O16" s="15" t="n">
        <v>490.04</v>
      </c>
      <c r="P16" s="15" t="n">
        <v>490.04</v>
      </c>
      <c r="Q16" s="15" t="n">
        <v>490.04</v>
      </c>
      <c r="R16" s="15" t="n">
        <v>490.04</v>
      </c>
      <c r="S16" s="15" t="n">
        <v>490.04</v>
      </c>
      <c r="T16" s="15" t="n">
        <v>490.04</v>
      </c>
      <c r="U16" s="15" t="n">
        <v>350</v>
      </c>
      <c r="V16" s="15" t="n">
        <v>0</v>
      </c>
      <c r="W16" s="15" t="n">
        <f aca="false">U16+V16</f>
        <v>350</v>
      </c>
    </row>
    <row r="17" customFormat="false" ht="15" hidden="false" customHeight="false" outlineLevel="0" collapsed="false">
      <c r="A17" s="3" t="s">
        <v>1855</v>
      </c>
      <c r="B17" s="3" t="s">
        <v>1837</v>
      </c>
      <c r="C17" s="3" t="s">
        <v>1258</v>
      </c>
      <c r="D17" s="3" t="s">
        <v>338</v>
      </c>
      <c r="E17" s="13" t="n">
        <v>505000</v>
      </c>
      <c r="F17" s="13" t="n">
        <v>6752.09</v>
      </c>
      <c r="G17" s="13" t="n">
        <v>844.01</v>
      </c>
      <c r="H17" s="13" t="n">
        <v>844.01</v>
      </c>
      <c r="I17" s="13" t="n">
        <f aca="false">SUM(K17:T17)</f>
        <v>5064.1</v>
      </c>
      <c r="J17" s="13" t="n">
        <f aca="false">F17-(G17+H17+I17)</f>
        <v>-0.0300000000006548</v>
      </c>
      <c r="K17" s="13" t="n">
        <v>506.41</v>
      </c>
      <c r="L17" s="13" t="n">
        <v>506.41</v>
      </c>
      <c r="M17" s="13" t="n">
        <v>506.41</v>
      </c>
      <c r="N17" s="13" t="n">
        <v>506.41</v>
      </c>
      <c r="O17" s="13" t="n">
        <v>506.41</v>
      </c>
      <c r="P17" s="13" t="n">
        <v>506.41</v>
      </c>
      <c r="Q17" s="13" t="n">
        <v>506.41</v>
      </c>
      <c r="R17" s="13" t="n">
        <v>506.41</v>
      </c>
      <c r="S17" s="13" t="n">
        <v>506.41</v>
      </c>
      <c r="T17" s="13" t="n">
        <v>506.41</v>
      </c>
      <c r="U17" s="13" t="n">
        <v>350</v>
      </c>
      <c r="V17" s="13" t="n">
        <v>0</v>
      </c>
      <c r="W17" s="13" t="n">
        <f aca="false">U17+V17</f>
        <v>350</v>
      </c>
    </row>
    <row r="18" customFormat="false" ht="15" hidden="false" customHeight="false" outlineLevel="0" collapsed="false">
      <c r="A18" s="14" t="s">
        <v>1856</v>
      </c>
      <c r="B18" s="14" t="s">
        <v>1857</v>
      </c>
      <c r="C18" s="14" t="s">
        <v>788</v>
      </c>
      <c r="D18" s="14" t="s">
        <v>99</v>
      </c>
      <c r="E18" s="15" t="n">
        <v>480000</v>
      </c>
      <c r="F18" s="15" t="n">
        <v>8121.82</v>
      </c>
      <c r="G18" s="15" t="n">
        <v>1015.23</v>
      </c>
      <c r="H18" s="15" t="n">
        <v>1015.23</v>
      </c>
      <c r="I18" s="15" t="n">
        <f aca="false">SUM(K18:T18)</f>
        <v>6091.4</v>
      </c>
      <c r="J18" s="15" t="n">
        <f aca="false">F18-(G18+H18+I18)</f>
        <v>-0.0400000000008731</v>
      </c>
      <c r="K18" s="15" t="n">
        <v>609.14</v>
      </c>
      <c r="L18" s="15" t="n">
        <v>609.14</v>
      </c>
      <c r="M18" s="15" t="n">
        <v>609.14</v>
      </c>
      <c r="N18" s="15" t="n">
        <v>609.14</v>
      </c>
      <c r="O18" s="15" t="n">
        <v>609.14</v>
      </c>
      <c r="P18" s="15" t="n">
        <v>609.14</v>
      </c>
      <c r="Q18" s="15" t="n">
        <v>609.14</v>
      </c>
      <c r="R18" s="15" t="n">
        <v>609.14</v>
      </c>
      <c r="S18" s="15" t="n">
        <v>609.14</v>
      </c>
      <c r="T18" s="15" t="n">
        <v>609.14</v>
      </c>
      <c r="U18" s="15" t="n">
        <v>350</v>
      </c>
      <c r="V18" s="15" t="n">
        <v>0</v>
      </c>
      <c r="W18" s="15" t="n">
        <f aca="false">U18+V18</f>
        <v>350</v>
      </c>
    </row>
    <row r="19" customFormat="false" ht="15" hidden="false" customHeight="false" outlineLevel="0" collapsed="false">
      <c r="A19" s="3" t="s">
        <v>1858</v>
      </c>
      <c r="B19" s="3" t="s">
        <v>1841</v>
      </c>
      <c r="C19" s="3" t="s">
        <v>253</v>
      </c>
      <c r="D19" s="3" t="s">
        <v>157</v>
      </c>
      <c r="E19" s="13" t="n">
        <v>450000</v>
      </c>
      <c r="F19" s="13" t="n">
        <v>5088.08</v>
      </c>
      <c r="G19" s="13" t="n">
        <v>636.01</v>
      </c>
      <c r="H19" s="13" t="n">
        <v>636.01</v>
      </c>
      <c r="I19" s="13" t="n">
        <f aca="false">SUM(K19:T19)</f>
        <v>3816.1</v>
      </c>
      <c r="J19" s="13" t="n">
        <f aca="false">F19-(G19+H19+I19)</f>
        <v>-0.0400000000008731</v>
      </c>
      <c r="K19" s="13" t="n">
        <v>381.61</v>
      </c>
      <c r="L19" s="13" t="n">
        <v>381.61</v>
      </c>
      <c r="M19" s="13" t="n">
        <v>381.61</v>
      </c>
      <c r="N19" s="13" t="n">
        <v>381.61</v>
      </c>
      <c r="O19" s="13" t="n">
        <v>381.61</v>
      </c>
      <c r="P19" s="13" t="n">
        <v>381.61</v>
      </c>
      <c r="Q19" s="13" t="n">
        <v>381.61</v>
      </c>
      <c r="R19" s="13" t="n">
        <v>381.61</v>
      </c>
      <c r="S19" s="13" t="n">
        <v>381.61</v>
      </c>
      <c r="T19" s="13" t="n">
        <v>381.61</v>
      </c>
      <c r="U19" s="13" t="n">
        <v>350</v>
      </c>
      <c r="V19" s="13" t="n">
        <v>0</v>
      </c>
      <c r="W19" s="13" t="n">
        <f aca="false">U19+V19</f>
        <v>350</v>
      </c>
    </row>
    <row r="20" customFormat="false" ht="15" hidden="false" customHeight="false" outlineLevel="0" collapsed="false">
      <c r="A20" s="14" t="s">
        <v>1859</v>
      </c>
      <c r="B20" s="14" t="s">
        <v>1860</v>
      </c>
      <c r="C20" s="14" t="s">
        <v>1748</v>
      </c>
      <c r="D20" s="14" t="s">
        <v>698</v>
      </c>
      <c r="E20" s="15" t="n">
        <v>1340000</v>
      </c>
      <c r="F20" s="15" t="n">
        <v>11572.33</v>
      </c>
      <c r="G20" s="15" t="n">
        <v>1446.54</v>
      </c>
      <c r="H20" s="15" t="n">
        <v>1446.54</v>
      </c>
      <c r="I20" s="15" t="n">
        <f aca="false">SUM(K20:T20)</f>
        <v>8679.2</v>
      </c>
      <c r="J20" s="15" t="n">
        <f aca="false">F20-(G20+H20+I20)</f>
        <v>0.0500000000010914</v>
      </c>
      <c r="K20" s="15" t="n">
        <v>867.92</v>
      </c>
      <c r="L20" s="15" t="n">
        <v>867.92</v>
      </c>
      <c r="M20" s="15" t="n">
        <v>867.92</v>
      </c>
      <c r="N20" s="15" t="n">
        <v>867.92</v>
      </c>
      <c r="O20" s="15" t="n">
        <v>867.92</v>
      </c>
      <c r="P20" s="15" t="n">
        <v>867.92</v>
      </c>
      <c r="Q20" s="15" t="n">
        <v>867.92</v>
      </c>
      <c r="R20" s="15" t="n">
        <v>867.92</v>
      </c>
      <c r="S20" s="15" t="n">
        <v>867.92</v>
      </c>
      <c r="T20" s="15" t="n">
        <v>867.92</v>
      </c>
      <c r="U20" s="15" t="n">
        <v>350</v>
      </c>
      <c r="V20" s="15" t="n">
        <v>250</v>
      </c>
      <c r="W20" s="15" t="n">
        <f aca="false">U20+V20</f>
        <v>600</v>
      </c>
    </row>
    <row r="21" customFormat="false" ht="15" hidden="false" customHeight="false" outlineLevel="0" collapsed="false">
      <c r="A21" s="3" t="s">
        <v>1861</v>
      </c>
      <c r="B21" s="3" t="s">
        <v>1862</v>
      </c>
      <c r="C21" s="3" t="s">
        <v>917</v>
      </c>
      <c r="D21" s="3" t="s">
        <v>185</v>
      </c>
      <c r="E21" s="13" t="n">
        <v>415000</v>
      </c>
      <c r="F21" s="13" t="n">
        <v>5214.86</v>
      </c>
      <c r="G21" s="13" t="n">
        <v>651.86</v>
      </c>
      <c r="H21" s="13" t="n">
        <v>651.86</v>
      </c>
      <c r="I21" s="13" t="n">
        <f aca="false">SUM(K21:T21)</f>
        <v>3911.1</v>
      </c>
      <c r="J21" s="13" t="n">
        <f aca="false">F21-(G21+H21+I21)</f>
        <v>0.0399999999990541</v>
      </c>
      <c r="K21" s="13" t="n">
        <v>391.11</v>
      </c>
      <c r="L21" s="13" t="n">
        <v>391.11</v>
      </c>
      <c r="M21" s="13" t="n">
        <v>391.11</v>
      </c>
      <c r="N21" s="13" t="n">
        <v>391.11</v>
      </c>
      <c r="O21" s="13" t="n">
        <v>391.11</v>
      </c>
      <c r="P21" s="13" t="n">
        <v>391.11</v>
      </c>
      <c r="Q21" s="13" t="n">
        <v>391.11</v>
      </c>
      <c r="R21" s="13" t="n">
        <v>391.11</v>
      </c>
      <c r="S21" s="13" t="n">
        <v>391.11</v>
      </c>
      <c r="T21" s="13" t="n">
        <v>391.11</v>
      </c>
      <c r="U21" s="13" t="n">
        <v>350</v>
      </c>
      <c r="V21" s="13" t="n">
        <v>0</v>
      </c>
      <c r="W21" s="13" t="n">
        <f aca="false">U21+V21</f>
        <v>350</v>
      </c>
    </row>
    <row r="22" customFormat="false" ht="15" hidden="false" customHeight="false" outlineLevel="0" collapsed="false">
      <c r="A22" s="14" t="s">
        <v>1863</v>
      </c>
      <c r="B22" s="14" t="s">
        <v>1839</v>
      </c>
      <c r="C22" s="14" t="s">
        <v>1458</v>
      </c>
      <c r="D22" s="14" t="s">
        <v>112</v>
      </c>
      <c r="E22" s="15" t="n">
        <v>385000</v>
      </c>
      <c r="F22" s="15" t="n">
        <v>4550.48</v>
      </c>
      <c r="G22" s="15" t="n">
        <v>568.81</v>
      </c>
      <c r="H22" s="15" t="n">
        <v>568.81</v>
      </c>
      <c r="I22" s="15" t="n">
        <f aca="false">SUM(K22:T22)</f>
        <v>3412.9</v>
      </c>
      <c r="J22" s="15" t="n">
        <f aca="false">F22-(G22+H22+I22)</f>
        <v>-0.0400000000008731</v>
      </c>
      <c r="K22" s="15" t="n">
        <v>341.29</v>
      </c>
      <c r="L22" s="15" t="n">
        <v>341.29</v>
      </c>
      <c r="M22" s="15" t="n">
        <v>341.29</v>
      </c>
      <c r="N22" s="15" t="n">
        <v>341.29</v>
      </c>
      <c r="O22" s="15" t="n">
        <v>341.29</v>
      </c>
      <c r="P22" s="15" t="n">
        <v>341.29</v>
      </c>
      <c r="Q22" s="15" t="n">
        <v>341.29</v>
      </c>
      <c r="R22" s="15" t="n">
        <v>341.29</v>
      </c>
      <c r="S22" s="15" t="n">
        <v>341.29</v>
      </c>
      <c r="T22" s="15" t="n">
        <v>341.29</v>
      </c>
      <c r="U22" s="15" t="n">
        <v>350</v>
      </c>
      <c r="V22" s="15" t="n">
        <v>0</v>
      </c>
      <c r="W22" s="15" t="n">
        <f aca="false">U22+V22</f>
        <v>350</v>
      </c>
    </row>
    <row r="23" customFormat="false" ht="15" hidden="false" customHeight="false" outlineLevel="0" collapsed="false">
      <c r="A23" s="3" t="s">
        <v>1864</v>
      </c>
      <c r="B23" s="3" t="s">
        <v>1835</v>
      </c>
      <c r="C23" s="3" t="s">
        <v>852</v>
      </c>
      <c r="D23" s="3" t="s">
        <v>189</v>
      </c>
      <c r="E23" s="13" t="n">
        <v>860000</v>
      </c>
      <c r="F23" s="13" t="n">
        <v>10200.38</v>
      </c>
      <c r="G23" s="13" t="n">
        <v>1275.05</v>
      </c>
      <c r="H23" s="13" t="n">
        <v>1275.05</v>
      </c>
      <c r="I23" s="13" t="n">
        <f aca="false">SUM(K23:T23)</f>
        <v>7650.3</v>
      </c>
      <c r="J23" s="13" t="n">
        <f aca="false">F23-(G23+H23+I23)</f>
        <v>-0.0200000000004366</v>
      </c>
      <c r="K23" s="13" t="n">
        <v>765.03</v>
      </c>
      <c r="L23" s="13" t="n">
        <v>765.03</v>
      </c>
      <c r="M23" s="13" t="n">
        <v>765.03</v>
      </c>
      <c r="N23" s="13" t="n">
        <v>765.03</v>
      </c>
      <c r="O23" s="13" t="n">
        <v>765.03</v>
      </c>
      <c r="P23" s="13" t="n">
        <v>765.03</v>
      </c>
      <c r="Q23" s="13" t="n">
        <v>765.03</v>
      </c>
      <c r="R23" s="13" t="n">
        <v>765.03</v>
      </c>
      <c r="S23" s="13" t="n">
        <v>765.03</v>
      </c>
      <c r="T23" s="13" t="n">
        <v>765.03</v>
      </c>
      <c r="U23" s="13" t="n">
        <v>350</v>
      </c>
      <c r="V23" s="13" t="n">
        <v>0</v>
      </c>
      <c r="W23" s="13" t="n">
        <f aca="false">U23+V23</f>
        <v>350</v>
      </c>
    </row>
    <row r="24" customFormat="false" ht="15" hidden="false" customHeight="false" outlineLevel="0" collapsed="false">
      <c r="A24" s="14" t="s">
        <v>1865</v>
      </c>
      <c r="B24" s="14" t="s">
        <v>1866</v>
      </c>
      <c r="C24" s="14" t="s">
        <v>215</v>
      </c>
      <c r="D24" s="14" t="s">
        <v>147</v>
      </c>
      <c r="E24" s="15" t="n">
        <v>270000</v>
      </c>
      <c r="F24" s="15" t="n">
        <v>3594.35</v>
      </c>
      <c r="G24" s="15" t="n">
        <v>449.29</v>
      </c>
      <c r="H24" s="15" t="n">
        <v>449.29</v>
      </c>
      <c r="I24" s="15" t="n">
        <f aca="false">SUM(K24:T24)</f>
        <v>2695.8</v>
      </c>
      <c r="J24" s="15" t="n">
        <f aca="false">F24-(G24+H24+I24)</f>
        <v>-0.0299999999997453</v>
      </c>
      <c r="K24" s="15" t="n">
        <v>269.58</v>
      </c>
      <c r="L24" s="15" t="n">
        <v>269.58</v>
      </c>
      <c r="M24" s="15" t="n">
        <v>269.58</v>
      </c>
      <c r="N24" s="15" t="n">
        <v>269.58</v>
      </c>
      <c r="O24" s="15" t="n">
        <v>269.58</v>
      </c>
      <c r="P24" s="15" t="n">
        <v>269.58</v>
      </c>
      <c r="Q24" s="15" t="n">
        <v>269.58</v>
      </c>
      <c r="R24" s="15" t="n">
        <v>269.58</v>
      </c>
      <c r="S24" s="15" t="n">
        <v>269.58</v>
      </c>
      <c r="T24" s="15" t="n">
        <v>269.58</v>
      </c>
      <c r="U24" s="15" t="n">
        <v>350</v>
      </c>
      <c r="V24" s="15" t="n">
        <v>0</v>
      </c>
      <c r="W24" s="15" t="n">
        <f aca="false">U24+V24</f>
        <v>350</v>
      </c>
    </row>
    <row r="25" customFormat="false" ht="15" hidden="false" customHeight="false" outlineLevel="0" collapsed="false">
      <c r="A25" s="3" t="s">
        <v>1867</v>
      </c>
      <c r="B25" s="3" t="s">
        <v>1862</v>
      </c>
      <c r="C25" s="3" t="s">
        <v>1578</v>
      </c>
      <c r="D25" s="3" t="s">
        <v>93</v>
      </c>
      <c r="E25" s="13" t="n">
        <v>1480000</v>
      </c>
      <c r="F25" s="13" t="n">
        <v>11941.73</v>
      </c>
      <c r="G25" s="13" t="n">
        <v>1492.72</v>
      </c>
      <c r="H25" s="13" t="n">
        <v>1492.72</v>
      </c>
      <c r="I25" s="13" t="n">
        <f aca="false">SUM(K25:T25)</f>
        <v>8956.3</v>
      </c>
      <c r="J25" s="13" t="n">
        <f aca="false">F25-(G25+H25+I25)</f>
        <v>-0.0100000000002183</v>
      </c>
      <c r="K25" s="13" t="n">
        <v>895.63</v>
      </c>
      <c r="L25" s="13" t="n">
        <v>895.63</v>
      </c>
      <c r="M25" s="13" t="n">
        <v>895.63</v>
      </c>
      <c r="N25" s="13" t="n">
        <v>895.63</v>
      </c>
      <c r="O25" s="13" t="n">
        <v>895.63</v>
      </c>
      <c r="P25" s="13" t="n">
        <v>895.63</v>
      </c>
      <c r="Q25" s="13" t="n">
        <v>895.63</v>
      </c>
      <c r="R25" s="13" t="n">
        <v>895.63</v>
      </c>
      <c r="S25" s="13" t="n">
        <v>895.63</v>
      </c>
      <c r="T25" s="13" t="n">
        <v>895.63</v>
      </c>
      <c r="U25" s="13" t="n">
        <v>350</v>
      </c>
      <c r="V25" s="13" t="n">
        <v>250</v>
      </c>
      <c r="W25" s="13" t="n">
        <f aca="false">U25+V25</f>
        <v>600</v>
      </c>
    </row>
    <row r="26" customFormat="false" ht="15" hidden="false" customHeight="false" outlineLevel="0" collapsed="false">
      <c r="A26" s="14" t="s">
        <v>1868</v>
      </c>
      <c r="B26" s="14" t="s">
        <v>1845</v>
      </c>
      <c r="C26" s="14" t="s">
        <v>1281</v>
      </c>
      <c r="D26" s="14" t="s">
        <v>99</v>
      </c>
      <c r="E26" s="15" t="n">
        <v>625000</v>
      </c>
      <c r="F26" s="15" t="n">
        <v>9165.25</v>
      </c>
      <c r="G26" s="15" t="n">
        <v>1145.66</v>
      </c>
      <c r="H26" s="15" t="n">
        <v>1145.66</v>
      </c>
      <c r="I26" s="15" t="n">
        <f aca="false">SUM(K26:T26)</f>
        <v>6873.9</v>
      </c>
      <c r="J26" s="15" t="n">
        <f aca="false">F26-(G26+H26+I26)</f>
        <v>0.0299999999988358</v>
      </c>
      <c r="K26" s="15" t="n">
        <v>687.39</v>
      </c>
      <c r="L26" s="15" t="n">
        <v>687.39</v>
      </c>
      <c r="M26" s="15" t="n">
        <v>687.39</v>
      </c>
      <c r="N26" s="15" t="n">
        <v>687.39</v>
      </c>
      <c r="O26" s="15" t="n">
        <v>687.39</v>
      </c>
      <c r="P26" s="15" t="n">
        <v>687.39</v>
      </c>
      <c r="Q26" s="15" t="n">
        <v>687.39</v>
      </c>
      <c r="R26" s="15" t="n">
        <v>687.39</v>
      </c>
      <c r="S26" s="15" t="n">
        <v>687.39</v>
      </c>
      <c r="T26" s="15" t="n">
        <v>687.39</v>
      </c>
      <c r="U26" s="15" t="n">
        <v>350</v>
      </c>
      <c r="V26" s="15" t="n">
        <v>0</v>
      </c>
      <c r="W26" s="15" t="n">
        <f aca="false">U26+V26</f>
        <v>350</v>
      </c>
    </row>
    <row r="27" customFormat="false" ht="15" hidden="false" customHeight="false" outlineLevel="0" collapsed="false">
      <c r="A27" s="3" t="s">
        <v>1869</v>
      </c>
      <c r="B27" s="3" t="s">
        <v>1845</v>
      </c>
      <c r="C27" s="3" t="s">
        <v>366</v>
      </c>
      <c r="D27" s="3" t="s">
        <v>89</v>
      </c>
      <c r="E27" s="13" t="n">
        <v>135000</v>
      </c>
      <c r="F27" s="13" t="n">
        <v>2781.42</v>
      </c>
      <c r="G27" s="13" t="n">
        <v>347.68</v>
      </c>
      <c r="H27" s="13" t="n">
        <v>347.68</v>
      </c>
      <c r="I27" s="13" t="n">
        <f aca="false">SUM(K27:T27)</f>
        <v>2086.1</v>
      </c>
      <c r="J27" s="13" t="n">
        <f aca="false">F27-(G27+H27+I27)</f>
        <v>-0.0400000000004184</v>
      </c>
      <c r="K27" s="13" t="n">
        <v>208.61</v>
      </c>
      <c r="L27" s="13" t="n">
        <v>208.61</v>
      </c>
      <c r="M27" s="13" t="n">
        <v>208.61</v>
      </c>
      <c r="N27" s="13" t="n">
        <v>208.61</v>
      </c>
      <c r="O27" s="13" t="n">
        <v>208.61</v>
      </c>
      <c r="P27" s="13" t="n">
        <v>208.61</v>
      </c>
      <c r="Q27" s="13" t="n">
        <v>208.61</v>
      </c>
      <c r="R27" s="13" t="n">
        <v>208.61</v>
      </c>
      <c r="S27" s="13" t="n">
        <v>208.61</v>
      </c>
      <c r="T27" s="13" t="n">
        <v>208.61</v>
      </c>
      <c r="U27" s="13" t="n">
        <v>350</v>
      </c>
      <c r="V27" s="13" t="n">
        <v>0</v>
      </c>
      <c r="W27" s="13" t="n">
        <f aca="false">U27+V27</f>
        <v>350</v>
      </c>
    </row>
    <row r="28" customFormat="false" ht="15" hidden="false" customHeight="false" outlineLevel="0" collapsed="false">
      <c r="A28" s="14" t="s">
        <v>1870</v>
      </c>
      <c r="B28" s="14" t="s">
        <v>1871</v>
      </c>
      <c r="C28" s="14" t="s">
        <v>1432</v>
      </c>
      <c r="D28" s="14" t="s">
        <v>328</v>
      </c>
      <c r="E28" s="15" t="n">
        <v>380000</v>
      </c>
      <c r="F28" s="15" t="n">
        <v>6146.11</v>
      </c>
      <c r="G28" s="15" t="n">
        <v>768.26</v>
      </c>
      <c r="H28" s="15" t="n">
        <v>768.26</v>
      </c>
      <c r="I28" s="15" t="n">
        <f aca="false">SUM(K28:T28)</f>
        <v>4609.6</v>
      </c>
      <c r="J28" s="15" t="n">
        <f aca="false">F28-(G28+H28+I28)</f>
        <v>-0.00999999999930878</v>
      </c>
      <c r="K28" s="15" t="n">
        <v>460.96</v>
      </c>
      <c r="L28" s="15" t="n">
        <v>460.96</v>
      </c>
      <c r="M28" s="15" t="n">
        <v>460.96</v>
      </c>
      <c r="N28" s="15" t="n">
        <v>460.96</v>
      </c>
      <c r="O28" s="15" t="n">
        <v>460.96</v>
      </c>
      <c r="P28" s="15" t="n">
        <v>460.96</v>
      </c>
      <c r="Q28" s="15" t="n">
        <v>460.96</v>
      </c>
      <c r="R28" s="15" t="n">
        <v>460.96</v>
      </c>
      <c r="S28" s="15" t="n">
        <v>460.96</v>
      </c>
      <c r="T28" s="15" t="n">
        <v>460.96</v>
      </c>
      <c r="U28" s="15" t="n">
        <v>350</v>
      </c>
      <c r="V28" s="15" t="n">
        <v>0</v>
      </c>
      <c r="W28" s="15" t="n">
        <f aca="false">U28+V28</f>
        <v>350</v>
      </c>
    </row>
    <row r="29" customFormat="false" ht="15" hidden="false" customHeight="false" outlineLevel="0" collapsed="false">
      <c r="A29" s="3" t="s">
        <v>1872</v>
      </c>
      <c r="B29" s="3" t="s">
        <v>1841</v>
      </c>
      <c r="C29" s="3" t="s">
        <v>602</v>
      </c>
      <c r="D29" s="3" t="s">
        <v>138</v>
      </c>
      <c r="E29" s="13" t="n">
        <v>740000</v>
      </c>
      <c r="F29" s="13" t="n">
        <v>13411.11</v>
      </c>
      <c r="G29" s="13" t="n">
        <v>1676.39</v>
      </c>
      <c r="H29" s="13" t="n">
        <v>1676.39</v>
      </c>
      <c r="I29" s="13" t="n">
        <f aca="false">SUM(K29:T29)</f>
        <v>10058.3</v>
      </c>
      <c r="J29" s="13" t="n">
        <f aca="false">F29-(G29+H29+I29)</f>
        <v>0.0299999999988358</v>
      </c>
      <c r="K29" s="13" t="n">
        <v>1005.83</v>
      </c>
      <c r="L29" s="13" t="n">
        <v>1005.83</v>
      </c>
      <c r="M29" s="13" t="n">
        <v>1005.83</v>
      </c>
      <c r="N29" s="13" t="n">
        <v>1005.83</v>
      </c>
      <c r="O29" s="13" t="n">
        <v>1005.83</v>
      </c>
      <c r="P29" s="13" t="n">
        <v>1005.83</v>
      </c>
      <c r="Q29" s="13" t="n">
        <v>1005.83</v>
      </c>
      <c r="R29" s="13" t="n">
        <v>1005.83</v>
      </c>
      <c r="S29" s="13" t="n">
        <v>1005.83</v>
      </c>
      <c r="T29" s="13" t="n">
        <v>1005.83</v>
      </c>
      <c r="U29" s="13" t="n">
        <v>350</v>
      </c>
      <c r="V29" s="13" t="n">
        <v>0</v>
      </c>
      <c r="W29" s="13" t="n">
        <f aca="false">U29+V29</f>
        <v>350</v>
      </c>
    </row>
    <row r="30" customFormat="false" ht="15" hidden="false" customHeight="false" outlineLevel="0" collapsed="false">
      <c r="A30" s="14" t="s">
        <v>1873</v>
      </c>
      <c r="B30" s="14" t="s">
        <v>1874</v>
      </c>
      <c r="C30" s="14" t="s">
        <v>192</v>
      </c>
      <c r="D30" s="14" t="s">
        <v>93</v>
      </c>
      <c r="E30" s="15" t="n">
        <v>335000</v>
      </c>
      <c r="F30" s="15" t="n">
        <v>3414.35</v>
      </c>
      <c r="G30" s="15" t="n">
        <v>426.79</v>
      </c>
      <c r="H30" s="15" t="n">
        <v>426.79</v>
      </c>
      <c r="I30" s="15" t="n">
        <f aca="false">SUM(K30:T30)</f>
        <v>2560.8</v>
      </c>
      <c r="J30" s="15" t="n">
        <f aca="false">F30-(G30+H30+I30)</f>
        <v>-0.0299999999997453</v>
      </c>
      <c r="K30" s="15" t="n">
        <v>256.08</v>
      </c>
      <c r="L30" s="15" t="n">
        <v>256.08</v>
      </c>
      <c r="M30" s="15" t="n">
        <v>256.08</v>
      </c>
      <c r="N30" s="15" t="n">
        <v>256.08</v>
      </c>
      <c r="O30" s="15" t="n">
        <v>256.08</v>
      </c>
      <c r="P30" s="15" t="n">
        <v>256.08</v>
      </c>
      <c r="Q30" s="15" t="n">
        <v>256.08</v>
      </c>
      <c r="R30" s="15" t="n">
        <v>256.08</v>
      </c>
      <c r="S30" s="15" t="n">
        <v>256.08</v>
      </c>
      <c r="T30" s="15" t="n">
        <v>256.08</v>
      </c>
      <c r="U30" s="15" t="n">
        <v>350</v>
      </c>
      <c r="V30" s="15" t="n">
        <v>0</v>
      </c>
      <c r="W30" s="15" t="n">
        <f aca="false">U30+V30</f>
        <v>350</v>
      </c>
    </row>
    <row r="31" customFormat="false" ht="15" hidden="false" customHeight="false" outlineLevel="0" collapsed="false">
      <c r="A31" s="3" t="s">
        <v>1875</v>
      </c>
      <c r="B31" s="3" t="s">
        <v>1876</v>
      </c>
      <c r="C31" s="3" t="s">
        <v>632</v>
      </c>
      <c r="D31" s="3" t="s">
        <v>115</v>
      </c>
      <c r="E31" s="13" t="n">
        <v>250000</v>
      </c>
      <c r="F31" s="13" t="n">
        <v>4105.7</v>
      </c>
      <c r="G31" s="13" t="n">
        <v>513.21</v>
      </c>
      <c r="H31" s="13" t="n">
        <v>513.21</v>
      </c>
      <c r="I31" s="13" t="n">
        <f aca="false">SUM(K31:T31)</f>
        <v>3079.3</v>
      </c>
      <c r="J31" s="13" t="n">
        <f aca="false">F31-(G31+H31+I31)</f>
        <v>-0.0199999999995271</v>
      </c>
      <c r="K31" s="13" t="n">
        <v>307.93</v>
      </c>
      <c r="L31" s="13" t="n">
        <v>307.93</v>
      </c>
      <c r="M31" s="13" t="n">
        <v>307.93</v>
      </c>
      <c r="N31" s="13" t="n">
        <v>307.93</v>
      </c>
      <c r="O31" s="13" t="n">
        <v>307.93</v>
      </c>
      <c r="P31" s="13" t="n">
        <v>307.93</v>
      </c>
      <c r="Q31" s="13" t="n">
        <v>307.93</v>
      </c>
      <c r="R31" s="13" t="n">
        <v>307.93</v>
      </c>
      <c r="S31" s="13" t="n">
        <v>307.93</v>
      </c>
      <c r="T31" s="13" t="n">
        <v>307.93</v>
      </c>
      <c r="U31" s="13" t="n">
        <v>350</v>
      </c>
      <c r="V31" s="13" t="n">
        <v>0</v>
      </c>
      <c r="W31" s="13" t="n">
        <f aca="false">U31+V31</f>
        <v>350</v>
      </c>
    </row>
    <row r="32" customFormat="false" ht="15" hidden="false" customHeight="false" outlineLevel="0" collapsed="false">
      <c r="A32" s="14" t="s">
        <v>1877</v>
      </c>
      <c r="B32" s="14" t="s">
        <v>1837</v>
      </c>
      <c r="C32" s="14" t="s">
        <v>935</v>
      </c>
      <c r="D32" s="14" t="s">
        <v>121</v>
      </c>
      <c r="E32" s="15" t="n">
        <v>650000</v>
      </c>
      <c r="F32" s="15" t="n">
        <v>8550.63</v>
      </c>
      <c r="G32" s="15" t="n">
        <v>1068.83</v>
      </c>
      <c r="H32" s="15" t="n">
        <v>1068.83</v>
      </c>
      <c r="I32" s="15" t="n">
        <f aca="false">SUM(K32:T32)</f>
        <v>6413</v>
      </c>
      <c r="J32" s="15" t="n">
        <f aca="false">F32-(G32+H32+I32)</f>
        <v>-0.0300000000006548</v>
      </c>
      <c r="K32" s="15" t="n">
        <v>641.3</v>
      </c>
      <c r="L32" s="15" t="n">
        <v>641.3</v>
      </c>
      <c r="M32" s="15" t="n">
        <v>641.3</v>
      </c>
      <c r="N32" s="15" t="n">
        <v>641.3</v>
      </c>
      <c r="O32" s="15" t="n">
        <v>641.3</v>
      </c>
      <c r="P32" s="15" t="n">
        <v>641.3</v>
      </c>
      <c r="Q32" s="15" t="n">
        <v>641.3</v>
      </c>
      <c r="R32" s="15" t="n">
        <v>641.3</v>
      </c>
      <c r="S32" s="15" t="n">
        <v>641.3</v>
      </c>
      <c r="T32" s="15" t="n">
        <v>641.3</v>
      </c>
      <c r="U32" s="15" t="n">
        <v>350</v>
      </c>
      <c r="V32" s="15" t="n">
        <v>0</v>
      </c>
      <c r="W32" s="15" t="n">
        <f aca="false">U32+V32</f>
        <v>350</v>
      </c>
    </row>
    <row r="33" customFormat="false" ht="15" hidden="false" customHeight="false" outlineLevel="0" collapsed="false">
      <c r="A33" s="3" t="s">
        <v>1878</v>
      </c>
      <c r="B33" s="3" t="s">
        <v>1860</v>
      </c>
      <c r="C33" s="3" t="s">
        <v>702</v>
      </c>
      <c r="D33" s="3" t="s">
        <v>312</v>
      </c>
      <c r="E33" s="13" t="n">
        <v>555000</v>
      </c>
      <c r="F33" s="13" t="n">
        <v>6642.65</v>
      </c>
      <c r="G33" s="13" t="n">
        <v>830.33</v>
      </c>
      <c r="H33" s="13" t="n">
        <v>830.33</v>
      </c>
      <c r="I33" s="13" t="n">
        <f aca="false">SUM(K33:T33)</f>
        <v>4982</v>
      </c>
      <c r="J33" s="13" t="n">
        <f aca="false">F33-(G33+H33+I33)</f>
        <v>-0.0100000000002183</v>
      </c>
      <c r="K33" s="13" t="n">
        <v>498.2</v>
      </c>
      <c r="L33" s="13" t="n">
        <v>498.2</v>
      </c>
      <c r="M33" s="13" t="n">
        <v>498.2</v>
      </c>
      <c r="N33" s="13" t="n">
        <v>498.2</v>
      </c>
      <c r="O33" s="13" t="n">
        <v>498.2</v>
      </c>
      <c r="P33" s="13" t="n">
        <v>498.2</v>
      </c>
      <c r="Q33" s="13" t="n">
        <v>498.2</v>
      </c>
      <c r="R33" s="13" t="n">
        <v>498.2</v>
      </c>
      <c r="S33" s="13" t="n">
        <v>498.2</v>
      </c>
      <c r="T33" s="13" t="n">
        <v>498.2</v>
      </c>
      <c r="U33" s="13" t="n">
        <v>350</v>
      </c>
      <c r="V33" s="13" t="n">
        <v>0</v>
      </c>
      <c r="W33" s="13" t="n">
        <f aca="false">U33+V33</f>
        <v>350</v>
      </c>
    </row>
    <row r="34" customFormat="false" ht="15" hidden="false" customHeight="false" outlineLevel="0" collapsed="false">
      <c r="A34" s="14" t="s">
        <v>1879</v>
      </c>
      <c r="B34" s="14" t="s">
        <v>1880</v>
      </c>
      <c r="C34" s="14" t="s">
        <v>1881</v>
      </c>
      <c r="D34" s="14" t="s">
        <v>115</v>
      </c>
      <c r="E34" s="15" t="n">
        <v>790000</v>
      </c>
      <c r="F34" s="15" t="n">
        <v>11244.14</v>
      </c>
      <c r="G34" s="15" t="n">
        <v>1405.52</v>
      </c>
      <c r="H34" s="15" t="n">
        <v>1405.52</v>
      </c>
      <c r="I34" s="15" t="n">
        <f aca="false">SUM(K34:T34)</f>
        <v>8433.1</v>
      </c>
      <c r="J34" s="15" t="n">
        <f aca="false">F34-(G34+H34+I34)</f>
        <v>0</v>
      </c>
      <c r="K34" s="15" t="n">
        <v>843.31</v>
      </c>
      <c r="L34" s="15" t="n">
        <v>843.31</v>
      </c>
      <c r="M34" s="15" t="n">
        <v>843.31</v>
      </c>
      <c r="N34" s="15" t="n">
        <v>843.31</v>
      </c>
      <c r="O34" s="15" t="n">
        <v>843.31</v>
      </c>
      <c r="P34" s="15" t="n">
        <v>843.31</v>
      </c>
      <c r="Q34" s="15" t="n">
        <v>843.31</v>
      </c>
      <c r="R34" s="15" t="n">
        <v>843.31</v>
      </c>
      <c r="S34" s="15" t="n">
        <v>843.31</v>
      </c>
      <c r="T34" s="15" t="n">
        <v>843.31</v>
      </c>
      <c r="U34" s="15" t="n">
        <v>350</v>
      </c>
      <c r="V34" s="15" t="n">
        <v>0</v>
      </c>
      <c r="W34" s="15" t="n">
        <f aca="false">U34+V34</f>
        <v>350</v>
      </c>
    </row>
    <row r="35" customFormat="false" ht="15" hidden="false" customHeight="false" outlineLevel="0" collapsed="false">
      <c r="A35" s="3" t="s">
        <v>1882</v>
      </c>
      <c r="B35" s="3" t="s">
        <v>1883</v>
      </c>
      <c r="C35" s="3" t="s">
        <v>72</v>
      </c>
      <c r="D35" s="3" t="s">
        <v>203</v>
      </c>
      <c r="E35" s="13" t="n">
        <v>635000</v>
      </c>
      <c r="F35" s="13" t="n">
        <v>7805.56</v>
      </c>
      <c r="G35" s="13" t="n">
        <v>975.7</v>
      </c>
      <c r="H35" s="13" t="n">
        <v>975.7</v>
      </c>
      <c r="I35" s="13" t="n">
        <f aca="false">SUM(K35:T35)</f>
        <v>5854.2</v>
      </c>
      <c r="J35" s="13" t="n">
        <f aca="false">F35-(G35+H35+I35)</f>
        <v>-0.0399999999999636</v>
      </c>
      <c r="K35" s="13" t="n">
        <v>585.42</v>
      </c>
      <c r="L35" s="13" t="n">
        <v>585.42</v>
      </c>
      <c r="M35" s="13" t="n">
        <v>585.42</v>
      </c>
      <c r="N35" s="13" t="n">
        <v>585.42</v>
      </c>
      <c r="O35" s="13" t="n">
        <v>585.42</v>
      </c>
      <c r="P35" s="13" t="n">
        <v>585.42</v>
      </c>
      <c r="Q35" s="13" t="n">
        <v>585.42</v>
      </c>
      <c r="R35" s="13" t="n">
        <v>585.42</v>
      </c>
      <c r="S35" s="13" t="n">
        <v>585.42</v>
      </c>
      <c r="T35" s="13" t="n">
        <v>585.42</v>
      </c>
      <c r="U35" s="13" t="n">
        <v>350</v>
      </c>
      <c r="V35" s="13" t="n">
        <v>0</v>
      </c>
      <c r="W35" s="13" t="n">
        <f aca="false">U35+V35</f>
        <v>350</v>
      </c>
    </row>
    <row r="36" customFormat="false" ht="15" hidden="false" customHeight="false" outlineLevel="0" collapsed="false">
      <c r="A36" s="14" t="s">
        <v>1884</v>
      </c>
      <c r="B36" s="14" t="s">
        <v>1885</v>
      </c>
      <c r="C36" s="14" t="s">
        <v>827</v>
      </c>
      <c r="D36" s="14" t="s">
        <v>166</v>
      </c>
      <c r="E36" s="15" t="n">
        <v>365000</v>
      </c>
      <c r="F36" s="15" t="n">
        <v>6130.56</v>
      </c>
      <c r="G36" s="15" t="n">
        <v>766.32</v>
      </c>
      <c r="H36" s="15" t="n">
        <v>766.32</v>
      </c>
      <c r="I36" s="15" t="n">
        <f aca="false">SUM(K36:T36)</f>
        <v>4597.9</v>
      </c>
      <c r="J36" s="15" t="n">
        <f aca="false">F36-(G36+H36+I36)</f>
        <v>0.0199999999995271</v>
      </c>
      <c r="K36" s="15" t="n">
        <v>459.79</v>
      </c>
      <c r="L36" s="15" t="n">
        <v>459.79</v>
      </c>
      <c r="M36" s="15" t="n">
        <v>459.79</v>
      </c>
      <c r="N36" s="15" t="n">
        <v>459.79</v>
      </c>
      <c r="O36" s="15" t="n">
        <v>459.79</v>
      </c>
      <c r="P36" s="15" t="n">
        <v>459.79</v>
      </c>
      <c r="Q36" s="15" t="n">
        <v>459.79</v>
      </c>
      <c r="R36" s="15" t="n">
        <v>459.79</v>
      </c>
      <c r="S36" s="15" t="n">
        <v>459.79</v>
      </c>
      <c r="T36" s="15" t="n">
        <v>459.79</v>
      </c>
      <c r="U36" s="15" t="n">
        <v>350</v>
      </c>
      <c r="V36" s="15" t="n">
        <v>0</v>
      </c>
      <c r="W36" s="15" t="n">
        <f aca="false">U36+V36</f>
        <v>350</v>
      </c>
    </row>
    <row r="37" customFormat="false" ht="15" hidden="false" customHeight="false" outlineLevel="0" collapsed="false">
      <c r="A37" s="3" t="s">
        <v>1886</v>
      </c>
      <c r="B37" s="3" t="s">
        <v>1883</v>
      </c>
      <c r="C37" s="3" t="s">
        <v>427</v>
      </c>
      <c r="D37" s="3" t="s">
        <v>180</v>
      </c>
      <c r="E37" s="13" t="n">
        <v>1950000</v>
      </c>
      <c r="F37" s="13" t="n">
        <v>31312.79</v>
      </c>
      <c r="G37" s="13" t="n">
        <v>3914.1</v>
      </c>
      <c r="H37" s="13" t="n">
        <v>3914.1</v>
      </c>
      <c r="I37" s="13" t="n">
        <f aca="false">SUM(K37:T37)</f>
        <v>23484.6</v>
      </c>
      <c r="J37" s="13" t="n">
        <f aca="false">F37-(G37+H37+I37)</f>
        <v>-0.00999999999839929</v>
      </c>
      <c r="K37" s="13" t="n">
        <v>2348.46</v>
      </c>
      <c r="L37" s="13" t="n">
        <v>2348.46</v>
      </c>
      <c r="M37" s="13" t="n">
        <v>2348.46</v>
      </c>
      <c r="N37" s="13" t="n">
        <v>2348.46</v>
      </c>
      <c r="O37" s="13" t="n">
        <v>2348.46</v>
      </c>
      <c r="P37" s="13" t="n">
        <v>2348.46</v>
      </c>
      <c r="Q37" s="13" t="n">
        <v>2348.46</v>
      </c>
      <c r="R37" s="13" t="n">
        <v>2348.46</v>
      </c>
      <c r="S37" s="13" t="n">
        <v>2348.46</v>
      </c>
      <c r="T37" s="13" t="n">
        <v>2348.46</v>
      </c>
      <c r="U37" s="13" t="n">
        <v>350</v>
      </c>
      <c r="V37" s="13" t="n">
        <v>250</v>
      </c>
      <c r="W37" s="13" t="n">
        <f aca="false">U37+V37</f>
        <v>600</v>
      </c>
    </row>
    <row r="38" customFormat="false" ht="15" hidden="false" customHeight="false" outlineLevel="0" collapsed="false">
      <c r="A38" s="14" t="s">
        <v>1887</v>
      </c>
      <c r="B38" s="14" t="s">
        <v>1857</v>
      </c>
      <c r="C38" s="14" t="s">
        <v>1526</v>
      </c>
      <c r="D38" s="14" t="s">
        <v>147</v>
      </c>
      <c r="E38" s="15" t="n">
        <v>620000</v>
      </c>
      <c r="F38" s="15" t="n">
        <v>7153.21</v>
      </c>
      <c r="G38" s="15" t="n">
        <v>894.15</v>
      </c>
      <c r="H38" s="15" t="n">
        <v>894.15</v>
      </c>
      <c r="I38" s="15" t="n">
        <f aca="false">SUM(K38:T38)</f>
        <v>5364.9</v>
      </c>
      <c r="J38" s="15" t="n">
        <f aca="false">F38-(G38+H38+I38)</f>
        <v>0.0100000000002183</v>
      </c>
      <c r="K38" s="15" t="n">
        <v>536.49</v>
      </c>
      <c r="L38" s="15" t="n">
        <v>536.49</v>
      </c>
      <c r="M38" s="15" t="n">
        <v>536.49</v>
      </c>
      <c r="N38" s="15" t="n">
        <v>536.49</v>
      </c>
      <c r="O38" s="15" t="n">
        <v>536.49</v>
      </c>
      <c r="P38" s="15" t="n">
        <v>536.49</v>
      </c>
      <c r="Q38" s="15" t="n">
        <v>536.49</v>
      </c>
      <c r="R38" s="15" t="n">
        <v>536.49</v>
      </c>
      <c r="S38" s="15" t="n">
        <v>536.49</v>
      </c>
      <c r="T38" s="15" t="n">
        <v>536.49</v>
      </c>
      <c r="U38" s="15" t="n">
        <v>350</v>
      </c>
      <c r="V38" s="15" t="n">
        <v>0</v>
      </c>
      <c r="W38" s="15" t="n">
        <f aca="false">U38+V38</f>
        <v>350</v>
      </c>
    </row>
    <row r="39" customFormat="false" ht="15" hidden="false" customHeight="false" outlineLevel="0" collapsed="false">
      <c r="A39" s="3" t="s">
        <v>1888</v>
      </c>
      <c r="B39" s="3" t="s">
        <v>1866</v>
      </c>
      <c r="C39" s="3" t="s">
        <v>608</v>
      </c>
      <c r="D39" s="3" t="s">
        <v>328</v>
      </c>
      <c r="E39" s="13" t="n">
        <v>820000</v>
      </c>
      <c r="F39" s="13" t="n">
        <v>11494.29</v>
      </c>
      <c r="G39" s="13" t="n">
        <v>1436.79</v>
      </c>
      <c r="H39" s="13" t="n">
        <v>1436.79</v>
      </c>
      <c r="I39" s="13" t="n">
        <f aca="false">SUM(K39:T39)</f>
        <v>8620.7</v>
      </c>
      <c r="J39" s="13" t="n">
        <f aca="false">F39-(G39+H39+I39)</f>
        <v>0.0100000000002183</v>
      </c>
      <c r="K39" s="13" t="n">
        <v>862.07</v>
      </c>
      <c r="L39" s="13" t="n">
        <v>862.07</v>
      </c>
      <c r="M39" s="13" t="n">
        <v>862.07</v>
      </c>
      <c r="N39" s="13" t="n">
        <v>862.07</v>
      </c>
      <c r="O39" s="13" t="n">
        <v>862.07</v>
      </c>
      <c r="P39" s="13" t="n">
        <v>862.07</v>
      </c>
      <c r="Q39" s="13" t="n">
        <v>862.07</v>
      </c>
      <c r="R39" s="13" t="n">
        <v>862.07</v>
      </c>
      <c r="S39" s="13" t="n">
        <v>862.07</v>
      </c>
      <c r="T39" s="13" t="n">
        <v>862.07</v>
      </c>
      <c r="U39" s="13" t="n">
        <v>350</v>
      </c>
      <c r="V39" s="13" t="n">
        <v>0</v>
      </c>
      <c r="W39" s="13" t="n">
        <f aca="false">U39+V39</f>
        <v>350</v>
      </c>
    </row>
    <row r="40" customFormat="false" ht="15" hidden="false" customHeight="false" outlineLevel="0" collapsed="false">
      <c r="A40" s="14" t="s">
        <v>1889</v>
      </c>
      <c r="B40" s="14" t="s">
        <v>1841</v>
      </c>
      <c r="C40" s="14" t="s">
        <v>1292</v>
      </c>
      <c r="D40" s="14" t="s">
        <v>185</v>
      </c>
      <c r="E40" s="15" t="n">
        <v>1950000</v>
      </c>
      <c r="F40" s="15" t="n">
        <v>26137.12</v>
      </c>
      <c r="G40" s="15" t="n">
        <v>3267.14</v>
      </c>
      <c r="H40" s="15" t="n">
        <v>3267.14</v>
      </c>
      <c r="I40" s="15" t="n">
        <f aca="false">SUM(K40:T40)</f>
        <v>19602.8</v>
      </c>
      <c r="J40" s="15" t="n">
        <f aca="false">F40-(G40+H40+I40)</f>
        <v>0.0400000000008731</v>
      </c>
      <c r="K40" s="15" t="n">
        <v>1960.28</v>
      </c>
      <c r="L40" s="15" t="n">
        <v>1960.28</v>
      </c>
      <c r="M40" s="15" t="n">
        <v>1960.28</v>
      </c>
      <c r="N40" s="15" t="n">
        <v>1960.28</v>
      </c>
      <c r="O40" s="15" t="n">
        <v>1960.28</v>
      </c>
      <c r="P40" s="15" t="n">
        <v>1960.28</v>
      </c>
      <c r="Q40" s="15" t="n">
        <v>1960.28</v>
      </c>
      <c r="R40" s="15" t="n">
        <v>1960.28</v>
      </c>
      <c r="S40" s="15" t="n">
        <v>1960.28</v>
      </c>
      <c r="T40" s="15" t="n">
        <v>1960.28</v>
      </c>
      <c r="U40" s="15" t="n">
        <v>350</v>
      </c>
      <c r="V40" s="15" t="n">
        <v>250</v>
      </c>
      <c r="W40" s="15" t="n">
        <f aca="false">U40+V40</f>
        <v>600</v>
      </c>
    </row>
    <row r="41" customFormat="false" ht="15" hidden="false" customHeight="false" outlineLevel="0" collapsed="false">
      <c r="A41" s="3" t="s">
        <v>1890</v>
      </c>
      <c r="B41" s="3" t="s">
        <v>1860</v>
      </c>
      <c r="C41" s="3" t="s">
        <v>1774</v>
      </c>
      <c r="D41" s="3" t="s">
        <v>279</v>
      </c>
      <c r="E41" s="13" t="n">
        <v>1425000</v>
      </c>
      <c r="F41" s="13" t="n">
        <v>17209.09</v>
      </c>
      <c r="G41" s="13" t="n">
        <v>2151.14</v>
      </c>
      <c r="H41" s="13" t="n">
        <v>2151.14</v>
      </c>
      <c r="I41" s="13" t="n">
        <f aca="false">SUM(K41:T41)</f>
        <v>12906.8</v>
      </c>
      <c r="J41" s="13" t="n">
        <f aca="false">F41-(G41+H41+I41)</f>
        <v>0.00999999999839929</v>
      </c>
      <c r="K41" s="13" t="n">
        <v>1290.68</v>
      </c>
      <c r="L41" s="13" t="n">
        <v>1290.68</v>
      </c>
      <c r="M41" s="13" t="n">
        <v>1290.68</v>
      </c>
      <c r="N41" s="13" t="n">
        <v>1290.68</v>
      </c>
      <c r="O41" s="13" t="n">
        <v>1290.68</v>
      </c>
      <c r="P41" s="13" t="n">
        <v>1290.68</v>
      </c>
      <c r="Q41" s="13" t="n">
        <v>1290.68</v>
      </c>
      <c r="R41" s="13" t="n">
        <v>1290.68</v>
      </c>
      <c r="S41" s="13" t="n">
        <v>1290.68</v>
      </c>
      <c r="T41" s="13" t="n">
        <v>1290.68</v>
      </c>
      <c r="U41" s="13" t="n">
        <v>350</v>
      </c>
      <c r="V41" s="13" t="n">
        <v>250</v>
      </c>
      <c r="W41" s="13" t="n">
        <f aca="false">U41+V41</f>
        <v>600</v>
      </c>
    </row>
    <row r="42" customFormat="false" ht="15" hidden="false" customHeight="false" outlineLevel="0" collapsed="false">
      <c r="A42" s="14" t="s">
        <v>1891</v>
      </c>
      <c r="B42" s="14" t="s">
        <v>1892</v>
      </c>
      <c r="C42" s="14" t="s">
        <v>1004</v>
      </c>
      <c r="D42" s="14" t="s">
        <v>377</v>
      </c>
      <c r="E42" s="15" t="n">
        <v>625000</v>
      </c>
      <c r="F42" s="15" t="n">
        <v>9030.47</v>
      </c>
      <c r="G42" s="15" t="n">
        <v>1128.81</v>
      </c>
      <c r="H42" s="15" t="n">
        <v>1128.81</v>
      </c>
      <c r="I42" s="15" t="n">
        <f aca="false">SUM(K42:T42)</f>
        <v>6772.9</v>
      </c>
      <c r="J42" s="15" t="n">
        <f aca="false">F42-(G42+H42+I42)</f>
        <v>-0.0500000000010914</v>
      </c>
      <c r="K42" s="15" t="n">
        <v>677.29</v>
      </c>
      <c r="L42" s="15" t="n">
        <v>677.29</v>
      </c>
      <c r="M42" s="15" t="n">
        <v>677.29</v>
      </c>
      <c r="N42" s="15" t="n">
        <v>677.29</v>
      </c>
      <c r="O42" s="15" t="n">
        <v>677.29</v>
      </c>
      <c r="P42" s="15" t="n">
        <v>677.29</v>
      </c>
      <c r="Q42" s="15" t="n">
        <v>677.29</v>
      </c>
      <c r="R42" s="15" t="n">
        <v>677.29</v>
      </c>
      <c r="S42" s="15" t="n">
        <v>677.29</v>
      </c>
      <c r="T42" s="15" t="n">
        <v>677.29</v>
      </c>
      <c r="U42" s="15" t="n">
        <v>350</v>
      </c>
      <c r="V42" s="15" t="n">
        <v>0</v>
      </c>
      <c r="W42" s="15" t="n">
        <f aca="false">U42+V42</f>
        <v>350</v>
      </c>
    </row>
    <row r="43" customFormat="false" ht="15" hidden="false" customHeight="false" outlineLevel="0" collapsed="false">
      <c r="A43" s="3" t="s">
        <v>1893</v>
      </c>
      <c r="B43" s="3" t="s">
        <v>1876</v>
      </c>
      <c r="C43" s="3" t="s">
        <v>606</v>
      </c>
      <c r="D43" s="3" t="s">
        <v>203</v>
      </c>
      <c r="E43" s="13" t="n">
        <v>970000</v>
      </c>
      <c r="F43" s="13" t="n">
        <v>17426.57</v>
      </c>
      <c r="G43" s="13" t="n">
        <v>2178.32</v>
      </c>
      <c r="H43" s="13" t="n">
        <v>2178.32</v>
      </c>
      <c r="I43" s="13" t="n">
        <f aca="false">SUM(K43:T43)</f>
        <v>13069.9</v>
      </c>
      <c r="J43" s="13" t="n">
        <f aca="false">F43-(G43+H43+I43)</f>
        <v>0.0299999999988358</v>
      </c>
      <c r="K43" s="13" t="n">
        <v>1306.99</v>
      </c>
      <c r="L43" s="13" t="n">
        <v>1306.99</v>
      </c>
      <c r="M43" s="13" t="n">
        <v>1306.99</v>
      </c>
      <c r="N43" s="13" t="n">
        <v>1306.99</v>
      </c>
      <c r="O43" s="13" t="n">
        <v>1306.99</v>
      </c>
      <c r="P43" s="13" t="n">
        <v>1306.99</v>
      </c>
      <c r="Q43" s="13" t="n">
        <v>1306.99</v>
      </c>
      <c r="R43" s="13" t="n">
        <v>1306.99</v>
      </c>
      <c r="S43" s="13" t="n">
        <v>1306.99</v>
      </c>
      <c r="T43" s="13" t="n">
        <v>1306.99</v>
      </c>
      <c r="U43" s="13" t="n">
        <v>350</v>
      </c>
      <c r="V43" s="13" t="n">
        <v>0</v>
      </c>
      <c r="W43" s="13" t="n">
        <f aca="false">U43+V43</f>
        <v>350</v>
      </c>
    </row>
    <row r="44" customFormat="false" ht="15" hidden="false" customHeight="false" outlineLevel="0" collapsed="false">
      <c r="A44" s="14" t="s">
        <v>1894</v>
      </c>
      <c r="B44" s="14" t="s">
        <v>1895</v>
      </c>
      <c r="C44" s="14" t="s">
        <v>1236</v>
      </c>
      <c r="D44" s="14" t="s">
        <v>377</v>
      </c>
      <c r="E44" s="15" t="n">
        <v>465000</v>
      </c>
      <c r="F44" s="15" t="n">
        <v>7752.3</v>
      </c>
      <c r="G44" s="15" t="n">
        <v>969.04</v>
      </c>
      <c r="H44" s="15" t="n">
        <v>969.04</v>
      </c>
      <c r="I44" s="15" t="n">
        <f aca="false">SUM(K44:T44)</f>
        <v>5814.2</v>
      </c>
      <c r="J44" s="15" t="n">
        <f aca="false">F44-(G44+H44+I44)</f>
        <v>0.0200000000004366</v>
      </c>
      <c r="K44" s="15" t="n">
        <v>581.42</v>
      </c>
      <c r="L44" s="15" t="n">
        <v>581.42</v>
      </c>
      <c r="M44" s="15" t="n">
        <v>581.42</v>
      </c>
      <c r="N44" s="15" t="n">
        <v>581.42</v>
      </c>
      <c r="O44" s="15" t="n">
        <v>581.42</v>
      </c>
      <c r="P44" s="15" t="n">
        <v>581.42</v>
      </c>
      <c r="Q44" s="15" t="n">
        <v>581.42</v>
      </c>
      <c r="R44" s="15" t="n">
        <v>581.42</v>
      </c>
      <c r="S44" s="15" t="n">
        <v>581.42</v>
      </c>
      <c r="T44" s="15" t="n">
        <v>581.42</v>
      </c>
      <c r="U44" s="15" t="n">
        <v>350</v>
      </c>
      <c r="V44" s="15" t="n">
        <v>0</v>
      </c>
      <c r="W44" s="15" t="n">
        <f aca="false">U44+V44</f>
        <v>350</v>
      </c>
    </row>
    <row r="45" customFormat="false" ht="15" hidden="false" customHeight="false" outlineLevel="0" collapsed="false">
      <c r="A45" s="3" t="s">
        <v>1896</v>
      </c>
      <c r="B45" s="3" t="s">
        <v>1897</v>
      </c>
      <c r="C45" s="3" t="s">
        <v>1264</v>
      </c>
      <c r="D45" s="3" t="s">
        <v>157</v>
      </c>
      <c r="E45" s="13" t="n">
        <v>1215000</v>
      </c>
      <c r="F45" s="13" t="n">
        <v>22896.35</v>
      </c>
      <c r="G45" s="13" t="n">
        <v>2862.04</v>
      </c>
      <c r="H45" s="13" t="n">
        <v>2862.04</v>
      </c>
      <c r="I45" s="13" t="n">
        <f aca="false">SUM(K45:T45)</f>
        <v>17172.3</v>
      </c>
      <c r="J45" s="13" t="n">
        <f aca="false">F45-(G45+H45+I45)</f>
        <v>-0.0299999999988358</v>
      </c>
      <c r="K45" s="13" t="n">
        <v>1717.23</v>
      </c>
      <c r="L45" s="13" t="n">
        <v>1717.23</v>
      </c>
      <c r="M45" s="13" t="n">
        <v>1717.23</v>
      </c>
      <c r="N45" s="13" t="n">
        <v>1717.23</v>
      </c>
      <c r="O45" s="13" t="n">
        <v>1717.23</v>
      </c>
      <c r="P45" s="13" t="n">
        <v>1717.23</v>
      </c>
      <c r="Q45" s="13" t="n">
        <v>1717.23</v>
      </c>
      <c r="R45" s="13" t="n">
        <v>1717.23</v>
      </c>
      <c r="S45" s="13" t="n">
        <v>1717.23</v>
      </c>
      <c r="T45" s="13" t="n">
        <v>1717.23</v>
      </c>
      <c r="U45" s="13" t="n">
        <v>350</v>
      </c>
      <c r="V45" s="13" t="n">
        <v>250</v>
      </c>
      <c r="W45" s="13" t="n">
        <f aca="false">U45+V45</f>
        <v>600</v>
      </c>
    </row>
    <row r="46" customFormat="false" ht="15" hidden="false" customHeight="false" outlineLevel="0" collapsed="false">
      <c r="A46" s="14" t="s">
        <v>1898</v>
      </c>
      <c r="B46" s="14" t="s">
        <v>1880</v>
      </c>
      <c r="C46" s="14" t="s">
        <v>1822</v>
      </c>
      <c r="D46" s="14" t="s">
        <v>93</v>
      </c>
      <c r="E46" s="15" t="n">
        <v>415000</v>
      </c>
      <c r="F46" s="15" t="n">
        <v>10133.69</v>
      </c>
      <c r="G46" s="15" t="n">
        <v>1266.71</v>
      </c>
      <c r="H46" s="15" t="n">
        <v>1266.71</v>
      </c>
      <c r="I46" s="15" t="n">
        <f aca="false">SUM(K46:T46)</f>
        <v>7600.3</v>
      </c>
      <c r="J46" s="15" t="n">
        <f aca="false">F46-(G46+H46+I46)</f>
        <v>-0.0299999999988358</v>
      </c>
      <c r="K46" s="15" t="n">
        <v>760.03</v>
      </c>
      <c r="L46" s="15" t="n">
        <v>760.03</v>
      </c>
      <c r="M46" s="15" t="n">
        <v>760.03</v>
      </c>
      <c r="N46" s="15" t="n">
        <v>760.03</v>
      </c>
      <c r="O46" s="15" t="n">
        <v>760.03</v>
      </c>
      <c r="P46" s="15" t="n">
        <v>760.03</v>
      </c>
      <c r="Q46" s="15" t="n">
        <v>760.03</v>
      </c>
      <c r="R46" s="15" t="n">
        <v>760.03</v>
      </c>
      <c r="S46" s="15" t="n">
        <v>760.03</v>
      </c>
      <c r="T46" s="15" t="n">
        <v>760.03</v>
      </c>
      <c r="U46" s="15" t="n">
        <v>350</v>
      </c>
      <c r="V46" s="15" t="n">
        <v>0</v>
      </c>
      <c r="W46" s="15" t="n">
        <f aca="false">U46+V46</f>
        <v>350</v>
      </c>
    </row>
    <row r="47" customFormat="false" ht="15" hidden="false" customHeight="false" outlineLevel="0" collapsed="false">
      <c r="A47" s="3" t="s">
        <v>1899</v>
      </c>
      <c r="B47" s="3" t="s">
        <v>1871</v>
      </c>
      <c r="C47" s="3" t="s">
        <v>664</v>
      </c>
      <c r="D47" s="3" t="s">
        <v>99</v>
      </c>
      <c r="E47" s="13" t="n">
        <v>1810000</v>
      </c>
      <c r="F47" s="13" t="n">
        <v>13883.8</v>
      </c>
      <c r="G47" s="13" t="n">
        <v>1735.47</v>
      </c>
      <c r="H47" s="13" t="n">
        <v>1735.47</v>
      </c>
      <c r="I47" s="13" t="n">
        <f aca="false">SUM(K47:T47)</f>
        <v>10412.8</v>
      </c>
      <c r="J47" s="13" t="n">
        <f aca="false">F47-(G47+H47+I47)</f>
        <v>0.0599999999976717</v>
      </c>
      <c r="K47" s="13" t="n">
        <v>1041.28</v>
      </c>
      <c r="L47" s="13" t="n">
        <v>1041.28</v>
      </c>
      <c r="M47" s="13" t="n">
        <v>1041.28</v>
      </c>
      <c r="N47" s="13" t="n">
        <v>1041.28</v>
      </c>
      <c r="O47" s="13" t="n">
        <v>1041.28</v>
      </c>
      <c r="P47" s="13" t="n">
        <v>1041.28</v>
      </c>
      <c r="Q47" s="13" t="n">
        <v>1041.28</v>
      </c>
      <c r="R47" s="13" t="n">
        <v>1041.28</v>
      </c>
      <c r="S47" s="13" t="n">
        <v>1041.28</v>
      </c>
      <c r="T47" s="13" t="n">
        <v>1041.28</v>
      </c>
      <c r="U47" s="13" t="n">
        <v>350</v>
      </c>
      <c r="V47" s="13" t="n">
        <v>250</v>
      </c>
      <c r="W47" s="13" t="n">
        <f aca="false">U47+V47</f>
        <v>600</v>
      </c>
    </row>
    <row r="48" customFormat="false" ht="15" hidden="false" customHeight="false" outlineLevel="0" collapsed="false">
      <c r="A48" s="14" t="s">
        <v>1900</v>
      </c>
      <c r="B48" s="14" t="s">
        <v>1897</v>
      </c>
      <c r="C48" s="14" t="s">
        <v>1514</v>
      </c>
      <c r="D48" s="14" t="s">
        <v>203</v>
      </c>
      <c r="E48" s="15" t="n">
        <v>890000</v>
      </c>
      <c r="F48" s="15" t="n">
        <v>7237.28</v>
      </c>
      <c r="G48" s="15" t="n">
        <v>904.66</v>
      </c>
      <c r="H48" s="15" t="n">
        <v>904.66</v>
      </c>
      <c r="I48" s="15" t="n">
        <f aca="false">SUM(K48:T48)</f>
        <v>5428</v>
      </c>
      <c r="J48" s="15" t="n">
        <f aca="false">F48-(G48+H48+I48)</f>
        <v>-0.0399999999999636</v>
      </c>
      <c r="K48" s="15" t="n">
        <v>542.8</v>
      </c>
      <c r="L48" s="15" t="n">
        <v>542.8</v>
      </c>
      <c r="M48" s="15" t="n">
        <v>542.8</v>
      </c>
      <c r="N48" s="15" t="n">
        <v>542.8</v>
      </c>
      <c r="O48" s="15" t="n">
        <v>542.8</v>
      </c>
      <c r="P48" s="15" t="n">
        <v>542.8</v>
      </c>
      <c r="Q48" s="15" t="n">
        <v>542.8</v>
      </c>
      <c r="R48" s="15" t="n">
        <v>542.8</v>
      </c>
      <c r="S48" s="15" t="n">
        <v>542.8</v>
      </c>
      <c r="T48" s="15" t="n">
        <v>542.8</v>
      </c>
      <c r="U48" s="15" t="n">
        <v>350</v>
      </c>
      <c r="V48" s="15" t="n">
        <v>0</v>
      </c>
      <c r="W48" s="15" t="n">
        <f aca="false">U48+V48</f>
        <v>350</v>
      </c>
    </row>
    <row r="49" customFormat="false" ht="15" hidden="false" customHeight="false" outlineLevel="0" collapsed="false">
      <c r="A49" s="3" t="s">
        <v>1901</v>
      </c>
      <c r="B49" s="3" t="s">
        <v>1902</v>
      </c>
      <c r="C49" s="3" t="s">
        <v>1255</v>
      </c>
      <c r="D49" s="3" t="s">
        <v>153</v>
      </c>
      <c r="E49" s="13" t="n">
        <v>875000</v>
      </c>
      <c r="F49" s="13" t="n">
        <v>14623.95</v>
      </c>
      <c r="G49" s="13" t="n">
        <v>1827.99</v>
      </c>
      <c r="H49" s="13" t="n">
        <v>1827.99</v>
      </c>
      <c r="I49" s="13" t="n">
        <f aca="false">SUM(K49:T49)</f>
        <v>10968</v>
      </c>
      <c r="J49" s="13" t="n">
        <f aca="false">F49-(G49+H49+I49)</f>
        <v>-0.0299999999970169</v>
      </c>
      <c r="K49" s="13" t="n">
        <v>1096.8</v>
      </c>
      <c r="L49" s="13" t="n">
        <v>1096.8</v>
      </c>
      <c r="M49" s="13" t="n">
        <v>1096.8</v>
      </c>
      <c r="N49" s="13" t="n">
        <v>1096.8</v>
      </c>
      <c r="O49" s="13" t="n">
        <v>1096.8</v>
      </c>
      <c r="P49" s="13" t="n">
        <v>1096.8</v>
      </c>
      <c r="Q49" s="13" t="n">
        <v>1096.8</v>
      </c>
      <c r="R49" s="13" t="n">
        <v>1096.8</v>
      </c>
      <c r="S49" s="13" t="n">
        <v>1096.8</v>
      </c>
      <c r="T49" s="13" t="n">
        <v>1096.8</v>
      </c>
      <c r="U49" s="13" t="n">
        <v>350</v>
      </c>
      <c r="V49" s="13" t="n">
        <v>0</v>
      </c>
      <c r="W49" s="13" t="n">
        <f aca="false">U49+V49</f>
        <v>350</v>
      </c>
    </row>
    <row r="50" customFormat="false" ht="15" hidden="false" customHeight="false" outlineLevel="0" collapsed="false">
      <c r="A50" s="14" t="s">
        <v>1903</v>
      </c>
      <c r="B50" s="14" t="s">
        <v>1839</v>
      </c>
      <c r="C50" s="14" t="s">
        <v>643</v>
      </c>
      <c r="D50" s="14" t="s">
        <v>132</v>
      </c>
      <c r="E50" s="15" t="n">
        <v>955000</v>
      </c>
      <c r="F50" s="15" t="n">
        <v>10297.42</v>
      </c>
      <c r="G50" s="15" t="n">
        <v>1287.18</v>
      </c>
      <c r="H50" s="15" t="n">
        <v>1287.18</v>
      </c>
      <c r="I50" s="15" t="n">
        <f aca="false">SUM(K50:T50)</f>
        <v>7723.1</v>
      </c>
      <c r="J50" s="15" t="n">
        <f aca="false">F50-(G50+H50+I50)</f>
        <v>-0.0399999999990541</v>
      </c>
      <c r="K50" s="15" t="n">
        <v>772.31</v>
      </c>
      <c r="L50" s="15" t="n">
        <v>772.31</v>
      </c>
      <c r="M50" s="15" t="n">
        <v>772.31</v>
      </c>
      <c r="N50" s="15" t="n">
        <v>772.31</v>
      </c>
      <c r="O50" s="15" t="n">
        <v>772.31</v>
      </c>
      <c r="P50" s="15" t="n">
        <v>772.31</v>
      </c>
      <c r="Q50" s="15" t="n">
        <v>772.31</v>
      </c>
      <c r="R50" s="15" t="n">
        <v>772.31</v>
      </c>
      <c r="S50" s="15" t="n">
        <v>772.31</v>
      </c>
      <c r="T50" s="15" t="n">
        <v>772.31</v>
      </c>
      <c r="U50" s="15" t="n">
        <v>350</v>
      </c>
      <c r="V50" s="15" t="n">
        <v>0</v>
      </c>
      <c r="W50" s="15" t="n">
        <f aca="false">U50+V50</f>
        <v>350</v>
      </c>
    </row>
    <row r="51" customFormat="false" ht="15" hidden="false" customHeight="false" outlineLevel="0" collapsed="false">
      <c r="A51" s="3" t="s">
        <v>1904</v>
      </c>
      <c r="B51" s="3" t="s">
        <v>1857</v>
      </c>
      <c r="C51" s="3" t="s">
        <v>1905</v>
      </c>
      <c r="D51" s="3" t="s">
        <v>121</v>
      </c>
      <c r="E51" s="13" t="n">
        <v>645000</v>
      </c>
      <c r="F51" s="13" t="n">
        <v>12400.95</v>
      </c>
      <c r="G51" s="13" t="n">
        <v>1550.12</v>
      </c>
      <c r="H51" s="13" t="n">
        <v>1550.12</v>
      </c>
      <c r="I51" s="13" t="n">
        <f aca="false">SUM(K51:T51)</f>
        <v>9300.7</v>
      </c>
      <c r="J51" s="13" t="n">
        <f aca="false">F51-(G51+H51+I51)</f>
        <v>0.0100000000002183</v>
      </c>
      <c r="K51" s="13" t="n">
        <v>930.07</v>
      </c>
      <c r="L51" s="13" t="n">
        <v>930.07</v>
      </c>
      <c r="M51" s="13" t="n">
        <v>930.07</v>
      </c>
      <c r="N51" s="13" t="n">
        <v>930.07</v>
      </c>
      <c r="O51" s="13" t="n">
        <v>930.07</v>
      </c>
      <c r="P51" s="13" t="n">
        <v>930.07</v>
      </c>
      <c r="Q51" s="13" t="n">
        <v>930.07</v>
      </c>
      <c r="R51" s="13" t="n">
        <v>930.07</v>
      </c>
      <c r="S51" s="13" t="n">
        <v>930.07</v>
      </c>
      <c r="T51" s="13" t="n">
        <v>930.07</v>
      </c>
      <c r="U51" s="13" t="n">
        <v>350</v>
      </c>
      <c r="V51" s="13" t="n">
        <v>0</v>
      </c>
      <c r="W51" s="13" t="n">
        <f aca="false">U51+V51</f>
        <v>350</v>
      </c>
    </row>
    <row r="52" customFormat="false" ht="15" hidden="false" customHeight="false" outlineLevel="0" collapsed="false">
      <c r="A52" s="14" t="s">
        <v>1906</v>
      </c>
      <c r="B52" s="14" t="s">
        <v>1871</v>
      </c>
      <c r="C52" s="14" t="s">
        <v>211</v>
      </c>
      <c r="D52" s="14" t="s">
        <v>208</v>
      </c>
      <c r="E52" s="15" t="n">
        <v>545000</v>
      </c>
      <c r="F52" s="15" t="n">
        <v>7639.5</v>
      </c>
      <c r="G52" s="15" t="n">
        <v>954.94</v>
      </c>
      <c r="H52" s="15" t="n">
        <v>954.94</v>
      </c>
      <c r="I52" s="15" t="n">
        <f aca="false">SUM(K52:T52)</f>
        <v>5729.6</v>
      </c>
      <c r="J52" s="15" t="n">
        <f aca="false">F52-(G52+H52+I52)</f>
        <v>0.0199999999995271</v>
      </c>
      <c r="K52" s="15" t="n">
        <v>572.96</v>
      </c>
      <c r="L52" s="15" t="n">
        <v>572.96</v>
      </c>
      <c r="M52" s="15" t="n">
        <v>572.96</v>
      </c>
      <c r="N52" s="15" t="n">
        <v>572.96</v>
      </c>
      <c r="O52" s="15" t="n">
        <v>572.96</v>
      </c>
      <c r="P52" s="15" t="n">
        <v>572.96</v>
      </c>
      <c r="Q52" s="15" t="n">
        <v>572.96</v>
      </c>
      <c r="R52" s="15" t="n">
        <v>572.96</v>
      </c>
      <c r="S52" s="15" t="n">
        <v>572.96</v>
      </c>
      <c r="T52" s="15" t="n">
        <v>572.96</v>
      </c>
      <c r="U52" s="15" t="n">
        <v>350</v>
      </c>
      <c r="V52" s="15" t="n">
        <v>0</v>
      </c>
      <c r="W52" s="15" t="n">
        <f aca="false">U52+V52</f>
        <v>350</v>
      </c>
    </row>
    <row r="53" customFormat="false" ht="15" hidden="false" customHeight="false" outlineLevel="0" collapsed="false">
      <c r="A53" s="3" t="s">
        <v>1907</v>
      </c>
      <c r="B53" s="3" t="s">
        <v>1897</v>
      </c>
      <c r="C53" s="3" t="s">
        <v>651</v>
      </c>
      <c r="D53" s="3" t="s">
        <v>430</v>
      </c>
      <c r="E53" s="13" t="n">
        <v>520000</v>
      </c>
      <c r="F53" s="13" t="n">
        <v>5550.9</v>
      </c>
      <c r="G53" s="13" t="n">
        <v>693.86</v>
      </c>
      <c r="H53" s="13" t="n">
        <v>693.86</v>
      </c>
      <c r="I53" s="13" t="n">
        <f aca="false">SUM(K53:T53)</f>
        <v>4163.2</v>
      </c>
      <c r="J53" s="13" t="n">
        <f aca="false">F53-(G53+H53+I53)</f>
        <v>-0.0200000000004366</v>
      </c>
      <c r="K53" s="13" t="n">
        <v>416.32</v>
      </c>
      <c r="L53" s="13" t="n">
        <v>416.32</v>
      </c>
      <c r="M53" s="13" t="n">
        <v>416.32</v>
      </c>
      <c r="N53" s="13" t="n">
        <v>416.32</v>
      </c>
      <c r="O53" s="13" t="n">
        <v>416.32</v>
      </c>
      <c r="P53" s="13" t="n">
        <v>416.32</v>
      </c>
      <c r="Q53" s="13" t="n">
        <v>416.32</v>
      </c>
      <c r="R53" s="13" t="n">
        <v>416.32</v>
      </c>
      <c r="S53" s="13" t="n">
        <v>416.32</v>
      </c>
      <c r="T53" s="13" t="n">
        <v>416.32</v>
      </c>
      <c r="U53" s="13" t="n">
        <v>350</v>
      </c>
      <c r="V53" s="13" t="n">
        <v>0</v>
      </c>
      <c r="W53" s="13" t="n">
        <f aca="false">U53+V53</f>
        <v>350</v>
      </c>
    </row>
    <row r="54" customFormat="false" ht="15" hidden="false" customHeight="false" outlineLevel="0" collapsed="false">
      <c r="A54" s="14" t="s">
        <v>1908</v>
      </c>
      <c r="B54" s="14" t="s">
        <v>1885</v>
      </c>
      <c r="C54" s="14" t="s">
        <v>269</v>
      </c>
      <c r="D54" s="14" t="s">
        <v>256</v>
      </c>
      <c r="E54" s="15" t="n">
        <v>1300000</v>
      </c>
      <c r="F54" s="15" t="n">
        <v>15775</v>
      </c>
      <c r="G54" s="15" t="n">
        <v>1971.88</v>
      </c>
      <c r="H54" s="15" t="n">
        <v>1971.88</v>
      </c>
      <c r="I54" s="15" t="n">
        <f aca="false">SUM(K54:T54)</f>
        <v>11831.2</v>
      </c>
      <c r="J54" s="15" t="n">
        <f aca="false">F54-(G54+H54+I54)</f>
        <v>0.0400000000026921</v>
      </c>
      <c r="K54" s="15" t="n">
        <v>1183.12</v>
      </c>
      <c r="L54" s="15" t="n">
        <v>1183.12</v>
      </c>
      <c r="M54" s="15" t="n">
        <v>1183.12</v>
      </c>
      <c r="N54" s="15" t="n">
        <v>1183.12</v>
      </c>
      <c r="O54" s="15" t="n">
        <v>1183.12</v>
      </c>
      <c r="P54" s="15" t="n">
        <v>1183.12</v>
      </c>
      <c r="Q54" s="15" t="n">
        <v>1183.12</v>
      </c>
      <c r="R54" s="15" t="n">
        <v>1183.12</v>
      </c>
      <c r="S54" s="15" t="n">
        <v>1183.12</v>
      </c>
      <c r="T54" s="15" t="n">
        <v>1183.12</v>
      </c>
      <c r="U54" s="15" t="n">
        <v>350</v>
      </c>
      <c r="V54" s="15" t="n">
        <v>250</v>
      </c>
      <c r="W54" s="15" t="n">
        <f aca="false">U54+V54</f>
        <v>600</v>
      </c>
    </row>
    <row r="55" customFormat="false" ht="15" hidden="false" customHeight="false" outlineLevel="0" collapsed="false">
      <c r="A55" s="3" t="s">
        <v>1909</v>
      </c>
      <c r="B55" s="3" t="s">
        <v>1897</v>
      </c>
      <c r="C55" s="3" t="s">
        <v>1743</v>
      </c>
      <c r="D55" s="3" t="s">
        <v>125</v>
      </c>
      <c r="E55" s="13" t="n">
        <v>700000</v>
      </c>
      <c r="F55" s="13" t="n">
        <v>8695.12</v>
      </c>
      <c r="G55" s="13" t="n">
        <v>1086.89</v>
      </c>
      <c r="H55" s="13" t="n">
        <v>1086.89</v>
      </c>
      <c r="I55" s="13" t="n">
        <f aca="false">SUM(K55:T55)</f>
        <v>6521.3</v>
      </c>
      <c r="J55" s="13" t="n">
        <f aca="false">F55-(G55+H55+I55)</f>
        <v>0.0400000000008731</v>
      </c>
      <c r="K55" s="13" t="n">
        <v>652.13</v>
      </c>
      <c r="L55" s="13" t="n">
        <v>652.13</v>
      </c>
      <c r="M55" s="13" t="n">
        <v>652.13</v>
      </c>
      <c r="N55" s="13" t="n">
        <v>652.13</v>
      </c>
      <c r="O55" s="13" t="n">
        <v>652.13</v>
      </c>
      <c r="P55" s="13" t="n">
        <v>652.13</v>
      </c>
      <c r="Q55" s="13" t="n">
        <v>652.13</v>
      </c>
      <c r="R55" s="13" t="n">
        <v>652.13</v>
      </c>
      <c r="S55" s="13" t="n">
        <v>652.13</v>
      </c>
      <c r="T55" s="13" t="n">
        <v>652.13</v>
      </c>
      <c r="U55" s="13" t="n">
        <v>350</v>
      </c>
      <c r="V55" s="13" t="n">
        <v>0</v>
      </c>
      <c r="W55" s="13" t="n">
        <f aca="false">U55+V55</f>
        <v>350</v>
      </c>
    </row>
    <row r="56" customFormat="false" ht="15" hidden="false" customHeight="false" outlineLevel="0" collapsed="false">
      <c r="A56" s="14" t="s">
        <v>1910</v>
      </c>
      <c r="B56" s="14" t="s">
        <v>1848</v>
      </c>
      <c r="C56" s="14" t="s">
        <v>436</v>
      </c>
      <c r="D56" s="14" t="s">
        <v>430</v>
      </c>
      <c r="E56" s="15" t="n">
        <v>940000</v>
      </c>
      <c r="F56" s="15" t="n">
        <v>14665.56</v>
      </c>
      <c r="G56" s="15" t="n">
        <v>1833.19</v>
      </c>
      <c r="H56" s="15" t="n">
        <v>1833.19</v>
      </c>
      <c r="I56" s="15" t="n">
        <f aca="false">SUM(K56:T56)</f>
        <v>10999.2</v>
      </c>
      <c r="J56" s="15" t="n">
        <f aca="false">F56-(G56+H56+I56)</f>
        <v>-0.0200000000022555</v>
      </c>
      <c r="K56" s="15" t="n">
        <v>1099.92</v>
      </c>
      <c r="L56" s="15" t="n">
        <v>1099.92</v>
      </c>
      <c r="M56" s="15" t="n">
        <v>1099.92</v>
      </c>
      <c r="N56" s="15" t="n">
        <v>1099.92</v>
      </c>
      <c r="O56" s="15" t="n">
        <v>1099.92</v>
      </c>
      <c r="P56" s="15" t="n">
        <v>1099.92</v>
      </c>
      <c r="Q56" s="15" t="n">
        <v>1099.92</v>
      </c>
      <c r="R56" s="15" t="n">
        <v>1099.92</v>
      </c>
      <c r="S56" s="15" t="n">
        <v>1099.92</v>
      </c>
      <c r="T56" s="15" t="n">
        <v>1099.92</v>
      </c>
      <c r="U56" s="15" t="n">
        <v>350</v>
      </c>
      <c r="V56" s="15" t="n">
        <v>0</v>
      </c>
      <c r="W56" s="15" t="n">
        <f aca="false">U56+V56</f>
        <v>350</v>
      </c>
    </row>
    <row r="57" customFormat="false" ht="15" hidden="false" customHeight="false" outlineLevel="0" collapsed="false">
      <c r="A57" s="3" t="s">
        <v>1911</v>
      </c>
      <c r="B57" s="3" t="s">
        <v>1892</v>
      </c>
      <c r="C57" s="3" t="s">
        <v>243</v>
      </c>
      <c r="D57" s="3" t="s">
        <v>85</v>
      </c>
      <c r="E57" s="13" t="n">
        <v>385000</v>
      </c>
      <c r="F57" s="13" t="n">
        <v>10209.05</v>
      </c>
      <c r="G57" s="13" t="n">
        <v>1276.13</v>
      </c>
      <c r="H57" s="13" t="n">
        <v>1276.13</v>
      </c>
      <c r="I57" s="13" t="n">
        <f aca="false">SUM(K57:T57)</f>
        <v>7656.8</v>
      </c>
      <c r="J57" s="13" t="n">
        <f aca="false">F57-(G57+H57+I57)</f>
        <v>-0.0100000000020373</v>
      </c>
      <c r="K57" s="13" t="n">
        <v>765.68</v>
      </c>
      <c r="L57" s="13" t="n">
        <v>765.68</v>
      </c>
      <c r="M57" s="13" t="n">
        <v>765.68</v>
      </c>
      <c r="N57" s="13" t="n">
        <v>765.68</v>
      </c>
      <c r="O57" s="13" t="n">
        <v>765.68</v>
      </c>
      <c r="P57" s="13" t="n">
        <v>765.68</v>
      </c>
      <c r="Q57" s="13" t="n">
        <v>765.68</v>
      </c>
      <c r="R57" s="13" t="n">
        <v>765.68</v>
      </c>
      <c r="S57" s="13" t="n">
        <v>765.68</v>
      </c>
      <c r="T57" s="13" t="n">
        <v>765.68</v>
      </c>
      <c r="U57" s="13" t="n">
        <v>350</v>
      </c>
      <c r="V57" s="13" t="n">
        <v>0</v>
      </c>
      <c r="W57" s="13" t="n">
        <f aca="false">U57+V57</f>
        <v>350</v>
      </c>
    </row>
    <row r="58" customFormat="false" ht="15" hidden="false" customHeight="false" outlineLevel="0" collapsed="false">
      <c r="A58" s="14" t="s">
        <v>1912</v>
      </c>
      <c r="B58" s="14" t="s">
        <v>1843</v>
      </c>
      <c r="C58" s="14" t="s">
        <v>281</v>
      </c>
      <c r="D58" s="14" t="s">
        <v>132</v>
      </c>
      <c r="E58" s="15" t="n">
        <v>1160000</v>
      </c>
      <c r="F58" s="15" t="n">
        <v>15394.29</v>
      </c>
      <c r="G58" s="15" t="n">
        <v>1924.29</v>
      </c>
      <c r="H58" s="15" t="n">
        <v>1924.29</v>
      </c>
      <c r="I58" s="15" t="n">
        <f aca="false">SUM(K58:T58)</f>
        <v>11545.7</v>
      </c>
      <c r="J58" s="15" t="n">
        <f aca="false">F58-(G58+H58+I58)</f>
        <v>0.0100000000020373</v>
      </c>
      <c r="K58" s="15" t="n">
        <v>1154.57</v>
      </c>
      <c r="L58" s="15" t="n">
        <v>1154.57</v>
      </c>
      <c r="M58" s="15" t="n">
        <v>1154.57</v>
      </c>
      <c r="N58" s="15" t="n">
        <v>1154.57</v>
      </c>
      <c r="O58" s="15" t="n">
        <v>1154.57</v>
      </c>
      <c r="P58" s="15" t="n">
        <v>1154.57</v>
      </c>
      <c r="Q58" s="15" t="n">
        <v>1154.57</v>
      </c>
      <c r="R58" s="15" t="n">
        <v>1154.57</v>
      </c>
      <c r="S58" s="15" t="n">
        <v>1154.57</v>
      </c>
      <c r="T58" s="15" t="n">
        <v>1154.57</v>
      </c>
      <c r="U58" s="15" t="n">
        <v>350</v>
      </c>
      <c r="V58" s="15" t="n">
        <v>250</v>
      </c>
      <c r="W58" s="15" t="n">
        <f aca="false">U58+V58</f>
        <v>600</v>
      </c>
    </row>
    <row r="59" customFormat="false" ht="15" hidden="false" customHeight="false" outlineLevel="0" collapsed="false">
      <c r="A59" s="3" t="s">
        <v>1913</v>
      </c>
      <c r="B59" s="3" t="s">
        <v>1837</v>
      </c>
      <c r="C59" s="3" t="s">
        <v>1492</v>
      </c>
      <c r="D59" s="3" t="s">
        <v>115</v>
      </c>
      <c r="E59" s="13" t="n">
        <v>710000</v>
      </c>
      <c r="F59" s="13" t="n">
        <v>14769.57</v>
      </c>
      <c r="G59" s="13" t="n">
        <v>1846.2</v>
      </c>
      <c r="H59" s="13" t="n">
        <v>1846.2</v>
      </c>
      <c r="I59" s="13" t="n">
        <f aca="false">SUM(K59:T59)</f>
        <v>11077.2</v>
      </c>
      <c r="J59" s="13" t="n">
        <f aca="false">F59-(G59+H59+I59)</f>
        <v>-0.0299999999988358</v>
      </c>
      <c r="K59" s="13" t="n">
        <v>1107.72</v>
      </c>
      <c r="L59" s="13" t="n">
        <v>1107.72</v>
      </c>
      <c r="M59" s="13" t="n">
        <v>1107.72</v>
      </c>
      <c r="N59" s="13" t="n">
        <v>1107.72</v>
      </c>
      <c r="O59" s="13" t="n">
        <v>1107.72</v>
      </c>
      <c r="P59" s="13" t="n">
        <v>1107.72</v>
      </c>
      <c r="Q59" s="13" t="n">
        <v>1107.72</v>
      </c>
      <c r="R59" s="13" t="n">
        <v>1107.72</v>
      </c>
      <c r="S59" s="13" t="n">
        <v>1107.72</v>
      </c>
      <c r="T59" s="13" t="n">
        <v>1107.72</v>
      </c>
      <c r="U59" s="13" t="n">
        <v>350</v>
      </c>
      <c r="V59" s="13" t="n">
        <v>0</v>
      </c>
      <c r="W59" s="13" t="n">
        <f aca="false">U59+V59</f>
        <v>350</v>
      </c>
    </row>
    <row r="60" customFormat="false" ht="15" hidden="false" customHeight="false" outlineLevel="0" collapsed="false">
      <c r="A60" s="14" t="s">
        <v>1914</v>
      </c>
      <c r="B60" s="14" t="s">
        <v>1871</v>
      </c>
      <c r="C60" s="14" t="s">
        <v>1561</v>
      </c>
      <c r="D60" s="14" t="s">
        <v>382</v>
      </c>
      <c r="E60" s="15" t="n">
        <v>380000</v>
      </c>
      <c r="F60" s="15" t="n">
        <v>6212.93</v>
      </c>
      <c r="G60" s="15" t="n">
        <v>776.62</v>
      </c>
      <c r="H60" s="15" t="n">
        <v>776.62</v>
      </c>
      <c r="I60" s="15" t="n">
        <f aca="false">SUM(K60:T60)</f>
        <v>4659.7</v>
      </c>
      <c r="J60" s="15" t="n">
        <f aca="false">F60-(G60+H60+I60)</f>
        <v>-0.0100000000002183</v>
      </c>
      <c r="K60" s="15" t="n">
        <v>465.97</v>
      </c>
      <c r="L60" s="15" t="n">
        <v>465.97</v>
      </c>
      <c r="M60" s="15" t="n">
        <v>465.97</v>
      </c>
      <c r="N60" s="15" t="n">
        <v>465.97</v>
      </c>
      <c r="O60" s="15" t="n">
        <v>465.97</v>
      </c>
      <c r="P60" s="15" t="n">
        <v>465.97</v>
      </c>
      <c r="Q60" s="15" t="n">
        <v>465.97</v>
      </c>
      <c r="R60" s="15" t="n">
        <v>465.97</v>
      </c>
      <c r="S60" s="15" t="n">
        <v>465.97</v>
      </c>
      <c r="T60" s="15" t="n">
        <v>465.97</v>
      </c>
      <c r="U60" s="15" t="n">
        <v>350</v>
      </c>
      <c r="V60" s="15" t="n">
        <v>0</v>
      </c>
      <c r="W60" s="15" t="n">
        <f aca="false">U60+V60</f>
        <v>350</v>
      </c>
    </row>
    <row r="61" customFormat="false" ht="15" hidden="false" customHeight="false" outlineLevel="0" collapsed="false">
      <c r="A61" s="3" t="s">
        <v>1915</v>
      </c>
      <c r="B61" s="3" t="s">
        <v>1839</v>
      </c>
      <c r="C61" s="3" t="s">
        <v>287</v>
      </c>
      <c r="D61" s="3" t="s">
        <v>193</v>
      </c>
      <c r="E61" s="13" t="n">
        <v>395000</v>
      </c>
      <c r="F61" s="13" t="n">
        <v>6143</v>
      </c>
      <c r="G61" s="13" t="n">
        <v>767.88</v>
      </c>
      <c r="H61" s="13" t="n">
        <v>767.88</v>
      </c>
      <c r="I61" s="13" t="n">
        <f aca="false">SUM(K61:T61)</f>
        <v>4607.2</v>
      </c>
      <c r="J61" s="13" t="n">
        <f aca="false">F61-(G61+H61+I61)</f>
        <v>0.0399999999990541</v>
      </c>
      <c r="K61" s="13" t="n">
        <v>460.72</v>
      </c>
      <c r="L61" s="13" t="n">
        <v>460.72</v>
      </c>
      <c r="M61" s="13" t="n">
        <v>460.72</v>
      </c>
      <c r="N61" s="13" t="n">
        <v>460.72</v>
      </c>
      <c r="O61" s="13" t="n">
        <v>460.72</v>
      </c>
      <c r="P61" s="13" t="n">
        <v>460.72</v>
      </c>
      <c r="Q61" s="13" t="n">
        <v>460.72</v>
      </c>
      <c r="R61" s="13" t="n">
        <v>460.72</v>
      </c>
      <c r="S61" s="13" t="n">
        <v>460.72</v>
      </c>
      <c r="T61" s="13" t="n">
        <v>460.72</v>
      </c>
      <c r="U61" s="13" t="n">
        <v>350</v>
      </c>
      <c r="V61" s="13" t="n">
        <v>0</v>
      </c>
      <c r="W61" s="13" t="n">
        <f aca="false">U61+V61</f>
        <v>350</v>
      </c>
    </row>
    <row r="62" customFormat="false" ht="15" hidden="false" customHeight="false" outlineLevel="0" collapsed="false">
      <c r="A62" s="14" t="s">
        <v>1916</v>
      </c>
      <c r="B62" s="14" t="s">
        <v>1848</v>
      </c>
      <c r="C62" s="14" t="s">
        <v>1148</v>
      </c>
      <c r="D62" s="14" t="s">
        <v>115</v>
      </c>
      <c r="E62" s="15" t="n">
        <v>1705000</v>
      </c>
      <c r="F62" s="15" t="n">
        <v>20533.96</v>
      </c>
      <c r="G62" s="15" t="n">
        <v>2566.74</v>
      </c>
      <c r="H62" s="15" t="n">
        <v>2566.74</v>
      </c>
      <c r="I62" s="15" t="n">
        <f aca="false">SUM(K62:T62)</f>
        <v>15400.5</v>
      </c>
      <c r="J62" s="15" t="n">
        <f aca="false">F62-(G62+H62+I62)</f>
        <v>-0.0199999999967986</v>
      </c>
      <c r="K62" s="15" t="n">
        <v>1540.05</v>
      </c>
      <c r="L62" s="15" t="n">
        <v>1540.05</v>
      </c>
      <c r="M62" s="15" t="n">
        <v>1540.05</v>
      </c>
      <c r="N62" s="15" t="n">
        <v>1540.05</v>
      </c>
      <c r="O62" s="15" t="n">
        <v>1540.05</v>
      </c>
      <c r="P62" s="15" t="n">
        <v>1540.05</v>
      </c>
      <c r="Q62" s="15" t="n">
        <v>1540.05</v>
      </c>
      <c r="R62" s="15" t="n">
        <v>1540.05</v>
      </c>
      <c r="S62" s="15" t="n">
        <v>1540.05</v>
      </c>
      <c r="T62" s="15" t="n">
        <v>1540.05</v>
      </c>
      <c r="U62" s="15" t="n">
        <v>350</v>
      </c>
      <c r="V62" s="15" t="n">
        <v>250</v>
      </c>
      <c r="W62" s="15" t="n">
        <f aca="false">U62+V62</f>
        <v>600</v>
      </c>
    </row>
    <row r="63" customFormat="false" ht="15" hidden="false" customHeight="false" outlineLevel="0" collapsed="false">
      <c r="A63" s="3" t="s">
        <v>1917</v>
      </c>
      <c r="B63" s="3" t="s">
        <v>1902</v>
      </c>
      <c r="C63" s="3" t="s">
        <v>677</v>
      </c>
      <c r="D63" s="3" t="s">
        <v>125</v>
      </c>
      <c r="E63" s="13" t="n">
        <v>640000</v>
      </c>
      <c r="F63" s="13" t="n">
        <v>6624.85</v>
      </c>
      <c r="G63" s="13" t="n">
        <v>828.11</v>
      </c>
      <c r="H63" s="13" t="n">
        <v>828.11</v>
      </c>
      <c r="I63" s="13" t="n">
        <f aca="false">SUM(K63:T63)</f>
        <v>4968.6</v>
      </c>
      <c r="J63" s="13" t="n">
        <f aca="false">F63-(G63+H63+I63)</f>
        <v>0.0300000000006548</v>
      </c>
      <c r="K63" s="13" t="n">
        <v>496.86</v>
      </c>
      <c r="L63" s="13" t="n">
        <v>496.86</v>
      </c>
      <c r="M63" s="13" t="n">
        <v>496.86</v>
      </c>
      <c r="N63" s="13" t="n">
        <v>496.86</v>
      </c>
      <c r="O63" s="13" t="n">
        <v>496.86</v>
      </c>
      <c r="P63" s="13" t="n">
        <v>496.86</v>
      </c>
      <c r="Q63" s="13" t="n">
        <v>496.86</v>
      </c>
      <c r="R63" s="13" t="n">
        <v>496.86</v>
      </c>
      <c r="S63" s="13" t="n">
        <v>496.86</v>
      </c>
      <c r="T63" s="13" t="n">
        <v>496.86</v>
      </c>
      <c r="U63" s="13" t="n">
        <v>350</v>
      </c>
      <c r="V63" s="13" t="n">
        <v>0</v>
      </c>
      <c r="W63" s="13" t="n">
        <f aca="false">U63+V63</f>
        <v>350</v>
      </c>
    </row>
    <row r="64" customFormat="false" ht="15" hidden="false" customHeight="false" outlineLevel="0" collapsed="false">
      <c r="A64" s="14" t="s">
        <v>1918</v>
      </c>
      <c r="B64" s="14" t="s">
        <v>1880</v>
      </c>
      <c r="C64" s="14" t="s">
        <v>1156</v>
      </c>
      <c r="D64" s="14" t="s">
        <v>193</v>
      </c>
      <c r="E64" s="15" t="n">
        <v>285000</v>
      </c>
      <c r="F64" s="15" t="n">
        <v>6796.17</v>
      </c>
      <c r="G64" s="15" t="n">
        <v>849.52</v>
      </c>
      <c r="H64" s="15" t="n">
        <v>849.52</v>
      </c>
      <c r="I64" s="15" t="n">
        <f aca="false">SUM(K64:T64)</f>
        <v>5097.1</v>
      </c>
      <c r="J64" s="15" t="n">
        <f aca="false">F64-(G64+H64+I64)</f>
        <v>0.0300000000006548</v>
      </c>
      <c r="K64" s="15" t="n">
        <v>509.71</v>
      </c>
      <c r="L64" s="15" t="n">
        <v>509.71</v>
      </c>
      <c r="M64" s="15" t="n">
        <v>509.71</v>
      </c>
      <c r="N64" s="15" t="n">
        <v>509.71</v>
      </c>
      <c r="O64" s="15" t="n">
        <v>509.71</v>
      </c>
      <c r="P64" s="15" t="n">
        <v>509.71</v>
      </c>
      <c r="Q64" s="15" t="n">
        <v>509.71</v>
      </c>
      <c r="R64" s="15" t="n">
        <v>509.71</v>
      </c>
      <c r="S64" s="15" t="n">
        <v>509.71</v>
      </c>
      <c r="T64" s="15" t="n">
        <v>509.71</v>
      </c>
      <c r="U64" s="15" t="n">
        <v>350</v>
      </c>
      <c r="V64" s="15" t="n">
        <v>0</v>
      </c>
      <c r="W64" s="15" t="n">
        <f aca="false">U64+V64</f>
        <v>350</v>
      </c>
    </row>
    <row r="65" customFormat="false" ht="15" hidden="false" customHeight="false" outlineLevel="0" collapsed="false">
      <c r="A65" s="3" t="s">
        <v>1919</v>
      </c>
      <c r="B65" s="3" t="s">
        <v>1876</v>
      </c>
      <c r="C65" s="3" t="s">
        <v>389</v>
      </c>
      <c r="D65" s="3" t="s">
        <v>298</v>
      </c>
      <c r="E65" s="13" t="n">
        <v>515000</v>
      </c>
      <c r="F65" s="13" t="n">
        <v>6996.86</v>
      </c>
      <c r="G65" s="13" t="n">
        <v>874.61</v>
      </c>
      <c r="H65" s="13" t="n">
        <v>874.61</v>
      </c>
      <c r="I65" s="13" t="n">
        <f aca="false">SUM(K65:T65)</f>
        <v>5247.6</v>
      </c>
      <c r="J65" s="13" t="n">
        <f aca="false">F65-(G65+H65+I65)</f>
        <v>0.0399999999990541</v>
      </c>
      <c r="K65" s="13" t="n">
        <v>524.76</v>
      </c>
      <c r="L65" s="13" t="n">
        <v>524.76</v>
      </c>
      <c r="M65" s="13" t="n">
        <v>524.76</v>
      </c>
      <c r="N65" s="13" t="n">
        <v>524.76</v>
      </c>
      <c r="O65" s="13" t="n">
        <v>524.76</v>
      </c>
      <c r="P65" s="13" t="n">
        <v>524.76</v>
      </c>
      <c r="Q65" s="13" t="n">
        <v>524.76</v>
      </c>
      <c r="R65" s="13" t="n">
        <v>524.76</v>
      </c>
      <c r="S65" s="13" t="n">
        <v>524.76</v>
      </c>
      <c r="T65" s="13" t="n">
        <v>524.76</v>
      </c>
      <c r="U65" s="13" t="n">
        <v>350</v>
      </c>
      <c r="V65" s="13" t="n">
        <v>0</v>
      </c>
      <c r="W65" s="13" t="n">
        <f aca="false">U65+V65</f>
        <v>350</v>
      </c>
    </row>
    <row r="66" customFormat="false" ht="15" hidden="false" customHeight="false" outlineLevel="0" collapsed="false">
      <c r="A66" s="14" t="s">
        <v>1920</v>
      </c>
      <c r="B66" s="14" t="s">
        <v>1921</v>
      </c>
      <c r="C66" s="14" t="s">
        <v>535</v>
      </c>
      <c r="D66" s="14" t="s">
        <v>298</v>
      </c>
      <c r="E66" s="15" t="n">
        <v>1530000</v>
      </c>
      <c r="F66" s="15" t="n">
        <v>12152.27</v>
      </c>
      <c r="G66" s="15" t="n">
        <v>1519.03</v>
      </c>
      <c r="H66" s="15" t="n">
        <v>1519.03</v>
      </c>
      <c r="I66" s="15" t="n">
        <f aca="false">SUM(K66:T66)</f>
        <v>9114.2</v>
      </c>
      <c r="J66" s="15" t="n">
        <f aca="false">F66-(G66+H66+I66)</f>
        <v>0.0100000000020373</v>
      </c>
      <c r="K66" s="15" t="n">
        <v>911.42</v>
      </c>
      <c r="L66" s="15" t="n">
        <v>911.42</v>
      </c>
      <c r="M66" s="15" t="n">
        <v>911.42</v>
      </c>
      <c r="N66" s="15" t="n">
        <v>911.42</v>
      </c>
      <c r="O66" s="15" t="n">
        <v>911.42</v>
      </c>
      <c r="P66" s="15" t="n">
        <v>911.42</v>
      </c>
      <c r="Q66" s="15" t="n">
        <v>911.42</v>
      </c>
      <c r="R66" s="15" t="n">
        <v>911.42</v>
      </c>
      <c r="S66" s="15" t="n">
        <v>911.42</v>
      </c>
      <c r="T66" s="15" t="n">
        <v>911.42</v>
      </c>
      <c r="U66" s="15" t="n">
        <v>350</v>
      </c>
      <c r="V66" s="15" t="n">
        <v>250</v>
      </c>
      <c r="W66" s="15" t="n">
        <f aca="false">U66+V66</f>
        <v>600</v>
      </c>
    </row>
    <row r="67" customFormat="false" ht="15" hidden="false" customHeight="false" outlineLevel="0" collapsed="false">
      <c r="A67" s="3" t="s">
        <v>1922</v>
      </c>
      <c r="B67" s="3" t="s">
        <v>1837</v>
      </c>
      <c r="C67" s="3" t="s">
        <v>1682</v>
      </c>
      <c r="D67" s="3" t="s">
        <v>352</v>
      </c>
      <c r="E67" s="13" t="n">
        <v>440000</v>
      </c>
      <c r="F67" s="13" t="n">
        <v>6185.92</v>
      </c>
      <c r="G67" s="13" t="n">
        <v>773.24</v>
      </c>
      <c r="H67" s="13" t="n">
        <v>773.24</v>
      </c>
      <c r="I67" s="13" t="n">
        <f aca="false">SUM(K67:T67)</f>
        <v>4639.4</v>
      </c>
      <c r="J67" s="13" t="n">
        <f aca="false">F67-(G67+H67+I67)</f>
        <v>0.0400000000008731</v>
      </c>
      <c r="K67" s="13" t="n">
        <v>463.94</v>
      </c>
      <c r="L67" s="13" t="n">
        <v>463.94</v>
      </c>
      <c r="M67" s="13" t="n">
        <v>463.94</v>
      </c>
      <c r="N67" s="13" t="n">
        <v>463.94</v>
      </c>
      <c r="O67" s="13" t="n">
        <v>463.94</v>
      </c>
      <c r="P67" s="13" t="n">
        <v>463.94</v>
      </c>
      <c r="Q67" s="13" t="n">
        <v>463.94</v>
      </c>
      <c r="R67" s="13" t="n">
        <v>463.94</v>
      </c>
      <c r="S67" s="13" t="n">
        <v>463.94</v>
      </c>
      <c r="T67" s="13" t="n">
        <v>463.94</v>
      </c>
      <c r="U67" s="13" t="n">
        <v>350</v>
      </c>
      <c r="V67" s="13" t="n">
        <v>0</v>
      </c>
      <c r="W67" s="13" t="n">
        <f aca="false">U67+V67</f>
        <v>350</v>
      </c>
    </row>
    <row r="68" customFormat="false" ht="15" hidden="false" customHeight="false" outlineLevel="0" collapsed="false">
      <c r="A68" s="14" t="s">
        <v>1923</v>
      </c>
      <c r="B68" s="14" t="s">
        <v>1839</v>
      </c>
      <c r="C68" s="14" t="s">
        <v>272</v>
      </c>
      <c r="D68" s="14" t="s">
        <v>132</v>
      </c>
      <c r="E68" s="15" t="n">
        <v>975000</v>
      </c>
      <c r="F68" s="15" t="n">
        <v>15365.27</v>
      </c>
      <c r="G68" s="15" t="n">
        <v>1920.66</v>
      </c>
      <c r="H68" s="15" t="n">
        <v>1920.66</v>
      </c>
      <c r="I68" s="15" t="n">
        <f aca="false">SUM(K68:T68)</f>
        <v>11524</v>
      </c>
      <c r="J68" s="15" t="n">
        <f aca="false">F68-(G68+H68+I68)</f>
        <v>-0.0499999999992724</v>
      </c>
      <c r="K68" s="15" t="n">
        <v>1152.4</v>
      </c>
      <c r="L68" s="15" t="n">
        <v>1152.4</v>
      </c>
      <c r="M68" s="15" t="n">
        <v>1152.4</v>
      </c>
      <c r="N68" s="15" t="n">
        <v>1152.4</v>
      </c>
      <c r="O68" s="15" t="n">
        <v>1152.4</v>
      </c>
      <c r="P68" s="15" t="n">
        <v>1152.4</v>
      </c>
      <c r="Q68" s="15" t="n">
        <v>1152.4</v>
      </c>
      <c r="R68" s="15" t="n">
        <v>1152.4</v>
      </c>
      <c r="S68" s="15" t="n">
        <v>1152.4</v>
      </c>
      <c r="T68" s="15" t="n">
        <v>1152.4</v>
      </c>
      <c r="U68" s="15" t="n">
        <v>350</v>
      </c>
      <c r="V68" s="15" t="n">
        <v>0</v>
      </c>
      <c r="W68" s="15" t="n">
        <f aca="false">U68+V68</f>
        <v>350</v>
      </c>
    </row>
    <row r="69" customFormat="false" ht="15" hidden="false" customHeight="false" outlineLevel="0" collapsed="false">
      <c r="A69" s="3" t="s">
        <v>1924</v>
      </c>
      <c r="B69" s="3" t="s">
        <v>1925</v>
      </c>
      <c r="C69" s="3" t="s">
        <v>957</v>
      </c>
      <c r="D69" s="3" t="s">
        <v>69</v>
      </c>
      <c r="E69" s="13" t="n">
        <v>475000</v>
      </c>
      <c r="F69" s="13" t="n">
        <v>5732.43</v>
      </c>
      <c r="G69" s="13" t="n">
        <v>716.55</v>
      </c>
      <c r="H69" s="13" t="n">
        <v>716.55</v>
      </c>
      <c r="I69" s="13" t="n">
        <f aca="false">SUM(K69:T69)</f>
        <v>4299.3</v>
      </c>
      <c r="J69" s="13" t="n">
        <f aca="false">F69-(G69+H69+I69)</f>
        <v>0.0300000000006548</v>
      </c>
      <c r="K69" s="13" t="n">
        <v>429.93</v>
      </c>
      <c r="L69" s="13" t="n">
        <v>429.93</v>
      </c>
      <c r="M69" s="13" t="n">
        <v>429.93</v>
      </c>
      <c r="N69" s="13" t="n">
        <v>429.93</v>
      </c>
      <c r="O69" s="13" t="n">
        <v>429.93</v>
      </c>
      <c r="P69" s="13" t="n">
        <v>429.93</v>
      </c>
      <c r="Q69" s="13" t="n">
        <v>429.93</v>
      </c>
      <c r="R69" s="13" t="n">
        <v>429.93</v>
      </c>
      <c r="S69" s="13" t="n">
        <v>429.93</v>
      </c>
      <c r="T69" s="13" t="n">
        <v>429.93</v>
      </c>
      <c r="U69" s="13" t="n">
        <v>350</v>
      </c>
      <c r="V69" s="13" t="n">
        <v>0</v>
      </c>
      <c r="W69" s="13" t="n">
        <f aca="false">U69+V69</f>
        <v>350</v>
      </c>
    </row>
    <row r="70" customFormat="false" ht="15" hidden="false" customHeight="false" outlineLevel="0" collapsed="false">
      <c r="A70" s="14" t="s">
        <v>1926</v>
      </c>
      <c r="B70" s="14" t="s">
        <v>1848</v>
      </c>
      <c r="C70" s="14" t="s">
        <v>660</v>
      </c>
      <c r="D70" s="14" t="s">
        <v>132</v>
      </c>
      <c r="E70" s="15" t="n">
        <v>415000</v>
      </c>
      <c r="F70" s="15" t="n">
        <v>5163.23</v>
      </c>
      <c r="G70" s="15" t="n">
        <v>645.4</v>
      </c>
      <c r="H70" s="15" t="n">
        <v>645.4</v>
      </c>
      <c r="I70" s="15" t="n">
        <f aca="false">SUM(K70:T70)</f>
        <v>3872.4</v>
      </c>
      <c r="J70" s="15" t="n">
        <f aca="false">F70-(G70+H70+I70)</f>
        <v>0.0299999999997453</v>
      </c>
      <c r="K70" s="15" t="n">
        <v>387.24</v>
      </c>
      <c r="L70" s="15" t="n">
        <v>387.24</v>
      </c>
      <c r="M70" s="15" t="n">
        <v>387.24</v>
      </c>
      <c r="N70" s="15" t="n">
        <v>387.24</v>
      </c>
      <c r="O70" s="15" t="n">
        <v>387.24</v>
      </c>
      <c r="P70" s="15" t="n">
        <v>387.24</v>
      </c>
      <c r="Q70" s="15" t="n">
        <v>387.24</v>
      </c>
      <c r="R70" s="15" t="n">
        <v>387.24</v>
      </c>
      <c r="S70" s="15" t="n">
        <v>387.24</v>
      </c>
      <c r="T70" s="15" t="n">
        <v>387.24</v>
      </c>
      <c r="U70" s="15" t="n">
        <v>350</v>
      </c>
      <c r="V70" s="15" t="n">
        <v>0</v>
      </c>
      <c r="W70" s="15" t="n">
        <f aca="false">U70+V70</f>
        <v>350</v>
      </c>
    </row>
    <row r="71" customFormat="false" ht="15" hidden="false" customHeight="false" outlineLevel="0" collapsed="false">
      <c r="A71" s="3" t="s">
        <v>1927</v>
      </c>
      <c r="B71" s="3" t="s">
        <v>1848</v>
      </c>
      <c r="C71" s="3" t="s">
        <v>379</v>
      </c>
      <c r="D71" s="3" t="s">
        <v>89</v>
      </c>
      <c r="E71" s="13" t="n">
        <v>485000</v>
      </c>
      <c r="F71" s="13" t="n">
        <v>8146.08</v>
      </c>
      <c r="G71" s="13" t="n">
        <v>1018.26</v>
      </c>
      <c r="H71" s="13" t="n">
        <v>1018.26</v>
      </c>
      <c r="I71" s="13" t="n">
        <f aca="false">SUM(K71:T71)</f>
        <v>6109.6</v>
      </c>
      <c r="J71" s="13" t="n">
        <f aca="false">F71-(G71+H71+I71)</f>
        <v>-0.0400000000008731</v>
      </c>
      <c r="K71" s="13" t="n">
        <v>610.96</v>
      </c>
      <c r="L71" s="13" t="n">
        <v>610.96</v>
      </c>
      <c r="M71" s="13" t="n">
        <v>610.96</v>
      </c>
      <c r="N71" s="13" t="n">
        <v>610.96</v>
      </c>
      <c r="O71" s="13" t="n">
        <v>610.96</v>
      </c>
      <c r="P71" s="13" t="n">
        <v>610.96</v>
      </c>
      <c r="Q71" s="13" t="n">
        <v>610.96</v>
      </c>
      <c r="R71" s="13" t="n">
        <v>610.96</v>
      </c>
      <c r="S71" s="13" t="n">
        <v>610.96</v>
      </c>
      <c r="T71" s="13" t="n">
        <v>610.96</v>
      </c>
      <c r="U71" s="13" t="n">
        <v>350</v>
      </c>
      <c r="V71" s="13" t="n">
        <v>0</v>
      </c>
      <c r="W71" s="13" t="n">
        <f aca="false">U71+V71</f>
        <v>350</v>
      </c>
    </row>
    <row r="72" customFormat="false" ht="15" hidden="false" customHeight="false" outlineLevel="0" collapsed="false">
      <c r="A72" s="14" t="s">
        <v>1928</v>
      </c>
      <c r="B72" s="14" t="s">
        <v>1895</v>
      </c>
      <c r="C72" s="14" t="s">
        <v>1929</v>
      </c>
      <c r="D72" s="14" t="s">
        <v>338</v>
      </c>
      <c r="E72" s="15" t="n">
        <v>770000</v>
      </c>
      <c r="F72" s="15" t="n">
        <v>10295.26</v>
      </c>
      <c r="G72" s="15" t="n">
        <v>1286.91</v>
      </c>
      <c r="H72" s="15" t="n">
        <v>1286.91</v>
      </c>
      <c r="I72" s="15" t="n">
        <f aca="false">SUM(K72:T72)</f>
        <v>7721.4</v>
      </c>
      <c r="J72" s="15" t="n">
        <f aca="false">F72-(G72+H72+I72)</f>
        <v>0.0399999999990541</v>
      </c>
      <c r="K72" s="15" t="n">
        <v>772.14</v>
      </c>
      <c r="L72" s="15" t="n">
        <v>772.14</v>
      </c>
      <c r="M72" s="15" t="n">
        <v>772.14</v>
      </c>
      <c r="N72" s="15" t="n">
        <v>772.14</v>
      </c>
      <c r="O72" s="15" t="n">
        <v>772.14</v>
      </c>
      <c r="P72" s="15" t="n">
        <v>772.14</v>
      </c>
      <c r="Q72" s="15" t="n">
        <v>772.14</v>
      </c>
      <c r="R72" s="15" t="n">
        <v>772.14</v>
      </c>
      <c r="S72" s="15" t="n">
        <v>772.14</v>
      </c>
      <c r="T72" s="15" t="n">
        <v>772.14</v>
      </c>
      <c r="U72" s="15" t="n">
        <v>350</v>
      </c>
      <c r="V72" s="15" t="n">
        <v>0</v>
      </c>
      <c r="W72" s="15" t="n">
        <f aca="false">U72+V72</f>
        <v>350</v>
      </c>
    </row>
    <row r="73" customFormat="false" ht="15" hidden="false" customHeight="false" outlineLevel="0" collapsed="false">
      <c r="A73" s="3" t="s">
        <v>1930</v>
      </c>
      <c r="B73" s="3" t="s">
        <v>1837</v>
      </c>
      <c r="C73" s="3" t="s">
        <v>1931</v>
      </c>
      <c r="D73" s="3" t="s">
        <v>112</v>
      </c>
      <c r="E73" s="13" t="n">
        <v>645000</v>
      </c>
      <c r="F73" s="13" t="n">
        <v>6607.06</v>
      </c>
      <c r="G73" s="13" t="n">
        <v>825.88</v>
      </c>
      <c r="H73" s="13" t="n">
        <v>825.88</v>
      </c>
      <c r="I73" s="13" t="n">
        <f aca="false">SUM(K73:T73)</f>
        <v>4955.3</v>
      </c>
      <c r="J73" s="13" t="n">
        <f aca="false">F73-(G73+H73+I73)</f>
        <v>0</v>
      </c>
      <c r="K73" s="13" t="n">
        <v>495.53</v>
      </c>
      <c r="L73" s="13" t="n">
        <v>495.53</v>
      </c>
      <c r="M73" s="13" t="n">
        <v>495.53</v>
      </c>
      <c r="N73" s="13" t="n">
        <v>495.53</v>
      </c>
      <c r="O73" s="13" t="n">
        <v>495.53</v>
      </c>
      <c r="P73" s="13" t="n">
        <v>495.53</v>
      </c>
      <c r="Q73" s="13" t="n">
        <v>495.53</v>
      </c>
      <c r="R73" s="13" t="n">
        <v>495.53</v>
      </c>
      <c r="S73" s="13" t="n">
        <v>495.53</v>
      </c>
      <c r="T73" s="13" t="n">
        <v>495.53</v>
      </c>
      <c r="U73" s="13" t="n">
        <v>350</v>
      </c>
      <c r="V73" s="13" t="n">
        <v>0</v>
      </c>
      <c r="W73" s="13" t="n">
        <f aca="false">U73+V73</f>
        <v>350</v>
      </c>
    </row>
    <row r="74" customFormat="false" ht="15" hidden="false" customHeight="false" outlineLevel="0" collapsed="false">
      <c r="A74" s="14" t="s">
        <v>1932</v>
      </c>
      <c r="B74" s="14" t="s">
        <v>1841</v>
      </c>
      <c r="C74" s="14" t="s">
        <v>405</v>
      </c>
      <c r="D74" s="14" t="s">
        <v>352</v>
      </c>
      <c r="E74" s="15" t="n">
        <v>710000</v>
      </c>
      <c r="F74" s="15" t="n">
        <v>8650.91</v>
      </c>
      <c r="G74" s="15" t="n">
        <v>1081.36</v>
      </c>
      <c r="H74" s="15" t="n">
        <v>1081.36</v>
      </c>
      <c r="I74" s="15" t="n">
        <f aca="false">SUM(K74:T74)</f>
        <v>6488.2</v>
      </c>
      <c r="J74" s="15" t="n">
        <f aca="false">F74-(G74+H74+I74)</f>
        <v>-0.0100000000002183</v>
      </c>
      <c r="K74" s="15" t="n">
        <v>648.82</v>
      </c>
      <c r="L74" s="15" t="n">
        <v>648.82</v>
      </c>
      <c r="M74" s="15" t="n">
        <v>648.82</v>
      </c>
      <c r="N74" s="15" t="n">
        <v>648.82</v>
      </c>
      <c r="O74" s="15" t="n">
        <v>648.82</v>
      </c>
      <c r="P74" s="15" t="n">
        <v>648.82</v>
      </c>
      <c r="Q74" s="15" t="n">
        <v>648.82</v>
      </c>
      <c r="R74" s="15" t="n">
        <v>648.82</v>
      </c>
      <c r="S74" s="15" t="n">
        <v>648.82</v>
      </c>
      <c r="T74" s="15" t="n">
        <v>648.82</v>
      </c>
      <c r="U74" s="15" t="n">
        <v>350</v>
      </c>
      <c r="V74" s="15" t="n">
        <v>0</v>
      </c>
      <c r="W74" s="15" t="n">
        <f aca="false">U74+V74</f>
        <v>350</v>
      </c>
    </row>
    <row r="75" customFormat="false" ht="15" hidden="false" customHeight="false" outlineLevel="0" collapsed="false">
      <c r="A75" s="3" t="s">
        <v>1933</v>
      </c>
      <c r="B75" s="3" t="s">
        <v>1934</v>
      </c>
      <c r="C75" s="3" t="s">
        <v>1487</v>
      </c>
      <c r="D75" s="3" t="s">
        <v>430</v>
      </c>
      <c r="E75" s="13" t="n">
        <v>1000000</v>
      </c>
      <c r="F75" s="13" t="n">
        <v>6240.66</v>
      </c>
      <c r="G75" s="13" t="n">
        <v>780.08</v>
      </c>
      <c r="H75" s="13" t="n">
        <v>780.08</v>
      </c>
      <c r="I75" s="13" t="n">
        <f aca="false">SUM(K75:T75)</f>
        <v>4680.5</v>
      </c>
      <c r="J75" s="13" t="n">
        <f aca="false">F75-(G75+H75+I75)</f>
        <v>0</v>
      </c>
      <c r="K75" s="13" t="n">
        <v>468.05</v>
      </c>
      <c r="L75" s="13" t="n">
        <v>468.05</v>
      </c>
      <c r="M75" s="13" t="n">
        <v>468.05</v>
      </c>
      <c r="N75" s="13" t="n">
        <v>468.05</v>
      </c>
      <c r="O75" s="13" t="n">
        <v>468.05</v>
      </c>
      <c r="P75" s="13" t="n">
        <v>468.05</v>
      </c>
      <c r="Q75" s="13" t="n">
        <v>468.05</v>
      </c>
      <c r="R75" s="13" t="n">
        <v>468.05</v>
      </c>
      <c r="S75" s="13" t="n">
        <v>468.05</v>
      </c>
      <c r="T75" s="13" t="n">
        <v>468.05</v>
      </c>
      <c r="U75" s="13" t="n">
        <v>350</v>
      </c>
      <c r="V75" s="13" t="n">
        <v>250</v>
      </c>
      <c r="W75" s="13" t="n">
        <f aca="false">U75+V75</f>
        <v>600</v>
      </c>
    </row>
    <row r="76" customFormat="false" ht="15" hidden="false" customHeight="false" outlineLevel="0" collapsed="false">
      <c r="A76" s="14" t="s">
        <v>1935</v>
      </c>
      <c r="B76" s="14" t="s">
        <v>1936</v>
      </c>
      <c r="C76" s="14" t="s">
        <v>487</v>
      </c>
      <c r="D76" s="14" t="s">
        <v>138</v>
      </c>
      <c r="E76" s="15" t="n">
        <v>640000</v>
      </c>
      <c r="F76" s="15" t="n">
        <v>7936.03</v>
      </c>
      <c r="G76" s="15" t="n">
        <v>992</v>
      </c>
      <c r="H76" s="15" t="n">
        <v>992</v>
      </c>
      <c r="I76" s="15" t="n">
        <f aca="false">SUM(K76:T76)</f>
        <v>5952</v>
      </c>
      <c r="J76" s="15" t="n">
        <f aca="false">F76-(G76+H76+I76)</f>
        <v>0.0299999999997453</v>
      </c>
      <c r="K76" s="15" t="n">
        <v>595.2</v>
      </c>
      <c r="L76" s="15" t="n">
        <v>595.2</v>
      </c>
      <c r="M76" s="15" t="n">
        <v>595.2</v>
      </c>
      <c r="N76" s="15" t="n">
        <v>595.2</v>
      </c>
      <c r="O76" s="15" t="n">
        <v>595.2</v>
      </c>
      <c r="P76" s="15" t="n">
        <v>595.2</v>
      </c>
      <c r="Q76" s="15" t="n">
        <v>595.2</v>
      </c>
      <c r="R76" s="15" t="n">
        <v>595.2</v>
      </c>
      <c r="S76" s="15" t="n">
        <v>595.2</v>
      </c>
      <c r="T76" s="15" t="n">
        <v>595.2</v>
      </c>
      <c r="U76" s="15" t="n">
        <v>350</v>
      </c>
      <c r="V76" s="15" t="n">
        <v>0</v>
      </c>
      <c r="W76" s="15" t="n">
        <f aca="false">U76+V76</f>
        <v>350</v>
      </c>
    </row>
    <row r="77" customFormat="false" ht="15" hidden="false" customHeight="false" outlineLevel="0" collapsed="false">
      <c r="A77" s="3" t="s">
        <v>1937</v>
      </c>
      <c r="B77" s="3" t="s">
        <v>1892</v>
      </c>
      <c r="C77" s="3" t="s">
        <v>1364</v>
      </c>
      <c r="D77" s="3" t="s">
        <v>93</v>
      </c>
      <c r="E77" s="13" t="n">
        <v>545000</v>
      </c>
      <c r="F77" s="13" t="n">
        <v>7521.97</v>
      </c>
      <c r="G77" s="13" t="n">
        <v>940.25</v>
      </c>
      <c r="H77" s="13" t="n">
        <v>940.25</v>
      </c>
      <c r="I77" s="13" t="n">
        <f aca="false">SUM(K77:T77)</f>
        <v>5641.5</v>
      </c>
      <c r="J77" s="13" t="n">
        <f aca="false">F77-(G77+H77+I77)</f>
        <v>-0.0299999999988358</v>
      </c>
      <c r="K77" s="13" t="n">
        <v>564.15</v>
      </c>
      <c r="L77" s="13" t="n">
        <v>564.15</v>
      </c>
      <c r="M77" s="13" t="n">
        <v>564.15</v>
      </c>
      <c r="N77" s="13" t="n">
        <v>564.15</v>
      </c>
      <c r="O77" s="13" t="n">
        <v>564.15</v>
      </c>
      <c r="P77" s="13" t="n">
        <v>564.15</v>
      </c>
      <c r="Q77" s="13" t="n">
        <v>564.15</v>
      </c>
      <c r="R77" s="13" t="n">
        <v>564.15</v>
      </c>
      <c r="S77" s="13" t="n">
        <v>564.15</v>
      </c>
      <c r="T77" s="13" t="n">
        <v>564.15</v>
      </c>
      <c r="U77" s="13" t="n">
        <v>350</v>
      </c>
      <c r="V77" s="13" t="n">
        <v>0</v>
      </c>
      <c r="W77" s="13" t="n">
        <f aca="false">U77+V77</f>
        <v>350</v>
      </c>
    </row>
    <row r="78" customFormat="false" ht="15" hidden="false" customHeight="false" outlineLevel="0" collapsed="false">
      <c r="A78" s="14" t="s">
        <v>1938</v>
      </c>
      <c r="B78" s="14" t="s">
        <v>1885</v>
      </c>
      <c r="C78" s="14" t="s">
        <v>272</v>
      </c>
      <c r="D78" s="14" t="s">
        <v>89</v>
      </c>
      <c r="E78" s="15" t="n">
        <v>810000</v>
      </c>
      <c r="F78" s="15" t="n">
        <v>11790.82</v>
      </c>
      <c r="G78" s="15" t="n">
        <v>1473.85</v>
      </c>
      <c r="H78" s="15" t="n">
        <v>1473.85</v>
      </c>
      <c r="I78" s="15" t="n">
        <f aca="false">SUM(K78:T78)</f>
        <v>8843.1</v>
      </c>
      <c r="J78" s="15" t="n">
        <f aca="false">F78-(G78+H78+I78)</f>
        <v>0.0200000000004366</v>
      </c>
      <c r="K78" s="15" t="n">
        <v>884.31</v>
      </c>
      <c r="L78" s="15" t="n">
        <v>884.31</v>
      </c>
      <c r="M78" s="15" t="n">
        <v>884.31</v>
      </c>
      <c r="N78" s="15" t="n">
        <v>884.31</v>
      </c>
      <c r="O78" s="15" t="n">
        <v>884.31</v>
      </c>
      <c r="P78" s="15" t="n">
        <v>884.31</v>
      </c>
      <c r="Q78" s="15" t="n">
        <v>884.31</v>
      </c>
      <c r="R78" s="15" t="n">
        <v>884.31</v>
      </c>
      <c r="S78" s="15" t="n">
        <v>884.31</v>
      </c>
      <c r="T78" s="15" t="n">
        <v>884.31</v>
      </c>
      <c r="U78" s="15" t="n">
        <v>350</v>
      </c>
      <c r="V78" s="15" t="n">
        <v>0</v>
      </c>
      <c r="W78" s="15" t="n">
        <f aca="false">U78+V78</f>
        <v>350</v>
      </c>
    </row>
    <row r="79" customFormat="false" ht="15" hidden="false" customHeight="false" outlineLevel="0" collapsed="false">
      <c r="A79" s="3" t="s">
        <v>1939</v>
      </c>
      <c r="B79" s="3" t="s">
        <v>1848</v>
      </c>
      <c r="C79" s="3" t="s">
        <v>1239</v>
      </c>
      <c r="D79" s="3" t="s">
        <v>208</v>
      </c>
      <c r="E79" s="13" t="n">
        <v>695000</v>
      </c>
      <c r="F79" s="13" t="n">
        <v>14238.48</v>
      </c>
      <c r="G79" s="13" t="n">
        <v>1779.81</v>
      </c>
      <c r="H79" s="13" t="n">
        <v>1779.81</v>
      </c>
      <c r="I79" s="13" t="n">
        <f aca="false">SUM(K79:T79)</f>
        <v>10678.9</v>
      </c>
      <c r="J79" s="13" t="n">
        <f aca="false">F79-(G79+H79+I79)</f>
        <v>-0.0400000000008731</v>
      </c>
      <c r="K79" s="13" t="n">
        <v>1067.89</v>
      </c>
      <c r="L79" s="13" t="n">
        <v>1067.89</v>
      </c>
      <c r="M79" s="13" t="n">
        <v>1067.89</v>
      </c>
      <c r="N79" s="13" t="n">
        <v>1067.89</v>
      </c>
      <c r="O79" s="13" t="n">
        <v>1067.89</v>
      </c>
      <c r="P79" s="13" t="n">
        <v>1067.89</v>
      </c>
      <c r="Q79" s="13" t="n">
        <v>1067.89</v>
      </c>
      <c r="R79" s="13" t="n">
        <v>1067.89</v>
      </c>
      <c r="S79" s="13" t="n">
        <v>1067.89</v>
      </c>
      <c r="T79" s="13" t="n">
        <v>1067.89</v>
      </c>
      <c r="U79" s="13" t="n">
        <v>350</v>
      </c>
      <c r="V79" s="13" t="n">
        <v>0</v>
      </c>
      <c r="W79" s="13" t="n">
        <f aca="false">U79+V79</f>
        <v>350</v>
      </c>
    </row>
    <row r="80" customFormat="false" ht="15" hidden="false" customHeight="false" outlineLevel="0" collapsed="false">
      <c r="A80" s="14" t="s">
        <v>1940</v>
      </c>
      <c r="B80" s="14" t="s">
        <v>1860</v>
      </c>
      <c r="C80" s="14" t="s">
        <v>450</v>
      </c>
      <c r="D80" s="14" t="s">
        <v>85</v>
      </c>
      <c r="E80" s="15" t="n">
        <v>540000</v>
      </c>
      <c r="F80" s="15" t="n">
        <v>8093.45</v>
      </c>
      <c r="G80" s="15" t="n">
        <v>1011.68</v>
      </c>
      <c r="H80" s="15" t="n">
        <v>1011.68</v>
      </c>
      <c r="I80" s="15" t="n">
        <f aca="false">SUM(K80:T80)</f>
        <v>6070.1</v>
      </c>
      <c r="J80" s="15" t="n">
        <f aca="false">F80-(G80+H80+I80)</f>
        <v>-0.0100000000002183</v>
      </c>
      <c r="K80" s="15" t="n">
        <v>607.01</v>
      </c>
      <c r="L80" s="15" t="n">
        <v>607.01</v>
      </c>
      <c r="M80" s="15" t="n">
        <v>607.01</v>
      </c>
      <c r="N80" s="15" t="n">
        <v>607.01</v>
      </c>
      <c r="O80" s="15" t="n">
        <v>607.01</v>
      </c>
      <c r="P80" s="15" t="n">
        <v>607.01</v>
      </c>
      <c r="Q80" s="15" t="n">
        <v>607.01</v>
      </c>
      <c r="R80" s="15" t="n">
        <v>607.01</v>
      </c>
      <c r="S80" s="15" t="n">
        <v>607.01</v>
      </c>
      <c r="T80" s="15" t="n">
        <v>607.01</v>
      </c>
      <c r="U80" s="15" t="n">
        <v>350</v>
      </c>
      <c r="V80" s="15" t="n">
        <v>0</v>
      </c>
      <c r="W80" s="15" t="n">
        <f aca="false">U80+V80</f>
        <v>350</v>
      </c>
    </row>
    <row r="81" customFormat="false" ht="15" hidden="false" customHeight="false" outlineLevel="0" collapsed="false">
      <c r="A81" s="3" t="s">
        <v>1941</v>
      </c>
      <c r="B81" s="3" t="s">
        <v>1871</v>
      </c>
      <c r="C81" s="3" t="s">
        <v>649</v>
      </c>
      <c r="D81" s="3" t="s">
        <v>93</v>
      </c>
      <c r="E81" s="13" t="n">
        <v>350000</v>
      </c>
      <c r="F81" s="13" t="n">
        <v>5573.79</v>
      </c>
      <c r="G81" s="13" t="n">
        <v>696.72</v>
      </c>
      <c r="H81" s="13" t="n">
        <v>696.72</v>
      </c>
      <c r="I81" s="13" t="n">
        <f aca="false">SUM(K81:T81)</f>
        <v>4180.3</v>
      </c>
      <c r="J81" s="13" t="n">
        <f aca="false">F81-(G81+H81+I81)</f>
        <v>0.0500000000001819</v>
      </c>
      <c r="K81" s="13" t="n">
        <v>418.03</v>
      </c>
      <c r="L81" s="13" t="n">
        <v>418.03</v>
      </c>
      <c r="M81" s="13" t="n">
        <v>418.03</v>
      </c>
      <c r="N81" s="13" t="n">
        <v>418.03</v>
      </c>
      <c r="O81" s="13" t="n">
        <v>418.03</v>
      </c>
      <c r="P81" s="13" t="n">
        <v>418.03</v>
      </c>
      <c r="Q81" s="13" t="n">
        <v>418.03</v>
      </c>
      <c r="R81" s="13" t="n">
        <v>418.03</v>
      </c>
      <c r="S81" s="13" t="n">
        <v>418.03</v>
      </c>
      <c r="T81" s="13" t="n">
        <v>418.03</v>
      </c>
      <c r="U81" s="13" t="n">
        <v>350</v>
      </c>
      <c r="V81" s="13" t="n">
        <v>0</v>
      </c>
      <c r="W81" s="13" t="n">
        <f aca="false">U81+V81</f>
        <v>350</v>
      </c>
    </row>
    <row r="82" customFormat="false" ht="15" hidden="false" customHeight="false" outlineLevel="0" collapsed="false">
      <c r="A82" s="14" t="s">
        <v>1942</v>
      </c>
      <c r="B82" s="14" t="s">
        <v>1843</v>
      </c>
      <c r="C82" s="14" t="s">
        <v>511</v>
      </c>
      <c r="D82" s="14" t="s">
        <v>99</v>
      </c>
      <c r="E82" s="15" t="n">
        <v>375000</v>
      </c>
      <c r="F82" s="15" t="n">
        <v>6345.17</v>
      </c>
      <c r="G82" s="15" t="n">
        <v>793.15</v>
      </c>
      <c r="H82" s="15" t="n">
        <v>793.15</v>
      </c>
      <c r="I82" s="15" t="n">
        <f aca="false">SUM(K82:T82)</f>
        <v>4758.9</v>
      </c>
      <c r="J82" s="15" t="n">
        <f aca="false">F82-(G82+H82+I82)</f>
        <v>-0.0300000000006548</v>
      </c>
      <c r="K82" s="15" t="n">
        <v>475.89</v>
      </c>
      <c r="L82" s="15" t="n">
        <v>475.89</v>
      </c>
      <c r="M82" s="15" t="n">
        <v>475.89</v>
      </c>
      <c r="N82" s="15" t="n">
        <v>475.89</v>
      </c>
      <c r="O82" s="15" t="n">
        <v>475.89</v>
      </c>
      <c r="P82" s="15" t="n">
        <v>475.89</v>
      </c>
      <c r="Q82" s="15" t="n">
        <v>475.89</v>
      </c>
      <c r="R82" s="15" t="n">
        <v>475.89</v>
      </c>
      <c r="S82" s="15" t="n">
        <v>475.89</v>
      </c>
      <c r="T82" s="15" t="n">
        <v>475.89</v>
      </c>
      <c r="U82" s="15" t="n">
        <v>350</v>
      </c>
      <c r="V82" s="15" t="n">
        <v>0</v>
      </c>
      <c r="W82" s="15" t="n">
        <f aca="false">U82+V82</f>
        <v>350</v>
      </c>
    </row>
    <row r="83" customFormat="false" ht="15" hidden="false" customHeight="false" outlineLevel="0" collapsed="false">
      <c r="A83" s="3" t="s">
        <v>1943</v>
      </c>
      <c r="B83" s="3" t="s">
        <v>1925</v>
      </c>
      <c r="C83" s="3" t="s">
        <v>1279</v>
      </c>
      <c r="D83" s="3" t="s">
        <v>172</v>
      </c>
      <c r="E83" s="13" t="n">
        <v>620000</v>
      </c>
      <c r="F83" s="13" t="n">
        <v>6952.64</v>
      </c>
      <c r="G83" s="13" t="n">
        <v>869.08</v>
      </c>
      <c r="H83" s="13" t="n">
        <v>869.08</v>
      </c>
      <c r="I83" s="13" t="n">
        <f aca="false">SUM(K83:T83)</f>
        <v>5214.5</v>
      </c>
      <c r="J83" s="13" t="n">
        <f aca="false">F83-(G83+H83+I83)</f>
        <v>-0.0199999999995271</v>
      </c>
      <c r="K83" s="13" t="n">
        <v>521.45</v>
      </c>
      <c r="L83" s="13" t="n">
        <v>521.45</v>
      </c>
      <c r="M83" s="13" t="n">
        <v>521.45</v>
      </c>
      <c r="N83" s="13" t="n">
        <v>521.45</v>
      </c>
      <c r="O83" s="13" t="n">
        <v>521.45</v>
      </c>
      <c r="P83" s="13" t="n">
        <v>521.45</v>
      </c>
      <c r="Q83" s="13" t="n">
        <v>521.45</v>
      </c>
      <c r="R83" s="13" t="n">
        <v>521.45</v>
      </c>
      <c r="S83" s="13" t="n">
        <v>521.45</v>
      </c>
      <c r="T83" s="13" t="n">
        <v>521.45</v>
      </c>
      <c r="U83" s="13" t="n">
        <v>350</v>
      </c>
      <c r="V83" s="13" t="n">
        <v>0</v>
      </c>
      <c r="W83" s="13" t="n">
        <f aca="false">U83+V83</f>
        <v>350</v>
      </c>
    </row>
    <row r="84" customFormat="false" ht="15" hidden="false" customHeight="false" outlineLevel="0" collapsed="false">
      <c r="A84" s="14" t="s">
        <v>1944</v>
      </c>
      <c r="B84" s="14" t="s">
        <v>1835</v>
      </c>
      <c r="C84" s="14" t="s">
        <v>1146</v>
      </c>
      <c r="D84" s="14" t="s">
        <v>193</v>
      </c>
      <c r="E84" s="15" t="n">
        <v>620000</v>
      </c>
      <c r="F84" s="15" t="n">
        <v>12213.42</v>
      </c>
      <c r="G84" s="15" t="n">
        <v>1526.68</v>
      </c>
      <c r="H84" s="15" t="n">
        <v>1526.68</v>
      </c>
      <c r="I84" s="15" t="n">
        <f aca="false">SUM(K84:T84)</f>
        <v>9160.1</v>
      </c>
      <c r="J84" s="15" t="n">
        <f aca="false">F84-(G84+H84+I84)</f>
        <v>-0.0400000000008731</v>
      </c>
      <c r="K84" s="15" t="n">
        <v>916.01</v>
      </c>
      <c r="L84" s="15" t="n">
        <v>916.01</v>
      </c>
      <c r="M84" s="15" t="n">
        <v>916.01</v>
      </c>
      <c r="N84" s="15" t="n">
        <v>916.01</v>
      </c>
      <c r="O84" s="15" t="n">
        <v>916.01</v>
      </c>
      <c r="P84" s="15" t="n">
        <v>916.01</v>
      </c>
      <c r="Q84" s="15" t="n">
        <v>916.01</v>
      </c>
      <c r="R84" s="15" t="n">
        <v>916.01</v>
      </c>
      <c r="S84" s="15" t="n">
        <v>916.01</v>
      </c>
      <c r="T84" s="15" t="n">
        <v>916.01</v>
      </c>
      <c r="U84" s="15" t="n">
        <v>350</v>
      </c>
      <c r="V84" s="15" t="n">
        <v>0</v>
      </c>
      <c r="W84" s="15" t="n">
        <f aca="false">U84+V84</f>
        <v>350</v>
      </c>
    </row>
    <row r="85" customFormat="false" ht="15" hidden="false" customHeight="false" outlineLevel="0" collapsed="false">
      <c r="A85" s="3" t="s">
        <v>1945</v>
      </c>
      <c r="B85" s="3" t="s">
        <v>1839</v>
      </c>
      <c r="C85" s="3" t="s">
        <v>1170</v>
      </c>
      <c r="D85" s="3" t="s">
        <v>279</v>
      </c>
      <c r="E85" s="13" t="n">
        <v>375000</v>
      </c>
      <c r="F85" s="13" t="n">
        <v>4245.67</v>
      </c>
      <c r="G85" s="13" t="n">
        <v>530.71</v>
      </c>
      <c r="H85" s="13" t="n">
        <v>530.71</v>
      </c>
      <c r="I85" s="13" t="n">
        <f aca="false">SUM(K85:T85)</f>
        <v>3184.3</v>
      </c>
      <c r="J85" s="13" t="n">
        <f aca="false">F85-(G85+H85+I85)</f>
        <v>-0.0499999999992724</v>
      </c>
      <c r="K85" s="13" t="n">
        <v>318.43</v>
      </c>
      <c r="L85" s="13" t="n">
        <v>318.43</v>
      </c>
      <c r="M85" s="13" t="n">
        <v>318.43</v>
      </c>
      <c r="N85" s="13" t="n">
        <v>318.43</v>
      </c>
      <c r="O85" s="13" t="n">
        <v>318.43</v>
      </c>
      <c r="P85" s="13" t="n">
        <v>318.43</v>
      </c>
      <c r="Q85" s="13" t="n">
        <v>318.43</v>
      </c>
      <c r="R85" s="13" t="n">
        <v>318.43</v>
      </c>
      <c r="S85" s="13" t="n">
        <v>318.43</v>
      </c>
      <c r="T85" s="13" t="n">
        <v>318.43</v>
      </c>
      <c r="U85" s="13" t="n">
        <v>350</v>
      </c>
      <c r="V85" s="13" t="n">
        <v>0</v>
      </c>
      <c r="W85" s="13" t="n">
        <f aca="false">U85+V85</f>
        <v>350</v>
      </c>
    </row>
    <row r="86" customFormat="false" ht="15" hidden="false" customHeight="false" outlineLevel="0" collapsed="false">
      <c r="A86" s="14" t="s">
        <v>1946</v>
      </c>
      <c r="B86" s="14" t="s">
        <v>1895</v>
      </c>
      <c r="C86" s="14" t="s">
        <v>272</v>
      </c>
      <c r="D86" s="14" t="s">
        <v>157</v>
      </c>
      <c r="E86" s="15" t="n">
        <v>380000</v>
      </c>
      <c r="F86" s="15" t="n">
        <v>6713.44</v>
      </c>
      <c r="G86" s="15" t="n">
        <v>839.18</v>
      </c>
      <c r="H86" s="15" t="n">
        <v>839.18</v>
      </c>
      <c r="I86" s="15" t="n">
        <f aca="false">SUM(K86:T86)</f>
        <v>5035.1</v>
      </c>
      <c r="J86" s="15" t="n">
        <f aca="false">F86-(G86+H86+I86)</f>
        <v>-0.0200000000004366</v>
      </c>
      <c r="K86" s="15" t="n">
        <v>503.51</v>
      </c>
      <c r="L86" s="15" t="n">
        <v>503.51</v>
      </c>
      <c r="M86" s="15" t="n">
        <v>503.51</v>
      </c>
      <c r="N86" s="15" t="n">
        <v>503.51</v>
      </c>
      <c r="O86" s="15" t="n">
        <v>503.51</v>
      </c>
      <c r="P86" s="15" t="n">
        <v>503.51</v>
      </c>
      <c r="Q86" s="15" t="n">
        <v>503.51</v>
      </c>
      <c r="R86" s="15" t="n">
        <v>503.51</v>
      </c>
      <c r="S86" s="15" t="n">
        <v>503.51</v>
      </c>
      <c r="T86" s="15" t="n">
        <v>503.51</v>
      </c>
      <c r="U86" s="15" t="n">
        <v>350</v>
      </c>
      <c r="V86" s="15" t="n">
        <v>0</v>
      </c>
      <c r="W86" s="15" t="n">
        <f aca="false">U86+V86</f>
        <v>350</v>
      </c>
    </row>
    <row r="87" customFormat="false" ht="15" hidden="false" customHeight="false" outlineLevel="0" collapsed="false">
      <c r="A87" s="3" t="s">
        <v>1947</v>
      </c>
      <c r="B87" s="3" t="s">
        <v>1883</v>
      </c>
      <c r="C87" s="3" t="s">
        <v>755</v>
      </c>
      <c r="D87" s="3" t="s">
        <v>203</v>
      </c>
      <c r="E87" s="13" t="n">
        <v>225000</v>
      </c>
      <c r="F87" s="13" t="n">
        <v>3914.59</v>
      </c>
      <c r="G87" s="13" t="n">
        <v>489.32</v>
      </c>
      <c r="H87" s="13" t="n">
        <v>489.32</v>
      </c>
      <c r="I87" s="13" t="n">
        <f aca="false">SUM(K87:T87)</f>
        <v>2935.9</v>
      </c>
      <c r="J87" s="13" t="n">
        <f aca="false">F87-(G87+H87+I87)</f>
        <v>0.0500000000001819</v>
      </c>
      <c r="K87" s="13" t="n">
        <v>293.59</v>
      </c>
      <c r="L87" s="13" t="n">
        <v>293.59</v>
      </c>
      <c r="M87" s="13" t="n">
        <v>293.59</v>
      </c>
      <c r="N87" s="13" t="n">
        <v>293.59</v>
      </c>
      <c r="O87" s="13" t="n">
        <v>293.59</v>
      </c>
      <c r="P87" s="13" t="n">
        <v>293.59</v>
      </c>
      <c r="Q87" s="13" t="n">
        <v>293.59</v>
      </c>
      <c r="R87" s="13" t="n">
        <v>293.59</v>
      </c>
      <c r="S87" s="13" t="n">
        <v>293.59</v>
      </c>
      <c r="T87" s="13" t="n">
        <v>293.59</v>
      </c>
      <c r="U87" s="13" t="n">
        <v>350</v>
      </c>
      <c r="V87" s="13" t="n">
        <v>0</v>
      </c>
      <c r="W87" s="13" t="n">
        <f aca="false">U87+V87</f>
        <v>350</v>
      </c>
    </row>
    <row r="88" customFormat="false" ht="15" hidden="false" customHeight="false" outlineLevel="0" collapsed="false">
      <c r="A88" s="14" t="s">
        <v>1948</v>
      </c>
      <c r="B88" s="14" t="s">
        <v>1862</v>
      </c>
      <c r="C88" s="14" t="s">
        <v>410</v>
      </c>
      <c r="D88" s="14" t="s">
        <v>69</v>
      </c>
      <c r="E88" s="15" t="n">
        <v>1775000</v>
      </c>
      <c r="F88" s="15" t="n">
        <v>22849.25</v>
      </c>
      <c r="G88" s="15" t="n">
        <v>2856.16</v>
      </c>
      <c r="H88" s="15" t="n">
        <v>2856.16</v>
      </c>
      <c r="I88" s="15" t="n">
        <f aca="false">SUM(K88:T88)</f>
        <v>17136.9</v>
      </c>
      <c r="J88" s="15" t="n">
        <f aca="false">F88-(G88+H88+I88)</f>
        <v>0.0299999999988358</v>
      </c>
      <c r="K88" s="15" t="n">
        <v>1713.69</v>
      </c>
      <c r="L88" s="15" t="n">
        <v>1713.69</v>
      </c>
      <c r="M88" s="15" t="n">
        <v>1713.69</v>
      </c>
      <c r="N88" s="15" t="n">
        <v>1713.69</v>
      </c>
      <c r="O88" s="15" t="n">
        <v>1713.69</v>
      </c>
      <c r="P88" s="15" t="n">
        <v>1713.69</v>
      </c>
      <c r="Q88" s="15" t="n">
        <v>1713.69</v>
      </c>
      <c r="R88" s="15" t="n">
        <v>1713.69</v>
      </c>
      <c r="S88" s="15" t="n">
        <v>1713.69</v>
      </c>
      <c r="T88" s="15" t="n">
        <v>1713.69</v>
      </c>
      <c r="U88" s="15" t="n">
        <v>350</v>
      </c>
      <c r="V88" s="15" t="n">
        <v>250</v>
      </c>
      <c r="W88" s="15" t="n">
        <f aca="false">U88+V88</f>
        <v>600</v>
      </c>
    </row>
    <row r="89" customFormat="false" ht="15" hidden="false" customHeight="false" outlineLevel="0" collapsed="false">
      <c r="A89" s="3" t="s">
        <v>1949</v>
      </c>
      <c r="B89" s="3" t="s">
        <v>1902</v>
      </c>
      <c r="C89" s="3" t="s">
        <v>423</v>
      </c>
      <c r="D89" s="3" t="s">
        <v>279</v>
      </c>
      <c r="E89" s="13" t="n">
        <v>780000</v>
      </c>
      <c r="F89" s="13" t="n">
        <v>5063.09</v>
      </c>
      <c r="G89" s="13" t="n">
        <v>632.89</v>
      </c>
      <c r="H89" s="13" t="n">
        <v>632.89</v>
      </c>
      <c r="I89" s="13" t="n">
        <f aca="false">SUM(K89:T89)</f>
        <v>3797.3</v>
      </c>
      <c r="J89" s="13" t="n">
        <f aca="false">F89-(G89+H89+I89)</f>
        <v>0.0100000000002183</v>
      </c>
      <c r="K89" s="13" t="n">
        <v>379.73</v>
      </c>
      <c r="L89" s="13" t="n">
        <v>379.73</v>
      </c>
      <c r="M89" s="13" t="n">
        <v>379.73</v>
      </c>
      <c r="N89" s="13" t="n">
        <v>379.73</v>
      </c>
      <c r="O89" s="13" t="n">
        <v>379.73</v>
      </c>
      <c r="P89" s="13" t="n">
        <v>379.73</v>
      </c>
      <c r="Q89" s="13" t="n">
        <v>379.73</v>
      </c>
      <c r="R89" s="13" t="n">
        <v>379.73</v>
      </c>
      <c r="S89" s="13" t="n">
        <v>379.73</v>
      </c>
      <c r="T89" s="13" t="n">
        <v>379.73</v>
      </c>
      <c r="U89" s="13" t="n">
        <v>350</v>
      </c>
      <c r="V89" s="13" t="n">
        <v>0</v>
      </c>
      <c r="W89" s="13" t="n">
        <f aca="false">U89+V89</f>
        <v>350</v>
      </c>
    </row>
    <row r="90" customFormat="false" ht="15" hidden="false" customHeight="false" outlineLevel="0" collapsed="false">
      <c r="A90" s="14" t="s">
        <v>1950</v>
      </c>
      <c r="B90" s="14" t="s">
        <v>1845</v>
      </c>
      <c r="C90" s="14" t="s">
        <v>1951</v>
      </c>
      <c r="D90" s="14" t="s">
        <v>185</v>
      </c>
      <c r="E90" s="15" t="n">
        <v>150000</v>
      </c>
      <c r="F90" s="15" t="n">
        <v>2312.13</v>
      </c>
      <c r="G90" s="15" t="n">
        <v>289.02</v>
      </c>
      <c r="H90" s="15" t="n">
        <v>289.02</v>
      </c>
      <c r="I90" s="15" t="n">
        <f aca="false">SUM(K90:T90)</f>
        <v>1734.1</v>
      </c>
      <c r="J90" s="15" t="n">
        <f aca="false">F90-(G90+H90+I90)</f>
        <v>-0.0100000000002183</v>
      </c>
      <c r="K90" s="15" t="n">
        <v>173.41</v>
      </c>
      <c r="L90" s="15" t="n">
        <v>173.41</v>
      </c>
      <c r="M90" s="15" t="n">
        <v>173.41</v>
      </c>
      <c r="N90" s="15" t="n">
        <v>173.41</v>
      </c>
      <c r="O90" s="15" t="n">
        <v>173.41</v>
      </c>
      <c r="P90" s="15" t="n">
        <v>173.41</v>
      </c>
      <c r="Q90" s="15" t="n">
        <v>173.41</v>
      </c>
      <c r="R90" s="15" t="n">
        <v>173.41</v>
      </c>
      <c r="S90" s="15" t="n">
        <v>173.41</v>
      </c>
      <c r="T90" s="15" t="n">
        <v>173.41</v>
      </c>
      <c r="U90" s="15" t="n">
        <v>350</v>
      </c>
      <c r="V90" s="15" t="n">
        <v>0</v>
      </c>
      <c r="W90" s="15" t="n">
        <f aca="false">U90+V90</f>
        <v>350</v>
      </c>
    </row>
    <row r="91" customFormat="false" ht="15" hidden="false" customHeight="false" outlineLevel="0" collapsed="false">
      <c r="A91" s="3" t="s">
        <v>1952</v>
      </c>
      <c r="B91" s="3" t="s">
        <v>1866</v>
      </c>
      <c r="C91" s="3" t="s">
        <v>305</v>
      </c>
      <c r="D91" s="3" t="s">
        <v>233</v>
      </c>
      <c r="E91" s="13" t="n">
        <v>770000</v>
      </c>
      <c r="F91" s="13" t="n">
        <v>4756.77</v>
      </c>
      <c r="G91" s="13" t="n">
        <v>594.6</v>
      </c>
      <c r="H91" s="13" t="n">
        <v>594.6</v>
      </c>
      <c r="I91" s="13" t="n">
        <f aca="false">SUM(K91:T91)</f>
        <v>3567.6</v>
      </c>
      <c r="J91" s="13" t="n">
        <f aca="false">F91-(G91+H91+I91)</f>
        <v>-0.0299999999997453</v>
      </c>
      <c r="K91" s="13" t="n">
        <v>356.76</v>
      </c>
      <c r="L91" s="13" t="n">
        <v>356.76</v>
      </c>
      <c r="M91" s="13" t="n">
        <v>356.76</v>
      </c>
      <c r="N91" s="13" t="n">
        <v>356.76</v>
      </c>
      <c r="O91" s="13" t="n">
        <v>356.76</v>
      </c>
      <c r="P91" s="13" t="n">
        <v>356.76</v>
      </c>
      <c r="Q91" s="13" t="n">
        <v>356.76</v>
      </c>
      <c r="R91" s="13" t="n">
        <v>356.76</v>
      </c>
      <c r="S91" s="13" t="n">
        <v>356.76</v>
      </c>
      <c r="T91" s="13" t="n">
        <v>356.76</v>
      </c>
      <c r="U91" s="13" t="n">
        <v>350</v>
      </c>
      <c r="V91" s="13" t="n">
        <v>0</v>
      </c>
      <c r="W91" s="13" t="n">
        <f aca="false">U91+V91</f>
        <v>350</v>
      </c>
    </row>
    <row r="92" customFormat="false" ht="15" hidden="false" customHeight="false" outlineLevel="0" collapsed="false">
      <c r="A92" s="14" t="s">
        <v>1953</v>
      </c>
      <c r="B92" s="14" t="s">
        <v>1871</v>
      </c>
      <c r="C92" s="14" t="s">
        <v>389</v>
      </c>
      <c r="D92" s="14" t="s">
        <v>352</v>
      </c>
      <c r="E92" s="15" t="n">
        <v>585000</v>
      </c>
      <c r="F92" s="15" t="n">
        <v>7127.87</v>
      </c>
      <c r="G92" s="15" t="n">
        <v>890.98</v>
      </c>
      <c r="H92" s="15" t="n">
        <v>890.98</v>
      </c>
      <c r="I92" s="15" t="n">
        <f aca="false">SUM(K92:T92)</f>
        <v>5345.9</v>
      </c>
      <c r="J92" s="15" t="n">
        <f aca="false">F92-(G92+H92+I92)</f>
        <v>0.00999999999930878</v>
      </c>
      <c r="K92" s="15" t="n">
        <v>534.59</v>
      </c>
      <c r="L92" s="15" t="n">
        <v>534.59</v>
      </c>
      <c r="M92" s="15" t="n">
        <v>534.59</v>
      </c>
      <c r="N92" s="15" t="n">
        <v>534.59</v>
      </c>
      <c r="O92" s="15" t="n">
        <v>534.59</v>
      </c>
      <c r="P92" s="15" t="n">
        <v>534.59</v>
      </c>
      <c r="Q92" s="15" t="n">
        <v>534.59</v>
      </c>
      <c r="R92" s="15" t="n">
        <v>534.59</v>
      </c>
      <c r="S92" s="15" t="n">
        <v>534.59</v>
      </c>
      <c r="T92" s="15" t="n">
        <v>534.59</v>
      </c>
      <c r="U92" s="15" t="n">
        <v>350</v>
      </c>
      <c r="V92" s="15" t="n">
        <v>0</v>
      </c>
      <c r="W92" s="15" t="n">
        <f aca="false">U92+V92</f>
        <v>350</v>
      </c>
    </row>
    <row r="93" customFormat="false" ht="15" hidden="false" customHeight="false" outlineLevel="0" collapsed="false">
      <c r="A93" s="3" t="s">
        <v>1954</v>
      </c>
      <c r="B93" s="3" t="s">
        <v>1902</v>
      </c>
      <c r="C93" s="3" t="s">
        <v>580</v>
      </c>
      <c r="D93" s="3" t="s">
        <v>328</v>
      </c>
      <c r="E93" s="13" t="n">
        <v>795000</v>
      </c>
      <c r="F93" s="13" t="n">
        <v>11143.86</v>
      </c>
      <c r="G93" s="13" t="n">
        <v>1392.98</v>
      </c>
      <c r="H93" s="13" t="n">
        <v>1392.98</v>
      </c>
      <c r="I93" s="13" t="n">
        <f aca="false">SUM(K93:T93)</f>
        <v>8357.9</v>
      </c>
      <c r="J93" s="13" t="n">
        <f aca="false">F93-(G93+H93+I93)</f>
        <v>0</v>
      </c>
      <c r="K93" s="13" t="n">
        <v>835.79</v>
      </c>
      <c r="L93" s="13" t="n">
        <v>835.79</v>
      </c>
      <c r="M93" s="13" t="n">
        <v>835.79</v>
      </c>
      <c r="N93" s="13" t="n">
        <v>835.79</v>
      </c>
      <c r="O93" s="13" t="n">
        <v>835.79</v>
      </c>
      <c r="P93" s="13" t="n">
        <v>835.79</v>
      </c>
      <c r="Q93" s="13" t="n">
        <v>835.79</v>
      </c>
      <c r="R93" s="13" t="n">
        <v>835.79</v>
      </c>
      <c r="S93" s="13" t="n">
        <v>835.79</v>
      </c>
      <c r="T93" s="13" t="n">
        <v>835.79</v>
      </c>
      <c r="U93" s="13" t="n">
        <v>350</v>
      </c>
      <c r="V93" s="13" t="n">
        <v>0</v>
      </c>
      <c r="W93" s="13" t="n">
        <f aca="false">U93+V93</f>
        <v>350</v>
      </c>
    </row>
    <row r="94" customFormat="false" ht="15" hidden="false" customHeight="false" outlineLevel="0" collapsed="false">
      <c r="A94" s="14" t="s">
        <v>1955</v>
      </c>
      <c r="B94" s="14" t="s">
        <v>1936</v>
      </c>
      <c r="C94" s="14" t="s">
        <v>1956</v>
      </c>
      <c r="D94" s="14" t="s">
        <v>93</v>
      </c>
      <c r="E94" s="15" t="n">
        <v>815000</v>
      </c>
      <c r="F94" s="15" t="n">
        <v>16440.05</v>
      </c>
      <c r="G94" s="15" t="n">
        <v>2055.01</v>
      </c>
      <c r="H94" s="15" t="n">
        <v>2055.01</v>
      </c>
      <c r="I94" s="15" t="n">
        <f aca="false">SUM(K94:T94)</f>
        <v>12330</v>
      </c>
      <c r="J94" s="15" t="n">
        <f aca="false">F94-(G94+H94+I94)</f>
        <v>0.0299999999988358</v>
      </c>
      <c r="K94" s="15" t="n">
        <v>1233</v>
      </c>
      <c r="L94" s="15" t="n">
        <v>1233</v>
      </c>
      <c r="M94" s="15" t="n">
        <v>1233</v>
      </c>
      <c r="N94" s="15" t="n">
        <v>1233</v>
      </c>
      <c r="O94" s="15" t="n">
        <v>1233</v>
      </c>
      <c r="P94" s="15" t="n">
        <v>1233</v>
      </c>
      <c r="Q94" s="15" t="n">
        <v>1233</v>
      </c>
      <c r="R94" s="15" t="n">
        <v>1233</v>
      </c>
      <c r="S94" s="15" t="n">
        <v>1233</v>
      </c>
      <c r="T94" s="15" t="n">
        <v>1233</v>
      </c>
      <c r="U94" s="15" t="n">
        <v>350</v>
      </c>
      <c r="V94" s="15" t="n">
        <v>0</v>
      </c>
      <c r="W94" s="15" t="n">
        <f aca="false">U94+V94</f>
        <v>350</v>
      </c>
    </row>
    <row r="95" customFormat="false" ht="15" hidden="false" customHeight="false" outlineLevel="0" collapsed="false">
      <c r="A95" s="3" t="s">
        <v>1957</v>
      </c>
      <c r="B95" s="3" t="s">
        <v>1843</v>
      </c>
      <c r="C95" s="3" t="s">
        <v>124</v>
      </c>
      <c r="D95" s="3" t="s">
        <v>189</v>
      </c>
      <c r="E95" s="13" t="n">
        <v>520000</v>
      </c>
      <c r="F95" s="13" t="n">
        <v>9014.29</v>
      </c>
      <c r="G95" s="13" t="n">
        <v>1126.79</v>
      </c>
      <c r="H95" s="13" t="n">
        <v>1126.79</v>
      </c>
      <c r="I95" s="13" t="n">
        <f aca="false">SUM(K95:T95)</f>
        <v>6760.7</v>
      </c>
      <c r="J95" s="13" t="n">
        <f aca="false">F95-(G95+H95+I95)</f>
        <v>0.0100000000020373</v>
      </c>
      <c r="K95" s="13" t="n">
        <v>676.07</v>
      </c>
      <c r="L95" s="13" t="n">
        <v>676.07</v>
      </c>
      <c r="M95" s="13" t="n">
        <v>676.07</v>
      </c>
      <c r="N95" s="13" t="n">
        <v>676.07</v>
      </c>
      <c r="O95" s="13" t="n">
        <v>676.07</v>
      </c>
      <c r="P95" s="13" t="n">
        <v>676.07</v>
      </c>
      <c r="Q95" s="13" t="n">
        <v>676.07</v>
      </c>
      <c r="R95" s="13" t="n">
        <v>676.07</v>
      </c>
      <c r="S95" s="13" t="n">
        <v>676.07</v>
      </c>
      <c r="T95" s="13" t="n">
        <v>676.07</v>
      </c>
      <c r="U95" s="13" t="n">
        <v>350</v>
      </c>
      <c r="V95" s="13" t="n">
        <v>0</v>
      </c>
      <c r="W95" s="13" t="n">
        <f aca="false">U95+V95</f>
        <v>350</v>
      </c>
    </row>
    <row r="96" customFormat="false" ht="15" hidden="false" customHeight="false" outlineLevel="0" collapsed="false">
      <c r="A96" s="14" t="s">
        <v>1958</v>
      </c>
      <c r="B96" s="14" t="s">
        <v>1921</v>
      </c>
      <c r="C96" s="14" t="s">
        <v>1213</v>
      </c>
      <c r="D96" s="14" t="s">
        <v>203</v>
      </c>
      <c r="E96" s="15" t="n">
        <v>440000</v>
      </c>
      <c r="F96" s="15" t="n">
        <v>9569.01</v>
      </c>
      <c r="G96" s="15" t="n">
        <v>1196.13</v>
      </c>
      <c r="H96" s="15" t="n">
        <v>1196.13</v>
      </c>
      <c r="I96" s="15" t="n">
        <f aca="false">SUM(K96:T96)</f>
        <v>7176.8</v>
      </c>
      <c r="J96" s="15" t="n">
        <f aca="false">F96-(G96+H96+I96)</f>
        <v>-0.0500000000010914</v>
      </c>
      <c r="K96" s="15" t="n">
        <v>717.68</v>
      </c>
      <c r="L96" s="15" t="n">
        <v>717.68</v>
      </c>
      <c r="M96" s="15" t="n">
        <v>717.68</v>
      </c>
      <c r="N96" s="15" t="n">
        <v>717.68</v>
      </c>
      <c r="O96" s="15" t="n">
        <v>717.68</v>
      </c>
      <c r="P96" s="15" t="n">
        <v>717.68</v>
      </c>
      <c r="Q96" s="15" t="n">
        <v>717.68</v>
      </c>
      <c r="R96" s="15" t="n">
        <v>717.68</v>
      </c>
      <c r="S96" s="15" t="n">
        <v>717.68</v>
      </c>
      <c r="T96" s="15" t="n">
        <v>717.68</v>
      </c>
      <c r="U96" s="15" t="n">
        <v>350</v>
      </c>
      <c r="V96" s="15" t="n">
        <v>0</v>
      </c>
      <c r="W96" s="15" t="n">
        <f aca="false">U96+V96</f>
        <v>350</v>
      </c>
    </row>
    <row r="97" customFormat="false" ht="15" hidden="false" customHeight="false" outlineLevel="0" collapsed="false">
      <c r="A97" s="3" t="s">
        <v>1959</v>
      </c>
      <c r="B97" s="3" t="s">
        <v>1885</v>
      </c>
      <c r="C97" s="3" t="s">
        <v>1960</v>
      </c>
      <c r="D97" s="3" t="s">
        <v>93</v>
      </c>
      <c r="E97" s="13" t="n">
        <v>1185000</v>
      </c>
      <c r="F97" s="13" t="n">
        <v>20129.36</v>
      </c>
      <c r="G97" s="13" t="n">
        <v>2516.17</v>
      </c>
      <c r="H97" s="13" t="n">
        <v>2516.17</v>
      </c>
      <c r="I97" s="13" t="n">
        <f aca="false">SUM(K97:T97)</f>
        <v>15097</v>
      </c>
      <c r="J97" s="13" t="n">
        <f aca="false">F97-(G97+H97+I97)</f>
        <v>0.0199999999967986</v>
      </c>
      <c r="K97" s="13" t="n">
        <v>1509.7</v>
      </c>
      <c r="L97" s="13" t="n">
        <v>1509.7</v>
      </c>
      <c r="M97" s="13" t="n">
        <v>1509.7</v>
      </c>
      <c r="N97" s="13" t="n">
        <v>1509.7</v>
      </c>
      <c r="O97" s="13" t="n">
        <v>1509.7</v>
      </c>
      <c r="P97" s="13" t="n">
        <v>1509.7</v>
      </c>
      <c r="Q97" s="13" t="n">
        <v>1509.7</v>
      </c>
      <c r="R97" s="13" t="n">
        <v>1509.7</v>
      </c>
      <c r="S97" s="13" t="n">
        <v>1509.7</v>
      </c>
      <c r="T97" s="13" t="n">
        <v>1509.7</v>
      </c>
      <c r="U97" s="13" t="n">
        <v>350</v>
      </c>
      <c r="V97" s="13" t="n">
        <v>250</v>
      </c>
      <c r="W97" s="13" t="n">
        <f aca="false">U97+V97</f>
        <v>600</v>
      </c>
    </row>
    <row r="98" customFormat="false" ht="15" hidden="false" customHeight="false" outlineLevel="0" collapsed="false">
      <c r="A98" s="14" t="s">
        <v>1961</v>
      </c>
      <c r="B98" s="14" t="s">
        <v>1848</v>
      </c>
      <c r="C98" s="14" t="s">
        <v>239</v>
      </c>
      <c r="D98" s="14" t="s">
        <v>112</v>
      </c>
      <c r="E98" s="15" t="n">
        <v>960000</v>
      </c>
      <c r="F98" s="15" t="n">
        <v>14372.43</v>
      </c>
      <c r="G98" s="15" t="n">
        <v>1796.55</v>
      </c>
      <c r="H98" s="15" t="n">
        <v>1796.55</v>
      </c>
      <c r="I98" s="15" t="n">
        <f aca="false">SUM(K98:T98)</f>
        <v>10779.3</v>
      </c>
      <c r="J98" s="15" t="n">
        <f aca="false">F98-(G98+H98+I98)</f>
        <v>0.0299999999988358</v>
      </c>
      <c r="K98" s="15" t="n">
        <v>1077.93</v>
      </c>
      <c r="L98" s="15" t="n">
        <v>1077.93</v>
      </c>
      <c r="M98" s="15" t="n">
        <v>1077.93</v>
      </c>
      <c r="N98" s="15" t="n">
        <v>1077.93</v>
      </c>
      <c r="O98" s="15" t="n">
        <v>1077.93</v>
      </c>
      <c r="P98" s="15" t="n">
        <v>1077.93</v>
      </c>
      <c r="Q98" s="15" t="n">
        <v>1077.93</v>
      </c>
      <c r="R98" s="15" t="n">
        <v>1077.93</v>
      </c>
      <c r="S98" s="15" t="n">
        <v>1077.93</v>
      </c>
      <c r="T98" s="15" t="n">
        <v>1077.93</v>
      </c>
      <c r="U98" s="15" t="n">
        <v>350</v>
      </c>
      <c r="V98" s="15" t="n">
        <v>0</v>
      </c>
      <c r="W98" s="15" t="n">
        <f aca="false">U98+V98</f>
        <v>350</v>
      </c>
    </row>
    <row r="99" customFormat="false" ht="15" hidden="false" customHeight="false" outlineLevel="0" collapsed="false">
      <c r="A99" s="3" t="s">
        <v>1962</v>
      </c>
      <c r="B99" s="3" t="s">
        <v>1934</v>
      </c>
      <c r="C99" s="3" t="s">
        <v>1963</v>
      </c>
      <c r="D99" s="3" t="s">
        <v>279</v>
      </c>
      <c r="E99" s="13" t="n">
        <v>670000</v>
      </c>
      <c r="F99" s="13" t="n">
        <v>6574.17</v>
      </c>
      <c r="G99" s="13" t="n">
        <v>821.77</v>
      </c>
      <c r="H99" s="13" t="n">
        <v>821.77</v>
      </c>
      <c r="I99" s="13" t="n">
        <f aca="false">SUM(K99:T99)</f>
        <v>4930.6</v>
      </c>
      <c r="J99" s="13" t="n">
        <f aca="false">F99-(G99+H99+I99)</f>
        <v>0.0299999999997453</v>
      </c>
      <c r="K99" s="13" t="n">
        <v>493.06</v>
      </c>
      <c r="L99" s="13" t="n">
        <v>493.06</v>
      </c>
      <c r="M99" s="13" t="n">
        <v>493.06</v>
      </c>
      <c r="N99" s="13" t="n">
        <v>493.06</v>
      </c>
      <c r="O99" s="13" t="n">
        <v>493.06</v>
      </c>
      <c r="P99" s="13" t="n">
        <v>493.06</v>
      </c>
      <c r="Q99" s="13" t="n">
        <v>493.06</v>
      </c>
      <c r="R99" s="13" t="n">
        <v>493.06</v>
      </c>
      <c r="S99" s="13" t="n">
        <v>493.06</v>
      </c>
      <c r="T99" s="13" t="n">
        <v>493.06</v>
      </c>
      <c r="U99" s="13" t="n">
        <v>350</v>
      </c>
      <c r="V99" s="13" t="n">
        <v>0</v>
      </c>
      <c r="W99" s="13" t="n">
        <f aca="false">U99+V99</f>
        <v>350</v>
      </c>
    </row>
    <row r="100" customFormat="false" ht="15" hidden="false" customHeight="false" outlineLevel="0" collapsed="false">
      <c r="A100" s="14" t="s">
        <v>1964</v>
      </c>
      <c r="B100" s="14" t="s">
        <v>1839</v>
      </c>
      <c r="C100" s="14" t="s">
        <v>305</v>
      </c>
      <c r="D100" s="14" t="s">
        <v>93</v>
      </c>
      <c r="E100" s="15" t="n">
        <v>310000</v>
      </c>
      <c r="F100" s="15" t="n">
        <v>4936.79</v>
      </c>
      <c r="G100" s="15" t="n">
        <v>617.1</v>
      </c>
      <c r="H100" s="15" t="n">
        <v>617.1</v>
      </c>
      <c r="I100" s="15" t="n">
        <f aca="false">SUM(K100:T100)</f>
        <v>3702.6</v>
      </c>
      <c r="J100" s="15" t="n">
        <f aca="false">F100-(G100+H100+I100)</f>
        <v>-0.0100000000002183</v>
      </c>
      <c r="K100" s="15" t="n">
        <v>370.26</v>
      </c>
      <c r="L100" s="15" t="n">
        <v>370.26</v>
      </c>
      <c r="M100" s="15" t="n">
        <v>370.26</v>
      </c>
      <c r="N100" s="15" t="n">
        <v>370.26</v>
      </c>
      <c r="O100" s="15" t="n">
        <v>370.26</v>
      </c>
      <c r="P100" s="15" t="n">
        <v>370.26</v>
      </c>
      <c r="Q100" s="15" t="n">
        <v>370.26</v>
      </c>
      <c r="R100" s="15" t="n">
        <v>370.26</v>
      </c>
      <c r="S100" s="15" t="n">
        <v>370.26</v>
      </c>
      <c r="T100" s="15" t="n">
        <v>370.26</v>
      </c>
      <c r="U100" s="15" t="n">
        <v>350</v>
      </c>
      <c r="V100" s="15" t="n">
        <v>0</v>
      </c>
      <c r="W100" s="15" t="n">
        <f aca="false">U100+V100</f>
        <v>350</v>
      </c>
    </row>
    <row r="101" customFormat="false" ht="15" hidden="false" customHeight="false" outlineLevel="0" collapsed="false">
      <c r="A101" s="3" t="s">
        <v>1965</v>
      </c>
      <c r="B101" s="3" t="s">
        <v>1841</v>
      </c>
      <c r="C101" s="3" t="s">
        <v>876</v>
      </c>
      <c r="D101" s="3" t="s">
        <v>85</v>
      </c>
      <c r="E101" s="13" t="n">
        <v>475000</v>
      </c>
      <c r="F101" s="13" t="n">
        <v>8214.51</v>
      </c>
      <c r="G101" s="13" t="n">
        <v>1026.81</v>
      </c>
      <c r="H101" s="13" t="n">
        <v>1026.81</v>
      </c>
      <c r="I101" s="13" t="n">
        <f aca="false">SUM(K101:T101)</f>
        <v>6160.9</v>
      </c>
      <c r="J101" s="13" t="n">
        <f aca="false">F101-(G101+H101+I101)</f>
        <v>-0.0100000000002183</v>
      </c>
      <c r="K101" s="13" t="n">
        <v>616.09</v>
      </c>
      <c r="L101" s="13" t="n">
        <v>616.09</v>
      </c>
      <c r="M101" s="13" t="n">
        <v>616.09</v>
      </c>
      <c r="N101" s="13" t="n">
        <v>616.09</v>
      </c>
      <c r="O101" s="13" t="n">
        <v>616.09</v>
      </c>
      <c r="P101" s="13" t="n">
        <v>616.09</v>
      </c>
      <c r="Q101" s="13" t="n">
        <v>616.09</v>
      </c>
      <c r="R101" s="13" t="n">
        <v>616.09</v>
      </c>
      <c r="S101" s="13" t="n">
        <v>616.09</v>
      </c>
      <c r="T101" s="13" t="n">
        <v>616.09</v>
      </c>
      <c r="U101" s="13" t="n">
        <v>350</v>
      </c>
      <c r="V101" s="13" t="n">
        <v>0</v>
      </c>
      <c r="W101" s="13" t="n">
        <f aca="false">U101+V101</f>
        <v>350</v>
      </c>
    </row>
    <row r="102" customFormat="false" ht="15" hidden="false" customHeight="false" outlineLevel="0" collapsed="false">
      <c r="A102" s="14" t="s">
        <v>1966</v>
      </c>
      <c r="B102" s="14" t="s">
        <v>1857</v>
      </c>
      <c r="C102" s="14" t="s">
        <v>927</v>
      </c>
      <c r="D102" s="14" t="s">
        <v>99</v>
      </c>
      <c r="E102" s="15" t="n">
        <v>355000</v>
      </c>
      <c r="F102" s="15" t="n">
        <v>6006.76</v>
      </c>
      <c r="G102" s="15" t="n">
        <v>750.85</v>
      </c>
      <c r="H102" s="15" t="n">
        <v>750.85</v>
      </c>
      <c r="I102" s="15" t="n">
        <f aca="false">SUM(K102:T102)</f>
        <v>4505.1</v>
      </c>
      <c r="J102" s="15" t="n">
        <f aca="false">F102-(G102+H102+I102)</f>
        <v>-0.0399999999999636</v>
      </c>
      <c r="K102" s="15" t="n">
        <v>450.51</v>
      </c>
      <c r="L102" s="15" t="n">
        <v>450.51</v>
      </c>
      <c r="M102" s="15" t="n">
        <v>450.51</v>
      </c>
      <c r="N102" s="15" t="n">
        <v>450.51</v>
      </c>
      <c r="O102" s="15" t="n">
        <v>450.51</v>
      </c>
      <c r="P102" s="15" t="n">
        <v>450.51</v>
      </c>
      <c r="Q102" s="15" t="n">
        <v>450.51</v>
      </c>
      <c r="R102" s="15" t="n">
        <v>450.51</v>
      </c>
      <c r="S102" s="15" t="n">
        <v>450.51</v>
      </c>
      <c r="T102" s="15" t="n">
        <v>450.51</v>
      </c>
      <c r="U102" s="15" t="n">
        <v>350</v>
      </c>
      <c r="V102" s="15" t="n">
        <v>0</v>
      </c>
      <c r="W102" s="15" t="n">
        <f aca="false">U102+V102</f>
        <v>350</v>
      </c>
    </row>
    <row r="103" customFormat="false" ht="15" hidden="false" customHeight="false" outlineLevel="0" collapsed="false">
      <c r="A103" s="3" t="s">
        <v>1967</v>
      </c>
      <c r="B103" s="3" t="s">
        <v>1902</v>
      </c>
      <c r="C103" s="3" t="s">
        <v>372</v>
      </c>
      <c r="D103" s="3" t="s">
        <v>698</v>
      </c>
      <c r="E103" s="13" t="n">
        <v>440000</v>
      </c>
      <c r="F103" s="13" t="n">
        <v>7499.74</v>
      </c>
      <c r="G103" s="13" t="n">
        <v>937.47</v>
      </c>
      <c r="H103" s="13" t="n">
        <v>937.47</v>
      </c>
      <c r="I103" s="13" t="n">
        <f aca="false">SUM(K103:T103)</f>
        <v>5624.8</v>
      </c>
      <c r="J103" s="13" t="n">
        <f aca="false">F103-(G103+H103+I103)</f>
        <v>0</v>
      </c>
      <c r="K103" s="13" t="n">
        <v>562.48</v>
      </c>
      <c r="L103" s="13" t="n">
        <v>562.48</v>
      </c>
      <c r="M103" s="13" t="n">
        <v>562.48</v>
      </c>
      <c r="N103" s="13" t="n">
        <v>562.48</v>
      </c>
      <c r="O103" s="13" t="n">
        <v>562.48</v>
      </c>
      <c r="P103" s="13" t="n">
        <v>562.48</v>
      </c>
      <c r="Q103" s="13" t="n">
        <v>562.48</v>
      </c>
      <c r="R103" s="13" t="n">
        <v>562.48</v>
      </c>
      <c r="S103" s="13" t="n">
        <v>562.48</v>
      </c>
      <c r="T103" s="13" t="n">
        <v>562.48</v>
      </c>
      <c r="U103" s="13" t="n">
        <v>350</v>
      </c>
      <c r="V103" s="13" t="n">
        <v>0</v>
      </c>
      <c r="W103" s="13" t="n">
        <f aca="false">U103+V103</f>
        <v>350</v>
      </c>
    </row>
    <row r="104" customFormat="false" ht="15" hidden="false" customHeight="false" outlineLevel="0" collapsed="false">
      <c r="A104" s="14" t="s">
        <v>1968</v>
      </c>
      <c r="B104" s="14" t="s">
        <v>1876</v>
      </c>
      <c r="C104" s="14" t="s">
        <v>160</v>
      </c>
      <c r="D104" s="14" t="s">
        <v>85</v>
      </c>
      <c r="E104" s="15" t="n">
        <v>1415000</v>
      </c>
      <c r="F104" s="15" t="n">
        <v>22186.66</v>
      </c>
      <c r="G104" s="15" t="n">
        <v>2773.33</v>
      </c>
      <c r="H104" s="15" t="n">
        <v>2773.33</v>
      </c>
      <c r="I104" s="15" t="n">
        <f aca="false">SUM(K104:T104)</f>
        <v>16640</v>
      </c>
      <c r="J104" s="15" t="n">
        <f aca="false">F104-(G104+H104+I104)</f>
        <v>0</v>
      </c>
      <c r="K104" s="15" t="n">
        <v>1664</v>
      </c>
      <c r="L104" s="15" t="n">
        <v>1664</v>
      </c>
      <c r="M104" s="15" t="n">
        <v>1664</v>
      </c>
      <c r="N104" s="15" t="n">
        <v>1664</v>
      </c>
      <c r="O104" s="15" t="n">
        <v>1664</v>
      </c>
      <c r="P104" s="15" t="n">
        <v>1664</v>
      </c>
      <c r="Q104" s="15" t="n">
        <v>1664</v>
      </c>
      <c r="R104" s="15" t="n">
        <v>1664</v>
      </c>
      <c r="S104" s="15" t="n">
        <v>1664</v>
      </c>
      <c r="T104" s="15" t="n">
        <v>1664</v>
      </c>
      <c r="U104" s="15" t="n">
        <v>350</v>
      </c>
      <c r="V104" s="15" t="n">
        <v>250</v>
      </c>
      <c r="W104" s="15" t="n">
        <f aca="false">U104+V104</f>
        <v>600</v>
      </c>
    </row>
    <row r="105" customFormat="false" ht="15" hidden="false" customHeight="false" outlineLevel="0" collapsed="false">
      <c r="A105" s="3" t="s">
        <v>1969</v>
      </c>
      <c r="B105" s="3" t="s">
        <v>1883</v>
      </c>
      <c r="C105" s="3" t="s">
        <v>440</v>
      </c>
      <c r="D105" s="3" t="s">
        <v>189</v>
      </c>
      <c r="E105" s="13" t="n">
        <v>365000</v>
      </c>
      <c r="F105" s="13" t="n">
        <v>4995.26</v>
      </c>
      <c r="G105" s="13" t="n">
        <v>624.41</v>
      </c>
      <c r="H105" s="13" t="n">
        <v>624.41</v>
      </c>
      <c r="I105" s="13" t="n">
        <f aca="false">SUM(K105:T105)</f>
        <v>3746.4</v>
      </c>
      <c r="J105" s="13" t="n">
        <f aca="false">F105-(G105+H105+I105)</f>
        <v>0.0400000000008731</v>
      </c>
      <c r="K105" s="13" t="n">
        <v>374.64</v>
      </c>
      <c r="L105" s="13" t="n">
        <v>374.64</v>
      </c>
      <c r="M105" s="13" t="n">
        <v>374.64</v>
      </c>
      <c r="N105" s="13" t="n">
        <v>374.64</v>
      </c>
      <c r="O105" s="13" t="n">
        <v>374.64</v>
      </c>
      <c r="P105" s="13" t="n">
        <v>374.64</v>
      </c>
      <c r="Q105" s="13" t="n">
        <v>374.64</v>
      </c>
      <c r="R105" s="13" t="n">
        <v>374.64</v>
      </c>
      <c r="S105" s="13" t="n">
        <v>374.64</v>
      </c>
      <c r="T105" s="13" t="n">
        <v>374.64</v>
      </c>
      <c r="U105" s="13" t="n">
        <v>350</v>
      </c>
      <c r="V105" s="13" t="n">
        <v>0</v>
      </c>
      <c r="W105" s="13" t="n">
        <f aca="false">U105+V105</f>
        <v>350</v>
      </c>
    </row>
    <row r="106" customFormat="false" ht="15" hidden="false" customHeight="false" outlineLevel="0" collapsed="false">
      <c r="A106" s="14" t="s">
        <v>1970</v>
      </c>
      <c r="B106" s="14" t="s">
        <v>1883</v>
      </c>
      <c r="C106" s="14" t="s">
        <v>330</v>
      </c>
      <c r="D106" s="14" t="s">
        <v>102</v>
      </c>
      <c r="E106" s="15" t="n">
        <v>115000</v>
      </c>
      <c r="F106" s="15" t="n">
        <v>2018.34</v>
      </c>
      <c r="G106" s="15" t="n">
        <v>252.29</v>
      </c>
      <c r="H106" s="15" t="n">
        <v>252.29</v>
      </c>
      <c r="I106" s="15" t="n">
        <f aca="false">SUM(K106:T106)</f>
        <v>1513.8</v>
      </c>
      <c r="J106" s="15" t="n">
        <f aca="false">F106-(G106+H106+I106)</f>
        <v>-0.040000000000191</v>
      </c>
      <c r="K106" s="15" t="n">
        <v>151.38</v>
      </c>
      <c r="L106" s="15" t="n">
        <v>151.38</v>
      </c>
      <c r="M106" s="15" t="n">
        <v>151.38</v>
      </c>
      <c r="N106" s="15" t="n">
        <v>151.38</v>
      </c>
      <c r="O106" s="15" t="n">
        <v>151.38</v>
      </c>
      <c r="P106" s="15" t="n">
        <v>151.38</v>
      </c>
      <c r="Q106" s="15" t="n">
        <v>151.38</v>
      </c>
      <c r="R106" s="15" t="n">
        <v>151.38</v>
      </c>
      <c r="S106" s="15" t="n">
        <v>151.38</v>
      </c>
      <c r="T106" s="15" t="n">
        <v>151.38</v>
      </c>
      <c r="U106" s="15" t="n">
        <v>350</v>
      </c>
      <c r="V106" s="15" t="n">
        <v>0</v>
      </c>
      <c r="W106" s="15" t="n">
        <f aca="false">U106+V106</f>
        <v>350</v>
      </c>
    </row>
    <row r="107" customFormat="false" ht="15" hidden="false" customHeight="false" outlineLevel="0" collapsed="false">
      <c r="A107" s="3" t="s">
        <v>1971</v>
      </c>
      <c r="B107" s="3" t="s">
        <v>1839</v>
      </c>
      <c r="C107" s="3" t="s">
        <v>1322</v>
      </c>
      <c r="D107" s="3" t="s">
        <v>153</v>
      </c>
      <c r="E107" s="13" t="n">
        <v>865000</v>
      </c>
      <c r="F107" s="13" t="n">
        <v>14456.83</v>
      </c>
      <c r="G107" s="13" t="n">
        <v>1807.1</v>
      </c>
      <c r="H107" s="13" t="n">
        <v>1807.1</v>
      </c>
      <c r="I107" s="13" t="n">
        <f aca="false">SUM(K107:T107)</f>
        <v>10842.6</v>
      </c>
      <c r="J107" s="13" t="n">
        <f aca="false">F107-(G107+H107+I107)</f>
        <v>0.0300000000006548</v>
      </c>
      <c r="K107" s="13" t="n">
        <v>1084.26</v>
      </c>
      <c r="L107" s="13" t="n">
        <v>1084.26</v>
      </c>
      <c r="M107" s="13" t="n">
        <v>1084.26</v>
      </c>
      <c r="N107" s="13" t="n">
        <v>1084.26</v>
      </c>
      <c r="O107" s="13" t="n">
        <v>1084.26</v>
      </c>
      <c r="P107" s="13" t="n">
        <v>1084.26</v>
      </c>
      <c r="Q107" s="13" t="n">
        <v>1084.26</v>
      </c>
      <c r="R107" s="13" t="n">
        <v>1084.26</v>
      </c>
      <c r="S107" s="13" t="n">
        <v>1084.26</v>
      </c>
      <c r="T107" s="13" t="n">
        <v>1084.26</v>
      </c>
      <c r="U107" s="13" t="n">
        <v>350</v>
      </c>
      <c r="V107" s="13" t="n">
        <v>0</v>
      </c>
      <c r="W107" s="13" t="n">
        <f aca="false">U107+V107</f>
        <v>350</v>
      </c>
    </row>
    <row r="108" customFormat="false" ht="15" hidden="false" customHeight="false" outlineLevel="0" collapsed="false">
      <c r="A108" s="14" t="s">
        <v>1972</v>
      </c>
      <c r="B108" s="14" t="s">
        <v>1866</v>
      </c>
      <c r="C108" s="14" t="s">
        <v>327</v>
      </c>
      <c r="D108" s="14" t="s">
        <v>89</v>
      </c>
      <c r="E108" s="15" t="n">
        <v>255000</v>
      </c>
      <c r="F108" s="15" t="n">
        <v>4282.99</v>
      </c>
      <c r="G108" s="15" t="n">
        <v>535.37</v>
      </c>
      <c r="H108" s="15" t="n">
        <v>535.37</v>
      </c>
      <c r="I108" s="15" t="n">
        <f aca="false">SUM(K108:T108)</f>
        <v>3212.2</v>
      </c>
      <c r="J108" s="15" t="n">
        <f aca="false">F108-(G108+H108+I108)</f>
        <v>0.0499999999992724</v>
      </c>
      <c r="K108" s="15" t="n">
        <v>321.22</v>
      </c>
      <c r="L108" s="15" t="n">
        <v>321.22</v>
      </c>
      <c r="M108" s="15" t="n">
        <v>321.22</v>
      </c>
      <c r="N108" s="15" t="n">
        <v>321.22</v>
      </c>
      <c r="O108" s="15" t="n">
        <v>321.22</v>
      </c>
      <c r="P108" s="15" t="n">
        <v>321.22</v>
      </c>
      <c r="Q108" s="15" t="n">
        <v>321.22</v>
      </c>
      <c r="R108" s="15" t="n">
        <v>321.22</v>
      </c>
      <c r="S108" s="15" t="n">
        <v>321.22</v>
      </c>
      <c r="T108" s="15" t="n">
        <v>321.22</v>
      </c>
      <c r="U108" s="15" t="n">
        <v>350</v>
      </c>
      <c r="V108" s="15" t="n">
        <v>0</v>
      </c>
      <c r="W108" s="15" t="n">
        <f aca="false">U108+V108</f>
        <v>350</v>
      </c>
    </row>
    <row r="109" customFormat="false" ht="15" hidden="false" customHeight="false" outlineLevel="0" collapsed="false">
      <c r="A109" s="3" t="s">
        <v>1973</v>
      </c>
      <c r="B109" s="3" t="s">
        <v>1862</v>
      </c>
      <c r="C109" s="3" t="s">
        <v>1487</v>
      </c>
      <c r="D109" s="3" t="s">
        <v>325</v>
      </c>
      <c r="E109" s="13" t="n">
        <v>395000</v>
      </c>
      <c r="F109" s="13" t="n">
        <v>6781.87</v>
      </c>
      <c r="G109" s="13" t="n">
        <v>847.73</v>
      </c>
      <c r="H109" s="13" t="n">
        <v>847.73</v>
      </c>
      <c r="I109" s="13" t="n">
        <f aca="false">SUM(K109:T109)</f>
        <v>5086.4</v>
      </c>
      <c r="J109" s="13" t="n">
        <f aca="false">F109-(G109+H109+I109)</f>
        <v>0.00999999999930878</v>
      </c>
      <c r="K109" s="13" t="n">
        <v>508.64</v>
      </c>
      <c r="L109" s="13" t="n">
        <v>508.64</v>
      </c>
      <c r="M109" s="13" t="n">
        <v>508.64</v>
      </c>
      <c r="N109" s="13" t="n">
        <v>508.64</v>
      </c>
      <c r="O109" s="13" t="n">
        <v>508.64</v>
      </c>
      <c r="P109" s="13" t="n">
        <v>508.64</v>
      </c>
      <c r="Q109" s="13" t="n">
        <v>508.64</v>
      </c>
      <c r="R109" s="13" t="n">
        <v>508.64</v>
      </c>
      <c r="S109" s="13" t="n">
        <v>508.64</v>
      </c>
      <c r="T109" s="13" t="n">
        <v>508.64</v>
      </c>
      <c r="U109" s="13" t="n">
        <v>350</v>
      </c>
      <c r="V109" s="13" t="n">
        <v>0</v>
      </c>
      <c r="W109" s="13" t="n">
        <f aca="false">U109+V109</f>
        <v>350</v>
      </c>
    </row>
    <row r="110" customFormat="false" ht="15" hidden="false" customHeight="false" outlineLevel="0" collapsed="false">
      <c r="A110" s="14" t="s">
        <v>1974</v>
      </c>
      <c r="B110" s="14" t="s">
        <v>1857</v>
      </c>
      <c r="C110" s="14" t="s">
        <v>702</v>
      </c>
      <c r="D110" s="14" t="s">
        <v>246</v>
      </c>
      <c r="E110" s="15" t="n">
        <v>340000</v>
      </c>
      <c r="F110" s="15" t="n">
        <v>7783.41</v>
      </c>
      <c r="G110" s="15" t="n">
        <v>972.93</v>
      </c>
      <c r="H110" s="15" t="n">
        <v>972.93</v>
      </c>
      <c r="I110" s="15" t="n">
        <f aca="false">SUM(K110:T110)</f>
        <v>5837.6</v>
      </c>
      <c r="J110" s="15" t="n">
        <f aca="false">F110-(G110+H110+I110)</f>
        <v>-0.0500000000001819</v>
      </c>
      <c r="K110" s="15" t="n">
        <v>583.76</v>
      </c>
      <c r="L110" s="15" t="n">
        <v>583.76</v>
      </c>
      <c r="M110" s="15" t="n">
        <v>583.76</v>
      </c>
      <c r="N110" s="15" t="n">
        <v>583.76</v>
      </c>
      <c r="O110" s="15" t="n">
        <v>583.76</v>
      </c>
      <c r="P110" s="15" t="n">
        <v>583.76</v>
      </c>
      <c r="Q110" s="15" t="n">
        <v>583.76</v>
      </c>
      <c r="R110" s="15" t="n">
        <v>583.76</v>
      </c>
      <c r="S110" s="15" t="n">
        <v>583.76</v>
      </c>
      <c r="T110" s="15" t="n">
        <v>583.76</v>
      </c>
      <c r="U110" s="15" t="n">
        <v>350</v>
      </c>
      <c r="V110" s="15" t="n">
        <v>0</v>
      </c>
      <c r="W110" s="15" t="n">
        <f aca="false">U110+V110</f>
        <v>350</v>
      </c>
    </row>
    <row r="111" customFormat="false" ht="15" hidden="false" customHeight="false" outlineLevel="0" collapsed="false">
      <c r="A111" s="3" t="s">
        <v>1975</v>
      </c>
      <c r="B111" s="3" t="s">
        <v>1862</v>
      </c>
      <c r="C111" s="3" t="s">
        <v>111</v>
      </c>
      <c r="D111" s="3" t="s">
        <v>251</v>
      </c>
      <c r="E111" s="13" t="n">
        <v>610000</v>
      </c>
      <c r="F111" s="13" t="n">
        <v>7366.7</v>
      </c>
      <c r="G111" s="13" t="n">
        <v>920.84</v>
      </c>
      <c r="H111" s="13" t="n">
        <v>920.84</v>
      </c>
      <c r="I111" s="13" t="n">
        <f aca="false">SUM(K111:T111)</f>
        <v>5525</v>
      </c>
      <c r="J111" s="13" t="n">
        <f aca="false">F111-(G111+H111+I111)</f>
        <v>0.0199999999995271</v>
      </c>
      <c r="K111" s="13" t="n">
        <v>552.5</v>
      </c>
      <c r="L111" s="13" t="n">
        <v>552.5</v>
      </c>
      <c r="M111" s="13" t="n">
        <v>552.5</v>
      </c>
      <c r="N111" s="13" t="n">
        <v>552.5</v>
      </c>
      <c r="O111" s="13" t="n">
        <v>552.5</v>
      </c>
      <c r="P111" s="13" t="n">
        <v>552.5</v>
      </c>
      <c r="Q111" s="13" t="n">
        <v>552.5</v>
      </c>
      <c r="R111" s="13" t="n">
        <v>552.5</v>
      </c>
      <c r="S111" s="13" t="n">
        <v>552.5</v>
      </c>
      <c r="T111" s="13" t="n">
        <v>552.5</v>
      </c>
      <c r="U111" s="13" t="n">
        <v>350</v>
      </c>
      <c r="V111" s="13" t="n">
        <v>0</v>
      </c>
      <c r="W111" s="13" t="n">
        <f aca="false">U111+V111</f>
        <v>350</v>
      </c>
    </row>
    <row r="112" customFormat="false" ht="15" hidden="false" customHeight="false" outlineLevel="0" collapsed="false">
      <c r="A112" s="14" t="s">
        <v>1976</v>
      </c>
      <c r="B112" s="14" t="s">
        <v>1841</v>
      </c>
      <c r="C112" s="14" t="s">
        <v>1468</v>
      </c>
      <c r="D112" s="14" t="s">
        <v>193</v>
      </c>
      <c r="E112" s="15" t="n">
        <v>1650000</v>
      </c>
      <c r="F112" s="15" t="n">
        <v>18817.78</v>
      </c>
      <c r="G112" s="15" t="n">
        <v>2352.22</v>
      </c>
      <c r="H112" s="15" t="n">
        <v>2352.22</v>
      </c>
      <c r="I112" s="15" t="n">
        <f aca="false">SUM(K112:T112)</f>
        <v>14113.3</v>
      </c>
      <c r="J112" s="15" t="n">
        <f aca="false">F112-(G112+H112+I112)</f>
        <v>0.0400000000008731</v>
      </c>
      <c r="K112" s="15" t="n">
        <v>1411.33</v>
      </c>
      <c r="L112" s="15" t="n">
        <v>1411.33</v>
      </c>
      <c r="M112" s="15" t="n">
        <v>1411.33</v>
      </c>
      <c r="N112" s="15" t="n">
        <v>1411.33</v>
      </c>
      <c r="O112" s="15" t="n">
        <v>1411.33</v>
      </c>
      <c r="P112" s="15" t="n">
        <v>1411.33</v>
      </c>
      <c r="Q112" s="15" t="n">
        <v>1411.33</v>
      </c>
      <c r="R112" s="15" t="n">
        <v>1411.33</v>
      </c>
      <c r="S112" s="15" t="n">
        <v>1411.33</v>
      </c>
      <c r="T112" s="15" t="n">
        <v>1411.33</v>
      </c>
      <c r="U112" s="15" t="n">
        <v>350</v>
      </c>
      <c r="V112" s="15" t="n">
        <v>250</v>
      </c>
      <c r="W112" s="15" t="n">
        <f aca="false">U112+V112</f>
        <v>600</v>
      </c>
    </row>
    <row r="113" customFormat="false" ht="15" hidden="false" customHeight="false" outlineLevel="0" collapsed="false">
      <c r="A113" s="3" t="s">
        <v>1977</v>
      </c>
      <c r="B113" s="3" t="s">
        <v>1839</v>
      </c>
      <c r="C113" s="3" t="s">
        <v>1353</v>
      </c>
      <c r="D113" s="3" t="s">
        <v>81</v>
      </c>
      <c r="E113" s="13" t="n">
        <v>410000</v>
      </c>
      <c r="F113" s="13" t="n">
        <v>6529.31</v>
      </c>
      <c r="G113" s="13" t="n">
        <v>816.16</v>
      </c>
      <c r="H113" s="13" t="n">
        <v>816.16</v>
      </c>
      <c r="I113" s="13" t="n">
        <f aca="false">SUM(K113:T113)</f>
        <v>4897</v>
      </c>
      <c r="J113" s="13" t="n">
        <f aca="false">F113-(G113+H113+I113)</f>
        <v>-0.00999999999930878</v>
      </c>
      <c r="K113" s="13" t="n">
        <v>489.7</v>
      </c>
      <c r="L113" s="13" t="n">
        <v>489.7</v>
      </c>
      <c r="M113" s="13" t="n">
        <v>489.7</v>
      </c>
      <c r="N113" s="13" t="n">
        <v>489.7</v>
      </c>
      <c r="O113" s="13" t="n">
        <v>489.7</v>
      </c>
      <c r="P113" s="13" t="n">
        <v>489.7</v>
      </c>
      <c r="Q113" s="13" t="n">
        <v>489.7</v>
      </c>
      <c r="R113" s="13" t="n">
        <v>489.7</v>
      </c>
      <c r="S113" s="13" t="n">
        <v>489.7</v>
      </c>
      <c r="T113" s="13" t="n">
        <v>489.7</v>
      </c>
      <c r="U113" s="13" t="n">
        <v>350</v>
      </c>
      <c r="V113" s="13" t="n">
        <v>0</v>
      </c>
      <c r="W113" s="13" t="n">
        <f aca="false">U113+V113</f>
        <v>350</v>
      </c>
    </row>
    <row r="114" customFormat="false" ht="15" hidden="false" customHeight="false" outlineLevel="0" collapsed="false">
      <c r="A114" s="14" t="s">
        <v>1978</v>
      </c>
      <c r="B114" s="14" t="s">
        <v>1936</v>
      </c>
      <c r="C114" s="14" t="s">
        <v>1329</v>
      </c>
      <c r="D114" s="14" t="s">
        <v>222</v>
      </c>
      <c r="E114" s="15" t="n">
        <v>360000</v>
      </c>
      <c r="F114" s="15" t="n">
        <v>4926.83</v>
      </c>
      <c r="G114" s="15" t="n">
        <v>615.85</v>
      </c>
      <c r="H114" s="15" t="n">
        <v>615.85</v>
      </c>
      <c r="I114" s="15" t="n">
        <f aca="false">SUM(K114:T114)</f>
        <v>3695.1</v>
      </c>
      <c r="J114" s="15" t="n">
        <f aca="false">F114-(G114+H114+I114)</f>
        <v>0.0299999999997453</v>
      </c>
      <c r="K114" s="15" t="n">
        <v>369.51</v>
      </c>
      <c r="L114" s="15" t="n">
        <v>369.51</v>
      </c>
      <c r="M114" s="15" t="n">
        <v>369.51</v>
      </c>
      <c r="N114" s="15" t="n">
        <v>369.51</v>
      </c>
      <c r="O114" s="15" t="n">
        <v>369.51</v>
      </c>
      <c r="P114" s="15" t="n">
        <v>369.51</v>
      </c>
      <c r="Q114" s="15" t="n">
        <v>369.51</v>
      </c>
      <c r="R114" s="15" t="n">
        <v>369.51</v>
      </c>
      <c r="S114" s="15" t="n">
        <v>369.51</v>
      </c>
      <c r="T114" s="15" t="n">
        <v>369.51</v>
      </c>
      <c r="U114" s="15" t="n">
        <v>350</v>
      </c>
      <c r="V114" s="15" t="n">
        <v>0</v>
      </c>
      <c r="W114" s="15" t="n">
        <f aca="false">U114+V114</f>
        <v>350</v>
      </c>
    </row>
    <row r="115" customFormat="false" ht="15" hidden="false" customHeight="false" outlineLevel="0" collapsed="false">
      <c r="A115" s="3" t="s">
        <v>1979</v>
      </c>
      <c r="B115" s="3" t="s">
        <v>1837</v>
      </c>
      <c r="C115" s="3" t="s">
        <v>1195</v>
      </c>
      <c r="D115" s="3" t="s">
        <v>377</v>
      </c>
      <c r="E115" s="13" t="n">
        <v>405000</v>
      </c>
      <c r="F115" s="13" t="n">
        <v>6752.01</v>
      </c>
      <c r="G115" s="13" t="n">
        <v>844</v>
      </c>
      <c r="H115" s="13" t="n">
        <v>844</v>
      </c>
      <c r="I115" s="13" t="n">
        <f aca="false">SUM(K115:T115)</f>
        <v>5064</v>
      </c>
      <c r="J115" s="13" t="n">
        <f aca="false">F115-(G115+H115+I115)</f>
        <v>0.0100000000011278</v>
      </c>
      <c r="K115" s="13" t="n">
        <v>506.4</v>
      </c>
      <c r="L115" s="13" t="n">
        <v>506.4</v>
      </c>
      <c r="M115" s="13" t="n">
        <v>506.4</v>
      </c>
      <c r="N115" s="13" t="n">
        <v>506.4</v>
      </c>
      <c r="O115" s="13" t="n">
        <v>506.4</v>
      </c>
      <c r="P115" s="13" t="n">
        <v>506.4</v>
      </c>
      <c r="Q115" s="13" t="n">
        <v>506.4</v>
      </c>
      <c r="R115" s="13" t="n">
        <v>506.4</v>
      </c>
      <c r="S115" s="13" t="n">
        <v>506.4</v>
      </c>
      <c r="T115" s="13" t="n">
        <v>506.4</v>
      </c>
      <c r="U115" s="13" t="n">
        <v>350</v>
      </c>
      <c r="V115" s="13" t="n">
        <v>0</v>
      </c>
      <c r="W115" s="13" t="n">
        <f aca="false">U115+V115</f>
        <v>350</v>
      </c>
    </row>
    <row r="116" customFormat="false" ht="15" hidden="false" customHeight="false" outlineLevel="0" collapsed="false">
      <c r="A116" s="14" t="s">
        <v>1980</v>
      </c>
      <c r="B116" s="14" t="s">
        <v>1862</v>
      </c>
      <c r="C116" s="14" t="s">
        <v>1081</v>
      </c>
      <c r="D116" s="14" t="s">
        <v>233</v>
      </c>
      <c r="E116" s="15" t="n">
        <v>525000</v>
      </c>
      <c r="F116" s="15" t="n">
        <v>5547.67</v>
      </c>
      <c r="G116" s="15" t="n">
        <v>693.46</v>
      </c>
      <c r="H116" s="15" t="n">
        <v>693.46</v>
      </c>
      <c r="I116" s="15" t="n">
        <f aca="false">SUM(K116:T116)</f>
        <v>4160.8</v>
      </c>
      <c r="J116" s="15" t="n">
        <f aca="false">F116-(G116+H116+I116)</f>
        <v>-0.0500000000001819</v>
      </c>
      <c r="K116" s="15" t="n">
        <v>416.08</v>
      </c>
      <c r="L116" s="15" t="n">
        <v>416.08</v>
      </c>
      <c r="M116" s="15" t="n">
        <v>416.08</v>
      </c>
      <c r="N116" s="15" t="n">
        <v>416.08</v>
      </c>
      <c r="O116" s="15" t="n">
        <v>416.08</v>
      </c>
      <c r="P116" s="15" t="n">
        <v>416.08</v>
      </c>
      <c r="Q116" s="15" t="n">
        <v>416.08</v>
      </c>
      <c r="R116" s="15" t="n">
        <v>416.08</v>
      </c>
      <c r="S116" s="15" t="n">
        <v>416.08</v>
      </c>
      <c r="T116" s="15" t="n">
        <v>416.08</v>
      </c>
      <c r="U116" s="15" t="n">
        <v>350</v>
      </c>
      <c r="V116" s="15" t="n">
        <v>0</v>
      </c>
      <c r="W116" s="15" t="n">
        <f aca="false">U116+V116</f>
        <v>350</v>
      </c>
    </row>
    <row r="117" customFormat="false" ht="15" hidden="false" customHeight="false" outlineLevel="0" collapsed="false">
      <c r="A117" s="3" t="s">
        <v>1981</v>
      </c>
      <c r="B117" s="3" t="s">
        <v>1843</v>
      </c>
      <c r="C117" s="3" t="s">
        <v>898</v>
      </c>
      <c r="D117" s="3" t="s">
        <v>125</v>
      </c>
      <c r="E117" s="13" t="n">
        <v>1100000</v>
      </c>
      <c r="F117" s="13" t="n">
        <v>6656.7</v>
      </c>
      <c r="G117" s="13" t="n">
        <v>832.09</v>
      </c>
      <c r="H117" s="13" t="n">
        <v>832.09</v>
      </c>
      <c r="I117" s="13" t="n">
        <f aca="false">SUM(K117:T117)</f>
        <v>4992.5</v>
      </c>
      <c r="J117" s="13" t="n">
        <f aca="false">F117-(G117+H117+I117)</f>
        <v>0.0199999999995271</v>
      </c>
      <c r="K117" s="13" t="n">
        <v>499.25</v>
      </c>
      <c r="L117" s="13" t="n">
        <v>499.25</v>
      </c>
      <c r="M117" s="13" t="n">
        <v>499.25</v>
      </c>
      <c r="N117" s="13" t="n">
        <v>499.25</v>
      </c>
      <c r="O117" s="13" t="n">
        <v>499.25</v>
      </c>
      <c r="P117" s="13" t="n">
        <v>499.25</v>
      </c>
      <c r="Q117" s="13" t="n">
        <v>499.25</v>
      </c>
      <c r="R117" s="13" t="n">
        <v>499.25</v>
      </c>
      <c r="S117" s="13" t="n">
        <v>499.25</v>
      </c>
      <c r="T117" s="13" t="n">
        <v>499.25</v>
      </c>
      <c r="U117" s="13" t="n">
        <v>350</v>
      </c>
      <c r="V117" s="13" t="n">
        <v>250</v>
      </c>
      <c r="W117" s="13" t="n">
        <f aca="false">U117+V117</f>
        <v>600</v>
      </c>
    </row>
    <row r="118" customFormat="false" ht="15" hidden="false" customHeight="false" outlineLevel="0" collapsed="false">
      <c r="A118" s="14" t="s">
        <v>1982</v>
      </c>
      <c r="B118" s="14" t="s">
        <v>1862</v>
      </c>
      <c r="C118" s="14" t="s">
        <v>1485</v>
      </c>
      <c r="D118" s="14" t="s">
        <v>251</v>
      </c>
      <c r="E118" s="15" t="n">
        <v>940000</v>
      </c>
      <c r="F118" s="15" t="n">
        <v>11351.97</v>
      </c>
      <c r="G118" s="15" t="n">
        <v>1419</v>
      </c>
      <c r="H118" s="15" t="n">
        <v>1419</v>
      </c>
      <c r="I118" s="15" t="n">
        <f aca="false">SUM(K118:T118)</f>
        <v>8514</v>
      </c>
      <c r="J118" s="15" t="n">
        <f aca="false">F118-(G118+H118+I118)</f>
        <v>-0.0300000000006548</v>
      </c>
      <c r="K118" s="15" t="n">
        <v>851.4</v>
      </c>
      <c r="L118" s="15" t="n">
        <v>851.4</v>
      </c>
      <c r="M118" s="15" t="n">
        <v>851.4</v>
      </c>
      <c r="N118" s="15" t="n">
        <v>851.4</v>
      </c>
      <c r="O118" s="15" t="n">
        <v>851.4</v>
      </c>
      <c r="P118" s="15" t="n">
        <v>851.4</v>
      </c>
      <c r="Q118" s="15" t="n">
        <v>851.4</v>
      </c>
      <c r="R118" s="15" t="n">
        <v>851.4</v>
      </c>
      <c r="S118" s="15" t="n">
        <v>851.4</v>
      </c>
      <c r="T118" s="15" t="n">
        <v>851.4</v>
      </c>
      <c r="U118" s="15" t="n">
        <v>350</v>
      </c>
      <c r="V118" s="15" t="n">
        <v>0</v>
      </c>
      <c r="W118" s="15" t="n">
        <f aca="false">U118+V118</f>
        <v>350</v>
      </c>
    </row>
    <row r="119" customFormat="false" ht="15" hidden="false" customHeight="false" outlineLevel="0" collapsed="false">
      <c r="A119" s="3" t="s">
        <v>1983</v>
      </c>
      <c r="B119" s="3" t="s">
        <v>1892</v>
      </c>
      <c r="C119" s="3" t="s">
        <v>412</v>
      </c>
      <c r="D119" s="3" t="s">
        <v>406</v>
      </c>
      <c r="E119" s="13" t="n">
        <v>285000</v>
      </c>
      <c r="F119" s="13" t="n">
        <v>2110.48</v>
      </c>
      <c r="G119" s="13" t="n">
        <v>263.81</v>
      </c>
      <c r="H119" s="13" t="n">
        <v>263.81</v>
      </c>
      <c r="I119" s="13" t="n">
        <f aca="false">SUM(K119:T119)</f>
        <v>1582.9</v>
      </c>
      <c r="J119" s="13" t="n">
        <f aca="false">F119-(G119+H119+I119)</f>
        <v>-0.0399999999999636</v>
      </c>
      <c r="K119" s="13" t="n">
        <v>158.29</v>
      </c>
      <c r="L119" s="13" t="n">
        <v>158.29</v>
      </c>
      <c r="M119" s="13" t="n">
        <v>158.29</v>
      </c>
      <c r="N119" s="13" t="n">
        <v>158.29</v>
      </c>
      <c r="O119" s="13" t="n">
        <v>158.29</v>
      </c>
      <c r="P119" s="13" t="n">
        <v>158.29</v>
      </c>
      <c r="Q119" s="13" t="n">
        <v>158.29</v>
      </c>
      <c r="R119" s="13" t="n">
        <v>158.29</v>
      </c>
      <c r="S119" s="13" t="n">
        <v>158.29</v>
      </c>
      <c r="T119" s="13" t="n">
        <v>158.29</v>
      </c>
      <c r="U119" s="13" t="n">
        <v>350</v>
      </c>
      <c r="V119" s="13" t="n">
        <v>0</v>
      </c>
      <c r="W119" s="13" t="n">
        <f aca="false">U119+V119</f>
        <v>350</v>
      </c>
    </row>
    <row r="120" customFormat="false" ht="15" hidden="false" customHeight="false" outlineLevel="0" collapsed="false">
      <c r="A120" s="14" t="s">
        <v>1984</v>
      </c>
      <c r="B120" s="14" t="s">
        <v>1874</v>
      </c>
      <c r="C120" s="14" t="s">
        <v>1985</v>
      </c>
      <c r="D120" s="14" t="s">
        <v>230</v>
      </c>
      <c r="E120" s="15" t="n">
        <v>660000</v>
      </c>
      <c r="F120" s="15" t="n">
        <v>4950.92</v>
      </c>
      <c r="G120" s="15" t="n">
        <v>618.87</v>
      </c>
      <c r="H120" s="15" t="n">
        <v>618.87</v>
      </c>
      <c r="I120" s="15" t="n">
        <f aca="false">SUM(K120:T120)</f>
        <v>3713.2</v>
      </c>
      <c r="J120" s="15" t="n">
        <f aca="false">F120-(G120+H120+I120)</f>
        <v>-0.0200000000004366</v>
      </c>
      <c r="K120" s="15" t="n">
        <v>371.32</v>
      </c>
      <c r="L120" s="15" t="n">
        <v>371.32</v>
      </c>
      <c r="M120" s="15" t="n">
        <v>371.32</v>
      </c>
      <c r="N120" s="15" t="n">
        <v>371.32</v>
      </c>
      <c r="O120" s="15" t="n">
        <v>371.32</v>
      </c>
      <c r="P120" s="15" t="n">
        <v>371.32</v>
      </c>
      <c r="Q120" s="15" t="n">
        <v>371.32</v>
      </c>
      <c r="R120" s="15" t="n">
        <v>371.32</v>
      </c>
      <c r="S120" s="15" t="n">
        <v>371.32</v>
      </c>
      <c r="T120" s="15" t="n">
        <v>371.32</v>
      </c>
      <c r="U120" s="15" t="n">
        <v>350</v>
      </c>
      <c r="V120" s="15" t="n">
        <v>0</v>
      </c>
      <c r="W120" s="15" t="n">
        <f aca="false">U120+V120</f>
        <v>350</v>
      </c>
    </row>
    <row r="121" customFormat="false" ht="15" hidden="false" customHeight="false" outlineLevel="0" collapsed="false">
      <c r="A121" s="3" t="s">
        <v>1986</v>
      </c>
      <c r="B121" s="3" t="s">
        <v>1839</v>
      </c>
      <c r="C121" s="3" t="s">
        <v>565</v>
      </c>
      <c r="D121" s="3" t="s">
        <v>125</v>
      </c>
      <c r="E121" s="13" t="n">
        <v>605000</v>
      </c>
      <c r="F121" s="13" t="n">
        <v>4142.92</v>
      </c>
      <c r="G121" s="13" t="n">
        <v>517.87</v>
      </c>
      <c r="H121" s="13" t="n">
        <v>517.87</v>
      </c>
      <c r="I121" s="13" t="n">
        <f aca="false">SUM(K121:T121)</f>
        <v>3107.2</v>
      </c>
      <c r="J121" s="13" t="n">
        <f aca="false">F121-(G121+H121+I121)</f>
        <v>-0.0200000000004366</v>
      </c>
      <c r="K121" s="13" t="n">
        <v>310.72</v>
      </c>
      <c r="L121" s="13" t="n">
        <v>310.72</v>
      </c>
      <c r="M121" s="13" t="n">
        <v>310.72</v>
      </c>
      <c r="N121" s="13" t="n">
        <v>310.72</v>
      </c>
      <c r="O121" s="13" t="n">
        <v>310.72</v>
      </c>
      <c r="P121" s="13" t="n">
        <v>310.72</v>
      </c>
      <c r="Q121" s="13" t="n">
        <v>310.72</v>
      </c>
      <c r="R121" s="13" t="n">
        <v>310.72</v>
      </c>
      <c r="S121" s="13" t="n">
        <v>310.72</v>
      </c>
      <c r="T121" s="13" t="n">
        <v>310.72</v>
      </c>
      <c r="U121" s="13" t="n">
        <v>350</v>
      </c>
      <c r="V121" s="13" t="n">
        <v>0</v>
      </c>
      <c r="W121" s="13" t="n">
        <f aca="false">U121+V121</f>
        <v>350</v>
      </c>
    </row>
    <row r="122" customFormat="false" ht="15" hidden="false" customHeight="false" outlineLevel="0" collapsed="false">
      <c r="A122" s="14" t="s">
        <v>1987</v>
      </c>
      <c r="B122" s="14" t="s">
        <v>1839</v>
      </c>
      <c r="C122" s="14" t="s">
        <v>1988</v>
      </c>
      <c r="D122" s="14" t="s">
        <v>430</v>
      </c>
      <c r="E122" s="15" t="n">
        <v>1075000</v>
      </c>
      <c r="F122" s="15" t="n">
        <v>6708.71</v>
      </c>
      <c r="G122" s="15" t="n">
        <v>838.59</v>
      </c>
      <c r="H122" s="15" t="n">
        <v>838.59</v>
      </c>
      <c r="I122" s="15" t="n">
        <f aca="false">SUM(K122:T122)</f>
        <v>5031.5</v>
      </c>
      <c r="J122" s="15" t="n">
        <f aca="false">F122-(G122+H122+I122)</f>
        <v>0.0300000000006548</v>
      </c>
      <c r="K122" s="15" t="n">
        <v>503.15</v>
      </c>
      <c r="L122" s="15" t="n">
        <v>503.15</v>
      </c>
      <c r="M122" s="15" t="n">
        <v>503.15</v>
      </c>
      <c r="N122" s="15" t="n">
        <v>503.15</v>
      </c>
      <c r="O122" s="15" t="n">
        <v>503.15</v>
      </c>
      <c r="P122" s="15" t="n">
        <v>503.15</v>
      </c>
      <c r="Q122" s="15" t="n">
        <v>503.15</v>
      </c>
      <c r="R122" s="15" t="n">
        <v>503.15</v>
      </c>
      <c r="S122" s="15" t="n">
        <v>503.15</v>
      </c>
      <c r="T122" s="15" t="n">
        <v>503.15</v>
      </c>
      <c r="U122" s="15" t="n">
        <v>350</v>
      </c>
      <c r="V122" s="15" t="n">
        <v>250</v>
      </c>
      <c r="W122" s="15" t="n">
        <f aca="false">U122+V122</f>
        <v>600</v>
      </c>
    </row>
    <row r="123" customFormat="false" ht="15" hidden="false" customHeight="false" outlineLevel="0" collapsed="false">
      <c r="A123" s="3" t="s">
        <v>1989</v>
      </c>
      <c r="B123" s="3" t="s">
        <v>1871</v>
      </c>
      <c r="C123" s="3" t="s">
        <v>1990</v>
      </c>
      <c r="D123" s="3" t="s">
        <v>89</v>
      </c>
      <c r="E123" s="13" t="n">
        <v>635000</v>
      </c>
      <c r="F123" s="13" t="n">
        <v>9243.42</v>
      </c>
      <c r="G123" s="13" t="n">
        <v>1155.43</v>
      </c>
      <c r="H123" s="13" t="n">
        <v>1155.43</v>
      </c>
      <c r="I123" s="13" t="n">
        <f aca="false">SUM(K123:T123)</f>
        <v>6932.6</v>
      </c>
      <c r="J123" s="13" t="n">
        <f aca="false">F123-(G123+H123+I123)</f>
        <v>-0.0400000000008731</v>
      </c>
      <c r="K123" s="13" t="n">
        <v>693.26</v>
      </c>
      <c r="L123" s="13" t="n">
        <v>693.26</v>
      </c>
      <c r="M123" s="13" t="n">
        <v>693.26</v>
      </c>
      <c r="N123" s="13" t="n">
        <v>693.26</v>
      </c>
      <c r="O123" s="13" t="n">
        <v>693.26</v>
      </c>
      <c r="P123" s="13" t="n">
        <v>693.26</v>
      </c>
      <c r="Q123" s="13" t="n">
        <v>693.26</v>
      </c>
      <c r="R123" s="13" t="n">
        <v>693.26</v>
      </c>
      <c r="S123" s="13" t="n">
        <v>693.26</v>
      </c>
      <c r="T123" s="13" t="n">
        <v>693.26</v>
      </c>
      <c r="U123" s="13" t="n">
        <v>350</v>
      </c>
      <c r="V123" s="13" t="n">
        <v>0</v>
      </c>
      <c r="W123" s="13" t="n">
        <f aca="false">U123+V123</f>
        <v>350</v>
      </c>
    </row>
    <row r="124" customFormat="false" ht="15" hidden="false" customHeight="false" outlineLevel="0" collapsed="false">
      <c r="A124" s="14" t="s">
        <v>1991</v>
      </c>
      <c r="B124" s="14" t="s">
        <v>1845</v>
      </c>
      <c r="C124" s="14" t="s">
        <v>1526</v>
      </c>
      <c r="D124" s="14" t="s">
        <v>89</v>
      </c>
      <c r="E124" s="15" t="n">
        <v>645000</v>
      </c>
      <c r="F124" s="15" t="n">
        <v>6211.18</v>
      </c>
      <c r="G124" s="15" t="n">
        <v>776.4</v>
      </c>
      <c r="H124" s="15" t="n">
        <v>776.4</v>
      </c>
      <c r="I124" s="15" t="n">
        <f aca="false">SUM(K124:T124)</f>
        <v>4658.4</v>
      </c>
      <c r="J124" s="15" t="n">
        <f aca="false">F124-(G124+H124+I124)</f>
        <v>-0.0199999999995271</v>
      </c>
      <c r="K124" s="15" t="n">
        <v>465.84</v>
      </c>
      <c r="L124" s="15" t="n">
        <v>465.84</v>
      </c>
      <c r="M124" s="15" t="n">
        <v>465.84</v>
      </c>
      <c r="N124" s="15" t="n">
        <v>465.84</v>
      </c>
      <c r="O124" s="15" t="n">
        <v>465.84</v>
      </c>
      <c r="P124" s="15" t="n">
        <v>465.84</v>
      </c>
      <c r="Q124" s="15" t="n">
        <v>465.84</v>
      </c>
      <c r="R124" s="15" t="n">
        <v>465.84</v>
      </c>
      <c r="S124" s="15" t="n">
        <v>465.84</v>
      </c>
      <c r="T124" s="15" t="n">
        <v>465.84</v>
      </c>
      <c r="U124" s="15" t="n">
        <v>350</v>
      </c>
      <c r="V124" s="15" t="n">
        <v>0</v>
      </c>
      <c r="W124" s="15" t="n">
        <f aca="false">U124+V124</f>
        <v>350</v>
      </c>
    </row>
    <row r="125" customFormat="false" ht="15" hidden="false" customHeight="false" outlineLevel="0" collapsed="false">
      <c r="A125" s="3" t="s">
        <v>1992</v>
      </c>
      <c r="B125" s="3" t="s">
        <v>1857</v>
      </c>
      <c r="C125" s="3" t="s">
        <v>777</v>
      </c>
      <c r="D125" s="3" t="s">
        <v>328</v>
      </c>
      <c r="E125" s="13" t="n">
        <v>1950000</v>
      </c>
      <c r="F125" s="13" t="n">
        <v>33641.84</v>
      </c>
      <c r="G125" s="13" t="n">
        <v>4205.23</v>
      </c>
      <c r="H125" s="13" t="n">
        <v>4205.23</v>
      </c>
      <c r="I125" s="13" t="n">
        <f aca="false">SUM(K125:T125)</f>
        <v>25231.4</v>
      </c>
      <c r="J125" s="13" t="n">
        <f aca="false">F125-(G125+H125+I125)</f>
        <v>-0.0200000000040745</v>
      </c>
      <c r="K125" s="13" t="n">
        <v>2523.14</v>
      </c>
      <c r="L125" s="13" t="n">
        <v>2523.14</v>
      </c>
      <c r="M125" s="13" t="n">
        <v>2523.14</v>
      </c>
      <c r="N125" s="13" t="n">
        <v>2523.14</v>
      </c>
      <c r="O125" s="13" t="n">
        <v>2523.14</v>
      </c>
      <c r="P125" s="13" t="n">
        <v>2523.14</v>
      </c>
      <c r="Q125" s="13" t="n">
        <v>2523.14</v>
      </c>
      <c r="R125" s="13" t="n">
        <v>2523.14</v>
      </c>
      <c r="S125" s="13" t="n">
        <v>2523.14</v>
      </c>
      <c r="T125" s="13" t="n">
        <v>2523.14</v>
      </c>
      <c r="U125" s="13" t="n">
        <v>350</v>
      </c>
      <c r="V125" s="13" t="n">
        <v>250</v>
      </c>
      <c r="W125" s="13" t="n">
        <f aca="false">U125+V125</f>
        <v>600</v>
      </c>
    </row>
    <row r="126" customFormat="false" ht="15" hidden="false" customHeight="false" outlineLevel="0" collapsed="false">
      <c r="A126" s="14" t="s">
        <v>1993</v>
      </c>
      <c r="B126" s="14" t="s">
        <v>1902</v>
      </c>
      <c r="C126" s="14" t="s">
        <v>1682</v>
      </c>
      <c r="D126" s="14" t="s">
        <v>89</v>
      </c>
      <c r="E126" s="15" t="n">
        <v>615000</v>
      </c>
      <c r="F126" s="15" t="n">
        <v>8952.29</v>
      </c>
      <c r="G126" s="15" t="n">
        <v>1119.04</v>
      </c>
      <c r="H126" s="15" t="n">
        <v>1119.04</v>
      </c>
      <c r="I126" s="15" t="n">
        <f aca="false">SUM(K126:T126)</f>
        <v>6714.2</v>
      </c>
      <c r="J126" s="15" t="n">
        <f aca="false">F126-(G126+H126+I126)</f>
        <v>0.0100000000020373</v>
      </c>
      <c r="K126" s="15" t="n">
        <v>671.42</v>
      </c>
      <c r="L126" s="15" t="n">
        <v>671.42</v>
      </c>
      <c r="M126" s="15" t="n">
        <v>671.42</v>
      </c>
      <c r="N126" s="15" t="n">
        <v>671.42</v>
      </c>
      <c r="O126" s="15" t="n">
        <v>671.42</v>
      </c>
      <c r="P126" s="15" t="n">
        <v>671.42</v>
      </c>
      <c r="Q126" s="15" t="n">
        <v>671.42</v>
      </c>
      <c r="R126" s="15" t="n">
        <v>671.42</v>
      </c>
      <c r="S126" s="15" t="n">
        <v>671.42</v>
      </c>
      <c r="T126" s="15" t="n">
        <v>671.42</v>
      </c>
      <c r="U126" s="15" t="n">
        <v>350</v>
      </c>
      <c r="V126" s="15" t="n">
        <v>0</v>
      </c>
      <c r="W126" s="15" t="n">
        <f aca="false">U126+V126</f>
        <v>350</v>
      </c>
    </row>
    <row r="127" customFormat="false" ht="15" hidden="false" customHeight="false" outlineLevel="0" collapsed="false">
      <c r="A127" s="3" t="s">
        <v>1994</v>
      </c>
      <c r="B127" s="3" t="s">
        <v>1892</v>
      </c>
      <c r="C127" s="3" t="s">
        <v>628</v>
      </c>
      <c r="D127" s="3" t="s">
        <v>153</v>
      </c>
      <c r="E127" s="13" t="n">
        <v>760000</v>
      </c>
      <c r="F127" s="13" t="n">
        <v>8402.83</v>
      </c>
      <c r="G127" s="13" t="n">
        <v>1050.35</v>
      </c>
      <c r="H127" s="13" t="n">
        <v>1050.35</v>
      </c>
      <c r="I127" s="13" t="n">
        <f aca="false">SUM(K127:T127)</f>
        <v>6302.1</v>
      </c>
      <c r="J127" s="13" t="n">
        <f aca="false">F127-(G127+H127+I127)</f>
        <v>0.0300000000006548</v>
      </c>
      <c r="K127" s="13" t="n">
        <v>630.21</v>
      </c>
      <c r="L127" s="13" t="n">
        <v>630.21</v>
      </c>
      <c r="M127" s="13" t="n">
        <v>630.21</v>
      </c>
      <c r="N127" s="13" t="n">
        <v>630.21</v>
      </c>
      <c r="O127" s="13" t="n">
        <v>630.21</v>
      </c>
      <c r="P127" s="13" t="n">
        <v>630.21</v>
      </c>
      <c r="Q127" s="13" t="n">
        <v>630.21</v>
      </c>
      <c r="R127" s="13" t="n">
        <v>630.21</v>
      </c>
      <c r="S127" s="13" t="n">
        <v>630.21</v>
      </c>
      <c r="T127" s="13" t="n">
        <v>630.21</v>
      </c>
      <c r="U127" s="13" t="n">
        <v>350</v>
      </c>
      <c r="V127" s="13" t="n">
        <v>0</v>
      </c>
      <c r="W127" s="13" t="n">
        <f aca="false">U127+V127</f>
        <v>350</v>
      </c>
    </row>
    <row r="128" customFormat="false" ht="15" hidden="false" customHeight="false" outlineLevel="0" collapsed="false">
      <c r="A128" s="14" t="s">
        <v>1995</v>
      </c>
      <c r="B128" s="14" t="s">
        <v>1897</v>
      </c>
      <c r="C128" s="14" t="s">
        <v>1432</v>
      </c>
      <c r="D128" s="14" t="s">
        <v>698</v>
      </c>
      <c r="E128" s="15" t="n">
        <v>925000</v>
      </c>
      <c r="F128" s="15" t="n">
        <v>13664.31</v>
      </c>
      <c r="G128" s="15" t="n">
        <v>1708.04</v>
      </c>
      <c r="H128" s="15" t="n">
        <v>1708.04</v>
      </c>
      <c r="I128" s="15" t="n">
        <f aca="false">SUM(K128:T128)</f>
        <v>10248.2</v>
      </c>
      <c r="J128" s="15" t="n">
        <f aca="false">F128-(G128+H128+I128)</f>
        <v>0.0300000000006548</v>
      </c>
      <c r="K128" s="15" t="n">
        <v>1024.82</v>
      </c>
      <c r="L128" s="15" t="n">
        <v>1024.82</v>
      </c>
      <c r="M128" s="15" t="n">
        <v>1024.82</v>
      </c>
      <c r="N128" s="15" t="n">
        <v>1024.82</v>
      </c>
      <c r="O128" s="15" t="n">
        <v>1024.82</v>
      </c>
      <c r="P128" s="15" t="n">
        <v>1024.82</v>
      </c>
      <c r="Q128" s="15" t="n">
        <v>1024.82</v>
      </c>
      <c r="R128" s="15" t="n">
        <v>1024.82</v>
      </c>
      <c r="S128" s="15" t="n">
        <v>1024.82</v>
      </c>
      <c r="T128" s="15" t="n">
        <v>1024.82</v>
      </c>
      <c r="U128" s="15" t="n">
        <v>350</v>
      </c>
      <c r="V128" s="15" t="n">
        <v>0</v>
      </c>
      <c r="W128" s="15" t="n">
        <f aca="false">U128+V128</f>
        <v>350</v>
      </c>
    </row>
    <row r="129" customFormat="false" ht="15" hidden="false" customHeight="false" outlineLevel="0" collapsed="false">
      <c r="A129" s="3" t="s">
        <v>1996</v>
      </c>
      <c r="B129" s="3" t="s">
        <v>1839</v>
      </c>
      <c r="C129" s="3" t="s">
        <v>541</v>
      </c>
      <c r="D129" s="3" t="s">
        <v>99</v>
      </c>
      <c r="E129" s="13" t="n">
        <v>380000</v>
      </c>
      <c r="F129" s="13" t="n">
        <v>6429.77</v>
      </c>
      <c r="G129" s="13" t="n">
        <v>803.72</v>
      </c>
      <c r="H129" s="13" t="n">
        <v>803.72</v>
      </c>
      <c r="I129" s="13" t="n">
        <f aca="false">SUM(K129:T129)</f>
        <v>4822.3</v>
      </c>
      <c r="J129" s="13" t="n">
        <f aca="false">F129-(G129+H129+I129)</f>
        <v>0.0300000000006548</v>
      </c>
      <c r="K129" s="13" t="n">
        <v>482.23</v>
      </c>
      <c r="L129" s="13" t="n">
        <v>482.23</v>
      </c>
      <c r="M129" s="13" t="n">
        <v>482.23</v>
      </c>
      <c r="N129" s="13" t="n">
        <v>482.23</v>
      </c>
      <c r="O129" s="13" t="n">
        <v>482.23</v>
      </c>
      <c r="P129" s="13" t="n">
        <v>482.23</v>
      </c>
      <c r="Q129" s="13" t="n">
        <v>482.23</v>
      </c>
      <c r="R129" s="13" t="n">
        <v>482.23</v>
      </c>
      <c r="S129" s="13" t="n">
        <v>482.23</v>
      </c>
      <c r="T129" s="13" t="n">
        <v>482.23</v>
      </c>
      <c r="U129" s="13" t="n">
        <v>350</v>
      </c>
      <c r="V129" s="13" t="n">
        <v>0</v>
      </c>
      <c r="W129" s="13" t="n">
        <f aca="false">U129+V129</f>
        <v>350</v>
      </c>
    </row>
    <row r="130" customFormat="false" ht="15" hidden="false" customHeight="false" outlineLevel="0" collapsed="false">
      <c r="A130" s="14" t="s">
        <v>1997</v>
      </c>
      <c r="B130" s="14" t="s">
        <v>1902</v>
      </c>
      <c r="C130" s="14" t="s">
        <v>1998</v>
      </c>
      <c r="D130" s="14" t="s">
        <v>382</v>
      </c>
      <c r="E130" s="15" t="n">
        <v>825000</v>
      </c>
      <c r="F130" s="15" t="n">
        <v>9963.16</v>
      </c>
      <c r="G130" s="15" t="n">
        <v>1245.39</v>
      </c>
      <c r="H130" s="15" t="n">
        <v>1245.39</v>
      </c>
      <c r="I130" s="15" t="n">
        <f aca="false">SUM(K130:T130)</f>
        <v>7472.4</v>
      </c>
      <c r="J130" s="15" t="n">
        <f aca="false">F130-(G130+H130+I130)</f>
        <v>-0.0200000000004366</v>
      </c>
      <c r="K130" s="15" t="n">
        <v>747.24</v>
      </c>
      <c r="L130" s="15" t="n">
        <v>747.24</v>
      </c>
      <c r="M130" s="15" t="n">
        <v>747.24</v>
      </c>
      <c r="N130" s="15" t="n">
        <v>747.24</v>
      </c>
      <c r="O130" s="15" t="n">
        <v>747.24</v>
      </c>
      <c r="P130" s="15" t="n">
        <v>747.24</v>
      </c>
      <c r="Q130" s="15" t="n">
        <v>747.24</v>
      </c>
      <c r="R130" s="15" t="n">
        <v>747.24</v>
      </c>
      <c r="S130" s="15" t="n">
        <v>747.24</v>
      </c>
      <c r="T130" s="15" t="n">
        <v>747.24</v>
      </c>
      <c r="U130" s="15" t="n">
        <v>350</v>
      </c>
      <c r="V130" s="15" t="n">
        <v>0</v>
      </c>
      <c r="W130" s="15" t="n">
        <f aca="false">U130+V130</f>
        <v>350</v>
      </c>
    </row>
    <row r="131" customFormat="false" ht="15" hidden="false" customHeight="false" outlineLevel="0" collapsed="false">
      <c r="A131" s="3" t="s">
        <v>1999</v>
      </c>
      <c r="B131" s="3" t="s">
        <v>1934</v>
      </c>
      <c r="C131" s="3" t="s">
        <v>1148</v>
      </c>
      <c r="D131" s="3" t="s">
        <v>138</v>
      </c>
      <c r="E131" s="13" t="n">
        <v>660000</v>
      </c>
      <c r="F131" s="13" t="n">
        <v>11961.27</v>
      </c>
      <c r="G131" s="13" t="n">
        <v>1495.16</v>
      </c>
      <c r="H131" s="13" t="n">
        <v>1495.16</v>
      </c>
      <c r="I131" s="13" t="n">
        <f aca="false">SUM(K131:T131)</f>
        <v>8971</v>
      </c>
      <c r="J131" s="13" t="n">
        <f aca="false">F131-(G131+H131+I131)</f>
        <v>-0.0499999999992724</v>
      </c>
      <c r="K131" s="13" t="n">
        <v>897.1</v>
      </c>
      <c r="L131" s="13" t="n">
        <v>897.1</v>
      </c>
      <c r="M131" s="13" t="n">
        <v>897.1</v>
      </c>
      <c r="N131" s="13" t="n">
        <v>897.1</v>
      </c>
      <c r="O131" s="13" t="n">
        <v>897.1</v>
      </c>
      <c r="P131" s="13" t="n">
        <v>897.1</v>
      </c>
      <c r="Q131" s="13" t="n">
        <v>897.1</v>
      </c>
      <c r="R131" s="13" t="n">
        <v>897.1</v>
      </c>
      <c r="S131" s="13" t="n">
        <v>897.1</v>
      </c>
      <c r="T131" s="13" t="n">
        <v>897.1</v>
      </c>
      <c r="U131" s="13" t="n">
        <v>350</v>
      </c>
      <c r="V131" s="13" t="n">
        <v>0</v>
      </c>
      <c r="W131" s="13" t="n">
        <f aca="false">U131+V131</f>
        <v>350</v>
      </c>
    </row>
    <row r="132" customFormat="false" ht="15" hidden="false" customHeight="false" outlineLevel="0" collapsed="false">
      <c r="A132" s="14" t="s">
        <v>2000</v>
      </c>
      <c r="B132" s="14" t="s">
        <v>1848</v>
      </c>
      <c r="C132" s="14" t="s">
        <v>1514</v>
      </c>
      <c r="D132" s="14" t="s">
        <v>115</v>
      </c>
      <c r="E132" s="15" t="n">
        <v>290000</v>
      </c>
      <c r="F132" s="15" t="n">
        <v>4762.61</v>
      </c>
      <c r="G132" s="15" t="n">
        <v>595.33</v>
      </c>
      <c r="H132" s="15" t="n">
        <v>595.33</v>
      </c>
      <c r="I132" s="15" t="n">
        <f aca="false">SUM(K132:T132)</f>
        <v>3572</v>
      </c>
      <c r="J132" s="15" t="n">
        <f aca="false">F132-(G132+H132+I132)</f>
        <v>-0.0500000000001819</v>
      </c>
      <c r="K132" s="15" t="n">
        <v>357.2</v>
      </c>
      <c r="L132" s="15" t="n">
        <v>357.2</v>
      </c>
      <c r="M132" s="15" t="n">
        <v>357.2</v>
      </c>
      <c r="N132" s="15" t="n">
        <v>357.2</v>
      </c>
      <c r="O132" s="15" t="n">
        <v>357.2</v>
      </c>
      <c r="P132" s="15" t="n">
        <v>357.2</v>
      </c>
      <c r="Q132" s="15" t="n">
        <v>357.2</v>
      </c>
      <c r="R132" s="15" t="n">
        <v>357.2</v>
      </c>
      <c r="S132" s="15" t="n">
        <v>357.2</v>
      </c>
      <c r="T132" s="15" t="n">
        <v>357.2</v>
      </c>
      <c r="U132" s="15" t="n">
        <v>350</v>
      </c>
      <c r="V132" s="15" t="n">
        <v>0</v>
      </c>
      <c r="W132" s="15" t="n">
        <f aca="false">U132+V132</f>
        <v>350</v>
      </c>
    </row>
    <row r="133" customFormat="false" ht="15" hidden="false" customHeight="false" outlineLevel="0" collapsed="false">
      <c r="A133" s="3" t="s">
        <v>2001</v>
      </c>
      <c r="B133" s="3" t="s">
        <v>1892</v>
      </c>
      <c r="C133" s="3" t="s">
        <v>381</v>
      </c>
      <c r="D133" s="3" t="s">
        <v>125</v>
      </c>
      <c r="E133" s="13" t="n">
        <v>345000</v>
      </c>
      <c r="F133" s="13" t="n">
        <v>4120.63</v>
      </c>
      <c r="G133" s="13" t="n">
        <v>515.08</v>
      </c>
      <c r="H133" s="13" t="n">
        <v>515.08</v>
      </c>
      <c r="I133" s="13" t="n">
        <f aca="false">SUM(K133:T133)</f>
        <v>3090.5</v>
      </c>
      <c r="J133" s="13" t="n">
        <f aca="false">F133-(G133+H133+I133)</f>
        <v>-0.0300000000006548</v>
      </c>
      <c r="K133" s="13" t="n">
        <v>309.05</v>
      </c>
      <c r="L133" s="13" t="n">
        <v>309.05</v>
      </c>
      <c r="M133" s="13" t="n">
        <v>309.05</v>
      </c>
      <c r="N133" s="13" t="n">
        <v>309.05</v>
      </c>
      <c r="O133" s="13" t="n">
        <v>309.05</v>
      </c>
      <c r="P133" s="13" t="n">
        <v>309.05</v>
      </c>
      <c r="Q133" s="13" t="n">
        <v>309.05</v>
      </c>
      <c r="R133" s="13" t="n">
        <v>309.05</v>
      </c>
      <c r="S133" s="13" t="n">
        <v>309.05</v>
      </c>
      <c r="T133" s="13" t="n">
        <v>309.05</v>
      </c>
      <c r="U133" s="13" t="n">
        <v>350</v>
      </c>
      <c r="V133" s="13" t="n">
        <v>0</v>
      </c>
      <c r="W133" s="13" t="n">
        <f aca="false">U133+V133</f>
        <v>350</v>
      </c>
    </row>
    <row r="134" customFormat="false" ht="15" hidden="false" customHeight="false" outlineLevel="0" collapsed="false">
      <c r="A134" s="14" t="s">
        <v>2002</v>
      </c>
      <c r="B134" s="14" t="s">
        <v>1862</v>
      </c>
      <c r="C134" s="14" t="s">
        <v>574</v>
      </c>
      <c r="D134" s="14" t="s">
        <v>172</v>
      </c>
      <c r="E134" s="15" t="n">
        <v>545000</v>
      </c>
      <c r="F134" s="15" t="n">
        <v>6111.6</v>
      </c>
      <c r="G134" s="15" t="n">
        <v>763.95</v>
      </c>
      <c r="H134" s="15" t="n">
        <v>763.95</v>
      </c>
      <c r="I134" s="15" t="n">
        <f aca="false">SUM(K134:T134)</f>
        <v>4583.7</v>
      </c>
      <c r="J134" s="15" t="n">
        <f aca="false">F134-(G134+H134+I134)</f>
        <v>0</v>
      </c>
      <c r="K134" s="15" t="n">
        <v>458.37</v>
      </c>
      <c r="L134" s="15" t="n">
        <v>458.37</v>
      </c>
      <c r="M134" s="15" t="n">
        <v>458.37</v>
      </c>
      <c r="N134" s="15" t="n">
        <v>458.37</v>
      </c>
      <c r="O134" s="15" t="n">
        <v>458.37</v>
      </c>
      <c r="P134" s="15" t="n">
        <v>458.37</v>
      </c>
      <c r="Q134" s="15" t="n">
        <v>458.37</v>
      </c>
      <c r="R134" s="15" t="n">
        <v>458.37</v>
      </c>
      <c r="S134" s="15" t="n">
        <v>458.37</v>
      </c>
      <c r="T134" s="15" t="n">
        <v>458.37</v>
      </c>
      <c r="U134" s="15" t="n">
        <v>350</v>
      </c>
      <c r="V134" s="15" t="n">
        <v>0</v>
      </c>
      <c r="W134" s="15" t="n">
        <f aca="false">U134+V134</f>
        <v>350</v>
      </c>
    </row>
    <row r="135" customFormat="false" ht="15" hidden="false" customHeight="false" outlineLevel="0" collapsed="false">
      <c r="A135" s="3" t="s">
        <v>2003</v>
      </c>
      <c r="B135" s="3" t="s">
        <v>1866</v>
      </c>
      <c r="C135" s="3" t="s">
        <v>395</v>
      </c>
      <c r="D135" s="3" t="s">
        <v>185</v>
      </c>
      <c r="E135" s="13" t="n">
        <v>310000</v>
      </c>
      <c r="F135" s="13" t="n">
        <v>5973</v>
      </c>
      <c r="G135" s="13" t="n">
        <v>746.62</v>
      </c>
      <c r="H135" s="13" t="n">
        <v>746.62</v>
      </c>
      <c r="I135" s="13" t="n">
        <f aca="false">SUM(K135:T135)</f>
        <v>4479.7</v>
      </c>
      <c r="J135" s="13" t="n">
        <f aca="false">F135-(G135+H135+I135)</f>
        <v>0.0599999999994907</v>
      </c>
      <c r="K135" s="13" t="n">
        <v>447.97</v>
      </c>
      <c r="L135" s="13" t="n">
        <v>447.97</v>
      </c>
      <c r="M135" s="13" t="n">
        <v>447.97</v>
      </c>
      <c r="N135" s="13" t="n">
        <v>447.97</v>
      </c>
      <c r="O135" s="13" t="n">
        <v>447.97</v>
      </c>
      <c r="P135" s="13" t="n">
        <v>447.97</v>
      </c>
      <c r="Q135" s="13" t="n">
        <v>447.97</v>
      </c>
      <c r="R135" s="13" t="n">
        <v>447.97</v>
      </c>
      <c r="S135" s="13" t="n">
        <v>447.97</v>
      </c>
      <c r="T135" s="13" t="n">
        <v>447.97</v>
      </c>
      <c r="U135" s="13" t="n">
        <v>350</v>
      </c>
      <c r="V135" s="13" t="n">
        <v>0</v>
      </c>
      <c r="W135" s="13" t="n">
        <f aca="false">U135+V135</f>
        <v>350</v>
      </c>
    </row>
    <row r="136" customFormat="false" ht="15" hidden="false" customHeight="false" outlineLevel="0" collapsed="false">
      <c r="A136" s="14" t="s">
        <v>2004</v>
      </c>
      <c r="B136" s="14" t="s">
        <v>1857</v>
      </c>
      <c r="C136" s="14" t="s">
        <v>471</v>
      </c>
      <c r="D136" s="14" t="s">
        <v>77</v>
      </c>
      <c r="E136" s="15" t="n">
        <v>1950000</v>
      </c>
      <c r="F136" s="15" t="n">
        <v>32865.49</v>
      </c>
      <c r="G136" s="15" t="n">
        <v>4108.19</v>
      </c>
      <c r="H136" s="15" t="n">
        <v>4108.19</v>
      </c>
      <c r="I136" s="15" t="n">
        <f aca="false">SUM(K136:T136)</f>
        <v>24649.1</v>
      </c>
      <c r="J136" s="15" t="n">
        <f aca="false">F136-(G136+H136+I136)</f>
        <v>0.0100000000020373</v>
      </c>
      <c r="K136" s="15" t="n">
        <v>2464.91</v>
      </c>
      <c r="L136" s="15" t="n">
        <v>2464.91</v>
      </c>
      <c r="M136" s="15" t="n">
        <v>2464.91</v>
      </c>
      <c r="N136" s="15" t="n">
        <v>2464.91</v>
      </c>
      <c r="O136" s="15" t="n">
        <v>2464.91</v>
      </c>
      <c r="P136" s="15" t="n">
        <v>2464.91</v>
      </c>
      <c r="Q136" s="15" t="n">
        <v>2464.91</v>
      </c>
      <c r="R136" s="15" t="n">
        <v>2464.91</v>
      </c>
      <c r="S136" s="15" t="n">
        <v>2464.91</v>
      </c>
      <c r="T136" s="15" t="n">
        <v>2464.91</v>
      </c>
      <c r="U136" s="15" t="n">
        <v>350</v>
      </c>
      <c r="V136" s="15" t="n">
        <v>250</v>
      </c>
      <c r="W136" s="15" t="n">
        <f aca="false">U136+V136</f>
        <v>600</v>
      </c>
    </row>
    <row r="137" customFormat="false" ht="15" hidden="false" customHeight="false" outlineLevel="0" collapsed="false">
      <c r="A137" s="3" t="s">
        <v>2005</v>
      </c>
      <c r="B137" s="3" t="s">
        <v>1874</v>
      </c>
      <c r="C137" s="3" t="s">
        <v>1125</v>
      </c>
      <c r="D137" s="3" t="s">
        <v>73</v>
      </c>
      <c r="E137" s="13" t="n">
        <v>1040000</v>
      </c>
      <c r="F137" s="13" t="n">
        <v>16148.08</v>
      </c>
      <c r="G137" s="13" t="n">
        <v>2018.51</v>
      </c>
      <c r="H137" s="13" t="n">
        <v>2018.51</v>
      </c>
      <c r="I137" s="13" t="n">
        <f aca="false">SUM(K137:T137)</f>
        <v>12111.1</v>
      </c>
      <c r="J137" s="13" t="n">
        <f aca="false">F137-(G137+H137+I137)</f>
        <v>-0.0400000000008731</v>
      </c>
      <c r="K137" s="13" t="n">
        <v>1211.11</v>
      </c>
      <c r="L137" s="13" t="n">
        <v>1211.11</v>
      </c>
      <c r="M137" s="13" t="n">
        <v>1211.11</v>
      </c>
      <c r="N137" s="13" t="n">
        <v>1211.11</v>
      </c>
      <c r="O137" s="13" t="n">
        <v>1211.11</v>
      </c>
      <c r="P137" s="13" t="n">
        <v>1211.11</v>
      </c>
      <c r="Q137" s="13" t="n">
        <v>1211.11</v>
      </c>
      <c r="R137" s="13" t="n">
        <v>1211.11</v>
      </c>
      <c r="S137" s="13" t="n">
        <v>1211.11</v>
      </c>
      <c r="T137" s="13" t="n">
        <v>1211.11</v>
      </c>
      <c r="U137" s="13" t="n">
        <v>350</v>
      </c>
      <c r="V137" s="13" t="n">
        <v>250</v>
      </c>
      <c r="W137" s="13" t="n">
        <f aca="false">U137+V137</f>
        <v>600</v>
      </c>
    </row>
    <row r="138" customFormat="false" ht="15" hidden="false" customHeight="false" outlineLevel="0" collapsed="false">
      <c r="A138" s="14" t="s">
        <v>2006</v>
      </c>
      <c r="B138" s="14" t="s">
        <v>1874</v>
      </c>
      <c r="C138" s="14" t="s">
        <v>1327</v>
      </c>
      <c r="D138" s="14" t="s">
        <v>93</v>
      </c>
      <c r="E138" s="15" t="n">
        <v>385000</v>
      </c>
      <c r="F138" s="15" t="n">
        <v>6131.17</v>
      </c>
      <c r="G138" s="15" t="n">
        <v>766.4</v>
      </c>
      <c r="H138" s="15" t="n">
        <v>766.4</v>
      </c>
      <c r="I138" s="15" t="n">
        <f aca="false">SUM(K138:T138)</f>
        <v>4598.4</v>
      </c>
      <c r="J138" s="15" t="n">
        <f aca="false">F138-(G138+H138+I138)</f>
        <v>-0.0299999999997453</v>
      </c>
      <c r="K138" s="15" t="n">
        <v>459.84</v>
      </c>
      <c r="L138" s="15" t="n">
        <v>459.84</v>
      </c>
      <c r="M138" s="15" t="n">
        <v>459.84</v>
      </c>
      <c r="N138" s="15" t="n">
        <v>459.84</v>
      </c>
      <c r="O138" s="15" t="n">
        <v>459.84</v>
      </c>
      <c r="P138" s="15" t="n">
        <v>459.84</v>
      </c>
      <c r="Q138" s="15" t="n">
        <v>459.84</v>
      </c>
      <c r="R138" s="15" t="n">
        <v>459.84</v>
      </c>
      <c r="S138" s="15" t="n">
        <v>459.84</v>
      </c>
      <c r="T138" s="15" t="n">
        <v>459.84</v>
      </c>
      <c r="U138" s="15" t="n">
        <v>350</v>
      </c>
      <c r="V138" s="15" t="n">
        <v>0</v>
      </c>
      <c r="W138" s="15" t="n">
        <f aca="false">U138+V138</f>
        <v>350</v>
      </c>
    </row>
    <row r="139" customFormat="false" ht="15" hidden="false" customHeight="false" outlineLevel="0" collapsed="false">
      <c r="A139" s="3" t="s">
        <v>2007</v>
      </c>
      <c r="B139" s="3" t="s">
        <v>2008</v>
      </c>
      <c r="C139" s="3" t="s">
        <v>1195</v>
      </c>
      <c r="D139" s="3" t="s">
        <v>406</v>
      </c>
      <c r="E139" s="13" t="n">
        <v>1950000</v>
      </c>
      <c r="F139" s="13" t="n">
        <v>16545.96</v>
      </c>
      <c r="G139" s="13" t="n">
        <v>2068.24</v>
      </c>
      <c r="H139" s="13" t="n">
        <v>2068.24</v>
      </c>
      <c r="I139" s="13" t="n">
        <f aca="false">SUM(K139:T139)</f>
        <v>12409.5</v>
      </c>
      <c r="J139" s="13" t="n">
        <f aca="false">F139-(G139+H139+I139)</f>
        <v>-0.0200000000040745</v>
      </c>
      <c r="K139" s="13" t="n">
        <v>1240.95</v>
      </c>
      <c r="L139" s="13" t="n">
        <v>1240.95</v>
      </c>
      <c r="M139" s="13" t="n">
        <v>1240.95</v>
      </c>
      <c r="N139" s="13" t="n">
        <v>1240.95</v>
      </c>
      <c r="O139" s="13" t="n">
        <v>1240.95</v>
      </c>
      <c r="P139" s="13" t="n">
        <v>1240.95</v>
      </c>
      <c r="Q139" s="13" t="n">
        <v>1240.95</v>
      </c>
      <c r="R139" s="13" t="n">
        <v>1240.95</v>
      </c>
      <c r="S139" s="13" t="n">
        <v>1240.95</v>
      </c>
      <c r="T139" s="13" t="n">
        <v>1240.95</v>
      </c>
      <c r="U139" s="13" t="n">
        <v>350</v>
      </c>
      <c r="V139" s="13" t="n">
        <v>250</v>
      </c>
      <c r="W139" s="13" t="n">
        <f aca="false">U139+V139</f>
        <v>600</v>
      </c>
    </row>
    <row r="140" customFormat="false" ht="15" hidden="false" customHeight="false" outlineLevel="0" collapsed="false">
      <c r="A140" s="14" t="s">
        <v>2009</v>
      </c>
      <c r="B140" s="14" t="s">
        <v>2008</v>
      </c>
      <c r="C140" s="14" t="s">
        <v>742</v>
      </c>
      <c r="D140" s="14" t="s">
        <v>125</v>
      </c>
      <c r="E140" s="15" t="n">
        <v>285000</v>
      </c>
      <c r="F140" s="15" t="n">
        <v>3404</v>
      </c>
      <c r="G140" s="15" t="n">
        <v>425.5</v>
      </c>
      <c r="H140" s="15" t="n">
        <v>425.5</v>
      </c>
      <c r="I140" s="15" t="n">
        <f aca="false">SUM(K140:T140)</f>
        <v>2553</v>
      </c>
      <c r="J140" s="15" t="n">
        <f aca="false">F140-(G140+H140+I140)</f>
        <v>0</v>
      </c>
      <c r="K140" s="15" t="n">
        <v>255.3</v>
      </c>
      <c r="L140" s="15" t="n">
        <v>255.3</v>
      </c>
      <c r="M140" s="15" t="n">
        <v>255.3</v>
      </c>
      <c r="N140" s="15" t="n">
        <v>255.3</v>
      </c>
      <c r="O140" s="15" t="n">
        <v>255.3</v>
      </c>
      <c r="P140" s="15" t="n">
        <v>255.3</v>
      </c>
      <c r="Q140" s="15" t="n">
        <v>255.3</v>
      </c>
      <c r="R140" s="15" t="n">
        <v>255.3</v>
      </c>
      <c r="S140" s="15" t="n">
        <v>255.3</v>
      </c>
      <c r="T140" s="15" t="n">
        <v>255.3</v>
      </c>
      <c r="U140" s="15" t="n">
        <v>350</v>
      </c>
      <c r="V140" s="15" t="n">
        <v>0</v>
      </c>
      <c r="W140" s="15" t="n">
        <f aca="false">U140+V140</f>
        <v>350</v>
      </c>
    </row>
    <row r="141" customFormat="false" ht="15" hidden="false" customHeight="false" outlineLevel="0" collapsed="false">
      <c r="A141" s="3" t="s">
        <v>2010</v>
      </c>
      <c r="B141" s="3" t="s">
        <v>1897</v>
      </c>
      <c r="C141" s="3" t="s">
        <v>169</v>
      </c>
      <c r="D141" s="3" t="s">
        <v>193</v>
      </c>
      <c r="E141" s="13" t="n">
        <v>820000</v>
      </c>
      <c r="F141" s="13" t="n">
        <v>11052.2</v>
      </c>
      <c r="G141" s="13" t="n">
        <v>1381.53</v>
      </c>
      <c r="H141" s="13" t="n">
        <v>1381.53</v>
      </c>
      <c r="I141" s="13" t="n">
        <f aca="false">SUM(K141:T141)</f>
        <v>8289.2</v>
      </c>
      <c r="J141" s="13" t="n">
        <f aca="false">F141-(G141+H141+I141)</f>
        <v>-0.0599999999976717</v>
      </c>
      <c r="K141" s="13" t="n">
        <v>828.92</v>
      </c>
      <c r="L141" s="13" t="n">
        <v>828.92</v>
      </c>
      <c r="M141" s="13" t="n">
        <v>828.92</v>
      </c>
      <c r="N141" s="13" t="n">
        <v>828.92</v>
      </c>
      <c r="O141" s="13" t="n">
        <v>828.92</v>
      </c>
      <c r="P141" s="13" t="n">
        <v>828.92</v>
      </c>
      <c r="Q141" s="13" t="n">
        <v>828.92</v>
      </c>
      <c r="R141" s="13" t="n">
        <v>828.92</v>
      </c>
      <c r="S141" s="13" t="n">
        <v>828.92</v>
      </c>
      <c r="T141" s="13" t="n">
        <v>828.92</v>
      </c>
      <c r="U141" s="13" t="n">
        <v>350</v>
      </c>
      <c r="V141" s="13" t="n">
        <v>0</v>
      </c>
      <c r="W141" s="13" t="n">
        <f aca="false">U141+V141</f>
        <v>350</v>
      </c>
    </row>
    <row r="142" customFormat="false" ht="15" hidden="false" customHeight="false" outlineLevel="0" collapsed="false">
      <c r="A142" s="14" t="s">
        <v>2011</v>
      </c>
      <c r="B142" s="14" t="s">
        <v>1874</v>
      </c>
      <c r="C142" s="14" t="s">
        <v>819</v>
      </c>
      <c r="D142" s="14" t="s">
        <v>118</v>
      </c>
      <c r="E142" s="15" t="n">
        <v>705000</v>
      </c>
      <c r="F142" s="15" t="n">
        <v>9350.17</v>
      </c>
      <c r="G142" s="15" t="n">
        <v>1168.77</v>
      </c>
      <c r="H142" s="15" t="n">
        <v>1168.77</v>
      </c>
      <c r="I142" s="15" t="n">
        <f aca="false">SUM(K142:T142)</f>
        <v>7012.6</v>
      </c>
      <c r="J142" s="15" t="n">
        <f aca="false">F142-(G142+H142+I142)</f>
        <v>0.0300000000006548</v>
      </c>
      <c r="K142" s="15" t="n">
        <v>701.26</v>
      </c>
      <c r="L142" s="15" t="n">
        <v>701.26</v>
      </c>
      <c r="M142" s="15" t="n">
        <v>701.26</v>
      </c>
      <c r="N142" s="15" t="n">
        <v>701.26</v>
      </c>
      <c r="O142" s="15" t="n">
        <v>701.26</v>
      </c>
      <c r="P142" s="15" t="n">
        <v>701.26</v>
      </c>
      <c r="Q142" s="15" t="n">
        <v>701.26</v>
      </c>
      <c r="R142" s="15" t="n">
        <v>701.26</v>
      </c>
      <c r="S142" s="15" t="n">
        <v>701.26</v>
      </c>
      <c r="T142" s="15" t="n">
        <v>701.26</v>
      </c>
      <c r="U142" s="15" t="n">
        <v>350</v>
      </c>
      <c r="V142" s="15" t="n">
        <v>0</v>
      </c>
      <c r="W142" s="15" t="n">
        <f aca="false">U142+V142</f>
        <v>350</v>
      </c>
    </row>
    <row r="143" customFormat="false" ht="15" hidden="false" customHeight="false" outlineLevel="0" collapsed="false">
      <c r="A143" s="3" t="s">
        <v>2012</v>
      </c>
      <c r="B143" s="3" t="s">
        <v>1921</v>
      </c>
      <c r="C143" s="3" t="s">
        <v>1497</v>
      </c>
      <c r="D143" s="3" t="s">
        <v>118</v>
      </c>
      <c r="E143" s="13" t="n">
        <v>1205000</v>
      </c>
      <c r="F143" s="13" t="n">
        <v>9343.03</v>
      </c>
      <c r="G143" s="13" t="n">
        <v>1167.88</v>
      </c>
      <c r="H143" s="13" t="n">
        <v>1167.88</v>
      </c>
      <c r="I143" s="13" t="n">
        <f aca="false">SUM(K143:T143)</f>
        <v>7007.3</v>
      </c>
      <c r="J143" s="13" t="n">
        <f aca="false">F143-(G143+H143+I143)</f>
        <v>-0.0299999999988358</v>
      </c>
      <c r="K143" s="13" t="n">
        <v>700.73</v>
      </c>
      <c r="L143" s="13" t="n">
        <v>700.73</v>
      </c>
      <c r="M143" s="13" t="n">
        <v>700.73</v>
      </c>
      <c r="N143" s="13" t="n">
        <v>700.73</v>
      </c>
      <c r="O143" s="13" t="n">
        <v>700.73</v>
      </c>
      <c r="P143" s="13" t="n">
        <v>700.73</v>
      </c>
      <c r="Q143" s="13" t="n">
        <v>700.73</v>
      </c>
      <c r="R143" s="13" t="n">
        <v>700.73</v>
      </c>
      <c r="S143" s="13" t="n">
        <v>700.73</v>
      </c>
      <c r="T143" s="13" t="n">
        <v>700.73</v>
      </c>
      <c r="U143" s="13" t="n">
        <v>350</v>
      </c>
      <c r="V143" s="13" t="n">
        <v>250</v>
      </c>
      <c r="W143" s="13" t="n">
        <f aca="false">U143+V143</f>
        <v>600</v>
      </c>
    </row>
    <row r="144" customFormat="false" ht="15" hidden="false" customHeight="false" outlineLevel="0" collapsed="false">
      <c r="A144" s="14" t="s">
        <v>2013</v>
      </c>
      <c r="B144" s="14" t="s">
        <v>1845</v>
      </c>
      <c r="C144" s="14" t="s">
        <v>1408</v>
      </c>
      <c r="D144" s="14" t="s">
        <v>89</v>
      </c>
      <c r="E144" s="15" t="n">
        <v>515000</v>
      </c>
      <c r="F144" s="15" t="n">
        <v>7496.63</v>
      </c>
      <c r="G144" s="15" t="n">
        <v>937.08</v>
      </c>
      <c r="H144" s="15" t="n">
        <v>937.08</v>
      </c>
      <c r="I144" s="15" t="n">
        <f aca="false">SUM(K144:T144)</f>
        <v>5622.5</v>
      </c>
      <c r="J144" s="15" t="n">
        <f aca="false">F144-(G144+H144+I144)</f>
        <v>-0.0299999999997453</v>
      </c>
      <c r="K144" s="15" t="n">
        <v>562.25</v>
      </c>
      <c r="L144" s="15" t="n">
        <v>562.25</v>
      </c>
      <c r="M144" s="15" t="n">
        <v>562.25</v>
      </c>
      <c r="N144" s="15" t="n">
        <v>562.25</v>
      </c>
      <c r="O144" s="15" t="n">
        <v>562.25</v>
      </c>
      <c r="P144" s="15" t="n">
        <v>562.25</v>
      </c>
      <c r="Q144" s="15" t="n">
        <v>562.25</v>
      </c>
      <c r="R144" s="15" t="n">
        <v>562.25</v>
      </c>
      <c r="S144" s="15" t="n">
        <v>562.25</v>
      </c>
      <c r="T144" s="15" t="n">
        <v>562.25</v>
      </c>
      <c r="U144" s="15" t="n">
        <v>350</v>
      </c>
      <c r="V144" s="15" t="n">
        <v>0</v>
      </c>
      <c r="W144" s="15" t="n">
        <f aca="false">U144+V144</f>
        <v>350</v>
      </c>
    </row>
    <row r="145" customFormat="false" ht="15" hidden="false" customHeight="false" outlineLevel="0" collapsed="false">
      <c r="A145" s="3" t="s">
        <v>2014</v>
      </c>
      <c r="B145" s="3" t="s">
        <v>1897</v>
      </c>
      <c r="C145" s="3" t="s">
        <v>727</v>
      </c>
      <c r="D145" s="3" t="s">
        <v>328</v>
      </c>
      <c r="E145" s="13" t="n">
        <v>680000</v>
      </c>
      <c r="F145" s="13" t="n">
        <v>5572.47</v>
      </c>
      <c r="G145" s="13" t="n">
        <v>696.56</v>
      </c>
      <c r="H145" s="13" t="n">
        <v>696.56</v>
      </c>
      <c r="I145" s="13" t="n">
        <f aca="false">SUM(K145:T145)</f>
        <v>4179.4</v>
      </c>
      <c r="J145" s="13" t="n">
        <f aca="false">F145-(G145+H145+I145)</f>
        <v>-0.0499999999992724</v>
      </c>
      <c r="K145" s="13" t="n">
        <v>417.94</v>
      </c>
      <c r="L145" s="13" t="n">
        <v>417.94</v>
      </c>
      <c r="M145" s="13" t="n">
        <v>417.94</v>
      </c>
      <c r="N145" s="13" t="n">
        <v>417.94</v>
      </c>
      <c r="O145" s="13" t="n">
        <v>417.94</v>
      </c>
      <c r="P145" s="13" t="n">
        <v>417.94</v>
      </c>
      <c r="Q145" s="13" t="n">
        <v>417.94</v>
      </c>
      <c r="R145" s="13" t="n">
        <v>417.94</v>
      </c>
      <c r="S145" s="13" t="n">
        <v>417.94</v>
      </c>
      <c r="T145" s="13" t="n">
        <v>417.94</v>
      </c>
      <c r="U145" s="13" t="n">
        <v>350</v>
      </c>
      <c r="V145" s="13" t="n">
        <v>0</v>
      </c>
      <c r="W145" s="13" t="n">
        <f aca="false">U145+V145</f>
        <v>350</v>
      </c>
    </row>
    <row r="146" customFormat="false" ht="15" hidden="false" customHeight="false" outlineLevel="0" collapsed="false">
      <c r="A146" s="14" t="s">
        <v>2015</v>
      </c>
      <c r="B146" s="14" t="s">
        <v>1862</v>
      </c>
      <c r="C146" s="14" t="s">
        <v>543</v>
      </c>
      <c r="D146" s="14" t="s">
        <v>99</v>
      </c>
      <c r="E146" s="15" t="n">
        <v>730000</v>
      </c>
      <c r="F146" s="15" t="n">
        <v>7081.77</v>
      </c>
      <c r="G146" s="15" t="n">
        <v>885.22</v>
      </c>
      <c r="H146" s="15" t="n">
        <v>885.22</v>
      </c>
      <c r="I146" s="15" t="n">
        <f aca="false">SUM(K146:T146)</f>
        <v>5311.3</v>
      </c>
      <c r="J146" s="15" t="n">
        <f aca="false">F146-(G146+H146+I146)</f>
        <v>0.0300000000006548</v>
      </c>
      <c r="K146" s="15" t="n">
        <v>531.13</v>
      </c>
      <c r="L146" s="15" t="n">
        <v>531.13</v>
      </c>
      <c r="M146" s="15" t="n">
        <v>531.13</v>
      </c>
      <c r="N146" s="15" t="n">
        <v>531.13</v>
      </c>
      <c r="O146" s="15" t="n">
        <v>531.13</v>
      </c>
      <c r="P146" s="15" t="n">
        <v>531.13</v>
      </c>
      <c r="Q146" s="15" t="n">
        <v>531.13</v>
      </c>
      <c r="R146" s="15" t="n">
        <v>531.13</v>
      </c>
      <c r="S146" s="15" t="n">
        <v>531.13</v>
      </c>
      <c r="T146" s="15" t="n">
        <v>531.13</v>
      </c>
      <c r="U146" s="15" t="n">
        <v>350</v>
      </c>
      <c r="V146" s="15" t="n">
        <v>0</v>
      </c>
      <c r="W146" s="15" t="n">
        <f aca="false">U146+V146</f>
        <v>350</v>
      </c>
    </row>
    <row r="147" customFormat="false" ht="15" hidden="false" customHeight="false" outlineLevel="0" collapsed="false">
      <c r="A147" s="3" t="s">
        <v>2016</v>
      </c>
      <c r="B147" s="3" t="s">
        <v>1845</v>
      </c>
      <c r="C147" s="3" t="s">
        <v>793</v>
      </c>
      <c r="D147" s="3" t="s">
        <v>138</v>
      </c>
      <c r="E147" s="13" t="n">
        <v>560000</v>
      </c>
      <c r="F147" s="13" t="n">
        <v>6944.02</v>
      </c>
      <c r="G147" s="13" t="n">
        <v>868</v>
      </c>
      <c r="H147" s="13" t="n">
        <v>868</v>
      </c>
      <c r="I147" s="13" t="n">
        <f aca="false">SUM(K147:T147)</f>
        <v>5208</v>
      </c>
      <c r="J147" s="13" t="n">
        <f aca="false">F147-(G147+H147+I147)</f>
        <v>0.0200000000004366</v>
      </c>
      <c r="K147" s="13" t="n">
        <v>520.8</v>
      </c>
      <c r="L147" s="13" t="n">
        <v>520.8</v>
      </c>
      <c r="M147" s="13" t="n">
        <v>520.8</v>
      </c>
      <c r="N147" s="13" t="n">
        <v>520.8</v>
      </c>
      <c r="O147" s="13" t="n">
        <v>520.8</v>
      </c>
      <c r="P147" s="13" t="n">
        <v>520.8</v>
      </c>
      <c r="Q147" s="13" t="n">
        <v>520.8</v>
      </c>
      <c r="R147" s="13" t="n">
        <v>520.8</v>
      </c>
      <c r="S147" s="13" t="n">
        <v>520.8</v>
      </c>
      <c r="T147" s="13" t="n">
        <v>520.8</v>
      </c>
      <c r="U147" s="13" t="n">
        <v>350</v>
      </c>
      <c r="V147" s="13" t="n">
        <v>0</v>
      </c>
      <c r="W147" s="13" t="n">
        <f aca="false">U147+V147</f>
        <v>350</v>
      </c>
    </row>
    <row r="148" customFormat="false" ht="15" hidden="false" customHeight="false" outlineLevel="0" collapsed="false">
      <c r="A148" s="14" t="s">
        <v>2017</v>
      </c>
      <c r="B148" s="14" t="s">
        <v>1843</v>
      </c>
      <c r="C148" s="14" t="s">
        <v>1905</v>
      </c>
      <c r="D148" s="14" t="s">
        <v>89</v>
      </c>
      <c r="E148" s="15" t="n">
        <v>1160000</v>
      </c>
      <c r="F148" s="15" t="n">
        <v>20782.3</v>
      </c>
      <c r="G148" s="15" t="n">
        <v>2597.79</v>
      </c>
      <c r="H148" s="15" t="n">
        <v>2597.79</v>
      </c>
      <c r="I148" s="15" t="n">
        <f aca="false">SUM(K148:T148)</f>
        <v>15586.7</v>
      </c>
      <c r="J148" s="15" t="n">
        <f aca="false">F148-(G148+H148+I148)</f>
        <v>0.0200000000004366</v>
      </c>
      <c r="K148" s="15" t="n">
        <v>1558.67</v>
      </c>
      <c r="L148" s="15" t="n">
        <v>1558.67</v>
      </c>
      <c r="M148" s="15" t="n">
        <v>1558.67</v>
      </c>
      <c r="N148" s="15" t="n">
        <v>1558.67</v>
      </c>
      <c r="O148" s="15" t="n">
        <v>1558.67</v>
      </c>
      <c r="P148" s="15" t="n">
        <v>1558.67</v>
      </c>
      <c r="Q148" s="15" t="n">
        <v>1558.67</v>
      </c>
      <c r="R148" s="15" t="n">
        <v>1558.67</v>
      </c>
      <c r="S148" s="15" t="n">
        <v>1558.67</v>
      </c>
      <c r="T148" s="15" t="n">
        <v>1558.67</v>
      </c>
      <c r="U148" s="15" t="n">
        <v>350</v>
      </c>
      <c r="V148" s="15" t="n">
        <v>250</v>
      </c>
      <c r="W148" s="15" t="n">
        <f aca="false">U148+V148</f>
        <v>600</v>
      </c>
    </row>
    <row r="149" customFormat="false" ht="15" hidden="false" customHeight="false" outlineLevel="0" collapsed="false">
      <c r="A149" s="3" t="s">
        <v>2018</v>
      </c>
      <c r="B149" s="3" t="s">
        <v>1936</v>
      </c>
      <c r="C149" s="3" t="s">
        <v>822</v>
      </c>
      <c r="D149" s="3" t="s">
        <v>382</v>
      </c>
      <c r="E149" s="13" t="n">
        <v>915000</v>
      </c>
      <c r="F149" s="13" t="n">
        <v>16150.08</v>
      </c>
      <c r="G149" s="13" t="n">
        <v>2018.76</v>
      </c>
      <c r="H149" s="13" t="n">
        <v>2018.76</v>
      </c>
      <c r="I149" s="13" t="n">
        <f aca="false">SUM(K149:T149)</f>
        <v>12112.6</v>
      </c>
      <c r="J149" s="13" t="n">
        <f aca="false">F149-(G149+H149+I149)</f>
        <v>-0.0400000000008731</v>
      </c>
      <c r="K149" s="13" t="n">
        <v>1211.26</v>
      </c>
      <c r="L149" s="13" t="n">
        <v>1211.26</v>
      </c>
      <c r="M149" s="13" t="n">
        <v>1211.26</v>
      </c>
      <c r="N149" s="13" t="n">
        <v>1211.26</v>
      </c>
      <c r="O149" s="13" t="n">
        <v>1211.26</v>
      </c>
      <c r="P149" s="13" t="n">
        <v>1211.26</v>
      </c>
      <c r="Q149" s="13" t="n">
        <v>1211.26</v>
      </c>
      <c r="R149" s="13" t="n">
        <v>1211.26</v>
      </c>
      <c r="S149" s="13" t="n">
        <v>1211.26</v>
      </c>
      <c r="T149" s="13" t="n">
        <v>1211.26</v>
      </c>
      <c r="U149" s="13" t="n">
        <v>350</v>
      </c>
      <c r="V149" s="13" t="n">
        <v>0</v>
      </c>
      <c r="W149" s="13" t="n">
        <f aca="false">U149+V149</f>
        <v>350</v>
      </c>
    </row>
    <row r="150" customFormat="false" ht="15" hidden="false" customHeight="false" outlineLevel="0" collapsed="false">
      <c r="A150" s="14" t="s">
        <v>2019</v>
      </c>
      <c r="B150" s="14" t="s">
        <v>1843</v>
      </c>
      <c r="C150" s="14" t="s">
        <v>1023</v>
      </c>
      <c r="D150" s="14" t="s">
        <v>163</v>
      </c>
      <c r="E150" s="15" t="n">
        <v>295000</v>
      </c>
      <c r="F150" s="15" t="n">
        <v>5740.26</v>
      </c>
      <c r="G150" s="15" t="n">
        <v>717.53</v>
      </c>
      <c r="H150" s="15" t="n">
        <v>717.53</v>
      </c>
      <c r="I150" s="15" t="n">
        <f aca="false">SUM(K150:T150)</f>
        <v>4305.2</v>
      </c>
      <c r="J150" s="15" t="n">
        <f aca="false">F150-(G150+H150+I150)</f>
        <v>0</v>
      </c>
      <c r="K150" s="15" t="n">
        <v>430.52</v>
      </c>
      <c r="L150" s="15" t="n">
        <v>430.52</v>
      </c>
      <c r="M150" s="15" t="n">
        <v>430.52</v>
      </c>
      <c r="N150" s="15" t="n">
        <v>430.52</v>
      </c>
      <c r="O150" s="15" t="n">
        <v>430.52</v>
      </c>
      <c r="P150" s="15" t="n">
        <v>430.52</v>
      </c>
      <c r="Q150" s="15" t="n">
        <v>430.52</v>
      </c>
      <c r="R150" s="15" t="n">
        <v>430.52</v>
      </c>
      <c r="S150" s="15" t="n">
        <v>430.52</v>
      </c>
      <c r="T150" s="15" t="n">
        <v>430.52</v>
      </c>
      <c r="U150" s="15" t="n">
        <v>350</v>
      </c>
      <c r="V150" s="15" t="n">
        <v>0</v>
      </c>
      <c r="W150" s="15" t="n">
        <f aca="false">U150+V150</f>
        <v>350</v>
      </c>
    </row>
    <row r="151" customFormat="false" ht="15" hidden="false" customHeight="false" outlineLevel="0" collapsed="false">
      <c r="A151" s="3" t="s">
        <v>2020</v>
      </c>
      <c r="B151" s="3" t="s">
        <v>1883</v>
      </c>
      <c r="C151" s="3" t="s">
        <v>1224</v>
      </c>
      <c r="D151" s="3" t="s">
        <v>153</v>
      </c>
      <c r="E151" s="13" t="n">
        <v>515000</v>
      </c>
      <c r="F151" s="13" t="n">
        <v>8607.24</v>
      </c>
      <c r="G151" s="13" t="n">
        <v>1075.9</v>
      </c>
      <c r="H151" s="13" t="n">
        <v>1075.9</v>
      </c>
      <c r="I151" s="13" t="n">
        <f aca="false">SUM(K151:T151)</f>
        <v>6455.4</v>
      </c>
      <c r="J151" s="13" t="n">
        <f aca="false">F151-(G151+H151+I151)</f>
        <v>0.0399999999990541</v>
      </c>
      <c r="K151" s="13" t="n">
        <v>645.54</v>
      </c>
      <c r="L151" s="13" t="n">
        <v>645.54</v>
      </c>
      <c r="M151" s="13" t="n">
        <v>645.54</v>
      </c>
      <c r="N151" s="13" t="n">
        <v>645.54</v>
      </c>
      <c r="O151" s="13" t="n">
        <v>645.54</v>
      </c>
      <c r="P151" s="13" t="n">
        <v>645.54</v>
      </c>
      <c r="Q151" s="13" t="n">
        <v>645.54</v>
      </c>
      <c r="R151" s="13" t="n">
        <v>645.54</v>
      </c>
      <c r="S151" s="13" t="n">
        <v>645.54</v>
      </c>
      <c r="T151" s="13" t="n">
        <v>645.54</v>
      </c>
      <c r="U151" s="13" t="n">
        <v>350</v>
      </c>
      <c r="V151" s="13" t="n">
        <v>0</v>
      </c>
      <c r="W151" s="13" t="n">
        <f aca="false">U151+V151</f>
        <v>350</v>
      </c>
    </row>
    <row r="152" customFormat="false" ht="15" hidden="false" customHeight="false" outlineLevel="0" collapsed="false">
      <c r="A152" s="14" t="s">
        <v>2021</v>
      </c>
      <c r="B152" s="14" t="s">
        <v>2008</v>
      </c>
      <c r="C152" s="14" t="s">
        <v>162</v>
      </c>
      <c r="D152" s="14" t="s">
        <v>89</v>
      </c>
      <c r="E152" s="15" t="n">
        <v>775000</v>
      </c>
      <c r="F152" s="15" t="n">
        <v>7463.04</v>
      </c>
      <c r="G152" s="15" t="n">
        <v>932.88</v>
      </c>
      <c r="H152" s="15" t="n">
        <v>932.88</v>
      </c>
      <c r="I152" s="15" t="n">
        <f aca="false">SUM(K152:T152)</f>
        <v>5597.3</v>
      </c>
      <c r="J152" s="15" t="n">
        <f aca="false">F152-(G152+H152+I152)</f>
        <v>-0.0199999999995271</v>
      </c>
      <c r="K152" s="15" t="n">
        <v>559.73</v>
      </c>
      <c r="L152" s="15" t="n">
        <v>559.73</v>
      </c>
      <c r="M152" s="15" t="n">
        <v>559.73</v>
      </c>
      <c r="N152" s="15" t="n">
        <v>559.73</v>
      </c>
      <c r="O152" s="15" t="n">
        <v>559.73</v>
      </c>
      <c r="P152" s="15" t="n">
        <v>559.73</v>
      </c>
      <c r="Q152" s="15" t="n">
        <v>559.73</v>
      </c>
      <c r="R152" s="15" t="n">
        <v>559.73</v>
      </c>
      <c r="S152" s="15" t="n">
        <v>559.73</v>
      </c>
      <c r="T152" s="15" t="n">
        <v>559.73</v>
      </c>
      <c r="U152" s="15" t="n">
        <v>350</v>
      </c>
      <c r="V152" s="15" t="n">
        <v>0</v>
      </c>
      <c r="W152" s="15" t="n">
        <f aca="false">U152+V152</f>
        <v>350</v>
      </c>
    </row>
    <row r="153" customFormat="false" ht="15" hidden="false" customHeight="false" outlineLevel="0" collapsed="false">
      <c r="A153" s="3" t="s">
        <v>2022</v>
      </c>
      <c r="B153" s="3" t="s">
        <v>1854</v>
      </c>
      <c r="C153" s="3" t="s">
        <v>1150</v>
      </c>
      <c r="D153" s="3" t="s">
        <v>193</v>
      </c>
      <c r="E153" s="13" t="n">
        <v>490000</v>
      </c>
      <c r="F153" s="13" t="n">
        <v>7620.42</v>
      </c>
      <c r="G153" s="13" t="n">
        <v>952.55</v>
      </c>
      <c r="H153" s="13" t="n">
        <v>952.55</v>
      </c>
      <c r="I153" s="13" t="n">
        <f aca="false">SUM(K153:T153)</f>
        <v>5715.3</v>
      </c>
      <c r="J153" s="13" t="n">
        <f aca="false">F153-(G153+H153+I153)</f>
        <v>0.0200000000004366</v>
      </c>
      <c r="K153" s="13" t="n">
        <v>571.53</v>
      </c>
      <c r="L153" s="13" t="n">
        <v>571.53</v>
      </c>
      <c r="M153" s="13" t="n">
        <v>571.53</v>
      </c>
      <c r="N153" s="13" t="n">
        <v>571.53</v>
      </c>
      <c r="O153" s="13" t="n">
        <v>571.53</v>
      </c>
      <c r="P153" s="13" t="n">
        <v>571.53</v>
      </c>
      <c r="Q153" s="13" t="n">
        <v>571.53</v>
      </c>
      <c r="R153" s="13" t="n">
        <v>571.53</v>
      </c>
      <c r="S153" s="13" t="n">
        <v>571.53</v>
      </c>
      <c r="T153" s="13" t="n">
        <v>571.53</v>
      </c>
      <c r="U153" s="13" t="n">
        <v>350</v>
      </c>
      <c r="V153" s="13" t="n">
        <v>0</v>
      </c>
      <c r="W153" s="13" t="n">
        <f aca="false">U153+V153</f>
        <v>350</v>
      </c>
    </row>
    <row r="154" customFormat="false" ht="15" hidden="false" customHeight="false" outlineLevel="0" collapsed="false">
      <c r="A154" s="14" t="s">
        <v>2023</v>
      </c>
      <c r="B154" s="14" t="s">
        <v>1892</v>
      </c>
      <c r="C154" s="14" t="s">
        <v>845</v>
      </c>
      <c r="D154" s="14" t="s">
        <v>102</v>
      </c>
      <c r="E154" s="15" t="n">
        <v>1950000</v>
      </c>
      <c r="F154" s="15" t="n">
        <v>14136.04</v>
      </c>
      <c r="G154" s="15" t="n">
        <v>1767.01</v>
      </c>
      <c r="H154" s="15" t="n">
        <v>1767.01</v>
      </c>
      <c r="I154" s="15" t="n">
        <f aca="false">SUM(K154:T154)</f>
        <v>10602</v>
      </c>
      <c r="J154" s="15" t="n">
        <f aca="false">F154-(G154+H154+I154)</f>
        <v>0.0199999999986176</v>
      </c>
      <c r="K154" s="15" t="n">
        <v>1060.2</v>
      </c>
      <c r="L154" s="15" t="n">
        <v>1060.2</v>
      </c>
      <c r="M154" s="15" t="n">
        <v>1060.2</v>
      </c>
      <c r="N154" s="15" t="n">
        <v>1060.2</v>
      </c>
      <c r="O154" s="15" t="n">
        <v>1060.2</v>
      </c>
      <c r="P154" s="15" t="n">
        <v>1060.2</v>
      </c>
      <c r="Q154" s="15" t="n">
        <v>1060.2</v>
      </c>
      <c r="R154" s="15" t="n">
        <v>1060.2</v>
      </c>
      <c r="S154" s="15" t="n">
        <v>1060.2</v>
      </c>
      <c r="T154" s="15" t="n">
        <v>1060.2</v>
      </c>
      <c r="U154" s="15" t="n">
        <v>350</v>
      </c>
      <c r="V154" s="15" t="n">
        <v>250</v>
      </c>
      <c r="W154" s="15" t="n">
        <f aca="false">U154+V154</f>
        <v>600</v>
      </c>
    </row>
    <row r="155" customFormat="false" ht="15" hidden="false" customHeight="false" outlineLevel="0" collapsed="false">
      <c r="A155" s="3" t="s">
        <v>2024</v>
      </c>
      <c r="B155" s="3" t="s">
        <v>1921</v>
      </c>
      <c r="C155" s="3" t="s">
        <v>565</v>
      </c>
      <c r="D155" s="3" t="s">
        <v>197</v>
      </c>
      <c r="E155" s="13" t="n">
        <v>315000</v>
      </c>
      <c r="F155" s="13" t="n">
        <v>4271.8</v>
      </c>
      <c r="G155" s="13" t="n">
        <v>533.98</v>
      </c>
      <c r="H155" s="13" t="n">
        <v>533.98</v>
      </c>
      <c r="I155" s="13" t="n">
        <f aca="false">SUM(K155:T155)</f>
        <v>3203.8</v>
      </c>
      <c r="J155" s="13" t="n">
        <f aca="false">F155-(G155+H155+I155)</f>
        <v>0.0399999999999636</v>
      </c>
      <c r="K155" s="13" t="n">
        <v>320.38</v>
      </c>
      <c r="L155" s="13" t="n">
        <v>320.38</v>
      </c>
      <c r="M155" s="13" t="n">
        <v>320.38</v>
      </c>
      <c r="N155" s="13" t="n">
        <v>320.38</v>
      </c>
      <c r="O155" s="13" t="n">
        <v>320.38</v>
      </c>
      <c r="P155" s="13" t="n">
        <v>320.38</v>
      </c>
      <c r="Q155" s="13" t="n">
        <v>320.38</v>
      </c>
      <c r="R155" s="13" t="n">
        <v>320.38</v>
      </c>
      <c r="S155" s="13" t="n">
        <v>320.38</v>
      </c>
      <c r="T155" s="13" t="n">
        <v>320.38</v>
      </c>
      <c r="U155" s="13" t="n">
        <v>350</v>
      </c>
      <c r="V155" s="13" t="n">
        <v>0</v>
      </c>
      <c r="W155" s="13" t="n">
        <f aca="false">U155+V155</f>
        <v>350</v>
      </c>
    </row>
    <row r="156" customFormat="false" ht="15" hidden="false" customHeight="false" outlineLevel="0" collapsed="false">
      <c r="A156" s="14" t="s">
        <v>2025</v>
      </c>
      <c r="B156" s="14" t="s">
        <v>1880</v>
      </c>
      <c r="C156" s="14" t="s">
        <v>215</v>
      </c>
      <c r="D156" s="14" t="s">
        <v>166</v>
      </c>
      <c r="E156" s="15" t="n">
        <v>560000</v>
      </c>
      <c r="F156" s="15" t="n">
        <v>4765.6</v>
      </c>
      <c r="G156" s="15" t="n">
        <v>595.7</v>
      </c>
      <c r="H156" s="15" t="n">
        <v>595.7</v>
      </c>
      <c r="I156" s="15" t="n">
        <f aca="false">SUM(K156:T156)</f>
        <v>3574.2</v>
      </c>
      <c r="J156" s="15" t="n">
        <f aca="false">F156-(G156+H156+I156)</f>
        <v>0</v>
      </c>
      <c r="K156" s="15" t="n">
        <v>357.42</v>
      </c>
      <c r="L156" s="15" t="n">
        <v>357.42</v>
      </c>
      <c r="M156" s="15" t="n">
        <v>357.42</v>
      </c>
      <c r="N156" s="15" t="n">
        <v>357.42</v>
      </c>
      <c r="O156" s="15" t="n">
        <v>357.42</v>
      </c>
      <c r="P156" s="15" t="n">
        <v>357.42</v>
      </c>
      <c r="Q156" s="15" t="n">
        <v>357.42</v>
      </c>
      <c r="R156" s="15" t="n">
        <v>357.42</v>
      </c>
      <c r="S156" s="15" t="n">
        <v>357.42</v>
      </c>
      <c r="T156" s="15" t="n">
        <v>357.42</v>
      </c>
      <c r="U156" s="15" t="n">
        <v>350</v>
      </c>
      <c r="V156" s="15" t="n">
        <v>0</v>
      </c>
      <c r="W156" s="15" t="n">
        <f aca="false">U156+V156</f>
        <v>350</v>
      </c>
    </row>
    <row r="157" customFormat="false" ht="15" hidden="false" customHeight="false" outlineLevel="0" collapsed="false">
      <c r="A157" s="3" t="s">
        <v>2026</v>
      </c>
      <c r="B157" s="3" t="s">
        <v>1854</v>
      </c>
      <c r="C157" s="3" t="s">
        <v>1356</v>
      </c>
      <c r="D157" s="3" t="s">
        <v>698</v>
      </c>
      <c r="E157" s="13" t="n">
        <v>310000</v>
      </c>
      <c r="F157" s="13" t="n">
        <v>6199.78</v>
      </c>
      <c r="G157" s="13" t="n">
        <v>774.97</v>
      </c>
      <c r="H157" s="13" t="n">
        <v>774.97</v>
      </c>
      <c r="I157" s="13" t="n">
        <f aca="false">SUM(K157:T157)</f>
        <v>4649.8</v>
      </c>
      <c r="J157" s="13" t="n">
        <f aca="false">F157-(G157+H157+I157)</f>
        <v>0.0399999999999636</v>
      </c>
      <c r="K157" s="13" t="n">
        <v>464.98</v>
      </c>
      <c r="L157" s="13" t="n">
        <v>464.98</v>
      </c>
      <c r="M157" s="13" t="n">
        <v>464.98</v>
      </c>
      <c r="N157" s="13" t="n">
        <v>464.98</v>
      </c>
      <c r="O157" s="13" t="n">
        <v>464.98</v>
      </c>
      <c r="P157" s="13" t="n">
        <v>464.98</v>
      </c>
      <c r="Q157" s="13" t="n">
        <v>464.98</v>
      </c>
      <c r="R157" s="13" t="n">
        <v>464.98</v>
      </c>
      <c r="S157" s="13" t="n">
        <v>464.98</v>
      </c>
      <c r="T157" s="13" t="n">
        <v>464.98</v>
      </c>
      <c r="U157" s="13" t="n">
        <v>350</v>
      </c>
      <c r="V157" s="13" t="n">
        <v>0</v>
      </c>
      <c r="W157" s="13" t="n">
        <f aca="false">U157+V157</f>
        <v>350</v>
      </c>
    </row>
    <row r="158" customFormat="false" ht="15" hidden="false" customHeight="false" outlineLevel="0" collapsed="false">
      <c r="A158" s="14" t="s">
        <v>2027</v>
      </c>
      <c r="B158" s="14" t="s">
        <v>1925</v>
      </c>
      <c r="C158" s="14" t="s">
        <v>1405</v>
      </c>
      <c r="D158" s="14" t="s">
        <v>93</v>
      </c>
      <c r="E158" s="15" t="n">
        <v>1075000</v>
      </c>
      <c r="F158" s="15" t="n">
        <v>12554.32</v>
      </c>
      <c r="G158" s="15" t="n">
        <v>1569.29</v>
      </c>
      <c r="H158" s="15" t="n">
        <v>1569.29</v>
      </c>
      <c r="I158" s="15" t="n">
        <f aca="false">SUM(K158:T158)</f>
        <v>9415.7</v>
      </c>
      <c r="J158" s="15" t="n">
        <f aca="false">F158-(G158+H158+I158)</f>
        <v>0.0399999999990541</v>
      </c>
      <c r="K158" s="15" t="n">
        <v>941.57</v>
      </c>
      <c r="L158" s="15" t="n">
        <v>941.57</v>
      </c>
      <c r="M158" s="15" t="n">
        <v>941.57</v>
      </c>
      <c r="N158" s="15" t="n">
        <v>941.57</v>
      </c>
      <c r="O158" s="15" t="n">
        <v>941.57</v>
      </c>
      <c r="P158" s="15" t="n">
        <v>941.57</v>
      </c>
      <c r="Q158" s="15" t="n">
        <v>941.57</v>
      </c>
      <c r="R158" s="15" t="n">
        <v>941.57</v>
      </c>
      <c r="S158" s="15" t="n">
        <v>941.57</v>
      </c>
      <c r="T158" s="15" t="n">
        <v>941.57</v>
      </c>
      <c r="U158" s="15" t="n">
        <v>350</v>
      </c>
      <c r="V158" s="15" t="n">
        <v>250</v>
      </c>
      <c r="W158" s="15" t="n">
        <f aca="false">U158+V158</f>
        <v>600</v>
      </c>
    </row>
    <row r="159" customFormat="false" ht="15" hidden="false" customHeight="false" outlineLevel="0" collapsed="false">
      <c r="A159" s="3" t="s">
        <v>2028</v>
      </c>
      <c r="B159" s="3" t="s">
        <v>1862</v>
      </c>
      <c r="C159" s="3" t="s">
        <v>863</v>
      </c>
      <c r="D159" s="3" t="s">
        <v>81</v>
      </c>
      <c r="E159" s="13" t="n">
        <v>490000</v>
      </c>
      <c r="F159" s="13" t="n">
        <v>7803.31</v>
      </c>
      <c r="G159" s="13" t="n">
        <v>975.41</v>
      </c>
      <c r="H159" s="13" t="n">
        <v>975.41</v>
      </c>
      <c r="I159" s="13" t="n">
        <f aca="false">SUM(K159:T159)</f>
        <v>5852.5</v>
      </c>
      <c r="J159" s="13" t="n">
        <f aca="false">F159-(G159+H159+I159)</f>
        <v>-0.00999999999930878</v>
      </c>
      <c r="K159" s="13" t="n">
        <v>585.25</v>
      </c>
      <c r="L159" s="13" t="n">
        <v>585.25</v>
      </c>
      <c r="M159" s="13" t="n">
        <v>585.25</v>
      </c>
      <c r="N159" s="13" t="n">
        <v>585.25</v>
      </c>
      <c r="O159" s="13" t="n">
        <v>585.25</v>
      </c>
      <c r="P159" s="13" t="n">
        <v>585.25</v>
      </c>
      <c r="Q159" s="13" t="n">
        <v>585.25</v>
      </c>
      <c r="R159" s="13" t="n">
        <v>585.25</v>
      </c>
      <c r="S159" s="13" t="n">
        <v>585.25</v>
      </c>
      <c r="T159" s="13" t="n">
        <v>585.25</v>
      </c>
      <c r="U159" s="13" t="n">
        <v>350</v>
      </c>
      <c r="V159" s="13" t="n">
        <v>0</v>
      </c>
      <c r="W159" s="13" t="n">
        <f aca="false">U159+V159</f>
        <v>350</v>
      </c>
    </row>
    <row r="160" customFormat="false" ht="15" hidden="false" customHeight="false" outlineLevel="0" collapsed="false">
      <c r="A160" s="14" t="s">
        <v>2029</v>
      </c>
      <c r="B160" s="14" t="s">
        <v>1897</v>
      </c>
      <c r="C160" s="14" t="s">
        <v>2030</v>
      </c>
      <c r="D160" s="14" t="s">
        <v>172</v>
      </c>
      <c r="E160" s="15" t="n">
        <v>310000</v>
      </c>
      <c r="F160" s="15" t="n">
        <v>4011.14</v>
      </c>
      <c r="G160" s="15" t="n">
        <v>501.39</v>
      </c>
      <c r="H160" s="15" t="n">
        <v>501.39</v>
      </c>
      <c r="I160" s="15" t="n">
        <f aca="false">SUM(K160:T160)</f>
        <v>3008.4</v>
      </c>
      <c r="J160" s="15" t="n">
        <f aca="false">F160-(G160+H160+I160)</f>
        <v>-0.0400000000004184</v>
      </c>
      <c r="K160" s="15" t="n">
        <v>300.84</v>
      </c>
      <c r="L160" s="15" t="n">
        <v>300.84</v>
      </c>
      <c r="M160" s="15" t="n">
        <v>300.84</v>
      </c>
      <c r="N160" s="15" t="n">
        <v>300.84</v>
      </c>
      <c r="O160" s="15" t="n">
        <v>300.84</v>
      </c>
      <c r="P160" s="15" t="n">
        <v>300.84</v>
      </c>
      <c r="Q160" s="15" t="n">
        <v>300.84</v>
      </c>
      <c r="R160" s="15" t="n">
        <v>300.84</v>
      </c>
      <c r="S160" s="15" t="n">
        <v>300.84</v>
      </c>
      <c r="T160" s="15" t="n">
        <v>300.84</v>
      </c>
      <c r="U160" s="15" t="n">
        <v>350</v>
      </c>
      <c r="V160" s="15" t="n">
        <v>0</v>
      </c>
      <c r="W160" s="15" t="n">
        <f aca="false">U160+V160</f>
        <v>350</v>
      </c>
    </row>
    <row r="161" customFormat="false" ht="15" hidden="false" customHeight="false" outlineLevel="0" collapsed="false">
      <c r="A161" s="3" t="s">
        <v>2031</v>
      </c>
      <c r="B161" s="3" t="s">
        <v>1848</v>
      </c>
      <c r="C161" s="3" t="s">
        <v>2032</v>
      </c>
      <c r="D161" s="3" t="s">
        <v>233</v>
      </c>
      <c r="E161" s="13" t="n">
        <v>505000</v>
      </c>
      <c r="F161" s="13" t="n">
        <v>3530.19</v>
      </c>
      <c r="G161" s="13" t="n">
        <v>441.27</v>
      </c>
      <c r="H161" s="13" t="n">
        <v>441.27</v>
      </c>
      <c r="I161" s="13" t="n">
        <f aca="false">SUM(K161:T161)</f>
        <v>2647.6</v>
      </c>
      <c r="J161" s="13" t="n">
        <f aca="false">F161-(G161+H161+I161)</f>
        <v>0.0499999999997272</v>
      </c>
      <c r="K161" s="13" t="n">
        <v>264.76</v>
      </c>
      <c r="L161" s="13" t="n">
        <v>264.76</v>
      </c>
      <c r="M161" s="13" t="n">
        <v>264.76</v>
      </c>
      <c r="N161" s="13" t="n">
        <v>264.76</v>
      </c>
      <c r="O161" s="13" t="n">
        <v>264.76</v>
      </c>
      <c r="P161" s="13" t="n">
        <v>264.76</v>
      </c>
      <c r="Q161" s="13" t="n">
        <v>264.76</v>
      </c>
      <c r="R161" s="13" t="n">
        <v>264.76</v>
      </c>
      <c r="S161" s="13" t="n">
        <v>264.76</v>
      </c>
      <c r="T161" s="13" t="n">
        <v>264.76</v>
      </c>
      <c r="U161" s="13" t="n">
        <v>350</v>
      </c>
      <c r="V161" s="13" t="n">
        <v>0</v>
      </c>
      <c r="W161" s="13" t="n">
        <f aca="false">U161+V161</f>
        <v>350</v>
      </c>
    </row>
    <row r="162" customFormat="false" ht="15" hidden="false" customHeight="false" outlineLevel="0" collapsed="false">
      <c r="A162" s="14" t="s">
        <v>2033</v>
      </c>
      <c r="B162" s="14" t="s">
        <v>1837</v>
      </c>
      <c r="C162" s="14" t="s">
        <v>495</v>
      </c>
      <c r="D162" s="14" t="s">
        <v>352</v>
      </c>
      <c r="E162" s="15" t="n">
        <v>485000</v>
      </c>
      <c r="F162" s="15" t="n">
        <v>6818.57</v>
      </c>
      <c r="G162" s="15" t="n">
        <v>852.32</v>
      </c>
      <c r="H162" s="15" t="n">
        <v>852.32</v>
      </c>
      <c r="I162" s="15" t="n">
        <f aca="false">SUM(K162:T162)</f>
        <v>5113.9</v>
      </c>
      <c r="J162" s="15" t="n">
        <f aca="false">F162-(G162+H162+I162)</f>
        <v>0.0299999999988358</v>
      </c>
      <c r="K162" s="15" t="n">
        <v>511.39</v>
      </c>
      <c r="L162" s="15" t="n">
        <v>511.39</v>
      </c>
      <c r="M162" s="15" t="n">
        <v>511.39</v>
      </c>
      <c r="N162" s="15" t="n">
        <v>511.39</v>
      </c>
      <c r="O162" s="15" t="n">
        <v>511.39</v>
      </c>
      <c r="P162" s="15" t="n">
        <v>511.39</v>
      </c>
      <c r="Q162" s="15" t="n">
        <v>511.39</v>
      </c>
      <c r="R162" s="15" t="n">
        <v>511.39</v>
      </c>
      <c r="S162" s="15" t="n">
        <v>511.39</v>
      </c>
      <c r="T162" s="15" t="n">
        <v>511.39</v>
      </c>
      <c r="U162" s="15" t="n">
        <v>350</v>
      </c>
      <c r="V162" s="15" t="n">
        <v>0</v>
      </c>
      <c r="W162" s="15" t="n">
        <f aca="false">U162+V162</f>
        <v>350</v>
      </c>
    </row>
    <row r="163" customFormat="false" ht="15" hidden="false" customHeight="false" outlineLevel="0" collapsed="false">
      <c r="A163" s="3" t="s">
        <v>2034</v>
      </c>
      <c r="B163" s="3" t="s">
        <v>1925</v>
      </c>
      <c r="C163" s="3" t="s">
        <v>379</v>
      </c>
      <c r="D163" s="3" t="s">
        <v>189</v>
      </c>
      <c r="E163" s="13" t="n">
        <v>1950000</v>
      </c>
      <c r="F163" s="13" t="n">
        <v>28466.17</v>
      </c>
      <c r="G163" s="13" t="n">
        <v>3558.27</v>
      </c>
      <c r="H163" s="13" t="n">
        <v>3558.27</v>
      </c>
      <c r="I163" s="13" t="n">
        <f aca="false">SUM(K163:T163)</f>
        <v>21349.6</v>
      </c>
      <c r="J163" s="13" t="n">
        <f aca="false">F163-(G163+H163+I163)</f>
        <v>0.0299999999988358</v>
      </c>
      <c r="K163" s="13" t="n">
        <v>2134.96</v>
      </c>
      <c r="L163" s="13" t="n">
        <v>2134.96</v>
      </c>
      <c r="M163" s="13" t="n">
        <v>2134.96</v>
      </c>
      <c r="N163" s="13" t="n">
        <v>2134.96</v>
      </c>
      <c r="O163" s="13" t="n">
        <v>2134.96</v>
      </c>
      <c r="P163" s="13" t="n">
        <v>2134.96</v>
      </c>
      <c r="Q163" s="13" t="n">
        <v>2134.96</v>
      </c>
      <c r="R163" s="13" t="n">
        <v>2134.96</v>
      </c>
      <c r="S163" s="13" t="n">
        <v>2134.96</v>
      </c>
      <c r="T163" s="13" t="n">
        <v>2134.96</v>
      </c>
      <c r="U163" s="13" t="n">
        <v>350</v>
      </c>
      <c r="V163" s="13" t="n">
        <v>250</v>
      </c>
      <c r="W163" s="13" t="n">
        <f aca="false">U163+V163</f>
        <v>600</v>
      </c>
    </row>
    <row r="164" customFormat="false" ht="15" hidden="false" customHeight="false" outlineLevel="0" collapsed="false">
      <c r="A164" s="14" t="s">
        <v>2035</v>
      </c>
      <c r="B164" s="14" t="s">
        <v>1921</v>
      </c>
      <c r="C164" s="14" t="s">
        <v>962</v>
      </c>
      <c r="D164" s="14" t="s">
        <v>89</v>
      </c>
      <c r="E164" s="15" t="n">
        <v>385000</v>
      </c>
      <c r="F164" s="15" t="n">
        <v>6466.47</v>
      </c>
      <c r="G164" s="15" t="n">
        <v>808.31</v>
      </c>
      <c r="H164" s="15" t="n">
        <v>808.31</v>
      </c>
      <c r="I164" s="15" t="n">
        <f aca="false">SUM(K164:T164)</f>
        <v>4849.9</v>
      </c>
      <c r="J164" s="15" t="n">
        <f aca="false">F164-(G164+H164+I164)</f>
        <v>-0.0499999999992724</v>
      </c>
      <c r="K164" s="15" t="n">
        <v>484.99</v>
      </c>
      <c r="L164" s="15" t="n">
        <v>484.99</v>
      </c>
      <c r="M164" s="15" t="n">
        <v>484.99</v>
      </c>
      <c r="N164" s="15" t="n">
        <v>484.99</v>
      </c>
      <c r="O164" s="15" t="n">
        <v>484.99</v>
      </c>
      <c r="P164" s="15" t="n">
        <v>484.99</v>
      </c>
      <c r="Q164" s="15" t="n">
        <v>484.99</v>
      </c>
      <c r="R164" s="15" t="n">
        <v>484.99</v>
      </c>
      <c r="S164" s="15" t="n">
        <v>484.99</v>
      </c>
      <c r="T164" s="15" t="n">
        <v>484.99</v>
      </c>
      <c r="U164" s="15" t="n">
        <v>350</v>
      </c>
      <c r="V164" s="15" t="n">
        <v>0</v>
      </c>
      <c r="W164" s="15" t="n">
        <f aca="false">U164+V164</f>
        <v>350</v>
      </c>
    </row>
    <row r="165" customFormat="false" ht="15" hidden="false" customHeight="false" outlineLevel="0" collapsed="false">
      <c r="A165" s="3" t="s">
        <v>2036</v>
      </c>
      <c r="B165" s="3" t="s">
        <v>1936</v>
      </c>
      <c r="C165" s="3" t="s">
        <v>330</v>
      </c>
      <c r="D165" s="3" t="s">
        <v>382</v>
      </c>
      <c r="E165" s="13" t="n">
        <v>150000</v>
      </c>
      <c r="F165" s="13" t="n">
        <v>2563.95</v>
      </c>
      <c r="G165" s="13" t="n">
        <v>320.49</v>
      </c>
      <c r="H165" s="13" t="n">
        <v>320.49</v>
      </c>
      <c r="I165" s="13" t="n">
        <f aca="false">SUM(K165:T165)</f>
        <v>1923</v>
      </c>
      <c r="J165" s="13" t="n">
        <f aca="false">F165-(G165+H165+I165)</f>
        <v>-0.0300000000002001</v>
      </c>
      <c r="K165" s="13" t="n">
        <v>192.3</v>
      </c>
      <c r="L165" s="13" t="n">
        <v>192.3</v>
      </c>
      <c r="M165" s="13" t="n">
        <v>192.3</v>
      </c>
      <c r="N165" s="13" t="n">
        <v>192.3</v>
      </c>
      <c r="O165" s="13" t="n">
        <v>192.3</v>
      </c>
      <c r="P165" s="13" t="n">
        <v>192.3</v>
      </c>
      <c r="Q165" s="13" t="n">
        <v>192.3</v>
      </c>
      <c r="R165" s="13" t="n">
        <v>192.3</v>
      </c>
      <c r="S165" s="13" t="n">
        <v>192.3</v>
      </c>
      <c r="T165" s="13" t="n">
        <v>192.3</v>
      </c>
      <c r="U165" s="13" t="n">
        <v>350</v>
      </c>
      <c r="V165" s="13" t="n">
        <v>0</v>
      </c>
      <c r="W165" s="13" t="n">
        <f aca="false">U165+V165</f>
        <v>350</v>
      </c>
    </row>
    <row r="166" customFormat="false" ht="15" hidden="false" customHeight="false" outlineLevel="0" collapsed="false">
      <c r="A166" s="14" t="s">
        <v>2037</v>
      </c>
      <c r="B166" s="14" t="s">
        <v>1936</v>
      </c>
      <c r="C166" s="14" t="s">
        <v>742</v>
      </c>
      <c r="D166" s="14" t="s">
        <v>256</v>
      </c>
      <c r="E166" s="15" t="n">
        <v>1450000</v>
      </c>
      <c r="F166" s="15" t="n">
        <v>25593.01</v>
      </c>
      <c r="G166" s="15" t="n">
        <v>3199.13</v>
      </c>
      <c r="H166" s="15" t="n">
        <v>3199.13</v>
      </c>
      <c r="I166" s="15" t="n">
        <f aca="false">SUM(K166:T166)</f>
        <v>19194.8</v>
      </c>
      <c r="J166" s="15" t="n">
        <f aca="false">F166-(G166+H166+I166)</f>
        <v>-0.0499999999992724</v>
      </c>
      <c r="K166" s="15" t="n">
        <v>1919.48</v>
      </c>
      <c r="L166" s="15" t="n">
        <v>1919.48</v>
      </c>
      <c r="M166" s="15" t="n">
        <v>1919.48</v>
      </c>
      <c r="N166" s="15" t="n">
        <v>1919.48</v>
      </c>
      <c r="O166" s="15" t="n">
        <v>1919.48</v>
      </c>
      <c r="P166" s="15" t="n">
        <v>1919.48</v>
      </c>
      <c r="Q166" s="15" t="n">
        <v>1919.48</v>
      </c>
      <c r="R166" s="15" t="n">
        <v>1919.48</v>
      </c>
      <c r="S166" s="15" t="n">
        <v>1919.48</v>
      </c>
      <c r="T166" s="15" t="n">
        <v>1919.48</v>
      </c>
      <c r="U166" s="15" t="n">
        <v>350</v>
      </c>
      <c r="V166" s="15" t="n">
        <v>250</v>
      </c>
      <c r="W166" s="15" t="n">
        <f aca="false">U166+V166</f>
        <v>600</v>
      </c>
    </row>
    <row r="167" customFormat="false" ht="15" hidden="false" customHeight="false" outlineLevel="0" collapsed="false">
      <c r="A167" s="3" t="s">
        <v>2038</v>
      </c>
      <c r="B167" s="3" t="s">
        <v>1871</v>
      </c>
      <c r="C167" s="3" t="s">
        <v>1405</v>
      </c>
      <c r="D167" s="3" t="s">
        <v>153</v>
      </c>
      <c r="E167" s="13" t="n">
        <v>675000</v>
      </c>
      <c r="F167" s="13" t="n">
        <v>11281.34</v>
      </c>
      <c r="G167" s="13" t="n">
        <v>1410.17</v>
      </c>
      <c r="H167" s="13" t="n">
        <v>1410.17</v>
      </c>
      <c r="I167" s="13" t="n">
        <f aca="false">SUM(K167:T167)</f>
        <v>8461</v>
      </c>
      <c r="J167" s="13" t="n">
        <f aca="false">F167-(G167+H167+I167)</f>
        <v>0</v>
      </c>
      <c r="K167" s="13" t="n">
        <v>846.1</v>
      </c>
      <c r="L167" s="13" t="n">
        <v>846.1</v>
      </c>
      <c r="M167" s="13" t="n">
        <v>846.1</v>
      </c>
      <c r="N167" s="13" t="n">
        <v>846.1</v>
      </c>
      <c r="O167" s="13" t="n">
        <v>846.1</v>
      </c>
      <c r="P167" s="13" t="n">
        <v>846.1</v>
      </c>
      <c r="Q167" s="13" t="n">
        <v>846.1</v>
      </c>
      <c r="R167" s="13" t="n">
        <v>846.1</v>
      </c>
      <c r="S167" s="13" t="n">
        <v>846.1</v>
      </c>
      <c r="T167" s="13" t="n">
        <v>846.1</v>
      </c>
      <c r="U167" s="13" t="n">
        <v>350</v>
      </c>
      <c r="V167" s="13" t="n">
        <v>0</v>
      </c>
      <c r="W167" s="13" t="n">
        <f aca="false">U167+V167</f>
        <v>350</v>
      </c>
    </row>
    <row r="168" customFormat="false" ht="15" hidden="false" customHeight="false" outlineLevel="0" collapsed="false">
      <c r="A168" s="14" t="s">
        <v>2039</v>
      </c>
      <c r="B168" s="14" t="s">
        <v>1860</v>
      </c>
      <c r="C168" s="14" t="s">
        <v>2040</v>
      </c>
      <c r="D168" s="14" t="s">
        <v>352</v>
      </c>
      <c r="E168" s="15" t="n">
        <v>645000</v>
      </c>
      <c r="F168" s="15" t="n">
        <v>7858.93</v>
      </c>
      <c r="G168" s="15" t="n">
        <v>982.37</v>
      </c>
      <c r="H168" s="15" t="n">
        <v>982.37</v>
      </c>
      <c r="I168" s="15" t="n">
        <f aca="false">SUM(K168:T168)</f>
        <v>5894.2</v>
      </c>
      <c r="J168" s="15" t="n">
        <f aca="false">F168-(G168+H168+I168)</f>
        <v>-0.00999999999930878</v>
      </c>
      <c r="K168" s="15" t="n">
        <v>589.42</v>
      </c>
      <c r="L168" s="15" t="n">
        <v>589.42</v>
      </c>
      <c r="M168" s="15" t="n">
        <v>589.42</v>
      </c>
      <c r="N168" s="15" t="n">
        <v>589.42</v>
      </c>
      <c r="O168" s="15" t="n">
        <v>589.42</v>
      </c>
      <c r="P168" s="15" t="n">
        <v>589.42</v>
      </c>
      <c r="Q168" s="15" t="n">
        <v>589.42</v>
      </c>
      <c r="R168" s="15" t="n">
        <v>589.42</v>
      </c>
      <c r="S168" s="15" t="n">
        <v>589.42</v>
      </c>
      <c r="T168" s="15" t="n">
        <v>589.42</v>
      </c>
      <c r="U168" s="15" t="n">
        <v>350</v>
      </c>
      <c r="V168" s="15" t="n">
        <v>0</v>
      </c>
      <c r="W168" s="15" t="n">
        <f aca="false">U168+V168</f>
        <v>350</v>
      </c>
    </row>
    <row r="169" customFormat="false" ht="15" hidden="false" customHeight="false" outlineLevel="0" collapsed="false">
      <c r="A169" s="3" t="s">
        <v>2041</v>
      </c>
      <c r="B169" s="3" t="s">
        <v>1860</v>
      </c>
      <c r="C169" s="3" t="s">
        <v>2042</v>
      </c>
      <c r="D169" s="3" t="s">
        <v>157</v>
      </c>
      <c r="E169" s="13" t="n">
        <v>450000</v>
      </c>
      <c r="F169" s="13" t="n">
        <v>7950.12</v>
      </c>
      <c r="G169" s="13" t="n">
        <v>993.76</v>
      </c>
      <c r="H169" s="13" t="n">
        <v>993.76</v>
      </c>
      <c r="I169" s="13" t="n">
        <f aca="false">SUM(K169:T169)</f>
        <v>5962.6</v>
      </c>
      <c r="J169" s="13" t="n">
        <f aca="false">F169-(G169+H169+I169)</f>
        <v>0</v>
      </c>
      <c r="K169" s="13" t="n">
        <v>596.26</v>
      </c>
      <c r="L169" s="13" t="n">
        <v>596.26</v>
      </c>
      <c r="M169" s="13" t="n">
        <v>596.26</v>
      </c>
      <c r="N169" s="13" t="n">
        <v>596.26</v>
      </c>
      <c r="O169" s="13" t="n">
        <v>596.26</v>
      </c>
      <c r="P169" s="13" t="n">
        <v>596.26</v>
      </c>
      <c r="Q169" s="13" t="n">
        <v>596.26</v>
      </c>
      <c r="R169" s="13" t="n">
        <v>596.26</v>
      </c>
      <c r="S169" s="13" t="n">
        <v>596.26</v>
      </c>
      <c r="T169" s="13" t="n">
        <v>596.26</v>
      </c>
      <c r="U169" s="13" t="n">
        <v>350</v>
      </c>
      <c r="V169" s="13" t="n">
        <v>0</v>
      </c>
      <c r="W169" s="13" t="n">
        <f aca="false">U169+V169</f>
        <v>350</v>
      </c>
    </row>
    <row r="170" customFormat="false" ht="15" hidden="false" customHeight="false" outlineLevel="0" collapsed="false">
      <c r="A170" s="14" t="s">
        <v>2043</v>
      </c>
      <c r="B170" s="14" t="s">
        <v>1848</v>
      </c>
      <c r="C170" s="14" t="s">
        <v>294</v>
      </c>
      <c r="D170" s="14" t="s">
        <v>132</v>
      </c>
      <c r="E170" s="15" t="n">
        <v>395000</v>
      </c>
      <c r="F170" s="15" t="n">
        <v>4914.39</v>
      </c>
      <c r="G170" s="15" t="n">
        <v>614.3</v>
      </c>
      <c r="H170" s="15" t="n">
        <v>614.3</v>
      </c>
      <c r="I170" s="15" t="n">
        <f aca="false">SUM(K170:T170)</f>
        <v>3685.8</v>
      </c>
      <c r="J170" s="15" t="n">
        <f aca="false">F170-(G170+H170+I170)</f>
        <v>-0.00999999999930878</v>
      </c>
      <c r="K170" s="15" t="n">
        <v>368.58</v>
      </c>
      <c r="L170" s="15" t="n">
        <v>368.58</v>
      </c>
      <c r="M170" s="15" t="n">
        <v>368.58</v>
      </c>
      <c r="N170" s="15" t="n">
        <v>368.58</v>
      </c>
      <c r="O170" s="15" t="n">
        <v>368.58</v>
      </c>
      <c r="P170" s="15" t="n">
        <v>368.58</v>
      </c>
      <c r="Q170" s="15" t="n">
        <v>368.58</v>
      </c>
      <c r="R170" s="15" t="n">
        <v>368.58</v>
      </c>
      <c r="S170" s="15" t="n">
        <v>368.58</v>
      </c>
      <c r="T170" s="15" t="n">
        <v>368.58</v>
      </c>
      <c r="U170" s="15" t="n">
        <v>350</v>
      </c>
      <c r="V170" s="15" t="n">
        <v>0</v>
      </c>
      <c r="W170" s="15" t="n">
        <f aca="false">U170+V170</f>
        <v>350</v>
      </c>
    </row>
    <row r="171" customFormat="false" ht="15" hidden="false" customHeight="false" outlineLevel="0" collapsed="false">
      <c r="A171" s="3" t="s">
        <v>2044</v>
      </c>
      <c r="B171" s="3" t="s">
        <v>1925</v>
      </c>
      <c r="C171" s="3" t="s">
        <v>1791</v>
      </c>
      <c r="D171" s="3" t="s">
        <v>157</v>
      </c>
      <c r="E171" s="13" t="n">
        <v>320000</v>
      </c>
      <c r="F171" s="13" t="n">
        <v>5653.42</v>
      </c>
      <c r="G171" s="13" t="n">
        <v>706.68</v>
      </c>
      <c r="H171" s="13" t="n">
        <v>706.68</v>
      </c>
      <c r="I171" s="13" t="n">
        <f aca="false">SUM(K171:T171)</f>
        <v>4240.1</v>
      </c>
      <c r="J171" s="13" t="n">
        <f aca="false">F171-(G171+H171+I171)</f>
        <v>-0.0399999999999636</v>
      </c>
      <c r="K171" s="13" t="n">
        <v>424.01</v>
      </c>
      <c r="L171" s="13" t="n">
        <v>424.01</v>
      </c>
      <c r="M171" s="13" t="n">
        <v>424.01</v>
      </c>
      <c r="N171" s="13" t="n">
        <v>424.01</v>
      </c>
      <c r="O171" s="13" t="n">
        <v>424.01</v>
      </c>
      <c r="P171" s="13" t="n">
        <v>424.01</v>
      </c>
      <c r="Q171" s="13" t="n">
        <v>424.01</v>
      </c>
      <c r="R171" s="13" t="n">
        <v>424.01</v>
      </c>
      <c r="S171" s="13" t="n">
        <v>424.01</v>
      </c>
      <c r="T171" s="13" t="n">
        <v>424.01</v>
      </c>
      <c r="U171" s="13" t="n">
        <v>350</v>
      </c>
      <c r="V171" s="13" t="n">
        <v>0</v>
      </c>
      <c r="W171" s="13" t="n">
        <f aca="false">U171+V171</f>
        <v>350</v>
      </c>
    </row>
    <row r="172" customFormat="false" ht="15" hidden="false" customHeight="false" outlineLevel="0" collapsed="false">
      <c r="A172" s="14" t="s">
        <v>2045</v>
      </c>
      <c r="B172" s="14" t="s">
        <v>1845</v>
      </c>
      <c r="C172" s="14" t="s">
        <v>111</v>
      </c>
      <c r="D172" s="14" t="s">
        <v>99</v>
      </c>
      <c r="E172" s="15" t="n">
        <v>1525000</v>
      </c>
      <c r="F172" s="15" t="n">
        <v>27523.94</v>
      </c>
      <c r="G172" s="15" t="n">
        <v>3440.49</v>
      </c>
      <c r="H172" s="15" t="n">
        <v>3440.49</v>
      </c>
      <c r="I172" s="15" t="n">
        <f aca="false">SUM(K172:T172)</f>
        <v>20643</v>
      </c>
      <c r="J172" s="15" t="n">
        <f aca="false">F172-(G172+H172+I172)</f>
        <v>-0.0400000000008731</v>
      </c>
      <c r="K172" s="15" t="n">
        <v>2064.3</v>
      </c>
      <c r="L172" s="15" t="n">
        <v>2064.3</v>
      </c>
      <c r="M172" s="15" t="n">
        <v>2064.3</v>
      </c>
      <c r="N172" s="15" t="n">
        <v>2064.3</v>
      </c>
      <c r="O172" s="15" t="n">
        <v>2064.3</v>
      </c>
      <c r="P172" s="15" t="n">
        <v>2064.3</v>
      </c>
      <c r="Q172" s="15" t="n">
        <v>2064.3</v>
      </c>
      <c r="R172" s="15" t="n">
        <v>2064.3</v>
      </c>
      <c r="S172" s="15" t="n">
        <v>2064.3</v>
      </c>
      <c r="T172" s="15" t="n">
        <v>2064.3</v>
      </c>
      <c r="U172" s="15" t="n">
        <v>350</v>
      </c>
      <c r="V172" s="15" t="n">
        <v>250</v>
      </c>
      <c r="W172" s="15" t="n">
        <f aca="false">U172+V172</f>
        <v>600</v>
      </c>
    </row>
    <row r="173" customFormat="false" ht="15" hidden="false" customHeight="false" outlineLevel="0" collapsed="false">
      <c r="A173" s="3" t="s">
        <v>2046</v>
      </c>
      <c r="B173" s="3" t="s">
        <v>1857</v>
      </c>
      <c r="C173" s="3" t="s">
        <v>1264</v>
      </c>
      <c r="D173" s="3" t="s">
        <v>69</v>
      </c>
      <c r="E173" s="13" t="n">
        <v>295000</v>
      </c>
      <c r="F173" s="13" t="n">
        <v>3560.14</v>
      </c>
      <c r="G173" s="13" t="n">
        <v>445.02</v>
      </c>
      <c r="H173" s="13" t="n">
        <v>445.02</v>
      </c>
      <c r="I173" s="13" t="n">
        <f aca="false">SUM(K173:T173)</f>
        <v>2670.1</v>
      </c>
      <c r="J173" s="13" t="n">
        <f aca="false">F173-(G173+H173+I173)</f>
        <v>0</v>
      </c>
      <c r="K173" s="13" t="n">
        <v>267.01</v>
      </c>
      <c r="L173" s="13" t="n">
        <v>267.01</v>
      </c>
      <c r="M173" s="13" t="n">
        <v>267.01</v>
      </c>
      <c r="N173" s="13" t="n">
        <v>267.01</v>
      </c>
      <c r="O173" s="13" t="n">
        <v>267.01</v>
      </c>
      <c r="P173" s="13" t="n">
        <v>267.01</v>
      </c>
      <c r="Q173" s="13" t="n">
        <v>267.01</v>
      </c>
      <c r="R173" s="13" t="n">
        <v>267.01</v>
      </c>
      <c r="S173" s="13" t="n">
        <v>267.01</v>
      </c>
      <c r="T173" s="13" t="n">
        <v>267.01</v>
      </c>
      <c r="U173" s="13" t="n">
        <v>350</v>
      </c>
      <c r="V173" s="13" t="n">
        <v>0</v>
      </c>
      <c r="W173" s="13" t="n">
        <f aca="false">U173+V173</f>
        <v>350</v>
      </c>
    </row>
    <row r="174" customFormat="false" ht="15" hidden="false" customHeight="false" outlineLevel="0" collapsed="false">
      <c r="A174" s="14" t="s">
        <v>2047</v>
      </c>
      <c r="B174" s="14" t="s">
        <v>1892</v>
      </c>
      <c r="C174" s="14" t="s">
        <v>582</v>
      </c>
      <c r="D174" s="14" t="s">
        <v>138</v>
      </c>
      <c r="E174" s="15" t="n">
        <v>1745000</v>
      </c>
      <c r="F174" s="15" t="n">
        <v>12649.95</v>
      </c>
      <c r="G174" s="15" t="n">
        <v>1581.24</v>
      </c>
      <c r="H174" s="15" t="n">
        <v>1581.24</v>
      </c>
      <c r="I174" s="15" t="n">
        <f aca="false">SUM(K174:T174)</f>
        <v>9487.5</v>
      </c>
      <c r="J174" s="15" t="n">
        <f aca="false">F174-(G174+H174+I174)</f>
        <v>-0.0299999999988358</v>
      </c>
      <c r="K174" s="15" t="n">
        <v>948.75</v>
      </c>
      <c r="L174" s="15" t="n">
        <v>948.75</v>
      </c>
      <c r="M174" s="15" t="n">
        <v>948.75</v>
      </c>
      <c r="N174" s="15" t="n">
        <v>948.75</v>
      </c>
      <c r="O174" s="15" t="n">
        <v>948.75</v>
      </c>
      <c r="P174" s="15" t="n">
        <v>948.75</v>
      </c>
      <c r="Q174" s="15" t="n">
        <v>948.75</v>
      </c>
      <c r="R174" s="15" t="n">
        <v>948.75</v>
      </c>
      <c r="S174" s="15" t="n">
        <v>948.75</v>
      </c>
      <c r="T174" s="15" t="n">
        <v>948.75</v>
      </c>
      <c r="U174" s="15" t="n">
        <v>350</v>
      </c>
      <c r="V174" s="15" t="n">
        <v>250</v>
      </c>
      <c r="W174" s="15" t="n">
        <f aca="false">U174+V174</f>
        <v>600</v>
      </c>
    </row>
    <row r="175" customFormat="false" ht="15" hidden="false" customHeight="false" outlineLevel="0" collapsed="false">
      <c r="A175" s="3" t="s">
        <v>2048</v>
      </c>
      <c r="B175" s="3" t="s">
        <v>1839</v>
      </c>
      <c r="C175" s="3" t="s">
        <v>695</v>
      </c>
      <c r="D175" s="3" t="s">
        <v>193</v>
      </c>
      <c r="E175" s="13" t="n">
        <v>695000</v>
      </c>
      <c r="F175" s="13" t="n">
        <v>13690.84</v>
      </c>
      <c r="G175" s="13" t="n">
        <v>1711.36</v>
      </c>
      <c r="H175" s="13" t="n">
        <v>1711.36</v>
      </c>
      <c r="I175" s="13" t="n">
        <f aca="false">SUM(K175:T175)</f>
        <v>10268.1</v>
      </c>
      <c r="J175" s="13" t="n">
        <f aca="false">F175-(G175+H175+I175)</f>
        <v>0.0200000000022555</v>
      </c>
      <c r="K175" s="13" t="n">
        <v>1026.81</v>
      </c>
      <c r="L175" s="13" t="n">
        <v>1026.81</v>
      </c>
      <c r="M175" s="13" t="n">
        <v>1026.81</v>
      </c>
      <c r="N175" s="13" t="n">
        <v>1026.81</v>
      </c>
      <c r="O175" s="13" t="n">
        <v>1026.81</v>
      </c>
      <c r="P175" s="13" t="n">
        <v>1026.81</v>
      </c>
      <c r="Q175" s="13" t="n">
        <v>1026.81</v>
      </c>
      <c r="R175" s="13" t="n">
        <v>1026.81</v>
      </c>
      <c r="S175" s="13" t="n">
        <v>1026.81</v>
      </c>
      <c r="T175" s="13" t="n">
        <v>1026.81</v>
      </c>
      <c r="U175" s="13" t="n">
        <v>350</v>
      </c>
      <c r="V175" s="13" t="n">
        <v>0</v>
      </c>
      <c r="W175" s="13" t="n">
        <f aca="false">U175+V175</f>
        <v>350</v>
      </c>
    </row>
    <row r="176" customFormat="false" ht="15" hidden="false" customHeight="false" outlineLevel="0" collapsed="false">
      <c r="A176" s="14" t="s">
        <v>2049</v>
      </c>
      <c r="B176" s="14" t="s">
        <v>1860</v>
      </c>
      <c r="C176" s="14" t="s">
        <v>587</v>
      </c>
      <c r="D176" s="14" t="s">
        <v>125</v>
      </c>
      <c r="E176" s="15" t="n">
        <v>355000</v>
      </c>
      <c r="F176" s="15" t="n">
        <v>6501.44</v>
      </c>
      <c r="G176" s="15" t="n">
        <v>812.68</v>
      </c>
      <c r="H176" s="15" t="n">
        <v>812.68</v>
      </c>
      <c r="I176" s="15" t="n">
        <f aca="false">SUM(K176:T176)</f>
        <v>4876.1</v>
      </c>
      <c r="J176" s="15" t="n">
        <f aca="false">F176-(G176+H176+I176)</f>
        <v>-0.0199999999995271</v>
      </c>
      <c r="K176" s="15" t="n">
        <v>487.61</v>
      </c>
      <c r="L176" s="15" t="n">
        <v>487.61</v>
      </c>
      <c r="M176" s="15" t="n">
        <v>487.61</v>
      </c>
      <c r="N176" s="15" t="n">
        <v>487.61</v>
      </c>
      <c r="O176" s="15" t="n">
        <v>487.61</v>
      </c>
      <c r="P176" s="15" t="n">
        <v>487.61</v>
      </c>
      <c r="Q176" s="15" t="n">
        <v>487.61</v>
      </c>
      <c r="R176" s="15" t="n">
        <v>487.61</v>
      </c>
      <c r="S176" s="15" t="n">
        <v>487.61</v>
      </c>
      <c r="T176" s="15" t="n">
        <v>487.61</v>
      </c>
      <c r="U176" s="15" t="n">
        <v>350</v>
      </c>
      <c r="V176" s="15" t="n">
        <v>0</v>
      </c>
      <c r="W176" s="15" t="n">
        <f aca="false">U176+V176</f>
        <v>350</v>
      </c>
    </row>
    <row r="177" customFormat="false" ht="15" hidden="false" customHeight="false" outlineLevel="0" collapsed="false">
      <c r="A177" s="3" t="s">
        <v>2050</v>
      </c>
      <c r="B177" s="3" t="s">
        <v>1871</v>
      </c>
      <c r="C177" s="3" t="s">
        <v>229</v>
      </c>
      <c r="D177" s="3" t="s">
        <v>73</v>
      </c>
      <c r="E177" s="13" t="n">
        <v>610000</v>
      </c>
      <c r="F177" s="13" t="n">
        <v>7695.57</v>
      </c>
      <c r="G177" s="13" t="n">
        <v>961.95</v>
      </c>
      <c r="H177" s="13" t="n">
        <v>961.95</v>
      </c>
      <c r="I177" s="13" t="n">
        <f aca="false">SUM(K177:T177)</f>
        <v>5771.7</v>
      </c>
      <c r="J177" s="13" t="n">
        <f aca="false">F177-(G177+H177+I177)</f>
        <v>-0.0300000000006548</v>
      </c>
      <c r="K177" s="13" t="n">
        <v>577.17</v>
      </c>
      <c r="L177" s="13" t="n">
        <v>577.17</v>
      </c>
      <c r="M177" s="13" t="n">
        <v>577.17</v>
      </c>
      <c r="N177" s="13" t="n">
        <v>577.17</v>
      </c>
      <c r="O177" s="13" t="n">
        <v>577.17</v>
      </c>
      <c r="P177" s="13" t="n">
        <v>577.17</v>
      </c>
      <c r="Q177" s="13" t="n">
        <v>577.17</v>
      </c>
      <c r="R177" s="13" t="n">
        <v>577.17</v>
      </c>
      <c r="S177" s="13" t="n">
        <v>577.17</v>
      </c>
      <c r="T177" s="13" t="n">
        <v>577.17</v>
      </c>
      <c r="U177" s="13" t="n">
        <v>350</v>
      </c>
      <c r="V177" s="13" t="n">
        <v>0</v>
      </c>
      <c r="W177" s="13" t="n">
        <f aca="false">U177+V177</f>
        <v>350</v>
      </c>
    </row>
    <row r="178" customFormat="false" ht="15" hidden="false" customHeight="false" outlineLevel="0" collapsed="false">
      <c r="A178" s="14" t="s">
        <v>2051</v>
      </c>
      <c r="B178" s="14" t="s">
        <v>1871</v>
      </c>
      <c r="C178" s="14" t="s">
        <v>923</v>
      </c>
      <c r="D178" s="14" t="s">
        <v>89</v>
      </c>
      <c r="E178" s="15" t="n">
        <v>480000</v>
      </c>
      <c r="F178" s="15" t="n">
        <v>8062.1</v>
      </c>
      <c r="G178" s="15" t="n">
        <v>1007.76</v>
      </c>
      <c r="H178" s="15" t="n">
        <v>1007.76</v>
      </c>
      <c r="I178" s="15" t="n">
        <f aca="false">SUM(K178:T178)</f>
        <v>6046.6</v>
      </c>
      <c r="J178" s="15" t="n">
        <f aca="false">F178-(G178+H178+I178)</f>
        <v>-0.0199999999986176</v>
      </c>
      <c r="K178" s="15" t="n">
        <v>604.66</v>
      </c>
      <c r="L178" s="15" t="n">
        <v>604.66</v>
      </c>
      <c r="M178" s="15" t="n">
        <v>604.66</v>
      </c>
      <c r="N178" s="15" t="n">
        <v>604.66</v>
      </c>
      <c r="O178" s="15" t="n">
        <v>604.66</v>
      </c>
      <c r="P178" s="15" t="n">
        <v>604.66</v>
      </c>
      <c r="Q178" s="15" t="n">
        <v>604.66</v>
      </c>
      <c r="R178" s="15" t="n">
        <v>604.66</v>
      </c>
      <c r="S178" s="15" t="n">
        <v>604.66</v>
      </c>
      <c r="T178" s="15" t="n">
        <v>604.66</v>
      </c>
      <c r="U178" s="15" t="n">
        <v>350</v>
      </c>
      <c r="V178" s="15" t="n">
        <v>0</v>
      </c>
      <c r="W178" s="15" t="n">
        <f aca="false">U178+V178</f>
        <v>350</v>
      </c>
    </row>
    <row r="179" customFormat="false" ht="15" hidden="false" customHeight="false" outlineLevel="0" collapsed="false">
      <c r="A179" s="3" t="s">
        <v>2052</v>
      </c>
      <c r="B179" s="3" t="s">
        <v>1860</v>
      </c>
      <c r="C179" s="3" t="s">
        <v>98</v>
      </c>
      <c r="D179" s="3" t="s">
        <v>180</v>
      </c>
      <c r="E179" s="13" t="n">
        <v>1315000</v>
      </c>
      <c r="F179" s="13" t="n">
        <v>8974.33</v>
      </c>
      <c r="G179" s="13" t="n">
        <v>1121.79</v>
      </c>
      <c r="H179" s="13" t="n">
        <v>1121.79</v>
      </c>
      <c r="I179" s="13" t="n">
        <f aca="false">SUM(K179:T179)</f>
        <v>6730.7</v>
      </c>
      <c r="J179" s="13" t="n">
        <f aca="false">F179-(G179+H179+I179)</f>
        <v>0.0500000000010914</v>
      </c>
      <c r="K179" s="13" t="n">
        <v>673.07</v>
      </c>
      <c r="L179" s="13" t="n">
        <v>673.07</v>
      </c>
      <c r="M179" s="13" t="n">
        <v>673.07</v>
      </c>
      <c r="N179" s="13" t="n">
        <v>673.07</v>
      </c>
      <c r="O179" s="13" t="n">
        <v>673.07</v>
      </c>
      <c r="P179" s="13" t="n">
        <v>673.07</v>
      </c>
      <c r="Q179" s="13" t="n">
        <v>673.07</v>
      </c>
      <c r="R179" s="13" t="n">
        <v>673.07</v>
      </c>
      <c r="S179" s="13" t="n">
        <v>673.07</v>
      </c>
      <c r="T179" s="13" t="n">
        <v>673.07</v>
      </c>
      <c r="U179" s="13" t="n">
        <v>350</v>
      </c>
      <c r="V179" s="13" t="n">
        <v>250</v>
      </c>
      <c r="W179" s="13" t="n">
        <f aca="false">U179+V179</f>
        <v>600</v>
      </c>
    </row>
    <row r="180" customFormat="false" ht="15" hidden="false" customHeight="false" outlineLevel="0" collapsed="false">
      <c r="A180" s="14" t="s">
        <v>2053</v>
      </c>
      <c r="B180" s="14" t="s">
        <v>1936</v>
      </c>
      <c r="C180" s="14" t="s">
        <v>813</v>
      </c>
      <c r="D180" s="14" t="s">
        <v>132</v>
      </c>
      <c r="E180" s="15" t="n">
        <v>350000</v>
      </c>
      <c r="F180" s="15" t="n">
        <v>4354.53</v>
      </c>
      <c r="G180" s="15" t="n">
        <v>544.32</v>
      </c>
      <c r="H180" s="15" t="n">
        <v>544.32</v>
      </c>
      <c r="I180" s="15" t="n">
        <f aca="false">SUM(K180:T180)</f>
        <v>3265.9</v>
      </c>
      <c r="J180" s="15" t="n">
        <f aca="false">F180-(G180+H180+I180)</f>
        <v>-0.0100000000002183</v>
      </c>
      <c r="K180" s="15" t="n">
        <v>326.59</v>
      </c>
      <c r="L180" s="15" t="n">
        <v>326.59</v>
      </c>
      <c r="M180" s="15" t="n">
        <v>326.59</v>
      </c>
      <c r="N180" s="15" t="n">
        <v>326.59</v>
      </c>
      <c r="O180" s="15" t="n">
        <v>326.59</v>
      </c>
      <c r="P180" s="15" t="n">
        <v>326.59</v>
      </c>
      <c r="Q180" s="15" t="n">
        <v>326.59</v>
      </c>
      <c r="R180" s="15" t="n">
        <v>326.59</v>
      </c>
      <c r="S180" s="15" t="n">
        <v>326.59</v>
      </c>
      <c r="T180" s="15" t="n">
        <v>326.59</v>
      </c>
      <c r="U180" s="15" t="n">
        <v>350</v>
      </c>
      <c r="V180" s="15" t="n">
        <v>0</v>
      </c>
      <c r="W180" s="15" t="n">
        <f aca="false">U180+V180</f>
        <v>350</v>
      </c>
    </row>
    <row r="181" customFormat="false" ht="15" hidden="false" customHeight="false" outlineLevel="0" collapsed="false">
      <c r="A181" s="3" t="s">
        <v>2054</v>
      </c>
      <c r="B181" s="3" t="s">
        <v>1845</v>
      </c>
      <c r="C181" s="3" t="s">
        <v>737</v>
      </c>
      <c r="D181" s="3" t="s">
        <v>279</v>
      </c>
      <c r="E181" s="13" t="n">
        <v>1260000</v>
      </c>
      <c r="F181" s="13" t="n">
        <v>10461.32</v>
      </c>
      <c r="G181" s="13" t="n">
        <v>1307.66</v>
      </c>
      <c r="H181" s="13" t="n">
        <v>1307.66</v>
      </c>
      <c r="I181" s="13" t="n">
        <f aca="false">SUM(K181:T181)</f>
        <v>7846</v>
      </c>
      <c r="J181" s="13" t="n">
        <f aca="false">F181-(G181+H181+I181)</f>
        <v>0</v>
      </c>
      <c r="K181" s="13" t="n">
        <v>784.6</v>
      </c>
      <c r="L181" s="13" t="n">
        <v>784.6</v>
      </c>
      <c r="M181" s="13" t="n">
        <v>784.6</v>
      </c>
      <c r="N181" s="13" t="n">
        <v>784.6</v>
      </c>
      <c r="O181" s="13" t="n">
        <v>784.6</v>
      </c>
      <c r="P181" s="13" t="n">
        <v>784.6</v>
      </c>
      <c r="Q181" s="13" t="n">
        <v>784.6</v>
      </c>
      <c r="R181" s="13" t="n">
        <v>784.6</v>
      </c>
      <c r="S181" s="13" t="n">
        <v>784.6</v>
      </c>
      <c r="T181" s="13" t="n">
        <v>784.6</v>
      </c>
      <c r="U181" s="13" t="n">
        <v>350</v>
      </c>
      <c r="V181" s="13" t="n">
        <v>250</v>
      </c>
      <c r="W181" s="13" t="n">
        <f aca="false">U181+V181</f>
        <v>600</v>
      </c>
    </row>
    <row r="182" customFormat="false" ht="15" hidden="false" customHeight="false" outlineLevel="0" collapsed="false">
      <c r="A182" s="14" t="s">
        <v>2055</v>
      </c>
      <c r="B182" s="14" t="s">
        <v>1862</v>
      </c>
      <c r="C182" s="14" t="s">
        <v>156</v>
      </c>
      <c r="D182" s="14" t="s">
        <v>157</v>
      </c>
      <c r="E182" s="15" t="n">
        <v>780000</v>
      </c>
      <c r="F182" s="15" t="n">
        <v>11942.85</v>
      </c>
      <c r="G182" s="15" t="n">
        <v>1492.86</v>
      </c>
      <c r="H182" s="15" t="n">
        <v>1492.86</v>
      </c>
      <c r="I182" s="15" t="n">
        <f aca="false">SUM(K182:T182)</f>
        <v>8957.1</v>
      </c>
      <c r="J182" s="15" t="n">
        <f aca="false">F182-(G182+H182+I182)</f>
        <v>0.0300000000006548</v>
      </c>
      <c r="K182" s="15" t="n">
        <v>895.71</v>
      </c>
      <c r="L182" s="15" t="n">
        <v>895.71</v>
      </c>
      <c r="M182" s="15" t="n">
        <v>895.71</v>
      </c>
      <c r="N182" s="15" t="n">
        <v>895.71</v>
      </c>
      <c r="O182" s="15" t="n">
        <v>895.71</v>
      </c>
      <c r="P182" s="15" t="n">
        <v>895.71</v>
      </c>
      <c r="Q182" s="15" t="n">
        <v>895.71</v>
      </c>
      <c r="R182" s="15" t="n">
        <v>895.71</v>
      </c>
      <c r="S182" s="15" t="n">
        <v>895.71</v>
      </c>
      <c r="T182" s="15" t="n">
        <v>895.71</v>
      </c>
      <c r="U182" s="15" t="n">
        <v>350</v>
      </c>
      <c r="V182" s="15" t="n">
        <v>0</v>
      </c>
      <c r="W182" s="15" t="n">
        <f aca="false">U182+V182</f>
        <v>350</v>
      </c>
    </row>
    <row r="183" customFormat="false" ht="15" hidden="false" customHeight="false" outlineLevel="0" collapsed="false">
      <c r="A183" s="3" t="s">
        <v>2056</v>
      </c>
      <c r="B183" s="3" t="s">
        <v>1871</v>
      </c>
      <c r="C183" s="3" t="s">
        <v>647</v>
      </c>
      <c r="D183" s="3" t="s">
        <v>222</v>
      </c>
      <c r="E183" s="13" t="n">
        <v>740000</v>
      </c>
      <c r="F183" s="13" t="n">
        <v>12828.03</v>
      </c>
      <c r="G183" s="13" t="n">
        <v>1603.5</v>
      </c>
      <c r="H183" s="13" t="n">
        <v>1603.5</v>
      </c>
      <c r="I183" s="13" t="n">
        <f aca="false">SUM(K183:T183)</f>
        <v>9621</v>
      </c>
      <c r="J183" s="13" t="n">
        <f aca="false">F183-(G183+H183+I183)</f>
        <v>0.0300000000006548</v>
      </c>
      <c r="K183" s="13" t="n">
        <v>962.1</v>
      </c>
      <c r="L183" s="13" t="n">
        <v>962.1</v>
      </c>
      <c r="M183" s="13" t="n">
        <v>962.1</v>
      </c>
      <c r="N183" s="13" t="n">
        <v>962.1</v>
      </c>
      <c r="O183" s="13" t="n">
        <v>962.1</v>
      </c>
      <c r="P183" s="13" t="n">
        <v>962.1</v>
      </c>
      <c r="Q183" s="13" t="n">
        <v>962.1</v>
      </c>
      <c r="R183" s="13" t="n">
        <v>962.1</v>
      </c>
      <c r="S183" s="13" t="n">
        <v>962.1</v>
      </c>
      <c r="T183" s="13" t="n">
        <v>962.1</v>
      </c>
      <c r="U183" s="13" t="n">
        <v>350</v>
      </c>
      <c r="V183" s="13" t="n">
        <v>0</v>
      </c>
      <c r="W183" s="13" t="n">
        <f aca="false">U183+V183</f>
        <v>350</v>
      </c>
    </row>
    <row r="184" customFormat="false" ht="15" hidden="false" customHeight="false" outlineLevel="0" collapsed="false">
      <c r="A184" s="14" t="s">
        <v>2057</v>
      </c>
      <c r="B184" s="14" t="s">
        <v>1845</v>
      </c>
      <c r="C184" s="14" t="s">
        <v>1063</v>
      </c>
      <c r="D184" s="14" t="s">
        <v>377</v>
      </c>
      <c r="E184" s="15" t="n">
        <v>260000</v>
      </c>
      <c r="F184" s="15" t="n">
        <v>4334.62</v>
      </c>
      <c r="G184" s="15" t="n">
        <v>541.83</v>
      </c>
      <c r="H184" s="15" t="n">
        <v>541.83</v>
      </c>
      <c r="I184" s="15" t="n">
        <f aca="false">SUM(K184:T184)</f>
        <v>3251</v>
      </c>
      <c r="J184" s="15" t="n">
        <f aca="false">F184-(G184+H184+I184)</f>
        <v>-0.0399999999999636</v>
      </c>
      <c r="K184" s="15" t="n">
        <v>325.1</v>
      </c>
      <c r="L184" s="15" t="n">
        <v>325.1</v>
      </c>
      <c r="M184" s="15" t="n">
        <v>325.1</v>
      </c>
      <c r="N184" s="15" t="n">
        <v>325.1</v>
      </c>
      <c r="O184" s="15" t="n">
        <v>325.1</v>
      </c>
      <c r="P184" s="15" t="n">
        <v>325.1</v>
      </c>
      <c r="Q184" s="15" t="n">
        <v>325.1</v>
      </c>
      <c r="R184" s="15" t="n">
        <v>325.1</v>
      </c>
      <c r="S184" s="15" t="n">
        <v>325.1</v>
      </c>
      <c r="T184" s="15" t="n">
        <v>325.1</v>
      </c>
      <c r="U184" s="15" t="n">
        <v>350</v>
      </c>
      <c r="V184" s="15" t="n">
        <v>0</v>
      </c>
      <c r="W184" s="15" t="n">
        <f aca="false">U184+V184</f>
        <v>350</v>
      </c>
    </row>
    <row r="185" customFormat="false" ht="15" hidden="false" customHeight="false" outlineLevel="0" collapsed="false">
      <c r="A185" s="3" t="s">
        <v>2058</v>
      </c>
      <c r="B185" s="3" t="s">
        <v>1885</v>
      </c>
      <c r="C185" s="3" t="s">
        <v>2059</v>
      </c>
      <c r="D185" s="3" t="s">
        <v>157</v>
      </c>
      <c r="E185" s="13" t="n">
        <v>685000</v>
      </c>
      <c r="F185" s="13" t="n">
        <v>15329.02</v>
      </c>
      <c r="G185" s="13" t="n">
        <v>1916.13</v>
      </c>
      <c r="H185" s="13" t="n">
        <v>1916.13</v>
      </c>
      <c r="I185" s="13" t="n">
        <f aca="false">SUM(K185:T185)</f>
        <v>11496.8</v>
      </c>
      <c r="J185" s="13" t="n">
        <f aca="false">F185-(G185+H185+I185)</f>
        <v>-0.0400000000008731</v>
      </c>
      <c r="K185" s="13" t="n">
        <v>1149.68</v>
      </c>
      <c r="L185" s="13" t="n">
        <v>1149.68</v>
      </c>
      <c r="M185" s="13" t="n">
        <v>1149.68</v>
      </c>
      <c r="N185" s="13" t="n">
        <v>1149.68</v>
      </c>
      <c r="O185" s="13" t="n">
        <v>1149.68</v>
      </c>
      <c r="P185" s="13" t="n">
        <v>1149.68</v>
      </c>
      <c r="Q185" s="13" t="n">
        <v>1149.68</v>
      </c>
      <c r="R185" s="13" t="n">
        <v>1149.68</v>
      </c>
      <c r="S185" s="13" t="n">
        <v>1149.68</v>
      </c>
      <c r="T185" s="13" t="n">
        <v>1149.68</v>
      </c>
      <c r="U185" s="13" t="n">
        <v>350</v>
      </c>
      <c r="V185" s="13" t="n">
        <v>0</v>
      </c>
      <c r="W185" s="13" t="n">
        <f aca="false">U185+V185</f>
        <v>350</v>
      </c>
    </row>
    <row r="186" customFormat="false" ht="15" hidden="false" customHeight="false" outlineLevel="0" collapsed="false">
      <c r="A186" s="14" t="s">
        <v>2060</v>
      </c>
      <c r="B186" s="14" t="s">
        <v>1874</v>
      </c>
      <c r="C186" s="14" t="s">
        <v>880</v>
      </c>
      <c r="D186" s="14" t="s">
        <v>246</v>
      </c>
      <c r="E186" s="15" t="n">
        <v>765000</v>
      </c>
      <c r="F186" s="15" t="n">
        <v>14466.99</v>
      </c>
      <c r="G186" s="15" t="n">
        <v>1808.37</v>
      </c>
      <c r="H186" s="15" t="n">
        <v>1808.37</v>
      </c>
      <c r="I186" s="15" t="n">
        <f aca="false">SUM(K186:T186)</f>
        <v>10850.2</v>
      </c>
      <c r="J186" s="15" t="n">
        <f aca="false">F186-(G186+H186+I186)</f>
        <v>0.0499999999992724</v>
      </c>
      <c r="K186" s="15" t="n">
        <v>1085.02</v>
      </c>
      <c r="L186" s="15" t="n">
        <v>1085.02</v>
      </c>
      <c r="M186" s="15" t="n">
        <v>1085.02</v>
      </c>
      <c r="N186" s="15" t="n">
        <v>1085.02</v>
      </c>
      <c r="O186" s="15" t="n">
        <v>1085.02</v>
      </c>
      <c r="P186" s="15" t="n">
        <v>1085.02</v>
      </c>
      <c r="Q186" s="15" t="n">
        <v>1085.02</v>
      </c>
      <c r="R186" s="15" t="n">
        <v>1085.02</v>
      </c>
      <c r="S186" s="15" t="n">
        <v>1085.02</v>
      </c>
      <c r="T186" s="15" t="n">
        <v>1085.02</v>
      </c>
      <c r="U186" s="15" t="n">
        <v>350</v>
      </c>
      <c r="V186" s="15" t="n">
        <v>0</v>
      </c>
      <c r="W186" s="15" t="n">
        <f aca="false">U186+V186</f>
        <v>350</v>
      </c>
    </row>
    <row r="187" customFormat="false" ht="15" hidden="false" customHeight="false" outlineLevel="0" collapsed="false">
      <c r="A187" s="3" t="s">
        <v>2061</v>
      </c>
      <c r="B187" s="3" t="s">
        <v>1871</v>
      </c>
      <c r="C187" s="3" t="s">
        <v>261</v>
      </c>
      <c r="D187" s="3" t="s">
        <v>153</v>
      </c>
      <c r="E187" s="13" t="n">
        <v>940000</v>
      </c>
      <c r="F187" s="13" t="n">
        <v>15710.31</v>
      </c>
      <c r="G187" s="13" t="n">
        <v>1963.79</v>
      </c>
      <c r="H187" s="13" t="n">
        <v>1963.79</v>
      </c>
      <c r="I187" s="13" t="n">
        <f aca="false">SUM(K187:T187)</f>
        <v>11782.7</v>
      </c>
      <c r="J187" s="13" t="n">
        <f aca="false">F187-(G187+H187+I187)</f>
        <v>0.0299999999988358</v>
      </c>
      <c r="K187" s="13" t="n">
        <v>1178.27</v>
      </c>
      <c r="L187" s="13" t="n">
        <v>1178.27</v>
      </c>
      <c r="M187" s="13" t="n">
        <v>1178.27</v>
      </c>
      <c r="N187" s="13" t="n">
        <v>1178.27</v>
      </c>
      <c r="O187" s="13" t="n">
        <v>1178.27</v>
      </c>
      <c r="P187" s="13" t="n">
        <v>1178.27</v>
      </c>
      <c r="Q187" s="13" t="n">
        <v>1178.27</v>
      </c>
      <c r="R187" s="13" t="n">
        <v>1178.27</v>
      </c>
      <c r="S187" s="13" t="n">
        <v>1178.27</v>
      </c>
      <c r="T187" s="13" t="n">
        <v>1178.27</v>
      </c>
      <c r="U187" s="13" t="n">
        <v>350</v>
      </c>
      <c r="V187" s="13" t="n">
        <v>0</v>
      </c>
      <c r="W187" s="13" t="n">
        <f aca="false">U187+V187</f>
        <v>350</v>
      </c>
    </row>
    <row r="188" customFormat="false" ht="15" hidden="false" customHeight="false" outlineLevel="0" collapsed="false">
      <c r="A188" s="14" t="s">
        <v>2062</v>
      </c>
      <c r="B188" s="14" t="s">
        <v>1848</v>
      </c>
      <c r="C188" s="14" t="s">
        <v>1537</v>
      </c>
      <c r="D188" s="14" t="s">
        <v>180</v>
      </c>
      <c r="E188" s="15" t="n">
        <v>400000</v>
      </c>
      <c r="F188" s="15" t="n">
        <v>6021.69</v>
      </c>
      <c r="G188" s="15" t="n">
        <v>752.71</v>
      </c>
      <c r="H188" s="15" t="n">
        <v>752.71</v>
      </c>
      <c r="I188" s="15" t="n">
        <f aca="false">SUM(K188:T188)</f>
        <v>4516.3</v>
      </c>
      <c r="J188" s="15" t="n">
        <f aca="false">F188-(G188+H188+I188)</f>
        <v>-0.0300000000006548</v>
      </c>
      <c r="K188" s="15" t="n">
        <v>451.63</v>
      </c>
      <c r="L188" s="15" t="n">
        <v>451.63</v>
      </c>
      <c r="M188" s="15" t="n">
        <v>451.63</v>
      </c>
      <c r="N188" s="15" t="n">
        <v>451.63</v>
      </c>
      <c r="O188" s="15" t="n">
        <v>451.63</v>
      </c>
      <c r="P188" s="15" t="n">
        <v>451.63</v>
      </c>
      <c r="Q188" s="15" t="n">
        <v>451.63</v>
      </c>
      <c r="R188" s="15" t="n">
        <v>451.63</v>
      </c>
      <c r="S188" s="15" t="n">
        <v>451.63</v>
      </c>
      <c r="T188" s="15" t="n">
        <v>451.63</v>
      </c>
      <c r="U188" s="15" t="n">
        <v>350</v>
      </c>
      <c r="V188" s="15" t="n">
        <v>0</v>
      </c>
      <c r="W188" s="15" t="n">
        <f aca="false">U188+V188</f>
        <v>350</v>
      </c>
    </row>
    <row r="189" customFormat="false" ht="15" hidden="false" customHeight="false" outlineLevel="0" collapsed="false">
      <c r="A189" s="3" t="s">
        <v>2063</v>
      </c>
      <c r="B189" s="3" t="s">
        <v>1841</v>
      </c>
      <c r="C189" s="3" t="s">
        <v>946</v>
      </c>
      <c r="D189" s="3" t="s">
        <v>328</v>
      </c>
      <c r="E189" s="13" t="n">
        <v>310000</v>
      </c>
      <c r="F189" s="13" t="n">
        <v>5013.93</v>
      </c>
      <c r="G189" s="13" t="n">
        <v>626.74</v>
      </c>
      <c r="H189" s="13" t="n">
        <v>626.74</v>
      </c>
      <c r="I189" s="13" t="n">
        <f aca="false">SUM(K189:T189)</f>
        <v>3760.4</v>
      </c>
      <c r="J189" s="13" t="n">
        <f aca="false">F189-(G189+H189+I189)</f>
        <v>0.0500000000001819</v>
      </c>
      <c r="K189" s="13" t="n">
        <v>376.04</v>
      </c>
      <c r="L189" s="13" t="n">
        <v>376.04</v>
      </c>
      <c r="M189" s="13" t="n">
        <v>376.04</v>
      </c>
      <c r="N189" s="13" t="n">
        <v>376.04</v>
      </c>
      <c r="O189" s="13" t="n">
        <v>376.04</v>
      </c>
      <c r="P189" s="13" t="n">
        <v>376.04</v>
      </c>
      <c r="Q189" s="13" t="n">
        <v>376.04</v>
      </c>
      <c r="R189" s="13" t="n">
        <v>376.04</v>
      </c>
      <c r="S189" s="13" t="n">
        <v>376.04</v>
      </c>
      <c r="T189" s="13" t="n">
        <v>376.04</v>
      </c>
      <c r="U189" s="13" t="n">
        <v>350</v>
      </c>
      <c r="V189" s="13" t="n">
        <v>0</v>
      </c>
      <c r="W189" s="13" t="n">
        <f aca="false">U189+V189</f>
        <v>350</v>
      </c>
    </row>
    <row r="190" customFormat="false" ht="15" hidden="false" customHeight="false" outlineLevel="0" collapsed="false">
      <c r="A190" s="14" t="s">
        <v>2064</v>
      </c>
      <c r="B190" s="14" t="s">
        <v>1839</v>
      </c>
      <c r="C190" s="14" t="s">
        <v>1951</v>
      </c>
      <c r="D190" s="14" t="s">
        <v>230</v>
      </c>
      <c r="E190" s="15" t="n">
        <v>655000</v>
      </c>
      <c r="F190" s="15" t="n">
        <v>8404.53</v>
      </c>
      <c r="G190" s="15" t="n">
        <v>1050.57</v>
      </c>
      <c r="H190" s="15" t="n">
        <v>1050.57</v>
      </c>
      <c r="I190" s="15" t="n">
        <f aca="false">SUM(K190:T190)</f>
        <v>6303.4</v>
      </c>
      <c r="J190" s="15" t="n">
        <f aca="false">F190-(G190+H190+I190)</f>
        <v>-0.0100000000002183</v>
      </c>
      <c r="K190" s="15" t="n">
        <v>630.34</v>
      </c>
      <c r="L190" s="15" t="n">
        <v>630.34</v>
      </c>
      <c r="M190" s="15" t="n">
        <v>630.34</v>
      </c>
      <c r="N190" s="15" t="n">
        <v>630.34</v>
      </c>
      <c r="O190" s="15" t="n">
        <v>630.34</v>
      </c>
      <c r="P190" s="15" t="n">
        <v>630.34</v>
      </c>
      <c r="Q190" s="15" t="n">
        <v>630.34</v>
      </c>
      <c r="R190" s="15" t="n">
        <v>630.34</v>
      </c>
      <c r="S190" s="15" t="n">
        <v>630.34</v>
      </c>
      <c r="T190" s="15" t="n">
        <v>630.34</v>
      </c>
      <c r="U190" s="15" t="n">
        <v>350</v>
      </c>
      <c r="V190" s="15" t="n">
        <v>0</v>
      </c>
      <c r="W190" s="15" t="n">
        <f aca="false">U190+V190</f>
        <v>350</v>
      </c>
    </row>
    <row r="191" customFormat="false" ht="15" hidden="false" customHeight="false" outlineLevel="0" collapsed="false">
      <c r="A191" s="3" t="s">
        <v>2065</v>
      </c>
      <c r="B191" s="3" t="s">
        <v>2066</v>
      </c>
      <c r="C191" s="3" t="s">
        <v>452</v>
      </c>
      <c r="D191" s="3" t="s">
        <v>230</v>
      </c>
      <c r="E191" s="13" t="n">
        <v>1280000</v>
      </c>
      <c r="F191" s="13" t="n">
        <v>13897.33</v>
      </c>
      <c r="G191" s="13" t="n">
        <v>1737.17</v>
      </c>
      <c r="H191" s="13" t="n">
        <v>1737.17</v>
      </c>
      <c r="I191" s="13" t="n">
        <f aca="false">SUM(K191:T191)</f>
        <v>10423</v>
      </c>
      <c r="J191" s="13" t="n">
        <f aca="false">F191-(G191+H191+I191)</f>
        <v>-0.00999999999839929</v>
      </c>
      <c r="K191" s="13" t="n">
        <v>1042.3</v>
      </c>
      <c r="L191" s="13" t="n">
        <v>1042.3</v>
      </c>
      <c r="M191" s="13" t="n">
        <v>1042.3</v>
      </c>
      <c r="N191" s="13" t="n">
        <v>1042.3</v>
      </c>
      <c r="O191" s="13" t="n">
        <v>1042.3</v>
      </c>
      <c r="P191" s="13" t="n">
        <v>1042.3</v>
      </c>
      <c r="Q191" s="13" t="n">
        <v>1042.3</v>
      </c>
      <c r="R191" s="13" t="n">
        <v>1042.3</v>
      </c>
      <c r="S191" s="13" t="n">
        <v>1042.3</v>
      </c>
      <c r="T191" s="13" t="n">
        <v>1042.3</v>
      </c>
      <c r="U191" s="13" t="n">
        <v>350</v>
      </c>
      <c r="V191" s="13" t="n">
        <v>250</v>
      </c>
      <c r="W191" s="13" t="n">
        <f aca="false">U191+V191</f>
        <v>600</v>
      </c>
    </row>
    <row r="192" customFormat="false" ht="15" hidden="false" customHeight="false" outlineLevel="0" collapsed="false">
      <c r="A192" s="14" t="s">
        <v>2067</v>
      </c>
      <c r="B192" s="14" t="s">
        <v>1841</v>
      </c>
      <c r="C192" s="14" t="s">
        <v>1666</v>
      </c>
      <c r="D192" s="14" t="s">
        <v>157</v>
      </c>
      <c r="E192" s="15" t="n">
        <v>1950000</v>
      </c>
      <c r="F192" s="15" t="n">
        <v>15617.58</v>
      </c>
      <c r="G192" s="15" t="n">
        <v>1952.2</v>
      </c>
      <c r="H192" s="15" t="n">
        <v>1952.2</v>
      </c>
      <c r="I192" s="15" t="n">
        <f aca="false">SUM(K192:T192)</f>
        <v>11713.2</v>
      </c>
      <c r="J192" s="15" t="n">
        <f aca="false">F192-(G192+H192+I192)</f>
        <v>-0.0199999999986176</v>
      </c>
      <c r="K192" s="15" t="n">
        <v>1171.32</v>
      </c>
      <c r="L192" s="15" t="n">
        <v>1171.32</v>
      </c>
      <c r="M192" s="15" t="n">
        <v>1171.32</v>
      </c>
      <c r="N192" s="15" t="n">
        <v>1171.32</v>
      </c>
      <c r="O192" s="15" t="n">
        <v>1171.32</v>
      </c>
      <c r="P192" s="15" t="n">
        <v>1171.32</v>
      </c>
      <c r="Q192" s="15" t="n">
        <v>1171.32</v>
      </c>
      <c r="R192" s="15" t="n">
        <v>1171.32</v>
      </c>
      <c r="S192" s="15" t="n">
        <v>1171.32</v>
      </c>
      <c r="T192" s="15" t="n">
        <v>1171.32</v>
      </c>
      <c r="U192" s="15" t="n">
        <v>350</v>
      </c>
      <c r="V192" s="15" t="n">
        <v>250</v>
      </c>
      <c r="W192" s="15" t="n">
        <f aca="false">U192+V192</f>
        <v>600</v>
      </c>
    </row>
    <row r="193" customFormat="false" ht="15" hidden="false" customHeight="false" outlineLevel="0" collapsed="false">
      <c r="A193" s="3" t="s">
        <v>2068</v>
      </c>
      <c r="B193" s="3" t="s">
        <v>1835</v>
      </c>
      <c r="C193" s="3" t="s">
        <v>443</v>
      </c>
      <c r="D193" s="3" t="s">
        <v>89</v>
      </c>
      <c r="E193" s="13" t="n">
        <v>1310000</v>
      </c>
      <c r="F193" s="13" t="n">
        <v>11148.09</v>
      </c>
      <c r="G193" s="13" t="n">
        <v>1393.51</v>
      </c>
      <c r="H193" s="13" t="n">
        <v>1393.51</v>
      </c>
      <c r="I193" s="13" t="n">
        <f aca="false">SUM(K193:T193)</f>
        <v>8361.1</v>
      </c>
      <c r="J193" s="13" t="n">
        <f aca="false">F193-(G193+H193+I193)</f>
        <v>-0.0300000000006548</v>
      </c>
      <c r="K193" s="13" t="n">
        <v>836.11</v>
      </c>
      <c r="L193" s="13" t="n">
        <v>836.11</v>
      </c>
      <c r="M193" s="13" t="n">
        <v>836.11</v>
      </c>
      <c r="N193" s="13" t="n">
        <v>836.11</v>
      </c>
      <c r="O193" s="13" t="n">
        <v>836.11</v>
      </c>
      <c r="P193" s="13" t="n">
        <v>836.11</v>
      </c>
      <c r="Q193" s="13" t="n">
        <v>836.11</v>
      </c>
      <c r="R193" s="13" t="n">
        <v>836.11</v>
      </c>
      <c r="S193" s="13" t="n">
        <v>836.11</v>
      </c>
      <c r="T193" s="13" t="n">
        <v>836.11</v>
      </c>
      <c r="U193" s="13" t="n">
        <v>350</v>
      </c>
      <c r="V193" s="13" t="n">
        <v>250</v>
      </c>
      <c r="W193" s="13" t="n">
        <f aca="false">U193+V193</f>
        <v>600</v>
      </c>
    </row>
    <row r="194" customFormat="false" ht="15" hidden="false" customHeight="false" outlineLevel="0" collapsed="false">
      <c r="A194" s="14" t="s">
        <v>2069</v>
      </c>
      <c r="B194" s="14" t="s">
        <v>1843</v>
      </c>
      <c r="C194" s="14" t="s">
        <v>623</v>
      </c>
      <c r="D194" s="14" t="s">
        <v>298</v>
      </c>
      <c r="E194" s="15" t="n">
        <v>1950000</v>
      </c>
      <c r="F194" s="15" t="n">
        <v>22417.11</v>
      </c>
      <c r="G194" s="15" t="n">
        <v>2802.14</v>
      </c>
      <c r="H194" s="15" t="n">
        <v>2802.14</v>
      </c>
      <c r="I194" s="15" t="n">
        <f aca="false">SUM(K194:T194)</f>
        <v>16812.8</v>
      </c>
      <c r="J194" s="15" t="n">
        <f aca="false">F194-(G194+H194+I194)</f>
        <v>0.0300000000024738</v>
      </c>
      <c r="K194" s="15" t="n">
        <v>1681.28</v>
      </c>
      <c r="L194" s="15" t="n">
        <v>1681.28</v>
      </c>
      <c r="M194" s="15" t="n">
        <v>1681.28</v>
      </c>
      <c r="N194" s="15" t="n">
        <v>1681.28</v>
      </c>
      <c r="O194" s="15" t="n">
        <v>1681.28</v>
      </c>
      <c r="P194" s="15" t="n">
        <v>1681.28</v>
      </c>
      <c r="Q194" s="15" t="n">
        <v>1681.28</v>
      </c>
      <c r="R194" s="15" t="n">
        <v>1681.28</v>
      </c>
      <c r="S194" s="15" t="n">
        <v>1681.28</v>
      </c>
      <c r="T194" s="15" t="n">
        <v>1681.28</v>
      </c>
      <c r="U194" s="15" t="n">
        <v>350</v>
      </c>
      <c r="V194" s="15" t="n">
        <v>250</v>
      </c>
      <c r="W194" s="15" t="n">
        <f aca="false">U194+V194</f>
        <v>600</v>
      </c>
    </row>
    <row r="195" customFormat="false" ht="15" hidden="false" customHeight="false" outlineLevel="0" collapsed="false">
      <c r="A195" s="3" t="s">
        <v>2070</v>
      </c>
      <c r="B195" s="3" t="s">
        <v>1892</v>
      </c>
      <c r="C195" s="3" t="s">
        <v>957</v>
      </c>
      <c r="D195" s="3" t="s">
        <v>448</v>
      </c>
      <c r="E195" s="13" t="n">
        <v>245000</v>
      </c>
      <c r="F195" s="13" t="n">
        <v>3963.43</v>
      </c>
      <c r="G195" s="13" t="n">
        <v>495.43</v>
      </c>
      <c r="H195" s="13" t="n">
        <v>495.43</v>
      </c>
      <c r="I195" s="13" t="n">
        <f aca="false">SUM(K195:T195)</f>
        <v>2972.6</v>
      </c>
      <c r="J195" s="13" t="n">
        <f aca="false">F195-(G195+H195+I195)</f>
        <v>-0.0300000000006548</v>
      </c>
      <c r="K195" s="13" t="n">
        <v>297.26</v>
      </c>
      <c r="L195" s="13" t="n">
        <v>297.26</v>
      </c>
      <c r="M195" s="13" t="n">
        <v>297.26</v>
      </c>
      <c r="N195" s="13" t="n">
        <v>297.26</v>
      </c>
      <c r="O195" s="13" t="n">
        <v>297.26</v>
      </c>
      <c r="P195" s="13" t="n">
        <v>297.26</v>
      </c>
      <c r="Q195" s="13" t="n">
        <v>297.26</v>
      </c>
      <c r="R195" s="13" t="n">
        <v>297.26</v>
      </c>
      <c r="S195" s="13" t="n">
        <v>297.26</v>
      </c>
      <c r="T195" s="13" t="n">
        <v>297.26</v>
      </c>
      <c r="U195" s="13" t="n">
        <v>350</v>
      </c>
      <c r="V195" s="13" t="n">
        <v>0</v>
      </c>
      <c r="W195" s="13" t="n">
        <f aca="false">U195+V195</f>
        <v>350</v>
      </c>
    </row>
    <row r="196" customFormat="false" ht="15" hidden="false" customHeight="false" outlineLevel="0" collapsed="false">
      <c r="A196" s="14" t="s">
        <v>2071</v>
      </c>
      <c r="B196" s="14" t="s">
        <v>1854</v>
      </c>
      <c r="C196" s="14" t="s">
        <v>1067</v>
      </c>
      <c r="D196" s="14" t="s">
        <v>246</v>
      </c>
      <c r="E196" s="15" t="n">
        <v>740000</v>
      </c>
      <c r="F196" s="15" t="n">
        <v>9574.99</v>
      </c>
      <c r="G196" s="15" t="n">
        <v>1196.87</v>
      </c>
      <c r="H196" s="15" t="n">
        <v>1196.87</v>
      </c>
      <c r="I196" s="15" t="n">
        <f aca="false">SUM(K196:T196)</f>
        <v>7181.2</v>
      </c>
      <c r="J196" s="15" t="n">
        <f aca="false">F196-(G196+H196+I196)</f>
        <v>0.0500000000010914</v>
      </c>
      <c r="K196" s="15" t="n">
        <v>718.12</v>
      </c>
      <c r="L196" s="15" t="n">
        <v>718.12</v>
      </c>
      <c r="M196" s="15" t="n">
        <v>718.12</v>
      </c>
      <c r="N196" s="15" t="n">
        <v>718.12</v>
      </c>
      <c r="O196" s="15" t="n">
        <v>718.12</v>
      </c>
      <c r="P196" s="15" t="n">
        <v>718.12</v>
      </c>
      <c r="Q196" s="15" t="n">
        <v>718.12</v>
      </c>
      <c r="R196" s="15" t="n">
        <v>718.12</v>
      </c>
      <c r="S196" s="15" t="n">
        <v>718.12</v>
      </c>
      <c r="T196" s="15" t="n">
        <v>718.12</v>
      </c>
      <c r="U196" s="15" t="n">
        <v>350</v>
      </c>
      <c r="V196" s="15" t="n">
        <v>0</v>
      </c>
      <c r="W196" s="15" t="n">
        <f aca="false">U196+V196</f>
        <v>350</v>
      </c>
    </row>
    <row r="197" customFormat="false" ht="15" hidden="false" customHeight="false" outlineLevel="0" collapsed="false">
      <c r="A197" s="3" t="s">
        <v>2072</v>
      </c>
      <c r="B197" s="3" t="s">
        <v>1857</v>
      </c>
      <c r="C197" s="3" t="s">
        <v>202</v>
      </c>
      <c r="D197" s="3" t="s">
        <v>163</v>
      </c>
      <c r="E197" s="13" t="n">
        <v>575000</v>
      </c>
      <c r="F197" s="13" t="n">
        <v>9242.8</v>
      </c>
      <c r="G197" s="13" t="n">
        <v>1155.35</v>
      </c>
      <c r="H197" s="13" t="n">
        <v>1155.35</v>
      </c>
      <c r="I197" s="13" t="n">
        <f aca="false">SUM(K197:T197)</f>
        <v>6932.1</v>
      </c>
      <c r="J197" s="13" t="n">
        <f aca="false">F197-(G197+H197+I197)</f>
        <v>0</v>
      </c>
      <c r="K197" s="13" t="n">
        <v>693.21</v>
      </c>
      <c r="L197" s="13" t="n">
        <v>693.21</v>
      </c>
      <c r="M197" s="13" t="n">
        <v>693.21</v>
      </c>
      <c r="N197" s="13" t="n">
        <v>693.21</v>
      </c>
      <c r="O197" s="13" t="n">
        <v>693.21</v>
      </c>
      <c r="P197" s="13" t="n">
        <v>693.21</v>
      </c>
      <c r="Q197" s="13" t="n">
        <v>693.21</v>
      </c>
      <c r="R197" s="13" t="n">
        <v>693.21</v>
      </c>
      <c r="S197" s="13" t="n">
        <v>693.21</v>
      </c>
      <c r="T197" s="13" t="n">
        <v>693.21</v>
      </c>
      <c r="U197" s="13" t="n">
        <v>350</v>
      </c>
      <c r="V197" s="13" t="n">
        <v>0</v>
      </c>
      <c r="W197" s="13" t="n">
        <f aca="false">U197+V197</f>
        <v>350</v>
      </c>
    </row>
    <row r="198" customFormat="false" ht="15" hidden="false" customHeight="false" outlineLevel="0" collapsed="false">
      <c r="A198" s="14" t="s">
        <v>2073</v>
      </c>
      <c r="B198" s="14" t="s">
        <v>2066</v>
      </c>
      <c r="C198" s="14" t="s">
        <v>2074</v>
      </c>
      <c r="D198" s="14" t="s">
        <v>85</v>
      </c>
      <c r="E198" s="15" t="n">
        <v>505000</v>
      </c>
      <c r="F198" s="15" t="n">
        <v>7568.87</v>
      </c>
      <c r="G198" s="15" t="n">
        <v>946.11</v>
      </c>
      <c r="H198" s="15" t="n">
        <v>946.11</v>
      </c>
      <c r="I198" s="15" t="n">
        <f aca="false">SUM(K198:T198)</f>
        <v>5676.7</v>
      </c>
      <c r="J198" s="15" t="n">
        <f aca="false">F198-(G198+H198+I198)</f>
        <v>-0.0500000000001819</v>
      </c>
      <c r="K198" s="15" t="n">
        <v>567.67</v>
      </c>
      <c r="L198" s="15" t="n">
        <v>567.67</v>
      </c>
      <c r="M198" s="15" t="n">
        <v>567.67</v>
      </c>
      <c r="N198" s="15" t="n">
        <v>567.67</v>
      </c>
      <c r="O198" s="15" t="n">
        <v>567.67</v>
      </c>
      <c r="P198" s="15" t="n">
        <v>567.67</v>
      </c>
      <c r="Q198" s="15" t="n">
        <v>567.67</v>
      </c>
      <c r="R198" s="15" t="n">
        <v>567.67</v>
      </c>
      <c r="S198" s="15" t="n">
        <v>567.67</v>
      </c>
      <c r="T198" s="15" t="n">
        <v>567.67</v>
      </c>
      <c r="U198" s="15" t="n">
        <v>350</v>
      </c>
      <c r="V198" s="15" t="n">
        <v>0</v>
      </c>
      <c r="W198" s="15" t="n">
        <f aca="false">U198+V198</f>
        <v>350</v>
      </c>
    </row>
    <row r="199" customFormat="false" ht="15" hidden="false" customHeight="false" outlineLevel="0" collapsed="false">
      <c r="A199" s="3" t="s">
        <v>2075</v>
      </c>
      <c r="B199" s="3" t="s">
        <v>1880</v>
      </c>
      <c r="C199" s="3" t="s">
        <v>452</v>
      </c>
      <c r="D199" s="3" t="s">
        <v>147</v>
      </c>
      <c r="E199" s="13" t="n">
        <v>620000</v>
      </c>
      <c r="F199" s="13" t="n">
        <v>7153.21</v>
      </c>
      <c r="G199" s="13" t="n">
        <v>894.15</v>
      </c>
      <c r="H199" s="13" t="n">
        <v>894.15</v>
      </c>
      <c r="I199" s="13" t="n">
        <f aca="false">SUM(K199:T199)</f>
        <v>5364.9</v>
      </c>
      <c r="J199" s="13" t="n">
        <f aca="false">F199-(G199+H199+I199)</f>
        <v>0.0100000000002183</v>
      </c>
      <c r="K199" s="13" t="n">
        <v>536.49</v>
      </c>
      <c r="L199" s="13" t="n">
        <v>536.49</v>
      </c>
      <c r="M199" s="13" t="n">
        <v>536.49</v>
      </c>
      <c r="N199" s="13" t="n">
        <v>536.49</v>
      </c>
      <c r="O199" s="13" t="n">
        <v>536.49</v>
      </c>
      <c r="P199" s="13" t="n">
        <v>536.49</v>
      </c>
      <c r="Q199" s="13" t="n">
        <v>536.49</v>
      </c>
      <c r="R199" s="13" t="n">
        <v>536.49</v>
      </c>
      <c r="S199" s="13" t="n">
        <v>536.49</v>
      </c>
      <c r="T199" s="13" t="n">
        <v>536.49</v>
      </c>
      <c r="U199" s="13" t="n">
        <v>350</v>
      </c>
      <c r="V199" s="13" t="n">
        <v>0</v>
      </c>
      <c r="W199" s="13" t="n">
        <f aca="false">U199+V199</f>
        <v>350</v>
      </c>
    </row>
    <row r="200" customFormat="false" ht="15" hidden="false" customHeight="false" outlineLevel="0" collapsed="false">
      <c r="A200" s="14" t="s">
        <v>2076</v>
      </c>
      <c r="B200" s="14" t="s">
        <v>1837</v>
      </c>
      <c r="C200" s="14" t="s">
        <v>845</v>
      </c>
      <c r="D200" s="14" t="s">
        <v>81</v>
      </c>
      <c r="E200" s="15" t="n">
        <v>370000</v>
      </c>
      <c r="F200" s="15" t="n">
        <v>5892.3</v>
      </c>
      <c r="G200" s="15" t="n">
        <v>736.54</v>
      </c>
      <c r="H200" s="15" t="n">
        <v>736.54</v>
      </c>
      <c r="I200" s="15" t="n">
        <f aca="false">SUM(K200:T200)</f>
        <v>4419.2</v>
      </c>
      <c r="J200" s="15" t="n">
        <f aca="false">F200-(G200+H200+I200)</f>
        <v>0.0200000000004366</v>
      </c>
      <c r="K200" s="15" t="n">
        <v>441.92</v>
      </c>
      <c r="L200" s="15" t="n">
        <v>441.92</v>
      </c>
      <c r="M200" s="15" t="n">
        <v>441.92</v>
      </c>
      <c r="N200" s="15" t="n">
        <v>441.92</v>
      </c>
      <c r="O200" s="15" t="n">
        <v>441.92</v>
      </c>
      <c r="P200" s="15" t="n">
        <v>441.92</v>
      </c>
      <c r="Q200" s="15" t="n">
        <v>441.92</v>
      </c>
      <c r="R200" s="15" t="n">
        <v>441.92</v>
      </c>
      <c r="S200" s="15" t="n">
        <v>441.92</v>
      </c>
      <c r="T200" s="15" t="n">
        <v>441.92</v>
      </c>
      <c r="U200" s="15" t="n">
        <v>350</v>
      </c>
      <c r="V200" s="15" t="n">
        <v>0</v>
      </c>
      <c r="W200" s="15" t="n">
        <f aca="false">U200+V200</f>
        <v>350</v>
      </c>
    </row>
    <row r="201" customFormat="false" ht="15" hidden="false" customHeight="false" outlineLevel="0" collapsed="false">
      <c r="A201" s="3" t="s">
        <v>2077</v>
      </c>
      <c r="B201" s="3" t="s">
        <v>1874</v>
      </c>
      <c r="C201" s="3" t="s">
        <v>408</v>
      </c>
      <c r="D201" s="3" t="s">
        <v>81</v>
      </c>
      <c r="E201" s="13" t="n">
        <v>590000</v>
      </c>
      <c r="F201" s="13" t="n">
        <v>11901.38</v>
      </c>
      <c r="G201" s="13" t="n">
        <v>1487.67</v>
      </c>
      <c r="H201" s="13" t="n">
        <v>1487.67</v>
      </c>
      <c r="I201" s="13" t="n">
        <f aca="false">SUM(K201:T201)</f>
        <v>8926</v>
      </c>
      <c r="J201" s="13" t="n">
        <f aca="false">F201-(G201+H201+I201)</f>
        <v>0.0399999999990541</v>
      </c>
      <c r="K201" s="13" t="n">
        <v>892.6</v>
      </c>
      <c r="L201" s="13" t="n">
        <v>892.6</v>
      </c>
      <c r="M201" s="13" t="n">
        <v>892.6</v>
      </c>
      <c r="N201" s="13" t="n">
        <v>892.6</v>
      </c>
      <c r="O201" s="13" t="n">
        <v>892.6</v>
      </c>
      <c r="P201" s="13" t="n">
        <v>892.6</v>
      </c>
      <c r="Q201" s="13" t="n">
        <v>892.6</v>
      </c>
      <c r="R201" s="13" t="n">
        <v>892.6</v>
      </c>
      <c r="S201" s="13" t="n">
        <v>892.6</v>
      </c>
      <c r="T201" s="13" t="n">
        <v>892.6</v>
      </c>
      <c r="U201" s="13" t="n">
        <v>350</v>
      </c>
      <c r="V201" s="13" t="n">
        <v>0</v>
      </c>
      <c r="W201" s="13" t="n">
        <f aca="false">U201+V201</f>
        <v>350</v>
      </c>
    </row>
    <row r="202" customFormat="false" ht="15" hidden="false" customHeight="false" outlineLevel="0" collapsed="false">
      <c r="A202" s="14" t="s">
        <v>2078</v>
      </c>
      <c r="B202" s="14" t="s">
        <v>1876</v>
      </c>
      <c r="C202" s="14" t="s">
        <v>660</v>
      </c>
      <c r="D202" s="14" t="s">
        <v>85</v>
      </c>
      <c r="E202" s="15" t="n">
        <v>775000</v>
      </c>
      <c r="F202" s="15" t="n">
        <v>11615.6</v>
      </c>
      <c r="G202" s="15" t="n">
        <v>1451.95</v>
      </c>
      <c r="H202" s="15" t="n">
        <v>1451.95</v>
      </c>
      <c r="I202" s="15" t="n">
        <f aca="false">SUM(K202:T202)</f>
        <v>8711.7</v>
      </c>
      <c r="J202" s="15" t="n">
        <f aca="false">F202-(G202+H202+I202)</f>
        <v>0</v>
      </c>
      <c r="K202" s="15" t="n">
        <v>871.17</v>
      </c>
      <c r="L202" s="15" t="n">
        <v>871.17</v>
      </c>
      <c r="M202" s="15" t="n">
        <v>871.17</v>
      </c>
      <c r="N202" s="15" t="n">
        <v>871.17</v>
      </c>
      <c r="O202" s="15" t="n">
        <v>871.17</v>
      </c>
      <c r="P202" s="15" t="n">
        <v>871.17</v>
      </c>
      <c r="Q202" s="15" t="n">
        <v>871.17</v>
      </c>
      <c r="R202" s="15" t="n">
        <v>871.17</v>
      </c>
      <c r="S202" s="15" t="n">
        <v>871.17</v>
      </c>
      <c r="T202" s="15" t="n">
        <v>871.17</v>
      </c>
      <c r="U202" s="15" t="n">
        <v>350</v>
      </c>
      <c r="V202" s="15" t="n">
        <v>0</v>
      </c>
      <c r="W202" s="15" t="n">
        <f aca="false">U202+V202</f>
        <v>350</v>
      </c>
    </row>
    <row r="203" customFormat="false" ht="15" hidden="false" customHeight="false" outlineLevel="0" collapsed="false">
      <c r="A203" s="3" t="s">
        <v>2079</v>
      </c>
      <c r="B203" s="3" t="s">
        <v>1925</v>
      </c>
      <c r="C203" s="3" t="s">
        <v>2080</v>
      </c>
      <c r="D203" s="3" t="s">
        <v>911</v>
      </c>
      <c r="E203" s="13" t="n">
        <v>1655000</v>
      </c>
      <c r="F203" s="13" t="n">
        <v>16307.83</v>
      </c>
      <c r="G203" s="13" t="n">
        <v>2038.48</v>
      </c>
      <c r="H203" s="13" t="n">
        <v>2038.48</v>
      </c>
      <c r="I203" s="13" t="n">
        <f aca="false">SUM(K203:T203)</f>
        <v>12230.9</v>
      </c>
      <c r="J203" s="13" t="n">
        <f aca="false">F203-(G203+H203+I203)</f>
        <v>-0.0300000000006548</v>
      </c>
      <c r="K203" s="13" t="n">
        <v>1223.09</v>
      </c>
      <c r="L203" s="13" t="n">
        <v>1223.09</v>
      </c>
      <c r="M203" s="13" t="n">
        <v>1223.09</v>
      </c>
      <c r="N203" s="13" t="n">
        <v>1223.09</v>
      </c>
      <c r="O203" s="13" t="n">
        <v>1223.09</v>
      </c>
      <c r="P203" s="13" t="n">
        <v>1223.09</v>
      </c>
      <c r="Q203" s="13" t="n">
        <v>1223.09</v>
      </c>
      <c r="R203" s="13" t="n">
        <v>1223.09</v>
      </c>
      <c r="S203" s="13" t="n">
        <v>1223.09</v>
      </c>
      <c r="T203" s="13" t="n">
        <v>1223.09</v>
      </c>
      <c r="U203" s="13" t="n">
        <v>350</v>
      </c>
      <c r="V203" s="13" t="n">
        <v>250</v>
      </c>
      <c r="W203" s="13" t="n">
        <f aca="false">U203+V203</f>
        <v>600</v>
      </c>
    </row>
    <row r="204" customFormat="false" ht="15" hidden="false" customHeight="false" outlineLevel="0" collapsed="false">
      <c r="A204" s="14" t="s">
        <v>2081</v>
      </c>
      <c r="B204" s="14" t="s">
        <v>1897</v>
      </c>
      <c r="C204" s="14" t="s">
        <v>576</v>
      </c>
      <c r="D204" s="14" t="s">
        <v>180</v>
      </c>
      <c r="E204" s="15" t="n">
        <v>1950000</v>
      </c>
      <c r="F204" s="15" t="n">
        <v>13307.94</v>
      </c>
      <c r="G204" s="15" t="n">
        <v>1663.49</v>
      </c>
      <c r="H204" s="15" t="n">
        <v>1663.49</v>
      </c>
      <c r="I204" s="15" t="n">
        <f aca="false">SUM(K204:T204)</f>
        <v>9981</v>
      </c>
      <c r="J204" s="15" t="n">
        <f aca="false">F204-(G204+H204+I204)</f>
        <v>-0.0399999999990541</v>
      </c>
      <c r="K204" s="15" t="n">
        <v>998.1</v>
      </c>
      <c r="L204" s="15" t="n">
        <v>998.1</v>
      </c>
      <c r="M204" s="15" t="n">
        <v>998.1</v>
      </c>
      <c r="N204" s="15" t="n">
        <v>998.1</v>
      </c>
      <c r="O204" s="15" t="n">
        <v>998.1</v>
      </c>
      <c r="P204" s="15" t="n">
        <v>998.1</v>
      </c>
      <c r="Q204" s="15" t="n">
        <v>998.1</v>
      </c>
      <c r="R204" s="15" t="n">
        <v>998.1</v>
      </c>
      <c r="S204" s="15" t="n">
        <v>998.1</v>
      </c>
      <c r="T204" s="15" t="n">
        <v>998.1</v>
      </c>
      <c r="U204" s="15" t="n">
        <v>350</v>
      </c>
      <c r="V204" s="15" t="n">
        <v>250</v>
      </c>
      <c r="W204" s="15" t="n">
        <f aca="false">U204+V204</f>
        <v>600</v>
      </c>
    </row>
    <row r="205" customFormat="false" ht="15" hidden="false" customHeight="false" outlineLevel="0" collapsed="false">
      <c r="A205" s="3" t="s">
        <v>2082</v>
      </c>
      <c r="B205" s="3" t="s">
        <v>1862</v>
      </c>
      <c r="C205" s="3" t="s">
        <v>425</v>
      </c>
      <c r="D205" s="3" t="s">
        <v>189</v>
      </c>
      <c r="E205" s="13" t="n">
        <v>150000</v>
      </c>
      <c r="F205" s="13" t="n">
        <v>2518.16</v>
      </c>
      <c r="G205" s="13" t="n">
        <v>314.77</v>
      </c>
      <c r="H205" s="13" t="n">
        <v>314.77</v>
      </c>
      <c r="I205" s="13" t="n">
        <f aca="false">SUM(K205:T205)</f>
        <v>1888.6</v>
      </c>
      <c r="J205" s="13" t="n">
        <f aca="false">F205-(G205+H205+I205)</f>
        <v>0.0199999999995271</v>
      </c>
      <c r="K205" s="13" t="n">
        <v>188.86</v>
      </c>
      <c r="L205" s="13" t="n">
        <v>188.86</v>
      </c>
      <c r="M205" s="13" t="n">
        <v>188.86</v>
      </c>
      <c r="N205" s="13" t="n">
        <v>188.86</v>
      </c>
      <c r="O205" s="13" t="n">
        <v>188.86</v>
      </c>
      <c r="P205" s="13" t="n">
        <v>188.86</v>
      </c>
      <c r="Q205" s="13" t="n">
        <v>188.86</v>
      </c>
      <c r="R205" s="13" t="n">
        <v>188.86</v>
      </c>
      <c r="S205" s="13" t="n">
        <v>188.86</v>
      </c>
      <c r="T205" s="13" t="n">
        <v>188.86</v>
      </c>
      <c r="U205" s="13" t="n">
        <v>350</v>
      </c>
      <c r="V205" s="13" t="n">
        <v>0</v>
      </c>
      <c r="W205" s="13" t="n">
        <f aca="false">U205+V205</f>
        <v>350</v>
      </c>
    </row>
    <row r="206" customFormat="false" ht="15" hidden="false" customHeight="false" outlineLevel="0" collapsed="false">
      <c r="A206" s="14" t="s">
        <v>2083</v>
      </c>
      <c r="B206" s="14" t="s">
        <v>1837</v>
      </c>
      <c r="C206" s="14" t="s">
        <v>1364</v>
      </c>
      <c r="D206" s="14" t="s">
        <v>118</v>
      </c>
      <c r="E206" s="15" t="n">
        <v>1175000</v>
      </c>
      <c r="F206" s="15" t="n">
        <v>19179.83</v>
      </c>
      <c r="G206" s="15" t="n">
        <v>2397.48</v>
      </c>
      <c r="H206" s="15" t="n">
        <v>2397.48</v>
      </c>
      <c r="I206" s="15" t="n">
        <f aca="false">SUM(K206:T206)</f>
        <v>14384.9</v>
      </c>
      <c r="J206" s="15" t="n">
        <f aca="false">F206-(G206+H206+I206)</f>
        <v>-0.0299999999988358</v>
      </c>
      <c r="K206" s="15" t="n">
        <v>1438.49</v>
      </c>
      <c r="L206" s="15" t="n">
        <v>1438.49</v>
      </c>
      <c r="M206" s="15" t="n">
        <v>1438.49</v>
      </c>
      <c r="N206" s="15" t="n">
        <v>1438.49</v>
      </c>
      <c r="O206" s="15" t="n">
        <v>1438.49</v>
      </c>
      <c r="P206" s="15" t="n">
        <v>1438.49</v>
      </c>
      <c r="Q206" s="15" t="n">
        <v>1438.49</v>
      </c>
      <c r="R206" s="15" t="n">
        <v>1438.49</v>
      </c>
      <c r="S206" s="15" t="n">
        <v>1438.49</v>
      </c>
      <c r="T206" s="15" t="n">
        <v>1438.49</v>
      </c>
      <c r="U206" s="15" t="n">
        <v>350</v>
      </c>
      <c r="V206" s="15" t="n">
        <v>250</v>
      </c>
      <c r="W206" s="15" t="n">
        <f aca="false">U206+V206</f>
        <v>600</v>
      </c>
    </row>
    <row r="207" customFormat="false" ht="15" hidden="false" customHeight="false" outlineLevel="0" collapsed="false">
      <c r="A207" s="3" t="s">
        <v>2084</v>
      </c>
      <c r="B207" s="3" t="s">
        <v>1876</v>
      </c>
      <c r="C207" s="3" t="s">
        <v>713</v>
      </c>
      <c r="D207" s="3" t="s">
        <v>208</v>
      </c>
      <c r="E207" s="13" t="n">
        <v>450000</v>
      </c>
      <c r="F207" s="13" t="n">
        <v>7278.28</v>
      </c>
      <c r="G207" s="13" t="n">
        <v>909.78</v>
      </c>
      <c r="H207" s="13" t="n">
        <v>909.78</v>
      </c>
      <c r="I207" s="13" t="n">
        <f aca="false">SUM(K207:T207)</f>
        <v>5458.7</v>
      </c>
      <c r="J207" s="13" t="n">
        <f aca="false">F207-(G207+H207+I207)</f>
        <v>0.0199999999995271</v>
      </c>
      <c r="K207" s="13" t="n">
        <v>545.87</v>
      </c>
      <c r="L207" s="13" t="n">
        <v>545.87</v>
      </c>
      <c r="M207" s="13" t="n">
        <v>545.87</v>
      </c>
      <c r="N207" s="13" t="n">
        <v>545.87</v>
      </c>
      <c r="O207" s="13" t="n">
        <v>545.87</v>
      </c>
      <c r="P207" s="13" t="n">
        <v>545.87</v>
      </c>
      <c r="Q207" s="13" t="n">
        <v>545.87</v>
      </c>
      <c r="R207" s="13" t="n">
        <v>545.87</v>
      </c>
      <c r="S207" s="13" t="n">
        <v>545.87</v>
      </c>
      <c r="T207" s="13" t="n">
        <v>545.87</v>
      </c>
      <c r="U207" s="13" t="n">
        <v>350</v>
      </c>
      <c r="V207" s="13" t="n">
        <v>0</v>
      </c>
      <c r="W207" s="13" t="n">
        <f aca="false">U207+V207</f>
        <v>350</v>
      </c>
    </row>
    <row r="208" customFormat="false" ht="15" hidden="false" customHeight="false" outlineLevel="0" collapsed="false">
      <c r="A208" s="14" t="s">
        <v>2085</v>
      </c>
      <c r="B208" s="14" t="s">
        <v>1880</v>
      </c>
      <c r="C208" s="14" t="s">
        <v>436</v>
      </c>
      <c r="D208" s="14" t="s">
        <v>230</v>
      </c>
      <c r="E208" s="15" t="n">
        <v>1670000</v>
      </c>
      <c r="F208" s="15" t="n">
        <v>26373.34</v>
      </c>
      <c r="G208" s="15" t="n">
        <v>3296.67</v>
      </c>
      <c r="H208" s="15" t="n">
        <v>3296.67</v>
      </c>
      <c r="I208" s="15" t="n">
        <f aca="false">SUM(K208:T208)</f>
        <v>19780</v>
      </c>
      <c r="J208" s="15" t="n">
        <f aca="false">F208-(G208+H208+I208)</f>
        <v>0</v>
      </c>
      <c r="K208" s="15" t="n">
        <v>1978</v>
      </c>
      <c r="L208" s="15" t="n">
        <v>1978</v>
      </c>
      <c r="M208" s="15" t="n">
        <v>1978</v>
      </c>
      <c r="N208" s="15" t="n">
        <v>1978</v>
      </c>
      <c r="O208" s="15" t="n">
        <v>1978</v>
      </c>
      <c r="P208" s="15" t="n">
        <v>1978</v>
      </c>
      <c r="Q208" s="15" t="n">
        <v>1978</v>
      </c>
      <c r="R208" s="15" t="n">
        <v>1978</v>
      </c>
      <c r="S208" s="15" t="n">
        <v>1978</v>
      </c>
      <c r="T208" s="15" t="n">
        <v>1978</v>
      </c>
      <c r="U208" s="15" t="n">
        <v>350</v>
      </c>
      <c r="V208" s="15" t="n">
        <v>250</v>
      </c>
      <c r="W208" s="15" t="n">
        <f aca="false">U208+V208</f>
        <v>600</v>
      </c>
    </row>
    <row r="209" customFormat="false" ht="15" hidden="false" customHeight="false" outlineLevel="0" collapsed="false">
      <c r="A209" s="3" t="s">
        <v>2086</v>
      </c>
      <c r="B209" s="3" t="s">
        <v>2066</v>
      </c>
      <c r="C209" s="3" t="s">
        <v>626</v>
      </c>
      <c r="D209" s="3" t="s">
        <v>382</v>
      </c>
      <c r="E209" s="13" t="n">
        <v>1235000</v>
      </c>
      <c r="F209" s="13" t="n">
        <v>12620</v>
      </c>
      <c r="G209" s="13" t="n">
        <v>1577.5</v>
      </c>
      <c r="H209" s="13" t="n">
        <v>1577.5</v>
      </c>
      <c r="I209" s="13" t="n">
        <f aca="false">SUM(K209:T209)</f>
        <v>9465</v>
      </c>
      <c r="J209" s="13" t="n">
        <f aca="false">F209-(G209+H209+I209)</f>
        <v>0</v>
      </c>
      <c r="K209" s="13" t="n">
        <v>946.5</v>
      </c>
      <c r="L209" s="13" t="n">
        <v>946.5</v>
      </c>
      <c r="M209" s="13" t="n">
        <v>946.5</v>
      </c>
      <c r="N209" s="13" t="n">
        <v>946.5</v>
      </c>
      <c r="O209" s="13" t="n">
        <v>946.5</v>
      </c>
      <c r="P209" s="13" t="n">
        <v>946.5</v>
      </c>
      <c r="Q209" s="13" t="n">
        <v>946.5</v>
      </c>
      <c r="R209" s="13" t="n">
        <v>946.5</v>
      </c>
      <c r="S209" s="13" t="n">
        <v>946.5</v>
      </c>
      <c r="T209" s="13" t="n">
        <v>946.5</v>
      </c>
      <c r="U209" s="13" t="n">
        <v>350</v>
      </c>
      <c r="V209" s="13" t="n">
        <v>250</v>
      </c>
      <c r="W209" s="13" t="n">
        <f aca="false">U209+V209</f>
        <v>600</v>
      </c>
    </row>
    <row r="210" customFormat="false" ht="15" hidden="false" customHeight="false" outlineLevel="0" collapsed="false">
      <c r="A210" s="14" t="s">
        <v>2087</v>
      </c>
      <c r="B210" s="14" t="s">
        <v>1902</v>
      </c>
      <c r="C210" s="14" t="s">
        <v>1779</v>
      </c>
      <c r="D210" s="14" t="s">
        <v>157</v>
      </c>
      <c r="E210" s="15" t="n">
        <v>210000</v>
      </c>
      <c r="F210" s="15" t="n">
        <v>2473.37</v>
      </c>
      <c r="G210" s="15" t="n">
        <v>309.17</v>
      </c>
      <c r="H210" s="15" t="n">
        <v>309.17</v>
      </c>
      <c r="I210" s="15" t="n">
        <f aca="false">SUM(K210:T210)</f>
        <v>1855</v>
      </c>
      <c r="J210" s="15" t="n">
        <f aca="false">F210-(G210+H210+I210)</f>
        <v>0.0299999999997453</v>
      </c>
      <c r="K210" s="15" t="n">
        <v>185.5</v>
      </c>
      <c r="L210" s="15" t="n">
        <v>185.5</v>
      </c>
      <c r="M210" s="15" t="n">
        <v>185.5</v>
      </c>
      <c r="N210" s="15" t="n">
        <v>185.5</v>
      </c>
      <c r="O210" s="15" t="n">
        <v>185.5</v>
      </c>
      <c r="P210" s="15" t="n">
        <v>185.5</v>
      </c>
      <c r="Q210" s="15" t="n">
        <v>185.5</v>
      </c>
      <c r="R210" s="15" t="n">
        <v>185.5</v>
      </c>
      <c r="S210" s="15" t="n">
        <v>185.5</v>
      </c>
      <c r="T210" s="15" t="n">
        <v>185.5</v>
      </c>
      <c r="U210" s="15" t="n">
        <v>350</v>
      </c>
      <c r="V210" s="15" t="n">
        <v>0</v>
      </c>
      <c r="W210" s="15" t="n">
        <f aca="false">U210+V210</f>
        <v>350</v>
      </c>
    </row>
    <row r="211" customFormat="false" ht="15" hidden="false" customHeight="false" outlineLevel="0" collapsed="false">
      <c r="A211" s="3" t="s">
        <v>2088</v>
      </c>
      <c r="B211" s="3" t="s">
        <v>1925</v>
      </c>
      <c r="C211" s="3" t="s">
        <v>450</v>
      </c>
      <c r="D211" s="3" t="s">
        <v>118</v>
      </c>
      <c r="E211" s="13" t="n">
        <v>1950000</v>
      </c>
      <c r="F211" s="13" t="n">
        <v>31830.35</v>
      </c>
      <c r="G211" s="13" t="n">
        <v>3978.79</v>
      </c>
      <c r="H211" s="13" t="n">
        <v>3978.79</v>
      </c>
      <c r="I211" s="13" t="n">
        <f aca="false">SUM(K211:T211)</f>
        <v>23872.8</v>
      </c>
      <c r="J211" s="13" t="n">
        <f aca="false">F211-(G211+H211+I211)</f>
        <v>-0.0299999999988358</v>
      </c>
      <c r="K211" s="13" t="n">
        <v>2387.28</v>
      </c>
      <c r="L211" s="13" t="n">
        <v>2387.28</v>
      </c>
      <c r="M211" s="13" t="n">
        <v>2387.28</v>
      </c>
      <c r="N211" s="13" t="n">
        <v>2387.28</v>
      </c>
      <c r="O211" s="13" t="n">
        <v>2387.28</v>
      </c>
      <c r="P211" s="13" t="n">
        <v>2387.28</v>
      </c>
      <c r="Q211" s="13" t="n">
        <v>2387.28</v>
      </c>
      <c r="R211" s="13" t="n">
        <v>2387.28</v>
      </c>
      <c r="S211" s="13" t="n">
        <v>2387.28</v>
      </c>
      <c r="T211" s="13" t="n">
        <v>2387.28</v>
      </c>
      <c r="U211" s="13" t="n">
        <v>350</v>
      </c>
      <c r="V211" s="13" t="n">
        <v>250</v>
      </c>
      <c r="W211" s="13" t="n">
        <f aca="false">U211+V211</f>
        <v>600</v>
      </c>
    </row>
    <row r="212" customFormat="false" ht="15" hidden="false" customHeight="false" outlineLevel="0" collapsed="false">
      <c r="A212" s="14" t="s">
        <v>2089</v>
      </c>
      <c r="B212" s="14" t="s">
        <v>1895</v>
      </c>
      <c r="C212" s="14" t="s">
        <v>160</v>
      </c>
      <c r="D212" s="14" t="s">
        <v>89</v>
      </c>
      <c r="E212" s="15" t="n">
        <v>375000</v>
      </c>
      <c r="F212" s="15" t="n">
        <v>4031.05</v>
      </c>
      <c r="G212" s="15" t="n">
        <v>503.88</v>
      </c>
      <c r="H212" s="15" t="n">
        <v>503.88</v>
      </c>
      <c r="I212" s="15" t="n">
        <f aca="false">SUM(K212:T212)</f>
        <v>3023.3</v>
      </c>
      <c r="J212" s="15" t="n">
        <f aca="false">F212-(G212+H212+I212)</f>
        <v>-0.00999999999930878</v>
      </c>
      <c r="K212" s="15" t="n">
        <v>302.33</v>
      </c>
      <c r="L212" s="15" t="n">
        <v>302.33</v>
      </c>
      <c r="M212" s="15" t="n">
        <v>302.33</v>
      </c>
      <c r="N212" s="15" t="n">
        <v>302.33</v>
      </c>
      <c r="O212" s="15" t="n">
        <v>302.33</v>
      </c>
      <c r="P212" s="15" t="n">
        <v>302.33</v>
      </c>
      <c r="Q212" s="15" t="n">
        <v>302.33</v>
      </c>
      <c r="R212" s="15" t="n">
        <v>302.33</v>
      </c>
      <c r="S212" s="15" t="n">
        <v>302.33</v>
      </c>
      <c r="T212" s="15" t="n">
        <v>302.33</v>
      </c>
      <c r="U212" s="15" t="n">
        <v>350</v>
      </c>
      <c r="V212" s="15" t="n">
        <v>0</v>
      </c>
      <c r="W212" s="15" t="n">
        <f aca="false">U212+V212</f>
        <v>350</v>
      </c>
    </row>
    <row r="213" customFormat="false" ht="15" hidden="false" customHeight="false" outlineLevel="0" collapsed="false">
      <c r="A213" s="3" t="s">
        <v>2090</v>
      </c>
      <c r="B213" s="3" t="s">
        <v>1902</v>
      </c>
      <c r="C213" s="3" t="s">
        <v>1204</v>
      </c>
      <c r="D213" s="3" t="s">
        <v>125</v>
      </c>
      <c r="E213" s="13" t="n">
        <v>285000</v>
      </c>
      <c r="F213" s="13" t="n">
        <v>3404</v>
      </c>
      <c r="G213" s="13" t="n">
        <v>425.5</v>
      </c>
      <c r="H213" s="13" t="n">
        <v>425.5</v>
      </c>
      <c r="I213" s="13" t="n">
        <f aca="false">SUM(K213:T213)</f>
        <v>2553</v>
      </c>
      <c r="J213" s="13" t="n">
        <f aca="false">F213-(G213+H213+I213)</f>
        <v>0</v>
      </c>
      <c r="K213" s="13" t="n">
        <v>255.3</v>
      </c>
      <c r="L213" s="13" t="n">
        <v>255.3</v>
      </c>
      <c r="M213" s="13" t="n">
        <v>255.3</v>
      </c>
      <c r="N213" s="13" t="n">
        <v>255.3</v>
      </c>
      <c r="O213" s="13" t="n">
        <v>255.3</v>
      </c>
      <c r="P213" s="13" t="n">
        <v>255.3</v>
      </c>
      <c r="Q213" s="13" t="n">
        <v>255.3</v>
      </c>
      <c r="R213" s="13" t="n">
        <v>255.3</v>
      </c>
      <c r="S213" s="13" t="n">
        <v>255.3</v>
      </c>
      <c r="T213" s="13" t="n">
        <v>255.3</v>
      </c>
      <c r="U213" s="13" t="n">
        <v>350</v>
      </c>
      <c r="V213" s="13" t="n">
        <v>0</v>
      </c>
      <c r="W213" s="13" t="n">
        <f aca="false">U213+V213</f>
        <v>350</v>
      </c>
    </row>
    <row r="214" customFormat="false" ht="15" hidden="false" customHeight="false" outlineLevel="0" collapsed="false">
      <c r="A214" s="14" t="s">
        <v>2091</v>
      </c>
      <c r="B214" s="14" t="s">
        <v>1934</v>
      </c>
      <c r="C214" s="14" t="s">
        <v>349</v>
      </c>
      <c r="D214" s="14" t="s">
        <v>279</v>
      </c>
      <c r="E214" s="15" t="n">
        <v>890000</v>
      </c>
      <c r="F214" s="15" t="n">
        <v>8732.87</v>
      </c>
      <c r="G214" s="15" t="n">
        <v>1091.61</v>
      </c>
      <c r="H214" s="15" t="n">
        <v>1091.61</v>
      </c>
      <c r="I214" s="15" t="n">
        <f aca="false">SUM(K214:T214)</f>
        <v>6549.7</v>
      </c>
      <c r="J214" s="15" t="n">
        <f aca="false">F214-(G214+H214+I214)</f>
        <v>-0.0499999999992724</v>
      </c>
      <c r="K214" s="15" t="n">
        <v>654.97</v>
      </c>
      <c r="L214" s="15" t="n">
        <v>654.97</v>
      </c>
      <c r="M214" s="15" t="n">
        <v>654.97</v>
      </c>
      <c r="N214" s="15" t="n">
        <v>654.97</v>
      </c>
      <c r="O214" s="15" t="n">
        <v>654.97</v>
      </c>
      <c r="P214" s="15" t="n">
        <v>654.97</v>
      </c>
      <c r="Q214" s="15" t="n">
        <v>654.97</v>
      </c>
      <c r="R214" s="15" t="n">
        <v>654.97</v>
      </c>
      <c r="S214" s="15" t="n">
        <v>654.97</v>
      </c>
      <c r="T214" s="15" t="n">
        <v>654.97</v>
      </c>
      <c r="U214" s="15" t="n">
        <v>350</v>
      </c>
      <c r="V214" s="15" t="n">
        <v>0</v>
      </c>
      <c r="W214" s="15" t="n">
        <f aca="false">U214+V214</f>
        <v>350</v>
      </c>
    </row>
    <row r="215" customFormat="false" ht="15" hidden="false" customHeight="false" outlineLevel="0" collapsed="false">
      <c r="A215" s="3" t="s">
        <v>2092</v>
      </c>
      <c r="B215" s="3" t="s">
        <v>1862</v>
      </c>
      <c r="C215" s="3" t="s">
        <v>96</v>
      </c>
      <c r="D215" s="3" t="s">
        <v>448</v>
      </c>
      <c r="E215" s="13" t="n">
        <v>1355000</v>
      </c>
      <c r="F215" s="13" t="n">
        <v>19061.06</v>
      </c>
      <c r="G215" s="13" t="n">
        <v>2382.63</v>
      </c>
      <c r="H215" s="13" t="n">
        <v>2382.63</v>
      </c>
      <c r="I215" s="13" t="n">
        <f aca="false">SUM(K215:T215)</f>
        <v>14295.8</v>
      </c>
      <c r="J215" s="13" t="n">
        <f aca="false">F215-(G215+H215+I215)</f>
        <v>0</v>
      </c>
      <c r="K215" s="13" t="n">
        <v>1429.58</v>
      </c>
      <c r="L215" s="13" t="n">
        <v>1429.58</v>
      </c>
      <c r="M215" s="13" t="n">
        <v>1429.58</v>
      </c>
      <c r="N215" s="13" t="n">
        <v>1429.58</v>
      </c>
      <c r="O215" s="13" t="n">
        <v>1429.58</v>
      </c>
      <c r="P215" s="13" t="n">
        <v>1429.58</v>
      </c>
      <c r="Q215" s="13" t="n">
        <v>1429.58</v>
      </c>
      <c r="R215" s="13" t="n">
        <v>1429.58</v>
      </c>
      <c r="S215" s="13" t="n">
        <v>1429.58</v>
      </c>
      <c r="T215" s="13" t="n">
        <v>1429.58</v>
      </c>
      <c r="U215" s="13" t="n">
        <v>350</v>
      </c>
      <c r="V215" s="13" t="n">
        <v>250</v>
      </c>
      <c r="W215" s="13" t="n">
        <f aca="false">U215+V215</f>
        <v>600</v>
      </c>
    </row>
    <row r="216" customFormat="false" ht="15" hidden="false" customHeight="false" outlineLevel="0" collapsed="false">
      <c r="A216" s="14" t="s">
        <v>2093</v>
      </c>
      <c r="B216" s="14" t="s">
        <v>1839</v>
      </c>
      <c r="C216" s="14" t="s">
        <v>1239</v>
      </c>
      <c r="D216" s="14" t="s">
        <v>69</v>
      </c>
      <c r="E216" s="15" t="n">
        <v>580000</v>
      </c>
      <c r="F216" s="15" t="n">
        <v>6066.31</v>
      </c>
      <c r="G216" s="15" t="n">
        <v>758.29</v>
      </c>
      <c r="H216" s="15" t="n">
        <v>758.29</v>
      </c>
      <c r="I216" s="15" t="n">
        <f aca="false">SUM(K216:T216)</f>
        <v>4549.7</v>
      </c>
      <c r="J216" s="15" t="n">
        <f aca="false">F216-(G216+H216+I216)</f>
        <v>0.0299999999997453</v>
      </c>
      <c r="K216" s="15" t="n">
        <v>454.97</v>
      </c>
      <c r="L216" s="15" t="n">
        <v>454.97</v>
      </c>
      <c r="M216" s="15" t="n">
        <v>454.97</v>
      </c>
      <c r="N216" s="15" t="n">
        <v>454.97</v>
      </c>
      <c r="O216" s="15" t="n">
        <v>454.97</v>
      </c>
      <c r="P216" s="15" t="n">
        <v>454.97</v>
      </c>
      <c r="Q216" s="15" t="n">
        <v>454.97</v>
      </c>
      <c r="R216" s="15" t="n">
        <v>454.97</v>
      </c>
      <c r="S216" s="15" t="n">
        <v>454.97</v>
      </c>
      <c r="T216" s="15" t="n">
        <v>454.97</v>
      </c>
      <c r="U216" s="15" t="n">
        <v>350</v>
      </c>
      <c r="V216" s="15" t="n">
        <v>0</v>
      </c>
      <c r="W216" s="15" t="n">
        <f aca="false">U216+V216</f>
        <v>350</v>
      </c>
    </row>
    <row r="217" customFormat="false" ht="15" hidden="false" customHeight="false" outlineLevel="0" collapsed="false">
      <c r="A217" s="3" t="s">
        <v>2094</v>
      </c>
      <c r="B217" s="3" t="s">
        <v>1839</v>
      </c>
      <c r="C217" s="3" t="s">
        <v>1015</v>
      </c>
      <c r="D217" s="3" t="s">
        <v>222</v>
      </c>
      <c r="E217" s="13" t="n">
        <v>140000</v>
      </c>
      <c r="F217" s="13" t="n">
        <v>2350.29</v>
      </c>
      <c r="G217" s="13" t="n">
        <v>293.79</v>
      </c>
      <c r="H217" s="13" t="n">
        <v>293.79</v>
      </c>
      <c r="I217" s="13" t="n">
        <f aca="false">SUM(K217:T217)</f>
        <v>1762.7</v>
      </c>
      <c r="J217" s="13" t="n">
        <f aca="false">F217-(G217+H217+I217)</f>
        <v>0.00999999999976353</v>
      </c>
      <c r="K217" s="13" t="n">
        <v>176.27</v>
      </c>
      <c r="L217" s="13" t="n">
        <v>176.27</v>
      </c>
      <c r="M217" s="13" t="n">
        <v>176.27</v>
      </c>
      <c r="N217" s="13" t="n">
        <v>176.27</v>
      </c>
      <c r="O217" s="13" t="n">
        <v>176.27</v>
      </c>
      <c r="P217" s="13" t="n">
        <v>176.27</v>
      </c>
      <c r="Q217" s="13" t="n">
        <v>176.27</v>
      </c>
      <c r="R217" s="13" t="n">
        <v>176.27</v>
      </c>
      <c r="S217" s="13" t="n">
        <v>176.27</v>
      </c>
      <c r="T217" s="13" t="n">
        <v>176.27</v>
      </c>
      <c r="U217" s="13" t="n">
        <v>350</v>
      </c>
      <c r="V217" s="13" t="n">
        <v>0</v>
      </c>
      <c r="W217" s="13" t="n">
        <f aca="false">U217+V217</f>
        <v>350</v>
      </c>
    </row>
    <row r="218" customFormat="false" ht="15" hidden="false" customHeight="false" outlineLevel="0" collapsed="false">
      <c r="A218" s="14" t="s">
        <v>2095</v>
      </c>
      <c r="B218" s="14" t="s">
        <v>1843</v>
      </c>
      <c r="C218" s="14" t="s">
        <v>174</v>
      </c>
      <c r="D218" s="14" t="s">
        <v>125</v>
      </c>
      <c r="E218" s="15" t="n">
        <v>425000</v>
      </c>
      <c r="F218" s="15" t="n">
        <v>5076.13</v>
      </c>
      <c r="G218" s="15" t="n">
        <v>634.52</v>
      </c>
      <c r="H218" s="15" t="n">
        <v>634.52</v>
      </c>
      <c r="I218" s="15" t="n">
        <f aca="false">SUM(K218:T218)</f>
        <v>3807.1</v>
      </c>
      <c r="J218" s="15" t="n">
        <f aca="false">F218-(G218+H218+I218)</f>
        <v>-0.00999999999930878</v>
      </c>
      <c r="K218" s="15" t="n">
        <v>380.71</v>
      </c>
      <c r="L218" s="15" t="n">
        <v>380.71</v>
      </c>
      <c r="M218" s="15" t="n">
        <v>380.71</v>
      </c>
      <c r="N218" s="15" t="n">
        <v>380.71</v>
      </c>
      <c r="O218" s="15" t="n">
        <v>380.71</v>
      </c>
      <c r="P218" s="15" t="n">
        <v>380.71</v>
      </c>
      <c r="Q218" s="15" t="n">
        <v>380.71</v>
      </c>
      <c r="R218" s="15" t="n">
        <v>380.71</v>
      </c>
      <c r="S218" s="15" t="n">
        <v>380.71</v>
      </c>
      <c r="T218" s="15" t="n">
        <v>380.71</v>
      </c>
      <c r="U218" s="15" t="n">
        <v>350</v>
      </c>
      <c r="V218" s="15" t="n">
        <v>0</v>
      </c>
      <c r="W218" s="15" t="n">
        <f aca="false">U218+V218</f>
        <v>350</v>
      </c>
    </row>
    <row r="219" customFormat="false" ht="15" hidden="false" customHeight="false" outlineLevel="0" collapsed="false">
      <c r="A219" s="3" t="s">
        <v>2096</v>
      </c>
      <c r="B219" s="3" t="s">
        <v>1876</v>
      </c>
      <c r="C219" s="3" t="s">
        <v>503</v>
      </c>
      <c r="D219" s="3" t="s">
        <v>99</v>
      </c>
      <c r="E219" s="13" t="n">
        <v>995000</v>
      </c>
      <c r="F219" s="13" t="n">
        <v>14591.07</v>
      </c>
      <c r="G219" s="13" t="n">
        <v>1823.88</v>
      </c>
      <c r="H219" s="13" t="n">
        <v>1823.88</v>
      </c>
      <c r="I219" s="13" t="n">
        <f aca="false">SUM(K219:T219)</f>
        <v>10943.3</v>
      </c>
      <c r="J219" s="13" t="n">
        <f aca="false">F219-(G219+H219+I219)</f>
        <v>0.0100000000002183</v>
      </c>
      <c r="K219" s="13" t="n">
        <v>1094.33</v>
      </c>
      <c r="L219" s="13" t="n">
        <v>1094.33</v>
      </c>
      <c r="M219" s="13" t="n">
        <v>1094.33</v>
      </c>
      <c r="N219" s="13" t="n">
        <v>1094.33</v>
      </c>
      <c r="O219" s="13" t="n">
        <v>1094.33</v>
      </c>
      <c r="P219" s="13" t="n">
        <v>1094.33</v>
      </c>
      <c r="Q219" s="13" t="n">
        <v>1094.33</v>
      </c>
      <c r="R219" s="13" t="n">
        <v>1094.33</v>
      </c>
      <c r="S219" s="13" t="n">
        <v>1094.33</v>
      </c>
      <c r="T219" s="13" t="n">
        <v>1094.33</v>
      </c>
      <c r="U219" s="13" t="n">
        <v>350</v>
      </c>
      <c r="V219" s="13" t="n">
        <v>0</v>
      </c>
      <c r="W219" s="13" t="n">
        <f aca="false">U219+V219</f>
        <v>350</v>
      </c>
    </row>
    <row r="220" customFormat="false" ht="15" hidden="false" customHeight="false" outlineLevel="0" collapsed="false">
      <c r="A220" s="14" t="s">
        <v>2097</v>
      </c>
      <c r="B220" s="14" t="s">
        <v>1897</v>
      </c>
      <c r="C220" s="14" t="s">
        <v>281</v>
      </c>
      <c r="D220" s="14" t="s">
        <v>406</v>
      </c>
      <c r="E220" s="15" t="n">
        <v>385000</v>
      </c>
      <c r="F220" s="15" t="n">
        <v>5226.83</v>
      </c>
      <c r="G220" s="15" t="n">
        <v>653.35</v>
      </c>
      <c r="H220" s="15" t="n">
        <v>653.35</v>
      </c>
      <c r="I220" s="15" t="n">
        <f aca="false">SUM(K220:T220)</f>
        <v>3920.1</v>
      </c>
      <c r="J220" s="15" t="n">
        <f aca="false">F220-(G220+H220+I220)</f>
        <v>0.0299999999997453</v>
      </c>
      <c r="K220" s="15" t="n">
        <v>392.01</v>
      </c>
      <c r="L220" s="15" t="n">
        <v>392.01</v>
      </c>
      <c r="M220" s="15" t="n">
        <v>392.01</v>
      </c>
      <c r="N220" s="15" t="n">
        <v>392.01</v>
      </c>
      <c r="O220" s="15" t="n">
        <v>392.01</v>
      </c>
      <c r="P220" s="15" t="n">
        <v>392.01</v>
      </c>
      <c r="Q220" s="15" t="n">
        <v>392.01</v>
      </c>
      <c r="R220" s="15" t="n">
        <v>392.01</v>
      </c>
      <c r="S220" s="15" t="n">
        <v>392.01</v>
      </c>
      <c r="T220" s="15" t="n">
        <v>392.01</v>
      </c>
      <c r="U220" s="15" t="n">
        <v>350</v>
      </c>
      <c r="V220" s="15" t="n">
        <v>0</v>
      </c>
      <c r="W220" s="15" t="n">
        <f aca="false">U220+V220</f>
        <v>350</v>
      </c>
    </row>
    <row r="221" customFormat="false" ht="15" hidden="false" customHeight="false" outlineLevel="0" collapsed="false">
      <c r="A221" s="3" t="s">
        <v>2098</v>
      </c>
      <c r="B221" s="3" t="s">
        <v>1925</v>
      </c>
      <c r="C221" s="3" t="s">
        <v>1603</v>
      </c>
      <c r="D221" s="3" t="s">
        <v>153</v>
      </c>
      <c r="E221" s="13" t="n">
        <v>1190000</v>
      </c>
      <c r="F221" s="13" t="n">
        <v>24478.26</v>
      </c>
      <c r="G221" s="13" t="n">
        <v>3059.78</v>
      </c>
      <c r="H221" s="13" t="n">
        <v>3059.78</v>
      </c>
      <c r="I221" s="13" t="n">
        <f aca="false">SUM(K221:T221)</f>
        <v>18358.7</v>
      </c>
      <c r="J221" s="13" t="n">
        <f aca="false">F221-(G221+H221+I221)</f>
        <v>0</v>
      </c>
      <c r="K221" s="13" t="n">
        <v>1835.87</v>
      </c>
      <c r="L221" s="13" t="n">
        <v>1835.87</v>
      </c>
      <c r="M221" s="13" t="n">
        <v>1835.87</v>
      </c>
      <c r="N221" s="13" t="n">
        <v>1835.87</v>
      </c>
      <c r="O221" s="13" t="n">
        <v>1835.87</v>
      </c>
      <c r="P221" s="13" t="n">
        <v>1835.87</v>
      </c>
      <c r="Q221" s="13" t="n">
        <v>1835.87</v>
      </c>
      <c r="R221" s="13" t="n">
        <v>1835.87</v>
      </c>
      <c r="S221" s="13" t="n">
        <v>1835.87</v>
      </c>
      <c r="T221" s="13" t="n">
        <v>1835.87</v>
      </c>
      <c r="U221" s="13" t="n">
        <v>350</v>
      </c>
      <c r="V221" s="13" t="n">
        <v>250</v>
      </c>
      <c r="W221" s="13" t="n">
        <f aca="false">U221+V221</f>
        <v>600</v>
      </c>
    </row>
    <row r="222" customFormat="false" ht="15" hidden="false" customHeight="false" outlineLevel="0" collapsed="false">
      <c r="A222" s="8" t="s">
        <v>459</v>
      </c>
      <c r="E222" s="9" t="n">
        <f aca="false">SUM(E5:E221)</f>
        <v>159890000</v>
      </c>
      <c r="F222" s="9" t="n">
        <f aca="false">SUM(F5:F221)</f>
        <v>2151958.87</v>
      </c>
      <c r="G222" s="9" t="n">
        <f aca="false">SUM(G5:G221)</f>
        <v>268994.88</v>
      </c>
      <c r="H222" s="9" t="n">
        <f aca="false">SUM(H5:H221)</f>
        <v>268994.88</v>
      </c>
      <c r="I222" s="9" t="n">
        <f aca="false">SUM(I5:I221)</f>
        <v>1613969.5</v>
      </c>
      <c r="J222" s="9" t="n">
        <f aca="false">SUM(J5:J221)</f>
        <v>-0.389999999992824</v>
      </c>
      <c r="K222" s="9" t="n">
        <f aca="false">SUM(K5:K221)</f>
        <v>161396.95</v>
      </c>
      <c r="L222" s="9" t="n">
        <f aca="false">SUM(L5:L221)</f>
        <v>161396.95</v>
      </c>
      <c r="M222" s="9" t="n">
        <f aca="false">SUM(M5:M221)</f>
        <v>161396.95</v>
      </c>
      <c r="N222" s="9" t="n">
        <f aca="false">SUM(N5:N221)</f>
        <v>161396.95</v>
      </c>
      <c r="O222" s="9" t="n">
        <f aca="false">SUM(O5:O221)</f>
        <v>161396.95</v>
      </c>
      <c r="P222" s="9" t="n">
        <f aca="false">SUM(P5:P221)</f>
        <v>161396.95</v>
      </c>
      <c r="Q222" s="9" t="n">
        <f aca="false">SUM(Q5:Q221)</f>
        <v>161396.95</v>
      </c>
      <c r="R222" s="9" t="n">
        <f aca="false">SUM(R5:R221)</f>
        <v>161396.95</v>
      </c>
      <c r="S222" s="9" t="n">
        <f aca="false">SUM(S5:S221)</f>
        <v>161396.95</v>
      </c>
      <c r="T222" s="9" t="n">
        <f aca="false">SUM(T5:T221)</f>
        <v>161396.95</v>
      </c>
      <c r="U222" s="9" t="n">
        <f aca="false">SUM(U5:U221)</f>
        <v>75950</v>
      </c>
      <c r="V222" s="9" t="n">
        <f aca="false">SUM(V5:V221)</f>
        <v>11500</v>
      </c>
      <c r="W222" s="9" t="n">
        <f aca="false">SUM(W5:W221)</f>
        <v>87450</v>
      </c>
    </row>
    <row r="223" customFormat="false" ht="15" hidden="false" customHeight="false" outlineLevel="0" collapsed="false">
      <c r="A223" s="4" t="s">
        <v>460</v>
      </c>
      <c r="F223" s="16" t="n">
        <f aca="false">F222-(G222+H222+I222+J222)</f>
        <v>0</v>
      </c>
    </row>
    <row r="224" customFormat="false" ht="15" hidden="false" customHeight="false" outlineLevel="0" collapsed="false">
      <c r="A224" s="4" t="s">
        <v>461</v>
      </c>
      <c r="I224" s="16" t="n">
        <f aca="false">I222-SUM(K222:T222)</f>
        <v>0</v>
      </c>
    </row>
  </sheetData>
  <autoFilter ref="A4:W2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21" min="11" style="0" width="11"/>
    <col collapsed="false" customWidth="true" hidden="false" outlineLevel="0" max="22" min="22" style="0" width="13"/>
    <col collapsed="false" customWidth="true" hidden="false" outlineLevel="0" max="23" min="23" style="0" width="11"/>
  </cols>
  <sheetData>
    <row r="1" customFormat="false" ht="17.35" hidden="false" customHeight="false" outlineLevel="0" collapsed="false">
      <c r="A1" s="1" t="s">
        <v>2099</v>
      </c>
    </row>
    <row r="2" customFormat="false" ht="15" hidden="false" customHeight="false" outlineLevel="0" collapsed="false">
      <c r="A2" s="4" t="s">
        <v>60</v>
      </c>
    </row>
    <row r="4" customFormat="false" ht="15" hidden="false" customHeight="false" outlineLevel="0" collapsed="false">
      <c r="A4" s="5" t="s">
        <v>61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15</v>
      </c>
      <c r="G4" s="5" t="s">
        <v>16</v>
      </c>
      <c r="H4" s="5" t="s">
        <v>17</v>
      </c>
      <c r="I4" s="5" t="s">
        <v>18</v>
      </c>
      <c r="J4" s="5" t="s">
        <v>19</v>
      </c>
      <c r="K4" s="5" t="s">
        <v>20</v>
      </c>
      <c r="L4" s="5" t="s">
        <v>21</v>
      </c>
      <c r="M4" s="5" t="s">
        <v>22</v>
      </c>
      <c r="N4" s="5" t="s">
        <v>23</v>
      </c>
      <c r="O4" s="5" t="s">
        <v>24</v>
      </c>
      <c r="P4" s="5" t="s">
        <v>25</v>
      </c>
      <c r="Q4" s="5" t="s">
        <v>26</v>
      </c>
      <c r="R4" s="5" t="s">
        <v>27</v>
      </c>
      <c r="S4" s="5" t="s">
        <v>28</v>
      </c>
      <c r="T4" s="5" t="s">
        <v>29</v>
      </c>
      <c r="U4" s="5" t="s">
        <v>30</v>
      </c>
      <c r="V4" s="5" t="s">
        <v>31</v>
      </c>
      <c r="W4" s="5" t="s">
        <v>32</v>
      </c>
    </row>
    <row r="5" customFormat="false" ht="15" hidden="false" customHeight="false" outlineLevel="0" collapsed="false">
      <c r="A5" s="3" t="s">
        <v>2100</v>
      </c>
      <c r="B5" s="3" t="s">
        <v>2101</v>
      </c>
      <c r="C5" s="3" t="s">
        <v>966</v>
      </c>
      <c r="D5" s="3" t="s">
        <v>180</v>
      </c>
      <c r="E5" s="13" t="n">
        <v>480000</v>
      </c>
      <c r="F5" s="13" t="n">
        <v>6958.92</v>
      </c>
      <c r="G5" s="13" t="n">
        <v>869.87</v>
      </c>
      <c r="H5" s="13" t="n">
        <v>869.87</v>
      </c>
      <c r="I5" s="13" t="n">
        <f aca="false">SUM(K5:T5)</f>
        <v>5219.2</v>
      </c>
      <c r="J5" s="13" t="n">
        <f aca="false">F5-(G5+H5+I5)</f>
        <v>-0.0199999999995271</v>
      </c>
      <c r="K5" s="13" t="n">
        <v>521.92</v>
      </c>
      <c r="L5" s="13" t="n">
        <v>521.92</v>
      </c>
      <c r="M5" s="13" t="n">
        <v>521.92</v>
      </c>
      <c r="N5" s="13" t="n">
        <v>521.92</v>
      </c>
      <c r="O5" s="13" t="n">
        <v>521.92</v>
      </c>
      <c r="P5" s="13" t="n">
        <v>521.92</v>
      </c>
      <c r="Q5" s="13" t="n">
        <v>521.92</v>
      </c>
      <c r="R5" s="13" t="n">
        <v>521.92</v>
      </c>
      <c r="S5" s="13" t="n">
        <v>521.92</v>
      </c>
      <c r="T5" s="13" t="n">
        <v>521.92</v>
      </c>
      <c r="U5" s="13" t="n">
        <v>350</v>
      </c>
      <c r="V5" s="13" t="n">
        <v>0</v>
      </c>
      <c r="W5" s="13" t="n">
        <f aca="false">U5+V5</f>
        <v>350</v>
      </c>
    </row>
    <row r="6" customFormat="false" ht="15" hidden="false" customHeight="false" outlineLevel="0" collapsed="false">
      <c r="A6" s="14" t="s">
        <v>2102</v>
      </c>
      <c r="B6" s="14" t="s">
        <v>2101</v>
      </c>
      <c r="C6" s="14" t="s">
        <v>614</v>
      </c>
      <c r="D6" s="14" t="s">
        <v>251</v>
      </c>
      <c r="E6" s="15" t="n">
        <v>710000</v>
      </c>
      <c r="F6" s="15" t="n">
        <v>8257.4</v>
      </c>
      <c r="G6" s="15" t="n">
        <v>1032.17</v>
      </c>
      <c r="H6" s="15" t="n">
        <v>1032.17</v>
      </c>
      <c r="I6" s="15" t="n">
        <f aca="false">SUM(K6:T6)</f>
        <v>6193</v>
      </c>
      <c r="J6" s="15" t="n">
        <f aca="false">F6-(G6+H6+I6)</f>
        <v>0.0599999999994907</v>
      </c>
      <c r="K6" s="15" t="n">
        <v>619.3</v>
      </c>
      <c r="L6" s="15" t="n">
        <v>619.3</v>
      </c>
      <c r="M6" s="15" t="n">
        <v>619.3</v>
      </c>
      <c r="N6" s="15" t="n">
        <v>619.3</v>
      </c>
      <c r="O6" s="15" t="n">
        <v>619.3</v>
      </c>
      <c r="P6" s="15" t="n">
        <v>619.3</v>
      </c>
      <c r="Q6" s="15" t="n">
        <v>619.3</v>
      </c>
      <c r="R6" s="15" t="n">
        <v>619.3</v>
      </c>
      <c r="S6" s="15" t="n">
        <v>619.3</v>
      </c>
      <c r="T6" s="15" t="n">
        <v>619.3</v>
      </c>
      <c r="U6" s="15" t="n">
        <v>350</v>
      </c>
      <c r="V6" s="15" t="n">
        <v>0</v>
      </c>
      <c r="W6" s="15" t="n">
        <f aca="false">U6+V6</f>
        <v>350</v>
      </c>
    </row>
    <row r="7" customFormat="false" ht="15" hidden="false" customHeight="false" outlineLevel="0" collapsed="false">
      <c r="A7" s="3" t="s">
        <v>2103</v>
      </c>
      <c r="B7" s="3" t="s">
        <v>2104</v>
      </c>
      <c r="C7" s="3" t="s">
        <v>2105</v>
      </c>
      <c r="D7" s="3" t="s">
        <v>157</v>
      </c>
      <c r="E7" s="13" t="n">
        <v>530000</v>
      </c>
      <c r="F7" s="13" t="n">
        <v>5169.95</v>
      </c>
      <c r="G7" s="13" t="n">
        <v>646.24</v>
      </c>
      <c r="H7" s="13" t="n">
        <v>646.24</v>
      </c>
      <c r="I7" s="13" t="n">
        <f aca="false">SUM(K7:T7)</f>
        <v>3877.5</v>
      </c>
      <c r="J7" s="13" t="n">
        <f aca="false">F7-(G7+H7+I7)</f>
        <v>-0.0299999999997453</v>
      </c>
      <c r="K7" s="13" t="n">
        <v>387.75</v>
      </c>
      <c r="L7" s="13" t="n">
        <v>387.75</v>
      </c>
      <c r="M7" s="13" t="n">
        <v>387.75</v>
      </c>
      <c r="N7" s="13" t="n">
        <v>387.75</v>
      </c>
      <c r="O7" s="13" t="n">
        <v>387.75</v>
      </c>
      <c r="P7" s="13" t="n">
        <v>387.75</v>
      </c>
      <c r="Q7" s="13" t="n">
        <v>387.75</v>
      </c>
      <c r="R7" s="13" t="n">
        <v>387.75</v>
      </c>
      <c r="S7" s="13" t="n">
        <v>387.75</v>
      </c>
      <c r="T7" s="13" t="n">
        <v>387.75</v>
      </c>
      <c r="U7" s="13" t="n">
        <v>350</v>
      </c>
      <c r="V7" s="13" t="n">
        <v>0</v>
      </c>
      <c r="W7" s="13" t="n">
        <f aca="false">U7+V7</f>
        <v>350</v>
      </c>
    </row>
    <row r="8" customFormat="false" ht="15" hidden="false" customHeight="false" outlineLevel="0" collapsed="false">
      <c r="A8" s="14" t="s">
        <v>2106</v>
      </c>
      <c r="B8" s="14" t="s">
        <v>2107</v>
      </c>
      <c r="C8" s="14" t="s">
        <v>1462</v>
      </c>
      <c r="D8" s="14" t="s">
        <v>189</v>
      </c>
      <c r="E8" s="15" t="n">
        <v>1450000</v>
      </c>
      <c r="F8" s="15" t="n">
        <v>8663.5</v>
      </c>
      <c r="G8" s="15" t="n">
        <v>1082.94</v>
      </c>
      <c r="H8" s="15" t="n">
        <v>1082.94</v>
      </c>
      <c r="I8" s="15" t="n">
        <f aca="false">SUM(K8:T8)</f>
        <v>6497.6</v>
      </c>
      <c r="J8" s="15" t="n">
        <f aca="false">F8-(G8+H8+I8)</f>
        <v>0.0200000000004366</v>
      </c>
      <c r="K8" s="15" t="n">
        <v>649.76</v>
      </c>
      <c r="L8" s="15" t="n">
        <v>649.76</v>
      </c>
      <c r="M8" s="15" t="n">
        <v>649.76</v>
      </c>
      <c r="N8" s="15" t="n">
        <v>649.76</v>
      </c>
      <c r="O8" s="15" t="n">
        <v>649.76</v>
      </c>
      <c r="P8" s="15" t="n">
        <v>649.76</v>
      </c>
      <c r="Q8" s="15" t="n">
        <v>649.76</v>
      </c>
      <c r="R8" s="15" t="n">
        <v>649.76</v>
      </c>
      <c r="S8" s="15" t="n">
        <v>649.76</v>
      </c>
      <c r="T8" s="15" t="n">
        <v>649.76</v>
      </c>
      <c r="U8" s="15" t="n">
        <v>350</v>
      </c>
      <c r="V8" s="15" t="n">
        <v>250</v>
      </c>
      <c r="W8" s="15" t="n">
        <f aca="false">U8+V8</f>
        <v>600</v>
      </c>
    </row>
    <row r="9" customFormat="false" ht="15" hidden="false" customHeight="false" outlineLevel="0" collapsed="false">
      <c r="A9" s="3" t="s">
        <v>2108</v>
      </c>
      <c r="B9" s="3" t="s">
        <v>2109</v>
      </c>
      <c r="C9" s="3" t="s">
        <v>1273</v>
      </c>
      <c r="D9" s="3" t="s">
        <v>132</v>
      </c>
      <c r="E9" s="13" t="n">
        <v>975000</v>
      </c>
      <c r="F9" s="13" t="n">
        <v>6697.72</v>
      </c>
      <c r="G9" s="13" t="n">
        <v>837.22</v>
      </c>
      <c r="H9" s="13" t="n">
        <v>837.22</v>
      </c>
      <c r="I9" s="13" t="n">
        <f aca="false">SUM(K9:T9)</f>
        <v>5023.3</v>
      </c>
      <c r="J9" s="13" t="n">
        <f aca="false">F9-(G9+H9+I9)</f>
        <v>-0.0199999999995271</v>
      </c>
      <c r="K9" s="13" t="n">
        <v>502.33</v>
      </c>
      <c r="L9" s="13" t="n">
        <v>502.33</v>
      </c>
      <c r="M9" s="13" t="n">
        <v>502.33</v>
      </c>
      <c r="N9" s="13" t="n">
        <v>502.33</v>
      </c>
      <c r="O9" s="13" t="n">
        <v>502.33</v>
      </c>
      <c r="P9" s="13" t="n">
        <v>502.33</v>
      </c>
      <c r="Q9" s="13" t="n">
        <v>502.33</v>
      </c>
      <c r="R9" s="13" t="n">
        <v>502.33</v>
      </c>
      <c r="S9" s="13" t="n">
        <v>502.33</v>
      </c>
      <c r="T9" s="13" t="n">
        <v>502.33</v>
      </c>
      <c r="U9" s="13" t="n">
        <v>350</v>
      </c>
      <c r="V9" s="13" t="n">
        <v>0</v>
      </c>
      <c r="W9" s="13" t="n">
        <f aca="false">U9+V9</f>
        <v>350</v>
      </c>
    </row>
    <row r="10" customFormat="false" ht="15" hidden="false" customHeight="false" outlineLevel="0" collapsed="false">
      <c r="A10" s="14" t="s">
        <v>2110</v>
      </c>
      <c r="B10" s="14" t="s">
        <v>2111</v>
      </c>
      <c r="C10" s="14" t="s">
        <v>379</v>
      </c>
      <c r="D10" s="14" t="s">
        <v>325</v>
      </c>
      <c r="E10" s="15" t="n">
        <v>670000</v>
      </c>
      <c r="F10" s="15" t="n">
        <v>6351.49</v>
      </c>
      <c r="G10" s="15" t="n">
        <v>793.94</v>
      </c>
      <c r="H10" s="15" t="n">
        <v>793.94</v>
      </c>
      <c r="I10" s="15" t="n">
        <f aca="false">SUM(K10:T10)</f>
        <v>4763.6</v>
      </c>
      <c r="J10" s="15" t="n">
        <f aca="false">F10-(G10+H10+I10)</f>
        <v>0.0100000000002183</v>
      </c>
      <c r="K10" s="15" t="n">
        <v>476.36</v>
      </c>
      <c r="L10" s="15" t="n">
        <v>476.36</v>
      </c>
      <c r="M10" s="15" t="n">
        <v>476.36</v>
      </c>
      <c r="N10" s="15" t="n">
        <v>476.36</v>
      </c>
      <c r="O10" s="15" t="n">
        <v>476.36</v>
      </c>
      <c r="P10" s="15" t="n">
        <v>476.36</v>
      </c>
      <c r="Q10" s="15" t="n">
        <v>476.36</v>
      </c>
      <c r="R10" s="15" t="n">
        <v>476.36</v>
      </c>
      <c r="S10" s="15" t="n">
        <v>476.36</v>
      </c>
      <c r="T10" s="15" t="n">
        <v>476.36</v>
      </c>
      <c r="U10" s="15" t="n">
        <v>350</v>
      </c>
      <c r="V10" s="15" t="n">
        <v>0</v>
      </c>
      <c r="W10" s="15" t="n">
        <f aca="false">U10+V10</f>
        <v>350</v>
      </c>
    </row>
    <row r="11" customFormat="false" ht="15" hidden="false" customHeight="false" outlineLevel="0" collapsed="false">
      <c r="A11" s="3" t="s">
        <v>2112</v>
      </c>
      <c r="B11" s="3" t="s">
        <v>2113</v>
      </c>
      <c r="C11" s="3" t="s">
        <v>2114</v>
      </c>
      <c r="D11" s="3" t="s">
        <v>89</v>
      </c>
      <c r="E11" s="13" t="n">
        <v>825000</v>
      </c>
      <c r="F11" s="13" t="n">
        <v>16903.04</v>
      </c>
      <c r="G11" s="13" t="n">
        <v>2112.88</v>
      </c>
      <c r="H11" s="13" t="n">
        <v>2112.88</v>
      </c>
      <c r="I11" s="13" t="n">
        <f aca="false">SUM(K11:T11)</f>
        <v>12677.3</v>
      </c>
      <c r="J11" s="13" t="n">
        <f aca="false">F11-(G11+H11+I11)</f>
        <v>-0.0199999999967986</v>
      </c>
      <c r="K11" s="13" t="n">
        <v>1267.73</v>
      </c>
      <c r="L11" s="13" t="n">
        <v>1267.73</v>
      </c>
      <c r="M11" s="13" t="n">
        <v>1267.73</v>
      </c>
      <c r="N11" s="13" t="n">
        <v>1267.73</v>
      </c>
      <c r="O11" s="13" t="n">
        <v>1267.73</v>
      </c>
      <c r="P11" s="13" t="n">
        <v>1267.73</v>
      </c>
      <c r="Q11" s="13" t="n">
        <v>1267.73</v>
      </c>
      <c r="R11" s="13" t="n">
        <v>1267.73</v>
      </c>
      <c r="S11" s="13" t="n">
        <v>1267.73</v>
      </c>
      <c r="T11" s="13" t="n">
        <v>1267.73</v>
      </c>
      <c r="U11" s="13" t="n">
        <v>350</v>
      </c>
      <c r="V11" s="13" t="n">
        <v>0</v>
      </c>
      <c r="W11" s="13" t="n">
        <f aca="false">U11+V11</f>
        <v>350</v>
      </c>
    </row>
    <row r="12" customFormat="false" ht="15" hidden="false" customHeight="false" outlineLevel="0" collapsed="false">
      <c r="A12" s="14" t="s">
        <v>2115</v>
      </c>
      <c r="B12" s="14" t="s">
        <v>2116</v>
      </c>
      <c r="C12" s="14" t="s">
        <v>176</v>
      </c>
      <c r="D12" s="14" t="s">
        <v>698</v>
      </c>
      <c r="E12" s="15" t="n">
        <v>825000</v>
      </c>
      <c r="F12" s="15" t="n">
        <v>17153.46</v>
      </c>
      <c r="G12" s="15" t="n">
        <v>2144.18</v>
      </c>
      <c r="H12" s="15" t="n">
        <v>2144.18</v>
      </c>
      <c r="I12" s="15" t="n">
        <f aca="false">SUM(K12:T12)</f>
        <v>12865.1</v>
      </c>
      <c r="J12" s="15" t="n">
        <f aca="false">F12-(G12+H12+I12)</f>
        <v>0</v>
      </c>
      <c r="K12" s="15" t="n">
        <v>1286.51</v>
      </c>
      <c r="L12" s="15" t="n">
        <v>1286.51</v>
      </c>
      <c r="M12" s="15" t="n">
        <v>1286.51</v>
      </c>
      <c r="N12" s="15" t="n">
        <v>1286.51</v>
      </c>
      <c r="O12" s="15" t="n">
        <v>1286.51</v>
      </c>
      <c r="P12" s="15" t="n">
        <v>1286.51</v>
      </c>
      <c r="Q12" s="15" t="n">
        <v>1286.51</v>
      </c>
      <c r="R12" s="15" t="n">
        <v>1286.51</v>
      </c>
      <c r="S12" s="15" t="n">
        <v>1286.51</v>
      </c>
      <c r="T12" s="15" t="n">
        <v>1286.51</v>
      </c>
      <c r="U12" s="15" t="n">
        <v>350</v>
      </c>
      <c r="V12" s="15" t="n">
        <v>0</v>
      </c>
      <c r="W12" s="15" t="n">
        <f aca="false">U12+V12</f>
        <v>350</v>
      </c>
    </row>
    <row r="13" customFormat="false" ht="15" hidden="false" customHeight="false" outlineLevel="0" collapsed="false">
      <c r="A13" s="3" t="s">
        <v>2117</v>
      </c>
      <c r="B13" s="3" t="s">
        <v>2118</v>
      </c>
      <c r="C13" s="3" t="s">
        <v>349</v>
      </c>
      <c r="D13" s="3" t="s">
        <v>93</v>
      </c>
      <c r="E13" s="13" t="n">
        <v>255000</v>
      </c>
      <c r="F13" s="13" t="n">
        <v>2502.91</v>
      </c>
      <c r="G13" s="13" t="n">
        <v>312.86</v>
      </c>
      <c r="H13" s="13" t="n">
        <v>312.86</v>
      </c>
      <c r="I13" s="13" t="n">
        <f aca="false">SUM(K13:T13)</f>
        <v>1877.2</v>
      </c>
      <c r="J13" s="13" t="n">
        <f aca="false">F13-(G13+H13+I13)</f>
        <v>-0.0100000000002183</v>
      </c>
      <c r="K13" s="13" t="n">
        <v>187.72</v>
      </c>
      <c r="L13" s="13" t="n">
        <v>187.72</v>
      </c>
      <c r="M13" s="13" t="n">
        <v>187.72</v>
      </c>
      <c r="N13" s="13" t="n">
        <v>187.72</v>
      </c>
      <c r="O13" s="13" t="n">
        <v>187.72</v>
      </c>
      <c r="P13" s="13" t="n">
        <v>187.72</v>
      </c>
      <c r="Q13" s="13" t="n">
        <v>187.72</v>
      </c>
      <c r="R13" s="13" t="n">
        <v>187.72</v>
      </c>
      <c r="S13" s="13" t="n">
        <v>187.72</v>
      </c>
      <c r="T13" s="13" t="n">
        <v>187.72</v>
      </c>
      <c r="U13" s="13" t="n">
        <v>350</v>
      </c>
      <c r="V13" s="13" t="n">
        <v>0</v>
      </c>
      <c r="W13" s="13" t="n">
        <f aca="false">U13+V13</f>
        <v>350</v>
      </c>
    </row>
    <row r="14" customFormat="false" ht="15" hidden="false" customHeight="false" outlineLevel="0" collapsed="false">
      <c r="A14" s="14" t="s">
        <v>2119</v>
      </c>
      <c r="B14" s="14" t="s">
        <v>2120</v>
      </c>
      <c r="C14" s="14" t="s">
        <v>1125</v>
      </c>
      <c r="D14" s="14" t="s">
        <v>89</v>
      </c>
      <c r="E14" s="15" t="n">
        <v>1490000</v>
      </c>
      <c r="F14" s="15" t="n">
        <v>17674.07</v>
      </c>
      <c r="G14" s="15" t="n">
        <v>2209.26</v>
      </c>
      <c r="H14" s="15" t="n">
        <v>2209.26</v>
      </c>
      <c r="I14" s="15" t="n">
        <f aca="false">SUM(K14:T14)</f>
        <v>13255.6</v>
      </c>
      <c r="J14" s="15" t="n">
        <f aca="false">F14-(G14+H14+I14)</f>
        <v>-0.0499999999992724</v>
      </c>
      <c r="K14" s="15" t="n">
        <v>1325.56</v>
      </c>
      <c r="L14" s="15" t="n">
        <v>1325.56</v>
      </c>
      <c r="M14" s="15" t="n">
        <v>1325.56</v>
      </c>
      <c r="N14" s="15" t="n">
        <v>1325.56</v>
      </c>
      <c r="O14" s="15" t="n">
        <v>1325.56</v>
      </c>
      <c r="P14" s="15" t="n">
        <v>1325.56</v>
      </c>
      <c r="Q14" s="15" t="n">
        <v>1325.56</v>
      </c>
      <c r="R14" s="15" t="n">
        <v>1325.56</v>
      </c>
      <c r="S14" s="15" t="n">
        <v>1325.56</v>
      </c>
      <c r="T14" s="15" t="n">
        <v>1325.56</v>
      </c>
      <c r="U14" s="15" t="n">
        <v>350</v>
      </c>
      <c r="V14" s="15" t="n">
        <v>250</v>
      </c>
      <c r="W14" s="15" t="n">
        <f aca="false">U14+V14</f>
        <v>600</v>
      </c>
    </row>
    <row r="15" customFormat="false" ht="15" hidden="false" customHeight="false" outlineLevel="0" collapsed="false">
      <c r="A15" s="3" t="s">
        <v>2121</v>
      </c>
      <c r="B15" s="3" t="s">
        <v>2122</v>
      </c>
      <c r="C15" s="3" t="s">
        <v>489</v>
      </c>
      <c r="D15" s="3" t="s">
        <v>382</v>
      </c>
      <c r="E15" s="13" t="n">
        <v>475000</v>
      </c>
      <c r="F15" s="13" t="n">
        <v>6374.21</v>
      </c>
      <c r="G15" s="13" t="n">
        <v>796.78</v>
      </c>
      <c r="H15" s="13" t="n">
        <v>796.78</v>
      </c>
      <c r="I15" s="13" t="n">
        <f aca="false">SUM(K15:T15)</f>
        <v>4780.7</v>
      </c>
      <c r="J15" s="13" t="n">
        <f aca="false">F15-(G15+H15+I15)</f>
        <v>-0.0500000000001819</v>
      </c>
      <c r="K15" s="13" t="n">
        <v>478.07</v>
      </c>
      <c r="L15" s="13" t="n">
        <v>478.07</v>
      </c>
      <c r="M15" s="13" t="n">
        <v>478.07</v>
      </c>
      <c r="N15" s="13" t="n">
        <v>478.07</v>
      </c>
      <c r="O15" s="13" t="n">
        <v>478.07</v>
      </c>
      <c r="P15" s="13" t="n">
        <v>478.07</v>
      </c>
      <c r="Q15" s="13" t="n">
        <v>478.07</v>
      </c>
      <c r="R15" s="13" t="n">
        <v>478.07</v>
      </c>
      <c r="S15" s="13" t="n">
        <v>478.07</v>
      </c>
      <c r="T15" s="13" t="n">
        <v>478.07</v>
      </c>
      <c r="U15" s="13" t="n">
        <v>350</v>
      </c>
      <c r="V15" s="13" t="n">
        <v>0</v>
      </c>
      <c r="W15" s="13" t="n">
        <f aca="false">U15+V15</f>
        <v>350</v>
      </c>
    </row>
    <row r="16" customFormat="false" ht="15" hidden="false" customHeight="false" outlineLevel="0" collapsed="false">
      <c r="A16" s="14" t="s">
        <v>2123</v>
      </c>
      <c r="B16" s="14" t="s">
        <v>2124</v>
      </c>
      <c r="C16" s="14" t="s">
        <v>1356</v>
      </c>
      <c r="D16" s="14" t="s">
        <v>189</v>
      </c>
      <c r="E16" s="15" t="n">
        <v>295000</v>
      </c>
      <c r="F16" s="15" t="n">
        <v>5961.65</v>
      </c>
      <c r="G16" s="15" t="n">
        <v>745.21</v>
      </c>
      <c r="H16" s="15" t="n">
        <v>745.21</v>
      </c>
      <c r="I16" s="15" t="n">
        <f aca="false">SUM(K16:T16)</f>
        <v>4471.2</v>
      </c>
      <c r="J16" s="15" t="n">
        <f aca="false">F16-(G16+H16+I16)</f>
        <v>0.0299999999997453</v>
      </c>
      <c r="K16" s="15" t="n">
        <v>447.12</v>
      </c>
      <c r="L16" s="15" t="n">
        <v>447.12</v>
      </c>
      <c r="M16" s="15" t="n">
        <v>447.12</v>
      </c>
      <c r="N16" s="15" t="n">
        <v>447.12</v>
      </c>
      <c r="O16" s="15" t="n">
        <v>447.12</v>
      </c>
      <c r="P16" s="15" t="n">
        <v>447.12</v>
      </c>
      <c r="Q16" s="15" t="n">
        <v>447.12</v>
      </c>
      <c r="R16" s="15" t="n">
        <v>447.12</v>
      </c>
      <c r="S16" s="15" t="n">
        <v>447.12</v>
      </c>
      <c r="T16" s="15" t="n">
        <v>447.12</v>
      </c>
      <c r="U16" s="15" t="n">
        <v>350</v>
      </c>
      <c r="V16" s="15" t="n">
        <v>0</v>
      </c>
      <c r="W16" s="15" t="n">
        <f aca="false">U16+V16</f>
        <v>350</v>
      </c>
    </row>
    <row r="17" customFormat="false" ht="15" hidden="false" customHeight="false" outlineLevel="0" collapsed="false">
      <c r="A17" s="3" t="s">
        <v>2125</v>
      </c>
      <c r="B17" s="3" t="s">
        <v>2116</v>
      </c>
      <c r="C17" s="3" t="s">
        <v>1437</v>
      </c>
      <c r="D17" s="3" t="s">
        <v>256</v>
      </c>
      <c r="E17" s="13" t="n">
        <v>595000</v>
      </c>
      <c r="F17" s="13" t="n">
        <v>5436.14</v>
      </c>
      <c r="G17" s="13" t="n">
        <v>679.52</v>
      </c>
      <c r="H17" s="13" t="n">
        <v>679.52</v>
      </c>
      <c r="I17" s="13" t="n">
        <f aca="false">SUM(K17:T17)</f>
        <v>4077.1</v>
      </c>
      <c r="J17" s="13" t="n">
        <f aca="false">F17-(G17+H17+I17)</f>
        <v>0</v>
      </c>
      <c r="K17" s="13" t="n">
        <v>407.71</v>
      </c>
      <c r="L17" s="13" t="n">
        <v>407.71</v>
      </c>
      <c r="M17" s="13" t="n">
        <v>407.71</v>
      </c>
      <c r="N17" s="13" t="n">
        <v>407.71</v>
      </c>
      <c r="O17" s="13" t="n">
        <v>407.71</v>
      </c>
      <c r="P17" s="13" t="n">
        <v>407.71</v>
      </c>
      <c r="Q17" s="13" t="n">
        <v>407.71</v>
      </c>
      <c r="R17" s="13" t="n">
        <v>407.71</v>
      </c>
      <c r="S17" s="13" t="n">
        <v>407.71</v>
      </c>
      <c r="T17" s="13" t="n">
        <v>407.71</v>
      </c>
      <c r="U17" s="13" t="n">
        <v>350</v>
      </c>
      <c r="V17" s="13" t="n">
        <v>0</v>
      </c>
      <c r="W17" s="13" t="n">
        <f aca="false">U17+V17</f>
        <v>350</v>
      </c>
    </row>
    <row r="18" customFormat="false" ht="15" hidden="false" customHeight="false" outlineLevel="0" collapsed="false">
      <c r="A18" s="14" t="s">
        <v>2126</v>
      </c>
      <c r="B18" s="14" t="s">
        <v>2127</v>
      </c>
      <c r="C18" s="14" t="s">
        <v>1652</v>
      </c>
      <c r="D18" s="14" t="s">
        <v>125</v>
      </c>
      <c r="E18" s="15" t="n">
        <v>615000</v>
      </c>
      <c r="F18" s="15" t="n">
        <v>6130.74</v>
      </c>
      <c r="G18" s="15" t="n">
        <v>766.34</v>
      </c>
      <c r="H18" s="15" t="n">
        <v>766.34</v>
      </c>
      <c r="I18" s="15" t="n">
        <f aca="false">SUM(K18:T18)</f>
        <v>4598.1</v>
      </c>
      <c r="J18" s="15" t="n">
        <f aca="false">F18-(G18+H18+I18)</f>
        <v>-0.0400000000008731</v>
      </c>
      <c r="K18" s="15" t="n">
        <v>459.81</v>
      </c>
      <c r="L18" s="15" t="n">
        <v>459.81</v>
      </c>
      <c r="M18" s="15" t="n">
        <v>459.81</v>
      </c>
      <c r="N18" s="15" t="n">
        <v>459.81</v>
      </c>
      <c r="O18" s="15" t="n">
        <v>459.81</v>
      </c>
      <c r="P18" s="15" t="n">
        <v>459.81</v>
      </c>
      <c r="Q18" s="15" t="n">
        <v>459.81</v>
      </c>
      <c r="R18" s="15" t="n">
        <v>459.81</v>
      </c>
      <c r="S18" s="15" t="n">
        <v>459.81</v>
      </c>
      <c r="T18" s="15" t="n">
        <v>459.81</v>
      </c>
      <c r="U18" s="15" t="n">
        <v>350</v>
      </c>
      <c r="V18" s="15" t="n">
        <v>0</v>
      </c>
      <c r="W18" s="15" t="n">
        <f aca="false">U18+V18</f>
        <v>350</v>
      </c>
    </row>
    <row r="19" customFormat="false" ht="15" hidden="false" customHeight="false" outlineLevel="0" collapsed="false">
      <c r="A19" s="3" t="s">
        <v>2128</v>
      </c>
      <c r="B19" s="3" t="s">
        <v>2129</v>
      </c>
      <c r="C19" s="3" t="s">
        <v>2130</v>
      </c>
      <c r="D19" s="3" t="s">
        <v>102</v>
      </c>
      <c r="E19" s="13" t="n">
        <v>810000</v>
      </c>
      <c r="F19" s="13" t="n">
        <v>14137.1</v>
      </c>
      <c r="G19" s="13" t="n">
        <v>1767.14</v>
      </c>
      <c r="H19" s="13" t="n">
        <v>1767.14</v>
      </c>
      <c r="I19" s="13" t="n">
        <f aca="false">SUM(K19:T19)</f>
        <v>10602.8</v>
      </c>
      <c r="J19" s="13" t="n">
        <f aca="false">F19-(G19+H19+I19)</f>
        <v>0.0199999999986176</v>
      </c>
      <c r="K19" s="13" t="n">
        <v>1060.28</v>
      </c>
      <c r="L19" s="13" t="n">
        <v>1060.28</v>
      </c>
      <c r="M19" s="13" t="n">
        <v>1060.28</v>
      </c>
      <c r="N19" s="13" t="n">
        <v>1060.28</v>
      </c>
      <c r="O19" s="13" t="n">
        <v>1060.28</v>
      </c>
      <c r="P19" s="13" t="n">
        <v>1060.28</v>
      </c>
      <c r="Q19" s="13" t="n">
        <v>1060.28</v>
      </c>
      <c r="R19" s="13" t="n">
        <v>1060.28</v>
      </c>
      <c r="S19" s="13" t="n">
        <v>1060.28</v>
      </c>
      <c r="T19" s="13" t="n">
        <v>1060.28</v>
      </c>
      <c r="U19" s="13" t="n">
        <v>350</v>
      </c>
      <c r="V19" s="13" t="n">
        <v>0</v>
      </c>
      <c r="W19" s="13" t="n">
        <f aca="false">U19+V19</f>
        <v>350</v>
      </c>
    </row>
    <row r="20" customFormat="false" ht="15" hidden="false" customHeight="false" outlineLevel="0" collapsed="false">
      <c r="A20" s="14" t="s">
        <v>2131</v>
      </c>
      <c r="B20" s="14" t="s">
        <v>2132</v>
      </c>
      <c r="C20" s="14" t="s">
        <v>702</v>
      </c>
      <c r="D20" s="14" t="s">
        <v>81</v>
      </c>
      <c r="E20" s="15" t="n">
        <v>795000</v>
      </c>
      <c r="F20" s="15" t="n">
        <v>15443.81</v>
      </c>
      <c r="G20" s="15" t="n">
        <v>1930.48</v>
      </c>
      <c r="H20" s="15" t="n">
        <v>1930.48</v>
      </c>
      <c r="I20" s="15" t="n">
        <f aca="false">SUM(K20:T20)</f>
        <v>11582.9</v>
      </c>
      <c r="J20" s="15" t="n">
        <f aca="false">F20-(G20+H20+I20)</f>
        <v>-0.0500000000010914</v>
      </c>
      <c r="K20" s="15" t="n">
        <v>1158.29</v>
      </c>
      <c r="L20" s="15" t="n">
        <v>1158.29</v>
      </c>
      <c r="M20" s="15" t="n">
        <v>1158.29</v>
      </c>
      <c r="N20" s="15" t="n">
        <v>1158.29</v>
      </c>
      <c r="O20" s="15" t="n">
        <v>1158.29</v>
      </c>
      <c r="P20" s="15" t="n">
        <v>1158.29</v>
      </c>
      <c r="Q20" s="15" t="n">
        <v>1158.29</v>
      </c>
      <c r="R20" s="15" t="n">
        <v>1158.29</v>
      </c>
      <c r="S20" s="15" t="n">
        <v>1158.29</v>
      </c>
      <c r="T20" s="15" t="n">
        <v>1158.29</v>
      </c>
      <c r="U20" s="15" t="n">
        <v>350</v>
      </c>
      <c r="V20" s="15" t="n">
        <v>0</v>
      </c>
      <c r="W20" s="15" t="n">
        <f aca="false">U20+V20</f>
        <v>350</v>
      </c>
    </row>
    <row r="21" customFormat="false" ht="15" hidden="false" customHeight="false" outlineLevel="0" collapsed="false">
      <c r="A21" s="3" t="s">
        <v>2133</v>
      </c>
      <c r="B21" s="3" t="s">
        <v>2134</v>
      </c>
      <c r="C21" s="3" t="s">
        <v>829</v>
      </c>
      <c r="D21" s="3" t="s">
        <v>382</v>
      </c>
      <c r="E21" s="13" t="n">
        <v>1125000</v>
      </c>
      <c r="F21" s="13" t="n">
        <v>11071</v>
      </c>
      <c r="G21" s="13" t="n">
        <v>1383.88</v>
      </c>
      <c r="H21" s="13" t="n">
        <v>1383.88</v>
      </c>
      <c r="I21" s="13" t="n">
        <f aca="false">SUM(K21:T21)</f>
        <v>8303.2</v>
      </c>
      <c r="J21" s="13" t="n">
        <f aca="false">F21-(G21+H21+I21)</f>
        <v>0.0399999999990541</v>
      </c>
      <c r="K21" s="13" t="n">
        <v>830.32</v>
      </c>
      <c r="L21" s="13" t="n">
        <v>830.32</v>
      </c>
      <c r="M21" s="13" t="n">
        <v>830.32</v>
      </c>
      <c r="N21" s="13" t="n">
        <v>830.32</v>
      </c>
      <c r="O21" s="13" t="n">
        <v>830.32</v>
      </c>
      <c r="P21" s="13" t="n">
        <v>830.32</v>
      </c>
      <c r="Q21" s="13" t="n">
        <v>830.32</v>
      </c>
      <c r="R21" s="13" t="n">
        <v>830.32</v>
      </c>
      <c r="S21" s="13" t="n">
        <v>830.32</v>
      </c>
      <c r="T21" s="13" t="n">
        <v>830.32</v>
      </c>
      <c r="U21" s="13" t="n">
        <v>350</v>
      </c>
      <c r="V21" s="13" t="n">
        <v>250</v>
      </c>
      <c r="W21" s="13" t="n">
        <f aca="false">U21+V21</f>
        <v>600</v>
      </c>
    </row>
    <row r="22" customFormat="false" ht="15" hidden="false" customHeight="false" outlineLevel="0" collapsed="false">
      <c r="A22" s="14" t="s">
        <v>2135</v>
      </c>
      <c r="B22" s="14" t="s">
        <v>2136</v>
      </c>
      <c r="C22" s="14" t="s">
        <v>427</v>
      </c>
      <c r="D22" s="14" t="s">
        <v>448</v>
      </c>
      <c r="E22" s="15" t="n">
        <v>425000</v>
      </c>
      <c r="F22" s="15" t="n">
        <v>5397.71</v>
      </c>
      <c r="G22" s="15" t="n">
        <v>674.71</v>
      </c>
      <c r="H22" s="15" t="n">
        <v>674.71</v>
      </c>
      <c r="I22" s="15" t="n">
        <f aca="false">SUM(K22:T22)</f>
        <v>4048.3</v>
      </c>
      <c r="J22" s="15" t="n">
        <f aca="false">F22-(G22+H22+I22)</f>
        <v>-0.00999999999930878</v>
      </c>
      <c r="K22" s="15" t="n">
        <v>404.83</v>
      </c>
      <c r="L22" s="15" t="n">
        <v>404.83</v>
      </c>
      <c r="M22" s="15" t="n">
        <v>404.83</v>
      </c>
      <c r="N22" s="15" t="n">
        <v>404.83</v>
      </c>
      <c r="O22" s="15" t="n">
        <v>404.83</v>
      </c>
      <c r="P22" s="15" t="n">
        <v>404.83</v>
      </c>
      <c r="Q22" s="15" t="n">
        <v>404.83</v>
      </c>
      <c r="R22" s="15" t="n">
        <v>404.83</v>
      </c>
      <c r="S22" s="15" t="n">
        <v>404.83</v>
      </c>
      <c r="T22" s="15" t="n">
        <v>404.83</v>
      </c>
      <c r="U22" s="15" t="n">
        <v>350</v>
      </c>
      <c r="V22" s="15" t="n">
        <v>0</v>
      </c>
      <c r="W22" s="15" t="n">
        <f aca="false">U22+V22</f>
        <v>350</v>
      </c>
    </row>
    <row r="23" customFormat="false" ht="15" hidden="false" customHeight="false" outlineLevel="0" collapsed="false">
      <c r="A23" s="3" t="s">
        <v>2137</v>
      </c>
      <c r="B23" s="3" t="s">
        <v>2118</v>
      </c>
      <c r="C23" s="3" t="s">
        <v>176</v>
      </c>
      <c r="D23" s="3" t="s">
        <v>189</v>
      </c>
      <c r="E23" s="13" t="n">
        <v>820000</v>
      </c>
      <c r="F23" s="13" t="n">
        <v>9366.42</v>
      </c>
      <c r="G23" s="13" t="n">
        <v>1170.8</v>
      </c>
      <c r="H23" s="13" t="n">
        <v>1170.8</v>
      </c>
      <c r="I23" s="13" t="n">
        <f aca="false">SUM(K23:T23)</f>
        <v>7024.8</v>
      </c>
      <c r="J23" s="13" t="n">
        <f aca="false">F23-(G23+H23+I23)</f>
        <v>0.0200000000004366</v>
      </c>
      <c r="K23" s="13" t="n">
        <v>702.48</v>
      </c>
      <c r="L23" s="13" t="n">
        <v>702.48</v>
      </c>
      <c r="M23" s="13" t="n">
        <v>702.48</v>
      </c>
      <c r="N23" s="13" t="n">
        <v>702.48</v>
      </c>
      <c r="O23" s="13" t="n">
        <v>702.48</v>
      </c>
      <c r="P23" s="13" t="n">
        <v>702.48</v>
      </c>
      <c r="Q23" s="13" t="n">
        <v>702.48</v>
      </c>
      <c r="R23" s="13" t="n">
        <v>702.48</v>
      </c>
      <c r="S23" s="13" t="n">
        <v>702.48</v>
      </c>
      <c r="T23" s="13" t="n">
        <v>702.48</v>
      </c>
      <c r="U23" s="13" t="n">
        <v>350</v>
      </c>
      <c r="V23" s="13" t="n">
        <v>0</v>
      </c>
      <c r="W23" s="13" t="n">
        <f aca="false">U23+V23</f>
        <v>350</v>
      </c>
    </row>
    <row r="24" customFormat="false" ht="15" hidden="false" customHeight="false" outlineLevel="0" collapsed="false">
      <c r="A24" s="14" t="s">
        <v>2138</v>
      </c>
      <c r="B24" s="14" t="s">
        <v>2104</v>
      </c>
      <c r="C24" s="14" t="s">
        <v>2080</v>
      </c>
      <c r="D24" s="14" t="s">
        <v>222</v>
      </c>
      <c r="E24" s="15" t="n">
        <v>450000</v>
      </c>
      <c r="F24" s="15" t="n">
        <v>5930.9</v>
      </c>
      <c r="G24" s="15" t="n">
        <v>741.36</v>
      </c>
      <c r="H24" s="15" t="n">
        <v>741.36</v>
      </c>
      <c r="I24" s="15" t="n">
        <f aca="false">SUM(K24:T24)</f>
        <v>4448.2</v>
      </c>
      <c r="J24" s="15" t="n">
        <f aca="false">F24-(G24+H24+I24)</f>
        <v>-0.0200000000004366</v>
      </c>
      <c r="K24" s="15" t="n">
        <v>444.82</v>
      </c>
      <c r="L24" s="15" t="n">
        <v>444.82</v>
      </c>
      <c r="M24" s="15" t="n">
        <v>444.82</v>
      </c>
      <c r="N24" s="15" t="n">
        <v>444.82</v>
      </c>
      <c r="O24" s="15" t="n">
        <v>444.82</v>
      </c>
      <c r="P24" s="15" t="n">
        <v>444.82</v>
      </c>
      <c r="Q24" s="15" t="n">
        <v>444.82</v>
      </c>
      <c r="R24" s="15" t="n">
        <v>444.82</v>
      </c>
      <c r="S24" s="15" t="n">
        <v>444.82</v>
      </c>
      <c r="T24" s="15" t="n">
        <v>444.82</v>
      </c>
      <c r="U24" s="15" t="n">
        <v>350</v>
      </c>
      <c r="V24" s="15" t="n">
        <v>0</v>
      </c>
      <c r="W24" s="15" t="n">
        <f aca="false">U24+V24</f>
        <v>350</v>
      </c>
    </row>
    <row r="25" customFormat="false" ht="15" hidden="false" customHeight="false" outlineLevel="0" collapsed="false">
      <c r="A25" s="3" t="s">
        <v>2139</v>
      </c>
      <c r="B25" s="3" t="s">
        <v>2136</v>
      </c>
      <c r="C25" s="3" t="s">
        <v>1159</v>
      </c>
      <c r="D25" s="3" t="s">
        <v>193</v>
      </c>
      <c r="E25" s="13" t="n">
        <v>1720000</v>
      </c>
      <c r="F25" s="13" t="n">
        <v>27477.81</v>
      </c>
      <c r="G25" s="13" t="n">
        <v>3434.73</v>
      </c>
      <c r="H25" s="13" t="n">
        <v>3434.73</v>
      </c>
      <c r="I25" s="13" t="n">
        <f aca="false">SUM(K25:T25)</f>
        <v>20608.4</v>
      </c>
      <c r="J25" s="13" t="n">
        <f aca="false">F25-(G25+H25+I25)</f>
        <v>-0.0499999999992724</v>
      </c>
      <c r="K25" s="13" t="n">
        <v>2060.84</v>
      </c>
      <c r="L25" s="13" t="n">
        <v>2060.84</v>
      </c>
      <c r="M25" s="13" t="n">
        <v>2060.84</v>
      </c>
      <c r="N25" s="13" t="n">
        <v>2060.84</v>
      </c>
      <c r="O25" s="13" t="n">
        <v>2060.84</v>
      </c>
      <c r="P25" s="13" t="n">
        <v>2060.84</v>
      </c>
      <c r="Q25" s="13" t="n">
        <v>2060.84</v>
      </c>
      <c r="R25" s="13" t="n">
        <v>2060.84</v>
      </c>
      <c r="S25" s="13" t="n">
        <v>2060.84</v>
      </c>
      <c r="T25" s="13" t="n">
        <v>2060.84</v>
      </c>
      <c r="U25" s="13" t="n">
        <v>350</v>
      </c>
      <c r="V25" s="13" t="n">
        <v>250</v>
      </c>
      <c r="W25" s="13" t="n">
        <f aca="false">U25+V25</f>
        <v>600</v>
      </c>
    </row>
    <row r="26" customFormat="false" ht="15" hidden="false" customHeight="false" outlineLevel="0" collapsed="false">
      <c r="A26" s="14" t="s">
        <v>2140</v>
      </c>
      <c r="B26" s="14" t="s">
        <v>2116</v>
      </c>
      <c r="C26" s="14" t="s">
        <v>1219</v>
      </c>
      <c r="D26" s="14" t="s">
        <v>132</v>
      </c>
      <c r="E26" s="15" t="n">
        <v>1095000</v>
      </c>
      <c r="F26" s="15" t="n">
        <v>6647.39</v>
      </c>
      <c r="G26" s="15" t="n">
        <v>830.92</v>
      </c>
      <c r="H26" s="15" t="n">
        <v>830.92</v>
      </c>
      <c r="I26" s="15" t="n">
        <f aca="false">SUM(K26:T26)</f>
        <v>4985.5</v>
      </c>
      <c r="J26" s="15" t="n">
        <f aca="false">F26-(G26+H26+I26)</f>
        <v>0.0500000000001819</v>
      </c>
      <c r="K26" s="15" t="n">
        <v>498.55</v>
      </c>
      <c r="L26" s="15" t="n">
        <v>498.55</v>
      </c>
      <c r="M26" s="15" t="n">
        <v>498.55</v>
      </c>
      <c r="N26" s="15" t="n">
        <v>498.55</v>
      </c>
      <c r="O26" s="15" t="n">
        <v>498.55</v>
      </c>
      <c r="P26" s="15" t="n">
        <v>498.55</v>
      </c>
      <c r="Q26" s="15" t="n">
        <v>498.55</v>
      </c>
      <c r="R26" s="15" t="n">
        <v>498.55</v>
      </c>
      <c r="S26" s="15" t="n">
        <v>498.55</v>
      </c>
      <c r="T26" s="15" t="n">
        <v>498.55</v>
      </c>
      <c r="U26" s="15" t="n">
        <v>350</v>
      </c>
      <c r="V26" s="15" t="n">
        <v>250</v>
      </c>
      <c r="W26" s="15" t="n">
        <f aca="false">U26+V26</f>
        <v>600</v>
      </c>
    </row>
    <row r="27" customFormat="false" ht="15" hidden="false" customHeight="false" outlineLevel="0" collapsed="false">
      <c r="A27" s="3" t="s">
        <v>2141</v>
      </c>
      <c r="B27" s="3" t="s">
        <v>2142</v>
      </c>
      <c r="C27" s="3" t="s">
        <v>758</v>
      </c>
      <c r="D27" s="3" t="s">
        <v>256</v>
      </c>
      <c r="E27" s="13" t="n">
        <v>635000</v>
      </c>
      <c r="F27" s="13" t="n">
        <v>12817.48</v>
      </c>
      <c r="G27" s="13" t="n">
        <v>1602.18</v>
      </c>
      <c r="H27" s="13" t="n">
        <v>1602.18</v>
      </c>
      <c r="I27" s="13" t="n">
        <f aca="false">SUM(K27:T27)</f>
        <v>9613.1</v>
      </c>
      <c r="J27" s="13" t="n">
        <f aca="false">F27-(G27+H27+I27)</f>
        <v>0.0200000000004366</v>
      </c>
      <c r="K27" s="13" t="n">
        <v>961.31</v>
      </c>
      <c r="L27" s="13" t="n">
        <v>961.31</v>
      </c>
      <c r="M27" s="13" t="n">
        <v>961.31</v>
      </c>
      <c r="N27" s="13" t="n">
        <v>961.31</v>
      </c>
      <c r="O27" s="13" t="n">
        <v>961.31</v>
      </c>
      <c r="P27" s="13" t="n">
        <v>961.31</v>
      </c>
      <c r="Q27" s="13" t="n">
        <v>961.31</v>
      </c>
      <c r="R27" s="13" t="n">
        <v>961.31</v>
      </c>
      <c r="S27" s="13" t="n">
        <v>961.31</v>
      </c>
      <c r="T27" s="13" t="n">
        <v>961.31</v>
      </c>
      <c r="U27" s="13" t="n">
        <v>350</v>
      </c>
      <c r="V27" s="13" t="n">
        <v>0</v>
      </c>
      <c r="W27" s="13" t="n">
        <f aca="false">U27+V27</f>
        <v>350</v>
      </c>
    </row>
    <row r="28" customFormat="false" ht="15" hidden="false" customHeight="false" outlineLevel="0" collapsed="false">
      <c r="A28" s="14" t="s">
        <v>2143</v>
      </c>
      <c r="B28" s="14" t="s">
        <v>2144</v>
      </c>
      <c r="C28" s="14" t="s">
        <v>641</v>
      </c>
      <c r="D28" s="14" t="s">
        <v>157</v>
      </c>
      <c r="E28" s="15" t="n">
        <v>610000</v>
      </c>
      <c r="F28" s="15" t="n">
        <v>8994.67</v>
      </c>
      <c r="G28" s="15" t="n">
        <v>1124.33</v>
      </c>
      <c r="H28" s="15" t="n">
        <v>1124.33</v>
      </c>
      <c r="I28" s="15" t="n">
        <f aca="false">SUM(K28:T28)</f>
        <v>6746</v>
      </c>
      <c r="J28" s="15" t="n">
        <f aca="false">F28-(G28+H28+I28)</f>
        <v>0.0100000000002183</v>
      </c>
      <c r="K28" s="15" t="n">
        <v>674.6</v>
      </c>
      <c r="L28" s="15" t="n">
        <v>674.6</v>
      </c>
      <c r="M28" s="15" t="n">
        <v>674.6</v>
      </c>
      <c r="N28" s="15" t="n">
        <v>674.6</v>
      </c>
      <c r="O28" s="15" t="n">
        <v>674.6</v>
      </c>
      <c r="P28" s="15" t="n">
        <v>674.6</v>
      </c>
      <c r="Q28" s="15" t="n">
        <v>674.6</v>
      </c>
      <c r="R28" s="15" t="n">
        <v>674.6</v>
      </c>
      <c r="S28" s="15" t="n">
        <v>674.6</v>
      </c>
      <c r="T28" s="15" t="n">
        <v>674.6</v>
      </c>
      <c r="U28" s="15" t="n">
        <v>350</v>
      </c>
      <c r="V28" s="15" t="n">
        <v>0</v>
      </c>
      <c r="W28" s="15" t="n">
        <f aca="false">U28+V28</f>
        <v>350</v>
      </c>
    </row>
    <row r="29" customFormat="false" ht="15" hidden="false" customHeight="false" outlineLevel="0" collapsed="false">
      <c r="A29" s="3" t="s">
        <v>2145</v>
      </c>
      <c r="B29" s="3" t="s">
        <v>2111</v>
      </c>
      <c r="C29" s="3" t="s">
        <v>92</v>
      </c>
      <c r="D29" s="3" t="s">
        <v>377</v>
      </c>
      <c r="E29" s="13" t="n">
        <v>445000</v>
      </c>
      <c r="F29" s="13" t="n">
        <v>7144.63</v>
      </c>
      <c r="G29" s="13" t="n">
        <v>893.08</v>
      </c>
      <c r="H29" s="13" t="n">
        <v>893.08</v>
      </c>
      <c r="I29" s="13" t="n">
        <f aca="false">SUM(K29:T29)</f>
        <v>5358.5</v>
      </c>
      <c r="J29" s="13" t="n">
        <f aca="false">F29-(G29+H29+I29)</f>
        <v>-0.0300000000006548</v>
      </c>
      <c r="K29" s="13" t="n">
        <v>535.85</v>
      </c>
      <c r="L29" s="13" t="n">
        <v>535.85</v>
      </c>
      <c r="M29" s="13" t="n">
        <v>535.85</v>
      </c>
      <c r="N29" s="13" t="n">
        <v>535.85</v>
      </c>
      <c r="O29" s="13" t="n">
        <v>535.85</v>
      </c>
      <c r="P29" s="13" t="n">
        <v>535.85</v>
      </c>
      <c r="Q29" s="13" t="n">
        <v>535.85</v>
      </c>
      <c r="R29" s="13" t="n">
        <v>535.85</v>
      </c>
      <c r="S29" s="13" t="n">
        <v>535.85</v>
      </c>
      <c r="T29" s="13" t="n">
        <v>535.85</v>
      </c>
      <c r="U29" s="13" t="n">
        <v>350</v>
      </c>
      <c r="V29" s="13" t="n">
        <v>0</v>
      </c>
      <c r="W29" s="13" t="n">
        <f aca="false">U29+V29</f>
        <v>350</v>
      </c>
    </row>
    <row r="30" customFormat="false" ht="15" hidden="false" customHeight="false" outlineLevel="0" collapsed="false">
      <c r="A30" s="14" t="s">
        <v>2146</v>
      </c>
      <c r="B30" s="14" t="s">
        <v>2122</v>
      </c>
      <c r="C30" s="14" t="s">
        <v>1849</v>
      </c>
      <c r="D30" s="14" t="s">
        <v>89</v>
      </c>
      <c r="E30" s="15" t="n">
        <v>1950000</v>
      </c>
      <c r="F30" s="15" t="n">
        <v>33644.34</v>
      </c>
      <c r="G30" s="15" t="n">
        <v>4205.54</v>
      </c>
      <c r="H30" s="15" t="n">
        <v>4205.54</v>
      </c>
      <c r="I30" s="15" t="n">
        <f aca="false">SUM(K30:T30)</f>
        <v>25233.3</v>
      </c>
      <c r="J30" s="15" t="n">
        <f aca="false">F30-(G30+H30+I30)</f>
        <v>-0.0400000000081491</v>
      </c>
      <c r="K30" s="15" t="n">
        <v>2523.33</v>
      </c>
      <c r="L30" s="15" t="n">
        <v>2523.33</v>
      </c>
      <c r="M30" s="15" t="n">
        <v>2523.33</v>
      </c>
      <c r="N30" s="15" t="n">
        <v>2523.33</v>
      </c>
      <c r="O30" s="15" t="n">
        <v>2523.33</v>
      </c>
      <c r="P30" s="15" t="n">
        <v>2523.33</v>
      </c>
      <c r="Q30" s="15" t="n">
        <v>2523.33</v>
      </c>
      <c r="R30" s="15" t="n">
        <v>2523.33</v>
      </c>
      <c r="S30" s="15" t="n">
        <v>2523.33</v>
      </c>
      <c r="T30" s="15" t="n">
        <v>2523.33</v>
      </c>
      <c r="U30" s="15" t="n">
        <v>350</v>
      </c>
      <c r="V30" s="15" t="n">
        <v>250</v>
      </c>
      <c r="W30" s="15" t="n">
        <f aca="false">U30+V30</f>
        <v>600</v>
      </c>
    </row>
    <row r="31" customFormat="false" ht="15" hidden="false" customHeight="false" outlineLevel="0" collapsed="false">
      <c r="A31" s="3" t="s">
        <v>2147</v>
      </c>
      <c r="B31" s="3" t="s">
        <v>2148</v>
      </c>
      <c r="C31" s="3" t="s">
        <v>1255</v>
      </c>
      <c r="D31" s="3" t="s">
        <v>112</v>
      </c>
      <c r="E31" s="13" t="n">
        <v>455000</v>
      </c>
      <c r="F31" s="13" t="n">
        <v>5179.05</v>
      </c>
      <c r="G31" s="13" t="n">
        <v>647.38</v>
      </c>
      <c r="H31" s="13" t="n">
        <v>647.38</v>
      </c>
      <c r="I31" s="13" t="n">
        <f aca="false">SUM(K31:T31)</f>
        <v>3884.3</v>
      </c>
      <c r="J31" s="13" t="n">
        <f aca="false">F31-(G31+H31+I31)</f>
        <v>-0.00999999999930878</v>
      </c>
      <c r="K31" s="13" t="n">
        <v>388.43</v>
      </c>
      <c r="L31" s="13" t="n">
        <v>388.43</v>
      </c>
      <c r="M31" s="13" t="n">
        <v>388.43</v>
      </c>
      <c r="N31" s="13" t="n">
        <v>388.43</v>
      </c>
      <c r="O31" s="13" t="n">
        <v>388.43</v>
      </c>
      <c r="P31" s="13" t="n">
        <v>388.43</v>
      </c>
      <c r="Q31" s="13" t="n">
        <v>388.43</v>
      </c>
      <c r="R31" s="13" t="n">
        <v>388.43</v>
      </c>
      <c r="S31" s="13" t="n">
        <v>388.43</v>
      </c>
      <c r="T31" s="13" t="n">
        <v>388.43</v>
      </c>
      <c r="U31" s="13" t="n">
        <v>350</v>
      </c>
      <c r="V31" s="13" t="n">
        <v>0</v>
      </c>
      <c r="W31" s="13" t="n">
        <f aca="false">U31+V31</f>
        <v>350</v>
      </c>
    </row>
    <row r="32" customFormat="false" ht="15" hidden="false" customHeight="false" outlineLevel="0" collapsed="false">
      <c r="A32" s="14" t="s">
        <v>2149</v>
      </c>
      <c r="B32" s="14" t="s">
        <v>2150</v>
      </c>
      <c r="C32" s="14" t="s">
        <v>1545</v>
      </c>
      <c r="D32" s="14" t="s">
        <v>85</v>
      </c>
      <c r="E32" s="15" t="n">
        <v>350000</v>
      </c>
      <c r="F32" s="15" t="n">
        <v>5829.05</v>
      </c>
      <c r="G32" s="15" t="n">
        <v>728.63</v>
      </c>
      <c r="H32" s="15" t="n">
        <v>728.63</v>
      </c>
      <c r="I32" s="15" t="n">
        <f aca="false">SUM(K32:T32)</f>
        <v>4371.8</v>
      </c>
      <c r="J32" s="15" t="n">
        <f aca="false">F32-(G32+H32+I32)</f>
        <v>-0.0100000000002183</v>
      </c>
      <c r="K32" s="15" t="n">
        <v>437.18</v>
      </c>
      <c r="L32" s="15" t="n">
        <v>437.18</v>
      </c>
      <c r="M32" s="15" t="n">
        <v>437.18</v>
      </c>
      <c r="N32" s="15" t="n">
        <v>437.18</v>
      </c>
      <c r="O32" s="15" t="n">
        <v>437.18</v>
      </c>
      <c r="P32" s="15" t="n">
        <v>437.18</v>
      </c>
      <c r="Q32" s="15" t="n">
        <v>437.18</v>
      </c>
      <c r="R32" s="15" t="n">
        <v>437.18</v>
      </c>
      <c r="S32" s="15" t="n">
        <v>437.18</v>
      </c>
      <c r="T32" s="15" t="n">
        <v>437.18</v>
      </c>
      <c r="U32" s="15" t="n">
        <v>350</v>
      </c>
      <c r="V32" s="15" t="n">
        <v>0</v>
      </c>
      <c r="W32" s="15" t="n">
        <f aca="false">U32+V32</f>
        <v>350</v>
      </c>
    </row>
    <row r="33" customFormat="false" ht="15" hidden="false" customHeight="false" outlineLevel="0" collapsed="false">
      <c r="A33" s="3" t="s">
        <v>2151</v>
      </c>
      <c r="B33" s="3" t="s">
        <v>2101</v>
      </c>
      <c r="C33" s="3" t="s">
        <v>655</v>
      </c>
      <c r="D33" s="3" t="s">
        <v>73</v>
      </c>
      <c r="E33" s="13" t="n">
        <v>1530000</v>
      </c>
      <c r="F33" s="13" t="n">
        <v>22878.16</v>
      </c>
      <c r="G33" s="13" t="n">
        <v>2859.77</v>
      </c>
      <c r="H33" s="13" t="n">
        <v>2859.77</v>
      </c>
      <c r="I33" s="13" t="n">
        <f aca="false">SUM(K33:T33)</f>
        <v>17158.6</v>
      </c>
      <c r="J33" s="13" t="n">
        <f aca="false">F33-(G33+H33+I33)</f>
        <v>0.0200000000004366</v>
      </c>
      <c r="K33" s="13" t="n">
        <v>1715.86</v>
      </c>
      <c r="L33" s="13" t="n">
        <v>1715.86</v>
      </c>
      <c r="M33" s="13" t="n">
        <v>1715.86</v>
      </c>
      <c r="N33" s="13" t="n">
        <v>1715.86</v>
      </c>
      <c r="O33" s="13" t="n">
        <v>1715.86</v>
      </c>
      <c r="P33" s="13" t="n">
        <v>1715.86</v>
      </c>
      <c r="Q33" s="13" t="n">
        <v>1715.86</v>
      </c>
      <c r="R33" s="13" t="n">
        <v>1715.86</v>
      </c>
      <c r="S33" s="13" t="n">
        <v>1715.86</v>
      </c>
      <c r="T33" s="13" t="n">
        <v>1715.86</v>
      </c>
      <c r="U33" s="13" t="n">
        <v>350</v>
      </c>
      <c r="V33" s="13" t="n">
        <v>250</v>
      </c>
      <c r="W33" s="13" t="n">
        <f aca="false">U33+V33</f>
        <v>600</v>
      </c>
    </row>
    <row r="34" customFormat="false" ht="15" hidden="false" customHeight="false" outlineLevel="0" collapsed="false">
      <c r="A34" s="14" t="s">
        <v>2152</v>
      </c>
      <c r="B34" s="14" t="s">
        <v>2116</v>
      </c>
      <c r="C34" s="14" t="s">
        <v>2153</v>
      </c>
      <c r="D34" s="14" t="s">
        <v>382</v>
      </c>
      <c r="E34" s="15" t="n">
        <v>1710000</v>
      </c>
      <c r="F34" s="15" t="n">
        <v>16827.93</v>
      </c>
      <c r="G34" s="15" t="n">
        <v>2103.49</v>
      </c>
      <c r="H34" s="15" t="n">
        <v>2103.49</v>
      </c>
      <c r="I34" s="15" t="n">
        <f aca="false">SUM(K34:T34)</f>
        <v>12620.9</v>
      </c>
      <c r="J34" s="15" t="n">
        <f aca="false">F34-(G34+H34+I34)</f>
        <v>0.0500000000029104</v>
      </c>
      <c r="K34" s="15" t="n">
        <v>1262.09</v>
      </c>
      <c r="L34" s="15" t="n">
        <v>1262.09</v>
      </c>
      <c r="M34" s="15" t="n">
        <v>1262.09</v>
      </c>
      <c r="N34" s="15" t="n">
        <v>1262.09</v>
      </c>
      <c r="O34" s="15" t="n">
        <v>1262.09</v>
      </c>
      <c r="P34" s="15" t="n">
        <v>1262.09</v>
      </c>
      <c r="Q34" s="15" t="n">
        <v>1262.09</v>
      </c>
      <c r="R34" s="15" t="n">
        <v>1262.09</v>
      </c>
      <c r="S34" s="15" t="n">
        <v>1262.09</v>
      </c>
      <c r="T34" s="15" t="n">
        <v>1262.09</v>
      </c>
      <c r="U34" s="15" t="n">
        <v>350</v>
      </c>
      <c r="V34" s="15" t="n">
        <v>250</v>
      </c>
      <c r="W34" s="15" t="n">
        <f aca="false">U34+V34</f>
        <v>600</v>
      </c>
    </row>
    <row r="35" customFormat="false" ht="15" hidden="false" customHeight="false" outlineLevel="0" collapsed="false">
      <c r="A35" s="3" t="s">
        <v>2154</v>
      </c>
      <c r="B35" s="3" t="s">
        <v>2134</v>
      </c>
      <c r="C35" s="3" t="s">
        <v>349</v>
      </c>
      <c r="D35" s="3" t="s">
        <v>338</v>
      </c>
      <c r="E35" s="13" t="n">
        <v>890000</v>
      </c>
      <c r="F35" s="13" t="n">
        <v>11459.85</v>
      </c>
      <c r="G35" s="13" t="n">
        <v>1432.48</v>
      </c>
      <c r="H35" s="13" t="n">
        <v>1432.48</v>
      </c>
      <c r="I35" s="13" t="n">
        <f aca="false">SUM(K35:T35)</f>
        <v>8594.9</v>
      </c>
      <c r="J35" s="13" t="n">
        <f aca="false">F35-(G35+H35+I35)</f>
        <v>-0.0100000000002183</v>
      </c>
      <c r="K35" s="13" t="n">
        <v>859.49</v>
      </c>
      <c r="L35" s="13" t="n">
        <v>859.49</v>
      </c>
      <c r="M35" s="13" t="n">
        <v>859.49</v>
      </c>
      <c r="N35" s="13" t="n">
        <v>859.49</v>
      </c>
      <c r="O35" s="13" t="n">
        <v>859.49</v>
      </c>
      <c r="P35" s="13" t="n">
        <v>859.49</v>
      </c>
      <c r="Q35" s="13" t="n">
        <v>859.49</v>
      </c>
      <c r="R35" s="13" t="n">
        <v>859.49</v>
      </c>
      <c r="S35" s="13" t="n">
        <v>859.49</v>
      </c>
      <c r="T35" s="13" t="n">
        <v>859.49</v>
      </c>
      <c r="U35" s="13" t="n">
        <v>350</v>
      </c>
      <c r="V35" s="13" t="n">
        <v>0</v>
      </c>
      <c r="W35" s="13" t="n">
        <f aca="false">U35+V35</f>
        <v>350</v>
      </c>
    </row>
    <row r="36" customFormat="false" ht="15" hidden="false" customHeight="false" outlineLevel="0" collapsed="false">
      <c r="A36" s="14" t="s">
        <v>2155</v>
      </c>
      <c r="B36" s="14" t="s">
        <v>2156</v>
      </c>
      <c r="C36" s="14" t="s">
        <v>1175</v>
      </c>
      <c r="D36" s="14" t="s">
        <v>230</v>
      </c>
      <c r="E36" s="15" t="n">
        <v>595000</v>
      </c>
      <c r="F36" s="15" t="n">
        <v>8822.92</v>
      </c>
      <c r="G36" s="15" t="n">
        <v>1102.87</v>
      </c>
      <c r="H36" s="15" t="n">
        <v>1102.87</v>
      </c>
      <c r="I36" s="15" t="n">
        <f aca="false">SUM(K36:T36)</f>
        <v>6617.2</v>
      </c>
      <c r="J36" s="15" t="n">
        <f aca="false">F36-(G36+H36+I36)</f>
        <v>-0.0200000000004366</v>
      </c>
      <c r="K36" s="15" t="n">
        <v>661.72</v>
      </c>
      <c r="L36" s="15" t="n">
        <v>661.72</v>
      </c>
      <c r="M36" s="15" t="n">
        <v>661.72</v>
      </c>
      <c r="N36" s="15" t="n">
        <v>661.72</v>
      </c>
      <c r="O36" s="15" t="n">
        <v>661.72</v>
      </c>
      <c r="P36" s="15" t="n">
        <v>661.72</v>
      </c>
      <c r="Q36" s="15" t="n">
        <v>661.72</v>
      </c>
      <c r="R36" s="15" t="n">
        <v>661.72</v>
      </c>
      <c r="S36" s="15" t="n">
        <v>661.72</v>
      </c>
      <c r="T36" s="15" t="n">
        <v>661.72</v>
      </c>
      <c r="U36" s="15" t="n">
        <v>350</v>
      </c>
      <c r="V36" s="15" t="n">
        <v>0</v>
      </c>
      <c r="W36" s="15" t="n">
        <f aca="false">U36+V36</f>
        <v>350</v>
      </c>
    </row>
    <row r="37" customFormat="false" ht="15" hidden="false" customHeight="false" outlineLevel="0" collapsed="false">
      <c r="A37" s="3" t="s">
        <v>2157</v>
      </c>
      <c r="B37" s="3" t="s">
        <v>2148</v>
      </c>
      <c r="C37" s="3" t="s">
        <v>1682</v>
      </c>
      <c r="D37" s="3" t="s">
        <v>193</v>
      </c>
      <c r="E37" s="13" t="n">
        <v>520000</v>
      </c>
      <c r="F37" s="13" t="n">
        <v>6749.64</v>
      </c>
      <c r="G37" s="13" t="n">
        <v>843.71</v>
      </c>
      <c r="H37" s="13" t="n">
        <v>843.71</v>
      </c>
      <c r="I37" s="13" t="n">
        <f aca="false">SUM(K37:T37)</f>
        <v>5062.2</v>
      </c>
      <c r="J37" s="13" t="n">
        <f aca="false">F37-(G37+H37+I37)</f>
        <v>0.0199999999995271</v>
      </c>
      <c r="K37" s="13" t="n">
        <v>506.22</v>
      </c>
      <c r="L37" s="13" t="n">
        <v>506.22</v>
      </c>
      <c r="M37" s="13" t="n">
        <v>506.22</v>
      </c>
      <c r="N37" s="13" t="n">
        <v>506.22</v>
      </c>
      <c r="O37" s="13" t="n">
        <v>506.22</v>
      </c>
      <c r="P37" s="13" t="n">
        <v>506.22</v>
      </c>
      <c r="Q37" s="13" t="n">
        <v>506.22</v>
      </c>
      <c r="R37" s="13" t="n">
        <v>506.22</v>
      </c>
      <c r="S37" s="13" t="n">
        <v>506.22</v>
      </c>
      <c r="T37" s="13" t="n">
        <v>506.22</v>
      </c>
      <c r="U37" s="13" t="n">
        <v>350</v>
      </c>
      <c r="V37" s="13" t="n">
        <v>0</v>
      </c>
      <c r="W37" s="13" t="n">
        <f aca="false">U37+V37</f>
        <v>350</v>
      </c>
    </row>
    <row r="38" customFormat="false" ht="15" hidden="false" customHeight="false" outlineLevel="0" collapsed="false">
      <c r="A38" s="14" t="s">
        <v>2158</v>
      </c>
      <c r="B38" s="14" t="s">
        <v>2159</v>
      </c>
      <c r="C38" s="14" t="s">
        <v>2160</v>
      </c>
      <c r="D38" s="14" t="s">
        <v>193</v>
      </c>
      <c r="E38" s="15" t="n">
        <v>615000</v>
      </c>
      <c r="F38" s="15" t="n">
        <v>7982.75</v>
      </c>
      <c r="G38" s="15" t="n">
        <v>997.84</v>
      </c>
      <c r="H38" s="15" t="n">
        <v>997.84</v>
      </c>
      <c r="I38" s="15" t="n">
        <f aca="false">SUM(K38:T38)</f>
        <v>5987.1</v>
      </c>
      <c r="J38" s="15" t="n">
        <f aca="false">F38-(G38+H38+I38)</f>
        <v>-0.0300000000006548</v>
      </c>
      <c r="K38" s="15" t="n">
        <v>598.71</v>
      </c>
      <c r="L38" s="15" t="n">
        <v>598.71</v>
      </c>
      <c r="M38" s="15" t="n">
        <v>598.71</v>
      </c>
      <c r="N38" s="15" t="n">
        <v>598.71</v>
      </c>
      <c r="O38" s="15" t="n">
        <v>598.71</v>
      </c>
      <c r="P38" s="15" t="n">
        <v>598.71</v>
      </c>
      <c r="Q38" s="15" t="n">
        <v>598.71</v>
      </c>
      <c r="R38" s="15" t="n">
        <v>598.71</v>
      </c>
      <c r="S38" s="15" t="n">
        <v>598.71</v>
      </c>
      <c r="T38" s="15" t="n">
        <v>598.71</v>
      </c>
      <c r="U38" s="15" t="n">
        <v>350</v>
      </c>
      <c r="V38" s="15" t="n">
        <v>0</v>
      </c>
      <c r="W38" s="15" t="n">
        <f aca="false">U38+V38</f>
        <v>350</v>
      </c>
    </row>
    <row r="39" customFormat="false" ht="15" hidden="false" customHeight="false" outlineLevel="0" collapsed="false">
      <c r="A39" s="3" t="s">
        <v>2161</v>
      </c>
      <c r="B39" s="3" t="s">
        <v>2162</v>
      </c>
      <c r="C39" s="3" t="s">
        <v>1655</v>
      </c>
      <c r="D39" s="3" t="s">
        <v>81</v>
      </c>
      <c r="E39" s="13" t="n">
        <v>1150000</v>
      </c>
      <c r="F39" s="13" t="n">
        <v>12933.74</v>
      </c>
      <c r="G39" s="13" t="n">
        <v>1616.72</v>
      </c>
      <c r="H39" s="13" t="n">
        <v>1616.72</v>
      </c>
      <c r="I39" s="13" t="n">
        <f aca="false">SUM(K39:T39)</f>
        <v>9700.3</v>
      </c>
      <c r="J39" s="13" t="n">
        <f aca="false">F39-(G39+H39+I39)</f>
        <v>0</v>
      </c>
      <c r="K39" s="13" t="n">
        <v>970.03</v>
      </c>
      <c r="L39" s="13" t="n">
        <v>970.03</v>
      </c>
      <c r="M39" s="13" t="n">
        <v>970.03</v>
      </c>
      <c r="N39" s="13" t="n">
        <v>970.03</v>
      </c>
      <c r="O39" s="13" t="n">
        <v>970.03</v>
      </c>
      <c r="P39" s="13" t="n">
        <v>970.03</v>
      </c>
      <c r="Q39" s="13" t="n">
        <v>970.03</v>
      </c>
      <c r="R39" s="13" t="n">
        <v>970.03</v>
      </c>
      <c r="S39" s="13" t="n">
        <v>970.03</v>
      </c>
      <c r="T39" s="13" t="n">
        <v>970.03</v>
      </c>
      <c r="U39" s="13" t="n">
        <v>350</v>
      </c>
      <c r="V39" s="13" t="n">
        <v>250</v>
      </c>
      <c r="W39" s="13" t="n">
        <f aca="false">U39+V39</f>
        <v>600</v>
      </c>
    </row>
    <row r="40" customFormat="false" ht="15" hidden="false" customHeight="false" outlineLevel="0" collapsed="false">
      <c r="A40" s="14" t="s">
        <v>2163</v>
      </c>
      <c r="B40" s="14" t="s">
        <v>2164</v>
      </c>
      <c r="C40" s="14" t="s">
        <v>1356</v>
      </c>
      <c r="D40" s="14" t="s">
        <v>157</v>
      </c>
      <c r="E40" s="15" t="n">
        <v>1460000</v>
      </c>
      <c r="F40" s="15" t="n">
        <v>26496.27</v>
      </c>
      <c r="G40" s="15" t="n">
        <v>3312.03</v>
      </c>
      <c r="H40" s="15" t="n">
        <v>3312.03</v>
      </c>
      <c r="I40" s="15" t="n">
        <f aca="false">SUM(K40:T40)</f>
        <v>19872.2</v>
      </c>
      <c r="J40" s="15" t="n">
        <f aca="false">F40-(G40+H40+I40)</f>
        <v>0.00999999999839929</v>
      </c>
      <c r="K40" s="15" t="n">
        <v>1987.22</v>
      </c>
      <c r="L40" s="15" t="n">
        <v>1987.22</v>
      </c>
      <c r="M40" s="15" t="n">
        <v>1987.22</v>
      </c>
      <c r="N40" s="15" t="n">
        <v>1987.22</v>
      </c>
      <c r="O40" s="15" t="n">
        <v>1987.22</v>
      </c>
      <c r="P40" s="15" t="n">
        <v>1987.22</v>
      </c>
      <c r="Q40" s="15" t="n">
        <v>1987.22</v>
      </c>
      <c r="R40" s="15" t="n">
        <v>1987.22</v>
      </c>
      <c r="S40" s="15" t="n">
        <v>1987.22</v>
      </c>
      <c r="T40" s="15" t="n">
        <v>1987.22</v>
      </c>
      <c r="U40" s="15" t="n">
        <v>350</v>
      </c>
      <c r="V40" s="15" t="n">
        <v>250</v>
      </c>
      <c r="W40" s="15" t="n">
        <f aca="false">U40+V40</f>
        <v>600</v>
      </c>
    </row>
    <row r="41" customFormat="false" ht="15" hidden="false" customHeight="false" outlineLevel="0" collapsed="false">
      <c r="A41" s="3" t="s">
        <v>2165</v>
      </c>
      <c r="B41" s="3" t="s">
        <v>2159</v>
      </c>
      <c r="C41" s="3" t="s">
        <v>2166</v>
      </c>
      <c r="D41" s="3" t="s">
        <v>89</v>
      </c>
      <c r="E41" s="13" t="n">
        <v>565000</v>
      </c>
      <c r="F41" s="13" t="n">
        <v>7920.44</v>
      </c>
      <c r="G41" s="13" t="n">
        <v>990.05</v>
      </c>
      <c r="H41" s="13" t="n">
        <v>990.05</v>
      </c>
      <c r="I41" s="13" t="n">
        <f aca="false">SUM(K41:T41)</f>
        <v>5940.3</v>
      </c>
      <c r="J41" s="13" t="n">
        <f aca="false">F41-(G41+H41+I41)</f>
        <v>0.0399999999999636</v>
      </c>
      <c r="K41" s="13" t="n">
        <v>594.03</v>
      </c>
      <c r="L41" s="13" t="n">
        <v>594.03</v>
      </c>
      <c r="M41" s="13" t="n">
        <v>594.03</v>
      </c>
      <c r="N41" s="13" t="n">
        <v>594.03</v>
      </c>
      <c r="O41" s="13" t="n">
        <v>594.03</v>
      </c>
      <c r="P41" s="13" t="n">
        <v>594.03</v>
      </c>
      <c r="Q41" s="13" t="n">
        <v>594.03</v>
      </c>
      <c r="R41" s="13" t="n">
        <v>594.03</v>
      </c>
      <c r="S41" s="13" t="n">
        <v>594.03</v>
      </c>
      <c r="T41" s="13" t="n">
        <v>594.03</v>
      </c>
      <c r="U41" s="13" t="n">
        <v>350</v>
      </c>
      <c r="V41" s="13" t="n">
        <v>0</v>
      </c>
      <c r="W41" s="13" t="n">
        <f aca="false">U41+V41</f>
        <v>350</v>
      </c>
    </row>
    <row r="42" customFormat="false" ht="15" hidden="false" customHeight="false" outlineLevel="0" collapsed="false">
      <c r="A42" s="14" t="s">
        <v>2167</v>
      </c>
      <c r="B42" s="14" t="s">
        <v>2101</v>
      </c>
      <c r="C42" s="14" t="s">
        <v>896</v>
      </c>
      <c r="D42" s="14" t="s">
        <v>138</v>
      </c>
      <c r="E42" s="15" t="n">
        <v>815000</v>
      </c>
      <c r="F42" s="15" t="n">
        <v>14224.36</v>
      </c>
      <c r="G42" s="15" t="n">
        <v>1778.05</v>
      </c>
      <c r="H42" s="15" t="n">
        <v>1778.05</v>
      </c>
      <c r="I42" s="15" t="n">
        <f aca="false">SUM(K42:T42)</f>
        <v>10668.3</v>
      </c>
      <c r="J42" s="15" t="n">
        <f aca="false">F42-(G42+H42+I42)</f>
        <v>-0.0399999999990541</v>
      </c>
      <c r="K42" s="15" t="n">
        <v>1066.83</v>
      </c>
      <c r="L42" s="15" t="n">
        <v>1066.83</v>
      </c>
      <c r="M42" s="15" t="n">
        <v>1066.83</v>
      </c>
      <c r="N42" s="15" t="n">
        <v>1066.83</v>
      </c>
      <c r="O42" s="15" t="n">
        <v>1066.83</v>
      </c>
      <c r="P42" s="15" t="n">
        <v>1066.83</v>
      </c>
      <c r="Q42" s="15" t="n">
        <v>1066.83</v>
      </c>
      <c r="R42" s="15" t="n">
        <v>1066.83</v>
      </c>
      <c r="S42" s="15" t="n">
        <v>1066.83</v>
      </c>
      <c r="T42" s="15" t="n">
        <v>1066.83</v>
      </c>
      <c r="U42" s="15" t="n">
        <v>350</v>
      </c>
      <c r="V42" s="15" t="n">
        <v>0</v>
      </c>
      <c r="W42" s="15" t="n">
        <f aca="false">U42+V42</f>
        <v>350</v>
      </c>
    </row>
    <row r="43" customFormat="false" ht="15" hidden="false" customHeight="false" outlineLevel="0" collapsed="false">
      <c r="A43" s="3" t="s">
        <v>2168</v>
      </c>
      <c r="B43" s="3" t="s">
        <v>2111</v>
      </c>
      <c r="C43" s="3" t="s">
        <v>755</v>
      </c>
      <c r="D43" s="3" t="s">
        <v>172</v>
      </c>
      <c r="E43" s="13" t="n">
        <v>405000</v>
      </c>
      <c r="F43" s="13" t="n">
        <v>5046.65</v>
      </c>
      <c r="G43" s="13" t="n">
        <v>630.83</v>
      </c>
      <c r="H43" s="13" t="n">
        <v>630.83</v>
      </c>
      <c r="I43" s="13" t="n">
        <f aca="false">SUM(K43:T43)</f>
        <v>3785</v>
      </c>
      <c r="J43" s="13" t="n">
        <f aca="false">F43-(G43+H43+I43)</f>
        <v>-0.0100000000002183</v>
      </c>
      <c r="K43" s="13" t="n">
        <v>378.5</v>
      </c>
      <c r="L43" s="13" t="n">
        <v>378.5</v>
      </c>
      <c r="M43" s="13" t="n">
        <v>378.5</v>
      </c>
      <c r="N43" s="13" t="n">
        <v>378.5</v>
      </c>
      <c r="O43" s="13" t="n">
        <v>378.5</v>
      </c>
      <c r="P43" s="13" t="n">
        <v>378.5</v>
      </c>
      <c r="Q43" s="13" t="n">
        <v>378.5</v>
      </c>
      <c r="R43" s="13" t="n">
        <v>378.5</v>
      </c>
      <c r="S43" s="13" t="n">
        <v>378.5</v>
      </c>
      <c r="T43" s="13" t="n">
        <v>378.5</v>
      </c>
      <c r="U43" s="13" t="n">
        <v>350</v>
      </c>
      <c r="V43" s="13" t="n">
        <v>0</v>
      </c>
      <c r="W43" s="13" t="n">
        <f aca="false">U43+V43</f>
        <v>350</v>
      </c>
    </row>
    <row r="44" customFormat="false" ht="15" hidden="false" customHeight="false" outlineLevel="0" collapsed="false">
      <c r="A44" s="14" t="s">
        <v>2169</v>
      </c>
      <c r="B44" s="14" t="s">
        <v>2113</v>
      </c>
      <c r="C44" s="14" t="s">
        <v>562</v>
      </c>
      <c r="D44" s="14" t="s">
        <v>325</v>
      </c>
      <c r="E44" s="15" t="n">
        <v>915000</v>
      </c>
      <c r="F44" s="15" t="n">
        <v>13111.95</v>
      </c>
      <c r="G44" s="15" t="n">
        <v>1638.99</v>
      </c>
      <c r="H44" s="15" t="n">
        <v>1638.99</v>
      </c>
      <c r="I44" s="15" t="n">
        <f aca="false">SUM(K44:T44)</f>
        <v>9834</v>
      </c>
      <c r="J44" s="15" t="n">
        <f aca="false">F44-(G44+H44+I44)</f>
        <v>-0.0299999999988358</v>
      </c>
      <c r="K44" s="15" t="n">
        <v>983.4</v>
      </c>
      <c r="L44" s="15" t="n">
        <v>983.4</v>
      </c>
      <c r="M44" s="15" t="n">
        <v>983.4</v>
      </c>
      <c r="N44" s="15" t="n">
        <v>983.4</v>
      </c>
      <c r="O44" s="15" t="n">
        <v>983.4</v>
      </c>
      <c r="P44" s="15" t="n">
        <v>983.4</v>
      </c>
      <c r="Q44" s="15" t="n">
        <v>983.4</v>
      </c>
      <c r="R44" s="15" t="n">
        <v>983.4</v>
      </c>
      <c r="S44" s="15" t="n">
        <v>983.4</v>
      </c>
      <c r="T44" s="15" t="n">
        <v>983.4</v>
      </c>
      <c r="U44" s="15" t="n">
        <v>350</v>
      </c>
      <c r="V44" s="15" t="n">
        <v>0</v>
      </c>
      <c r="W44" s="15" t="n">
        <f aca="false">U44+V44</f>
        <v>350</v>
      </c>
    </row>
    <row r="45" customFormat="false" ht="15" hidden="false" customHeight="false" outlineLevel="0" collapsed="false">
      <c r="A45" s="3" t="s">
        <v>2170</v>
      </c>
      <c r="B45" s="3" t="s">
        <v>2136</v>
      </c>
      <c r="C45" s="3" t="s">
        <v>1351</v>
      </c>
      <c r="D45" s="3" t="s">
        <v>430</v>
      </c>
      <c r="E45" s="13" t="n">
        <v>610000</v>
      </c>
      <c r="F45" s="13" t="n">
        <v>9165.21</v>
      </c>
      <c r="G45" s="13" t="n">
        <v>1145.65</v>
      </c>
      <c r="H45" s="13" t="n">
        <v>1145.65</v>
      </c>
      <c r="I45" s="13" t="n">
        <f aca="false">SUM(K45:T45)</f>
        <v>6873.9</v>
      </c>
      <c r="J45" s="13" t="n">
        <f aca="false">F45-(G45+H45+I45)</f>
        <v>0.00999999999839929</v>
      </c>
      <c r="K45" s="13" t="n">
        <v>687.39</v>
      </c>
      <c r="L45" s="13" t="n">
        <v>687.39</v>
      </c>
      <c r="M45" s="13" t="n">
        <v>687.39</v>
      </c>
      <c r="N45" s="13" t="n">
        <v>687.39</v>
      </c>
      <c r="O45" s="13" t="n">
        <v>687.39</v>
      </c>
      <c r="P45" s="13" t="n">
        <v>687.39</v>
      </c>
      <c r="Q45" s="13" t="n">
        <v>687.39</v>
      </c>
      <c r="R45" s="13" t="n">
        <v>687.39</v>
      </c>
      <c r="S45" s="13" t="n">
        <v>687.39</v>
      </c>
      <c r="T45" s="13" t="n">
        <v>687.39</v>
      </c>
      <c r="U45" s="13" t="n">
        <v>350</v>
      </c>
      <c r="V45" s="13" t="n">
        <v>0</v>
      </c>
      <c r="W45" s="13" t="n">
        <f aca="false">U45+V45</f>
        <v>350</v>
      </c>
    </row>
    <row r="46" customFormat="false" ht="15" hidden="false" customHeight="false" outlineLevel="0" collapsed="false">
      <c r="A46" s="14" t="s">
        <v>2171</v>
      </c>
      <c r="B46" s="14" t="s">
        <v>2104</v>
      </c>
      <c r="C46" s="14" t="s">
        <v>944</v>
      </c>
      <c r="D46" s="14" t="s">
        <v>246</v>
      </c>
      <c r="E46" s="15" t="n">
        <v>750000</v>
      </c>
      <c r="F46" s="15" t="n">
        <v>6182.51</v>
      </c>
      <c r="G46" s="15" t="n">
        <v>772.81</v>
      </c>
      <c r="H46" s="15" t="n">
        <v>772.81</v>
      </c>
      <c r="I46" s="15" t="n">
        <f aca="false">SUM(K46:T46)</f>
        <v>4636.9</v>
      </c>
      <c r="J46" s="15" t="n">
        <f aca="false">F46-(G46+H46+I46)</f>
        <v>-0.00999999999930878</v>
      </c>
      <c r="K46" s="15" t="n">
        <v>463.69</v>
      </c>
      <c r="L46" s="15" t="n">
        <v>463.69</v>
      </c>
      <c r="M46" s="15" t="n">
        <v>463.69</v>
      </c>
      <c r="N46" s="15" t="n">
        <v>463.69</v>
      </c>
      <c r="O46" s="15" t="n">
        <v>463.69</v>
      </c>
      <c r="P46" s="15" t="n">
        <v>463.69</v>
      </c>
      <c r="Q46" s="15" t="n">
        <v>463.69</v>
      </c>
      <c r="R46" s="15" t="n">
        <v>463.69</v>
      </c>
      <c r="S46" s="15" t="n">
        <v>463.69</v>
      </c>
      <c r="T46" s="15" t="n">
        <v>463.69</v>
      </c>
      <c r="U46" s="15" t="n">
        <v>350</v>
      </c>
      <c r="V46" s="15" t="n">
        <v>0</v>
      </c>
      <c r="W46" s="15" t="n">
        <f aca="false">U46+V46</f>
        <v>350</v>
      </c>
    </row>
    <row r="47" customFormat="false" ht="15" hidden="false" customHeight="false" outlineLevel="0" collapsed="false">
      <c r="A47" s="3" t="s">
        <v>2172</v>
      </c>
      <c r="B47" s="3" t="s">
        <v>2111</v>
      </c>
      <c r="C47" s="3" t="s">
        <v>1692</v>
      </c>
      <c r="D47" s="3" t="s">
        <v>157</v>
      </c>
      <c r="E47" s="13" t="n">
        <v>945000</v>
      </c>
      <c r="F47" s="13" t="n">
        <v>20365.61</v>
      </c>
      <c r="G47" s="13" t="n">
        <v>2545.7</v>
      </c>
      <c r="H47" s="13" t="n">
        <v>2545.7</v>
      </c>
      <c r="I47" s="13" t="n">
        <f aca="false">SUM(K47:T47)</f>
        <v>15274.2</v>
      </c>
      <c r="J47" s="13" t="n">
        <f aca="false">F47-(G47+H47+I47)</f>
        <v>0.0100000000020373</v>
      </c>
      <c r="K47" s="13" t="n">
        <v>1527.42</v>
      </c>
      <c r="L47" s="13" t="n">
        <v>1527.42</v>
      </c>
      <c r="M47" s="13" t="n">
        <v>1527.42</v>
      </c>
      <c r="N47" s="13" t="n">
        <v>1527.42</v>
      </c>
      <c r="O47" s="13" t="n">
        <v>1527.42</v>
      </c>
      <c r="P47" s="13" t="n">
        <v>1527.42</v>
      </c>
      <c r="Q47" s="13" t="n">
        <v>1527.42</v>
      </c>
      <c r="R47" s="13" t="n">
        <v>1527.42</v>
      </c>
      <c r="S47" s="13" t="n">
        <v>1527.42</v>
      </c>
      <c r="T47" s="13" t="n">
        <v>1527.42</v>
      </c>
      <c r="U47" s="13" t="n">
        <v>350</v>
      </c>
      <c r="V47" s="13" t="n">
        <v>0</v>
      </c>
      <c r="W47" s="13" t="n">
        <f aca="false">U47+V47</f>
        <v>350</v>
      </c>
    </row>
    <row r="48" customFormat="false" ht="15" hidden="false" customHeight="false" outlineLevel="0" collapsed="false">
      <c r="A48" s="14" t="s">
        <v>2173</v>
      </c>
      <c r="B48" s="14" t="s">
        <v>2124</v>
      </c>
      <c r="C48" s="14" t="s">
        <v>2174</v>
      </c>
      <c r="D48" s="14" t="s">
        <v>89</v>
      </c>
      <c r="E48" s="15" t="n">
        <v>1310000</v>
      </c>
      <c r="F48" s="15" t="n">
        <v>15538.94</v>
      </c>
      <c r="G48" s="15" t="n">
        <v>1942.37</v>
      </c>
      <c r="H48" s="15" t="n">
        <v>1942.37</v>
      </c>
      <c r="I48" s="15" t="n">
        <f aca="false">SUM(K48:T48)</f>
        <v>11654.2</v>
      </c>
      <c r="J48" s="15" t="n">
        <f aca="false">F48-(G48+H48+I48)</f>
        <v>0</v>
      </c>
      <c r="K48" s="15" t="n">
        <v>1165.42</v>
      </c>
      <c r="L48" s="15" t="n">
        <v>1165.42</v>
      </c>
      <c r="M48" s="15" t="n">
        <v>1165.42</v>
      </c>
      <c r="N48" s="15" t="n">
        <v>1165.42</v>
      </c>
      <c r="O48" s="15" t="n">
        <v>1165.42</v>
      </c>
      <c r="P48" s="15" t="n">
        <v>1165.42</v>
      </c>
      <c r="Q48" s="15" t="n">
        <v>1165.42</v>
      </c>
      <c r="R48" s="15" t="n">
        <v>1165.42</v>
      </c>
      <c r="S48" s="15" t="n">
        <v>1165.42</v>
      </c>
      <c r="T48" s="15" t="n">
        <v>1165.42</v>
      </c>
      <c r="U48" s="15" t="n">
        <v>350</v>
      </c>
      <c r="V48" s="15" t="n">
        <v>250</v>
      </c>
      <c r="W48" s="15" t="n">
        <f aca="false">U48+V48</f>
        <v>600</v>
      </c>
    </row>
    <row r="49" customFormat="false" ht="15" hidden="false" customHeight="false" outlineLevel="0" collapsed="false">
      <c r="A49" s="3" t="s">
        <v>2175</v>
      </c>
      <c r="B49" s="3" t="s">
        <v>2176</v>
      </c>
      <c r="C49" s="3" t="s">
        <v>184</v>
      </c>
      <c r="D49" s="3" t="s">
        <v>89</v>
      </c>
      <c r="E49" s="13" t="n">
        <v>720000</v>
      </c>
      <c r="F49" s="13" t="n">
        <v>10093.3</v>
      </c>
      <c r="G49" s="13" t="n">
        <v>1261.66</v>
      </c>
      <c r="H49" s="13" t="n">
        <v>1261.66</v>
      </c>
      <c r="I49" s="13" t="n">
        <f aca="false">SUM(K49:T49)</f>
        <v>7570</v>
      </c>
      <c r="J49" s="13" t="n">
        <f aca="false">F49-(G49+H49+I49)</f>
        <v>-0.0200000000004366</v>
      </c>
      <c r="K49" s="13" t="n">
        <v>757</v>
      </c>
      <c r="L49" s="13" t="n">
        <v>757</v>
      </c>
      <c r="M49" s="13" t="n">
        <v>757</v>
      </c>
      <c r="N49" s="13" t="n">
        <v>757</v>
      </c>
      <c r="O49" s="13" t="n">
        <v>757</v>
      </c>
      <c r="P49" s="13" t="n">
        <v>757</v>
      </c>
      <c r="Q49" s="13" t="n">
        <v>757</v>
      </c>
      <c r="R49" s="13" t="n">
        <v>757</v>
      </c>
      <c r="S49" s="13" t="n">
        <v>757</v>
      </c>
      <c r="T49" s="13" t="n">
        <v>757</v>
      </c>
      <c r="U49" s="13" t="n">
        <v>350</v>
      </c>
      <c r="V49" s="13" t="n">
        <v>0</v>
      </c>
      <c r="W49" s="13" t="n">
        <f aca="false">U49+V49</f>
        <v>350</v>
      </c>
    </row>
    <row r="50" customFormat="false" ht="15" hidden="false" customHeight="false" outlineLevel="0" collapsed="false">
      <c r="A50" s="14" t="s">
        <v>2177</v>
      </c>
      <c r="B50" s="14" t="s">
        <v>2148</v>
      </c>
      <c r="C50" s="14" t="s">
        <v>1377</v>
      </c>
      <c r="D50" s="14" t="s">
        <v>118</v>
      </c>
      <c r="E50" s="15" t="n">
        <v>515000</v>
      </c>
      <c r="F50" s="15" t="n">
        <v>9613.68</v>
      </c>
      <c r="G50" s="15" t="n">
        <v>1201.71</v>
      </c>
      <c r="H50" s="15" t="n">
        <v>1201.71</v>
      </c>
      <c r="I50" s="15" t="n">
        <f aca="false">SUM(K50:T50)</f>
        <v>7210.3</v>
      </c>
      <c r="J50" s="15" t="n">
        <f aca="false">F50-(G50+H50+I50)</f>
        <v>-0.0399999999990541</v>
      </c>
      <c r="K50" s="15" t="n">
        <v>721.03</v>
      </c>
      <c r="L50" s="15" t="n">
        <v>721.03</v>
      </c>
      <c r="M50" s="15" t="n">
        <v>721.03</v>
      </c>
      <c r="N50" s="15" t="n">
        <v>721.03</v>
      </c>
      <c r="O50" s="15" t="n">
        <v>721.03</v>
      </c>
      <c r="P50" s="15" t="n">
        <v>721.03</v>
      </c>
      <c r="Q50" s="15" t="n">
        <v>721.03</v>
      </c>
      <c r="R50" s="15" t="n">
        <v>721.03</v>
      </c>
      <c r="S50" s="15" t="n">
        <v>721.03</v>
      </c>
      <c r="T50" s="15" t="n">
        <v>721.03</v>
      </c>
      <c r="U50" s="15" t="n">
        <v>350</v>
      </c>
      <c r="V50" s="15" t="n">
        <v>0</v>
      </c>
      <c r="W50" s="15" t="n">
        <f aca="false">U50+V50</f>
        <v>350</v>
      </c>
    </row>
    <row r="51" customFormat="false" ht="15" hidden="false" customHeight="false" outlineLevel="0" collapsed="false">
      <c r="A51" s="3" t="s">
        <v>2178</v>
      </c>
      <c r="B51" s="3" t="s">
        <v>2179</v>
      </c>
      <c r="C51" s="3" t="s">
        <v>884</v>
      </c>
      <c r="D51" s="3" t="s">
        <v>69</v>
      </c>
      <c r="E51" s="13" t="n">
        <v>590000</v>
      </c>
      <c r="F51" s="13" t="n">
        <v>5942.79</v>
      </c>
      <c r="G51" s="13" t="n">
        <v>742.85</v>
      </c>
      <c r="H51" s="13" t="n">
        <v>742.85</v>
      </c>
      <c r="I51" s="13" t="n">
        <f aca="false">SUM(K51:T51)</f>
        <v>4457.1</v>
      </c>
      <c r="J51" s="13" t="n">
        <f aca="false">F51-(G51+H51+I51)</f>
        <v>-0.00999999999930878</v>
      </c>
      <c r="K51" s="13" t="n">
        <v>445.71</v>
      </c>
      <c r="L51" s="13" t="n">
        <v>445.71</v>
      </c>
      <c r="M51" s="13" t="n">
        <v>445.71</v>
      </c>
      <c r="N51" s="13" t="n">
        <v>445.71</v>
      </c>
      <c r="O51" s="13" t="n">
        <v>445.71</v>
      </c>
      <c r="P51" s="13" t="n">
        <v>445.71</v>
      </c>
      <c r="Q51" s="13" t="n">
        <v>445.71</v>
      </c>
      <c r="R51" s="13" t="n">
        <v>445.71</v>
      </c>
      <c r="S51" s="13" t="n">
        <v>445.71</v>
      </c>
      <c r="T51" s="13" t="n">
        <v>445.71</v>
      </c>
      <c r="U51" s="13" t="n">
        <v>350</v>
      </c>
      <c r="V51" s="13" t="n">
        <v>0</v>
      </c>
      <c r="W51" s="13" t="n">
        <f aca="false">U51+V51</f>
        <v>350</v>
      </c>
    </row>
    <row r="52" customFormat="false" ht="15" hidden="false" customHeight="false" outlineLevel="0" collapsed="false">
      <c r="A52" s="14" t="s">
        <v>2180</v>
      </c>
      <c r="B52" s="14" t="s">
        <v>2136</v>
      </c>
      <c r="C52" s="14" t="s">
        <v>487</v>
      </c>
      <c r="D52" s="14" t="s">
        <v>208</v>
      </c>
      <c r="E52" s="15" t="n">
        <v>295000</v>
      </c>
      <c r="F52" s="15" t="n">
        <v>4594.95</v>
      </c>
      <c r="G52" s="15" t="n">
        <v>574.37</v>
      </c>
      <c r="H52" s="15" t="n">
        <v>574.37</v>
      </c>
      <c r="I52" s="15" t="n">
        <f aca="false">SUM(K52:T52)</f>
        <v>3446.2</v>
      </c>
      <c r="J52" s="15" t="n">
        <f aca="false">F52-(G52+H52+I52)</f>
        <v>0.0100000000002183</v>
      </c>
      <c r="K52" s="15" t="n">
        <v>344.62</v>
      </c>
      <c r="L52" s="15" t="n">
        <v>344.62</v>
      </c>
      <c r="M52" s="15" t="n">
        <v>344.62</v>
      </c>
      <c r="N52" s="15" t="n">
        <v>344.62</v>
      </c>
      <c r="O52" s="15" t="n">
        <v>344.62</v>
      </c>
      <c r="P52" s="15" t="n">
        <v>344.62</v>
      </c>
      <c r="Q52" s="15" t="n">
        <v>344.62</v>
      </c>
      <c r="R52" s="15" t="n">
        <v>344.62</v>
      </c>
      <c r="S52" s="15" t="n">
        <v>344.62</v>
      </c>
      <c r="T52" s="15" t="n">
        <v>344.62</v>
      </c>
      <c r="U52" s="15" t="n">
        <v>350</v>
      </c>
      <c r="V52" s="15" t="n">
        <v>0</v>
      </c>
      <c r="W52" s="15" t="n">
        <f aca="false">U52+V52</f>
        <v>350</v>
      </c>
    </row>
    <row r="53" customFormat="false" ht="15" hidden="false" customHeight="false" outlineLevel="0" collapsed="false">
      <c r="A53" s="3" t="s">
        <v>2181</v>
      </c>
      <c r="B53" s="3" t="s">
        <v>2118</v>
      </c>
      <c r="C53" s="3" t="s">
        <v>781</v>
      </c>
      <c r="D53" s="3" t="s">
        <v>430</v>
      </c>
      <c r="E53" s="13" t="n">
        <v>535000</v>
      </c>
      <c r="F53" s="13" t="n">
        <v>3638.41</v>
      </c>
      <c r="G53" s="13" t="n">
        <v>454.8</v>
      </c>
      <c r="H53" s="13" t="n">
        <v>454.8</v>
      </c>
      <c r="I53" s="13" t="n">
        <f aca="false">SUM(K53:T53)</f>
        <v>2728.8</v>
      </c>
      <c r="J53" s="13" t="n">
        <f aca="false">F53-(G53+H53+I53)</f>
        <v>0.00999999999976353</v>
      </c>
      <c r="K53" s="13" t="n">
        <v>272.88</v>
      </c>
      <c r="L53" s="13" t="n">
        <v>272.88</v>
      </c>
      <c r="M53" s="13" t="n">
        <v>272.88</v>
      </c>
      <c r="N53" s="13" t="n">
        <v>272.88</v>
      </c>
      <c r="O53" s="13" t="n">
        <v>272.88</v>
      </c>
      <c r="P53" s="13" t="n">
        <v>272.88</v>
      </c>
      <c r="Q53" s="13" t="n">
        <v>272.88</v>
      </c>
      <c r="R53" s="13" t="n">
        <v>272.88</v>
      </c>
      <c r="S53" s="13" t="n">
        <v>272.88</v>
      </c>
      <c r="T53" s="13" t="n">
        <v>272.88</v>
      </c>
      <c r="U53" s="13" t="n">
        <v>350</v>
      </c>
      <c r="V53" s="13" t="n">
        <v>0</v>
      </c>
      <c r="W53" s="13" t="n">
        <f aca="false">U53+V53</f>
        <v>350</v>
      </c>
    </row>
    <row r="54" customFormat="false" ht="15" hidden="false" customHeight="false" outlineLevel="0" collapsed="false">
      <c r="A54" s="14" t="s">
        <v>2182</v>
      </c>
      <c r="B54" s="14" t="s">
        <v>2183</v>
      </c>
      <c r="C54" s="14" t="s">
        <v>2184</v>
      </c>
      <c r="D54" s="14" t="s">
        <v>99</v>
      </c>
      <c r="E54" s="15" t="n">
        <v>440000</v>
      </c>
      <c r="F54" s="15" t="n">
        <v>7169.79</v>
      </c>
      <c r="G54" s="15" t="n">
        <v>896.22</v>
      </c>
      <c r="H54" s="15" t="n">
        <v>896.22</v>
      </c>
      <c r="I54" s="15" t="n">
        <f aca="false">SUM(K54:T54)</f>
        <v>5377.3</v>
      </c>
      <c r="J54" s="15" t="n">
        <f aca="false">F54-(G54+H54+I54)</f>
        <v>0.0500000000001819</v>
      </c>
      <c r="K54" s="15" t="n">
        <v>537.73</v>
      </c>
      <c r="L54" s="15" t="n">
        <v>537.73</v>
      </c>
      <c r="M54" s="15" t="n">
        <v>537.73</v>
      </c>
      <c r="N54" s="15" t="n">
        <v>537.73</v>
      </c>
      <c r="O54" s="15" t="n">
        <v>537.73</v>
      </c>
      <c r="P54" s="15" t="n">
        <v>537.73</v>
      </c>
      <c r="Q54" s="15" t="n">
        <v>537.73</v>
      </c>
      <c r="R54" s="15" t="n">
        <v>537.73</v>
      </c>
      <c r="S54" s="15" t="n">
        <v>537.73</v>
      </c>
      <c r="T54" s="15" t="n">
        <v>537.73</v>
      </c>
      <c r="U54" s="15" t="n">
        <v>350</v>
      </c>
      <c r="V54" s="15" t="n">
        <v>0</v>
      </c>
      <c r="W54" s="15" t="n">
        <f aca="false">U54+V54</f>
        <v>350</v>
      </c>
    </row>
    <row r="55" customFormat="false" ht="15" hidden="false" customHeight="false" outlineLevel="0" collapsed="false">
      <c r="A55" s="3" t="s">
        <v>2185</v>
      </c>
      <c r="B55" s="3" t="s">
        <v>2127</v>
      </c>
      <c r="C55" s="3" t="s">
        <v>570</v>
      </c>
      <c r="D55" s="3" t="s">
        <v>99</v>
      </c>
      <c r="E55" s="13" t="n">
        <v>480000</v>
      </c>
      <c r="F55" s="13" t="n">
        <v>7821.59</v>
      </c>
      <c r="G55" s="13" t="n">
        <v>977.7</v>
      </c>
      <c r="H55" s="13" t="n">
        <v>977.7</v>
      </c>
      <c r="I55" s="13" t="n">
        <f aca="false">SUM(K55:T55)</f>
        <v>5866.2</v>
      </c>
      <c r="J55" s="13" t="n">
        <f aca="false">F55-(G55+H55+I55)</f>
        <v>-0.0100000000002183</v>
      </c>
      <c r="K55" s="13" t="n">
        <v>586.62</v>
      </c>
      <c r="L55" s="13" t="n">
        <v>586.62</v>
      </c>
      <c r="M55" s="13" t="n">
        <v>586.62</v>
      </c>
      <c r="N55" s="13" t="n">
        <v>586.62</v>
      </c>
      <c r="O55" s="13" t="n">
        <v>586.62</v>
      </c>
      <c r="P55" s="13" t="n">
        <v>586.62</v>
      </c>
      <c r="Q55" s="13" t="n">
        <v>586.62</v>
      </c>
      <c r="R55" s="13" t="n">
        <v>586.62</v>
      </c>
      <c r="S55" s="13" t="n">
        <v>586.62</v>
      </c>
      <c r="T55" s="13" t="n">
        <v>586.62</v>
      </c>
      <c r="U55" s="13" t="n">
        <v>350</v>
      </c>
      <c r="V55" s="13" t="n">
        <v>0</v>
      </c>
      <c r="W55" s="13" t="n">
        <f aca="false">U55+V55</f>
        <v>350</v>
      </c>
    </row>
    <row r="56" customFormat="false" ht="15" hidden="false" customHeight="false" outlineLevel="0" collapsed="false">
      <c r="A56" s="14" t="s">
        <v>2186</v>
      </c>
      <c r="B56" s="14" t="s">
        <v>2120</v>
      </c>
      <c r="C56" s="14" t="s">
        <v>1163</v>
      </c>
      <c r="D56" s="14" t="s">
        <v>193</v>
      </c>
      <c r="E56" s="15" t="n">
        <v>755000</v>
      </c>
      <c r="F56" s="15" t="n">
        <v>9799.95</v>
      </c>
      <c r="G56" s="15" t="n">
        <v>1224.99</v>
      </c>
      <c r="H56" s="15" t="n">
        <v>1224.99</v>
      </c>
      <c r="I56" s="15" t="n">
        <f aca="false">SUM(K56:T56)</f>
        <v>7350</v>
      </c>
      <c r="J56" s="15" t="n">
        <f aca="false">F56-(G56+H56+I56)</f>
        <v>-0.0299999999988358</v>
      </c>
      <c r="K56" s="15" t="n">
        <v>735</v>
      </c>
      <c r="L56" s="15" t="n">
        <v>735</v>
      </c>
      <c r="M56" s="15" t="n">
        <v>735</v>
      </c>
      <c r="N56" s="15" t="n">
        <v>735</v>
      </c>
      <c r="O56" s="15" t="n">
        <v>735</v>
      </c>
      <c r="P56" s="15" t="n">
        <v>735</v>
      </c>
      <c r="Q56" s="15" t="n">
        <v>735</v>
      </c>
      <c r="R56" s="15" t="n">
        <v>735</v>
      </c>
      <c r="S56" s="15" t="n">
        <v>735</v>
      </c>
      <c r="T56" s="15" t="n">
        <v>735</v>
      </c>
      <c r="U56" s="15" t="n">
        <v>350</v>
      </c>
      <c r="V56" s="15" t="n">
        <v>0</v>
      </c>
      <c r="W56" s="15" t="n">
        <f aca="false">U56+V56</f>
        <v>350</v>
      </c>
    </row>
    <row r="57" customFormat="false" ht="15" hidden="false" customHeight="false" outlineLevel="0" collapsed="false">
      <c r="A57" s="3" t="s">
        <v>2187</v>
      </c>
      <c r="B57" s="3" t="s">
        <v>2127</v>
      </c>
      <c r="C57" s="3" t="s">
        <v>391</v>
      </c>
      <c r="D57" s="3" t="s">
        <v>138</v>
      </c>
      <c r="E57" s="13" t="n">
        <v>680000</v>
      </c>
      <c r="F57" s="13" t="n">
        <v>8120.34</v>
      </c>
      <c r="G57" s="13" t="n">
        <v>1015.04</v>
      </c>
      <c r="H57" s="13" t="n">
        <v>1015.04</v>
      </c>
      <c r="I57" s="13" t="n">
        <f aca="false">SUM(K57:T57)</f>
        <v>6090.3</v>
      </c>
      <c r="J57" s="13" t="n">
        <f aca="false">F57-(G57+H57+I57)</f>
        <v>-0.0399999999990541</v>
      </c>
      <c r="K57" s="13" t="n">
        <v>609.03</v>
      </c>
      <c r="L57" s="13" t="n">
        <v>609.03</v>
      </c>
      <c r="M57" s="13" t="n">
        <v>609.03</v>
      </c>
      <c r="N57" s="13" t="n">
        <v>609.03</v>
      </c>
      <c r="O57" s="13" t="n">
        <v>609.03</v>
      </c>
      <c r="P57" s="13" t="n">
        <v>609.03</v>
      </c>
      <c r="Q57" s="13" t="n">
        <v>609.03</v>
      </c>
      <c r="R57" s="13" t="n">
        <v>609.03</v>
      </c>
      <c r="S57" s="13" t="n">
        <v>609.03</v>
      </c>
      <c r="T57" s="13" t="n">
        <v>609.03</v>
      </c>
      <c r="U57" s="13" t="n">
        <v>350</v>
      </c>
      <c r="V57" s="13" t="n">
        <v>0</v>
      </c>
      <c r="W57" s="13" t="n">
        <f aca="false">U57+V57</f>
        <v>350</v>
      </c>
    </row>
    <row r="58" customFormat="false" ht="15" hidden="false" customHeight="false" outlineLevel="0" collapsed="false">
      <c r="A58" s="14" t="s">
        <v>2188</v>
      </c>
      <c r="B58" s="14" t="s">
        <v>2129</v>
      </c>
      <c r="C58" s="14" t="s">
        <v>105</v>
      </c>
      <c r="D58" s="14" t="s">
        <v>89</v>
      </c>
      <c r="E58" s="15" t="n">
        <v>655000</v>
      </c>
      <c r="F58" s="15" t="n">
        <v>13419.99</v>
      </c>
      <c r="G58" s="15" t="n">
        <v>1677.5</v>
      </c>
      <c r="H58" s="15" t="n">
        <v>1677.5</v>
      </c>
      <c r="I58" s="15" t="n">
        <f aca="false">SUM(K58:T58)</f>
        <v>10065</v>
      </c>
      <c r="J58" s="15" t="n">
        <f aca="false">F58-(G58+H58+I58)</f>
        <v>-0.0100000000002183</v>
      </c>
      <c r="K58" s="15" t="n">
        <v>1006.5</v>
      </c>
      <c r="L58" s="15" t="n">
        <v>1006.5</v>
      </c>
      <c r="M58" s="15" t="n">
        <v>1006.5</v>
      </c>
      <c r="N58" s="15" t="n">
        <v>1006.5</v>
      </c>
      <c r="O58" s="15" t="n">
        <v>1006.5</v>
      </c>
      <c r="P58" s="15" t="n">
        <v>1006.5</v>
      </c>
      <c r="Q58" s="15" t="n">
        <v>1006.5</v>
      </c>
      <c r="R58" s="15" t="n">
        <v>1006.5</v>
      </c>
      <c r="S58" s="15" t="n">
        <v>1006.5</v>
      </c>
      <c r="T58" s="15" t="n">
        <v>1006.5</v>
      </c>
      <c r="U58" s="15" t="n">
        <v>350</v>
      </c>
      <c r="V58" s="15" t="n">
        <v>0</v>
      </c>
      <c r="W58" s="15" t="n">
        <f aca="false">U58+V58</f>
        <v>350</v>
      </c>
    </row>
    <row r="59" customFormat="false" ht="15" hidden="false" customHeight="false" outlineLevel="0" collapsed="false">
      <c r="A59" s="3" t="s">
        <v>2189</v>
      </c>
      <c r="B59" s="3" t="s">
        <v>2104</v>
      </c>
      <c r="C59" s="3" t="s">
        <v>1273</v>
      </c>
      <c r="D59" s="3" t="s">
        <v>166</v>
      </c>
      <c r="E59" s="13" t="n">
        <v>1020000</v>
      </c>
      <c r="F59" s="13" t="n">
        <v>17598.58</v>
      </c>
      <c r="G59" s="13" t="n">
        <v>2199.82</v>
      </c>
      <c r="H59" s="13" t="n">
        <v>2199.82</v>
      </c>
      <c r="I59" s="13" t="n">
        <f aca="false">SUM(K59:T59)</f>
        <v>13198.9</v>
      </c>
      <c r="J59" s="13" t="n">
        <f aca="false">F59-(G59+H59+I59)</f>
        <v>0.0400000000008731</v>
      </c>
      <c r="K59" s="13" t="n">
        <v>1319.89</v>
      </c>
      <c r="L59" s="13" t="n">
        <v>1319.89</v>
      </c>
      <c r="M59" s="13" t="n">
        <v>1319.89</v>
      </c>
      <c r="N59" s="13" t="n">
        <v>1319.89</v>
      </c>
      <c r="O59" s="13" t="n">
        <v>1319.89</v>
      </c>
      <c r="P59" s="13" t="n">
        <v>1319.89</v>
      </c>
      <c r="Q59" s="13" t="n">
        <v>1319.89</v>
      </c>
      <c r="R59" s="13" t="n">
        <v>1319.89</v>
      </c>
      <c r="S59" s="13" t="n">
        <v>1319.89</v>
      </c>
      <c r="T59" s="13" t="n">
        <v>1319.89</v>
      </c>
      <c r="U59" s="13" t="n">
        <v>350</v>
      </c>
      <c r="V59" s="13" t="n">
        <v>250</v>
      </c>
      <c r="W59" s="13" t="n">
        <f aca="false">U59+V59</f>
        <v>600</v>
      </c>
    </row>
    <row r="60" customFormat="false" ht="15" hidden="false" customHeight="false" outlineLevel="0" collapsed="false">
      <c r="A60" s="14" t="s">
        <v>2190</v>
      </c>
      <c r="B60" s="14" t="s">
        <v>2144</v>
      </c>
      <c r="C60" s="14" t="s">
        <v>1054</v>
      </c>
      <c r="D60" s="14" t="s">
        <v>233</v>
      </c>
      <c r="E60" s="15" t="n">
        <v>760000</v>
      </c>
      <c r="F60" s="15" t="n">
        <v>11303.61</v>
      </c>
      <c r="G60" s="15" t="n">
        <v>1412.95</v>
      </c>
      <c r="H60" s="15" t="n">
        <v>1412.95</v>
      </c>
      <c r="I60" s="15" t="n">
        <f aca="false">SUM(K60:T60)</f>
        <v>8477.7</v>
      </c>
      <c r="J60" s="15" t="n">
        <f aca="false">F60-(G60+H60+I60)</f>
        <v>0.0100000000002183</v>
      </c>
      <c r="K60" s="15" t="n">
        <v>847.77</v>
      </c>
      <c r="L60" s="15" t="n">
        <v>847.77</v>
      </c>
      <c r="M60" s="15" t="n">
        <v>847.77</v>
      </c>
      <c r="N60" s="15" t="n">
        <v>847.77</v>
      </c>
      <c r="O60" s="15" t="n">
        <v>847.77</v>
      </c>
      <c r="P60" s="15" t="n">
        <v>847.77</v>
      </c>
      <c r="Q60" s="15" t="n">
        <v>847.77</v>
      </c>
      <c r="R60" s="15" t="n">
        <v>847.77</v>
      </c>
      <c r="S60" s="15" t="n">
        <v>847.77</v>
      </c>
      <c r="T60" s="15" t="n">
        <v>847.77</v>
      </c>
      <c r="U60" s="15" t="n">
        <v>350</v>
      </c>
      <c r="V60" s="15" t="n">
        <v>0</v>
      </c>
      <c r="W60" s="15" t="n">
        <f aca="false">U60+V60</f>
        <v>350</v>
      </c>
    </row>
    <row r="61" customFormat="false" ht="15" hidden="false" customHeight="false" outlineLevel="0" collapsed="false">
      <c r="A61" s="3" t="s">
        <v>2191</v>
      </c>
      <c r="B61" s="3" t="s">
        <v>2120</v>
      </c>
      <c r="C61" s="3" t="s">
        <v>145</v>
      </c>
      <c r="D61" s="3" t="s">
        <v>203</v>
      </c>
      <c r="E61" s="13" t="n">
        <v>530000</v>
      </c>
      <c r="F61" s="13" t="n">
        <v>6274.05</v>
      </c>
      <c r="G61" s="13" t="n">
        <v>784.26</v>
      </c>
      <c r="H61" s="13" t="n">
        <v>784.26</v>
      </c>
      <c r="I61" s="13" t="n">
        <f aca="false">SUM(K61:T61)</f>
        <v>4705.5</v>
      </c>
      <c r="J61" s="13" t="n">
        <f aca="false">F61-(G61+H61+I61)</f>
        <v>0.0299999999997453</v>
      </c>
      <c r="K61" s="13" t="n">
        <v>470.55</v>
      </c>
      <c r="L61" s="13" t="n">
        <v>470.55</v>
      </c>
      <c r="M61" s="13" t="n">
        <v>470.55</v>
      </c>
      <c r="N61" s="13" t="n">
        <v>470.55</v>
      </c>
      <c r="O61" s="13" t="n">
        <v>470.55</v>
      </c>
      <c r="P61" s="13" t="n">
        <v>470.55</v>
      </c>
      <c r="Q61" s="13" t="n">
        <v>470.55</v>
      </c>
      <c r="R61" s="13" t="n">
        <v>470.55</v>
      </c>
      <c r="S61" s="13" t="n">
        <v>470.55</v>
      </c>
      <c r="T61" s="13" t="n">
        <v>470.55</v>
      </c>
      <c r="U61" s="13" t="n">
        <v>350</v>
      </c>
      <c r="V61" s="13" t="n">
        <v>0</v>
      </c>
      <c r="W61" s="13" t="n">
        <f aca="false">U61+V61</f>
        <v>350</v>
      </c>
    </row>
    <row r="62" customFormat="false" ht="15" hidden="false" customHeight="false" outlineLevel="0" collapsed="false">
      <c r="A62" s="14" t="s">
        <v>2192</v>
      </c>
      <c r="B62" s="14" t="s">
        <v>2148</v>
      </c>
      <c r="C62" s="14" t="s">
        <v>643</v>
      </c>
      <c r="D62" s="14" t="s">
        <v>911</v>
      </c>
      <c r="E62" s="15" t="n">
        <v>565000</v>
      </c>
      <c r="F62" s="15" t="n">
        <v>9260.82</v>
      </c>
      <c r="G62" s="15" t="n">
        <v>1157.6</v>
      </c>
      <c r="H62" s="15" t="n">
        <v>1157.6</v>
      </c>
      <c r="I62" s="15" t="n">
        <f aca="false">SUM(K62:T62)</f>
        <v>6945.6</v>
      </c>
      <c r="J62" s="15" t="n">
        <f aca="false">F62-(G62+H62+I62)</f>
        <v>0.0200000000004366</v>
      </c>
      <c r="K62" s="15" t="n">
        <v>694.56</v>
      </c>
      <c r="L62" s="15" t="n">
        <v>694.56</v>
      </c>
      <c r="M62" s="15" t="n">
        <v>694.56</v>
      </c>
      <c r="N62" s="15" t="n">
        <v>694.56</v>
      </c>
      <c r="O62" s="15" t="n">
        <v>694.56</v>
      </c>
      <c r="P62" s="15" t="n">
        <v>694.56</v>
      </c>
      <c r="Q62" s="15" t="n">
        <v>694.56</v>
      </c>
      <c r="R62" s="15" t="n">
        <v>694.56</v>
      </c>
      <c r="S62" s="15" t="n">
        <v>694.56</v>
      </c>
      <c r="T62" s="15" t="n">
        <v>694.56</v>
      </c>
      <c r="U62" s="15" t="n">
        <v>350</v>
      </c>
      <c r="V62" s="15" t="n">
        <v>0</v>
      </c>
      <c r="W62" s="15" t="n">
        <f aca="false">U62+V62</f>
        <v>350</v>
      </c>
    </row>
    <row r="63" customFormat="false" ht="15" hidden="false" customHeight="false" outlineLevel="0" collapsed="false">
      <c r="A63" s="3" t="s">
        <v>2193</v>
      </c>
      <c r="B63" s="3" t="s">
        <v>2194</v>
      </c>
      <c r="C63" s="3" t="s">
        <v>946</v>
      </c>
      <c r="D63" s="3" t="s">
        <v>185</v>
      </c>
      <c r="E63" s="13" t="n">
        <v>360000</v>
      </c>
      <c r="F63" s="13" t="n">
        <v>4356.51</v>
      </c>
      <c r="G63" s="13" t="n">
        <v>544.56</v>
      </c>
      <c r="H63" s="13" t="n">
        <v>544.56</v>
      </c>
      <c r="I63" s="13" t="n">
        <f aca="false">SUM(K63:T63)</f>
        <v>3267.4</v>
      </c>
      <c r="J63" s="13" t="n">
        <f aca="false">F63-(G63+H63+I63)</f>
        <v>-0.00999999999930878</v>
      </c>
      <c r="K63" s="13" t="n">
        <v>326.74</v>
      </c>
      <c r="L63" s="13" t="n">
        <v>326.74</v>
      </c>
      <c r="M63" s="13" t="n">
        <v>326.74</v>
      </c>
      <c r="N63" s="13" t="n">
        <v>326.74</v>
      </c>
      <c r="O63" s="13" t="n">
        <v>326.74</v>
      </c>
      <c r="P63" s="13" t="n">
        <v>326.74</v>
      </c>
      <c r="Q63" s="13" t="n">
        <v>326.74</v>
      </c>
      <c r="R63" s="13" t="n">
        <v>326.74</v>
      </c>
      <c r="S63" s="13" t="n">
        <v>326.74</v>
      </c>
      <c r="T63" s="13" t="n">
        <v>326.74</v>
      </c>
      <c r="U63" s="13" t="n">
        <v>350</v>
      </c>
      <c r="V63" s="13" t="n">
        <v>0</v>
      </c>
      <c r="W63" s="13" t="n">
        <f aca="false">U63+V63</f>
        <v>350</v>
      </c>
    </row>
    <row r="64" customFormat="false" ht="15" hidden="false" customHeight="false" outlineLevel="0" collapsed="false">
      <c r="A64" s="14" t="s">
        <v>2195</v>
      </c>
      <c r="B64" s="14" t="s">
        <v>2116</v>
      </c>
      <c r="C64" s="14" t="s">
        <v>1612</v>
      </c>
      <c r="D64" s="14" t="s">
        <v>102</v>
      </c>
      <c r="E64" s="15" t="n">
        <v>300000</v>
      </c>
      <c r="F64" s="15" t="n">
        <v>6338.27</v>
      </c>
      <c r="G64" s="15" t="n">
        <v>792.28</v>
      </c>
      <c r="H64" s="15" t="n">
        <v>792.28</v>
      </c>
      <c r="I64" s="15" t="n">
        <f aca="false">SUM(K64:T64)</f>
        <v>4753.7</v>
      </c>
      <c r="J64" s="15" t="n">
        <f aca="false">F64-(G64+H64+I64)</f>
        <v>0.0100000000002183</v>
      </c>
      <c r="K64" s="15" t="n">
        <v>475.37</v>
      </c>
      <c r="L64" s="15" t="n">
        <v>475.37</v>
      </c>
      <c r="M64" s="15" t="n">
        <v>475.37</v>
      </c>
      <c r="N64" s="15" t="n">
        <v>475.37</v>
      </c>
      <c r="O64" s="15" t="n">
        <v>475.37</v>
      </c>
      <c r="P64" s="15" t="n">
        <v>475.37</v>
      </c>
      <c r="Q64" s="15" t="n">
        <v>475.37</v>
      </c>
      <c r="R64" s="15" t="n">
        <v>475.37</v>
      </c>
      <c r="S64" s="15" t="n">
        <v>475.37</v>
      </c>
      <c r="T64" s="15" t="n">
        <v>475.37</v>
      </c>
      <c r="U64" s="15" t="n">
        <v>350</v>
      </c>
      <c r="V64" s="15" t="n">
        <v>0</v>
      </c>
      <c r="W64" s="15" t="n">
        <f aca="false">U64+V64</f>
        <v>350</v>
      </c>
    </row>
    <row r="65" customFormat="false" ht="15" hidden="false" customHeight="false" outlineLevel="0" collapsed="false">
      <c r="A65" s="3" t="s">
        <v>2196</v>
      </c>
      <c r="B65" s="3" t="s">
        <v>2109</v>
      </c>
      <c r="C65" s="3" t="s">
        <v>443</v>
      </c>
      <c r="D65" s="3" t="s">
        <v>73</v>
      </c>
      <c r="E65" s="13" t="n">
        <v>1175000</v>
      </c>
      <c r="F65" s="13" t="n">
        <v>12079.25</v>
      </c>
      <c r="G65" s="13" t="n">
        <v>1509.91</v>
      </c>
      <c r="H65" s="13" t="n">
        <v>1509.91</v>
      </c>
      <c r="I65" s="13" t="n">
        <f aca="false">SUM(K65:T65)</f>
        <v>9059.4</v>
      </c>
      <c r="J65" s="13" t="n">
        <f aca="false">F65-(G65+H65+I65)</f>
        <v>0.0299999999988358</v>
      </c>
      <c r="K65" s="13" t="n">
        <v>905.94</v>
      </c>
      <c r="L65" s="13" t="n">
        <v>905.94</v>
      </c>
      <c r="M65" s="13" t="n">
        <v>905.94</v>
      </c>
      <c r="N65" s="13" t="n">
        <v>905.94</v>
      </c>
      <c r="O65" s="13" t="n">
        <v>905.94</v>
      </c>
      <c r="P65" s="13" t="n">
        <v>905.94</v>
      </c>
      <c r="Q65" s="13" t="n">
        <v>905.94</v>
      </c>
      <c r="R65" s="13" t="n">
        <v>905.94</v>
      </c>
      <c r="S65" s="13" t="n">
        <v>905.94</v>
      </c>
      <c r="T65" s="13" t="n">
        <v>905.94</v>
      </c>
      <c r="U65" s="13" t="n">
        <v>350</v>
      </c>
      <c r="V65" s="13" t="n">
        <v>250</v>
      </c>
      <c r="W65" s="13" t="n">
        <f aca="false">U65+V65</f>
        <v>600</v>
      </c>
    </row>
    <row r="66" customFormat="false" ht="15" hidden="false" customHeight="false" outlineLevel="0" collapsed="false">
      <c r="A66" s="14" t="s">
        <v>2197</v>
      </c>
      <c r="B66" s="14" t="s">
        <v>2129</v>
      </c>
      <c r="C66" s="14" t="s">
        <v>84</v>
      </c>
      <c r="D66" s="14" t="s">
        <v>109</v>
      </c>
      <c r="E66" s="15" t="n">
        <v>270000</v>
      </c>
      <c r="F66" s="15" t="n">
        <v>2588.02</v>
      </c>
      <c r="G66" s="15" t="n">
        <v>323.5</v>
      </c>
      <c r="H66" s="15" t="n">
        <v>323.5</v>
      </c>
      <c r="I66" s="15" t="n">
        <f aca="false">SUM(K66:T66)</f>
        <v>1941</v>
      </c>
      <c r="J66" s="15" t="n">
        <f aca="false">F66-(G66+H66+I66)</f>
        <v>0.0199999999999818</v>
      </c>
      <c r="K66" s="15" t="n">
        <v>194.1</v>
      </c>
      <c r="L66" s="15" t="n">
        <v>194.1</v>
      </c>
      <c r="M66" s="15" t="n">
        <v>194.1</v>
      </c>
      <c r="N66" s="15" t="n">
        <v>194.1</v>
      </c>
      <c r="O66" s="15" t="n">
        <v>194.1</v>
      </c>
      <c r="P66" s="15" t="n">
        <v>194.1</v>
      </c>
      <c r="Q66" s="15" t="n">
        <v>194.1</v>
      </c>
      <c r="R66" s="15" t="n">
        <v>194.1</v>
      </c>
      <c r="S66" s="15" t="n">
        <v>194.1</v>
      </c>
      <c r="T66" s="15" t="n">
        <v>194.1</v>
      </c>
      <c r="U66" s="15" t="n">
        <v>350</v>
      </c>
      <c r="V66" s="15" t="n">
        <v>0</v>
      </c>
      <c r="W66" s="15" t="n">
        <f aca="false">U66+V66</f>
        <v>350</v>
      </c>
    </row>
    <row r="67" customFormat="false" ht="15" hidden="false" customHeight="false" outlineLevel="0" collapsed="false">
      <c r="A67" s="3" t="s">
        <v>2198</v>
      </c>
      <c r="B67" s="3" t="s">
        <v>2122</v>
      </c>
      <c r="C67" s="3" t="s">
        <v>477</v>
      </c>
      <c r="D67" s="3" t="s">
        <v>172</v>
      </c>
      <c r="E67" s="13" t="n">
        <v>615000</v>
      </c>
      <c r="F67" s="13" t="n">
        <v>6641.64</v>
      </c>
      <c r="G67" s="13" t="n">
        <v>830.21</v>
      </c>
      <c r="H67" s="13" t="n">
        <v>830.21</v>
      </c>
      <c r="I67" s="13" t="n">
        <f aca="false">SUM(K67:T67)</f>
        <v>4981.2</v>
      </c>
      <c r="J67" s="13" t="n">
        <f aca="false">F67-(G67+H67+I67)</f>
        <v>0.0200000000004366</v>
      </c>
      <c r="K67" s="13" t="n">
        <v>498.12</v>
      </c>
      <c r="L67" s="13" t="n">
        <v>498.12</v>
      </c>
      <c r="M67" s="13" t="n">
        <v>498.12</v>
      </c>
      <c r="N67" s="13" t="n">
        <v>498.12</v>
      </c>
      <c r="O67" s="13" t="n">
        <v>498.12</v>
      </c>
      <c r="P67" s="13" t="n">
        <v>498.12</v>
      </c>
      <c r="Q67" s="13" t="n">
        <v>498.12</v>
      </c>
      <c r="R67" s="13" t="n">
        <v>498.12</v>
      </c>
      <c r="S67" s="13" t="n">
        <v>498.12</v>
      </c>
      <c r="T67" s="13" t="n">
        <v>498.12</v>
      </c>
      <c r="U67" s="13" t="n">
        <v>350</v>
      </c>
      <c r="V67" s="13" t="n">
        <v>0</v>
      </c>
      <c r="W67" s="13" t="n">
        <f aca="false">U67+V67</f>
        <v>350</v>
      </c>
    </row>
    <row r="68" customFormat="false" ht="15" hidden="false" customHeight="false" outlineLevel="0" collapsed="false">
      <c r="A68" s="14" t="s">
        <v>2199</v>
      </c>
      <c r="B68" s="14" t="s">
        <v>2111</v>
      </c>
      <c r="C68" s="14" t="s">
        <v>817</v>
      </c>
      <c r="D68" s="14" t="s">
        <v>328</v>
      </c>
      <c r="E68" s="15" t="n">
        <v>1165000</v>
      </c>
      <c r="F68" s="15" t="n">
        <v>19355.88</v>
      </c>
      <c r="G68" s="15" t="n">
        <v>2419.49</v>
      </c>
      <c r="H68" s="15" t="n">
        <v>2419.49</v>
      </c>
      <c r="I68" s="15" t="n">
        <f aca="false">SUM(K68:T68)</f>
        <v>14516.9</v>
      </c>
      <c r="J68" s="15" t="n">
        <f aca="false">F68-(G68+H68+I68)</f>
        <v>0</v>
      </c>
      <c r="K68" s="15" t="n">
        <v>1451.69</v>
      </c>
      <c r="L68" s="15" t="n">
        <v>1451.69</v>
      </c>
      <c r="M68" s="15" t="n">
        <v>1451.69</v>
      </c>
      <c r="N68" s="15" t="n">
        <v>1451.69</v>
      </c>
      <c r="O68" s="15" t="n">
        <v>1451.69</v>
      </c>
      <c r="P68" s="15" t="n">
        <v>1451.69</v>
      </c>
      <c r="Q68" s="15" t="n">
        <v>1451.69</v>
      </c>
      <c r="R68" s="15" t="n">
        <v>1451.69</v>
      </c>
      <c r="S68" s="15" t="n">
        <v>1451.69</v>
      </c>
      <c r="T68" s="15" t="n">
        <v>1451.69</v>
      </c>
      <c r="U68" s="15" t="n">
        <v>350</v>
      </c>
      <c r="V68" s="15" t="n">
        <v>250</v>
      </c>
      <c r="W68" s="15" t="n">
        <f aca="false">U68+V68</f>
        <v>600</v>
      </c>
    </row>
    <row r="69" customFormat="false" ht="15" hidden="false" customHeight="false" outlineLevel="0" collapsed="false">
      <c r="A69" s="3" t="s">
        <v>2200</v>
      </c>
      <c r="B69" s="3" t="s">
        <v>2144</v>
      </c>
      <c r="C69" s="3" t="s">
        <v>1537</v>
      </c>
      <c r="D69" s="3" t="s">
        <v>77</v>
      </c>
      <c r="E69" s="13" t="n">
        <v>600000</v>
      </c>
      <c r="F69" s="13" t="n">
        <v>7912.65</v>
      </c>
      <c r="G69" s="13" t="n">
        <v>989.08</v>
      </c>
      <c r="H69" s="13" t="n">
        <v>989.08</v>
      </c>
      <c r="I69" s="13" t="n">
        <f aca="false">SUM(K69:T69)</f>
        <v>5934.5</v>
      </c>
      <c r="J69" s="13" t="n">
        <f aca="false">F69-(G69+H69+I69)</f>
        <v>-0.0100000000002183</v>
      </c>
      <c r="K69" s="13" t="n">
        <v>593.45</v>
      </c>
      <c r="L69" s="13" t="n">
        <v>593.45</v>
      </c>
      <c r="M69" s="13" t="n">
        <v>593.45</v>
      </c>
      <c r="N69" s="13" t="n">
        <v>593.45</v>
      </c>
      <c r="O69" s="13" t="n">
        <v>593.45</v>
      </c>
      <c r="P69" s="13" t="n">
        <v>593.45</v>
      </c>
      <c r="Q69" s="13" t="n">
        <v>593.45</v>
      </c>
      <c r="R69" s="13" t="n">
        <v>593.45</v>
      </c>
      <c r="S69" s="13" t="n">
        <v>593.45</v>
      </c>
      <c r="T69" s="13" t="n">
        <v>593.45</v>
      </c>
      <c r="U69" s="13" t="n">
        <v>350</v>
      </c>
      <c r="V69" s="13" t="n">
        <v>0</v>
      </c>
      <c r="W69" s="13" t="n">
        <f aca="false">U69+V69</f>
        <v>350</v>
      </c>
    </row>
    <row r="70" customFormat="false" ht="15" hidden="false" customHeight="false" outlineLevel="0" collapsed="false">
      <c r="A70" s="14" t="s">
        <v>2201</v>
      </c>
      <c r="B70" s="14" t="s">
        <v>2122</v>
      </c>
      <c r="C70" s="14" t="s">
        <v>541</v>
      </c>
      <c r="D70" s="14" t="s">
        <v>193</v>
      </c>
      <c r="E70" s="15" t="n">
        <v>260000</v>
      </c>
      <c r="F70" s="15" t="n">
        <v>3894.02</v>
      </c>
      <c r="G70" s="15" t="n">
        <v>486.75</v>
      </c>
      <c r="H70" s="15" t="n">
        <v>486.75</v>
      </c>
      <c r="I70" s="15" t="n">
        <f aca="false">SUM(K70:T70)</f>
        <v>2920.5</v>
      </c>
      <c r="J70" s="15" t="n">
        <f aca="false">F70-(G70+H70+I70)</f>
        <v>0.0199999999995271</v>
      </c>
      <c r="K70" s="15" t="n">
        <v>292.05</v>
      </c>
      <c r="L70" s="15" t="n">
        <v>292.05</v>
      </c>
      <c r="M70" s="15" t="n">
        <v>292.05</v>
      </c>
      <c r="N70" s="15" t="n">
        <v>292.05</v>
      </c>
      <c r="O70" s="15" t="n">
        <v>292.05</v>
      </c>
      <c r="P70" s="15" t="n">
        <v>292.05</v>
      </c>
      <c r="Q70" s="15" t="n">
        <v>292.05</v>
      </c>
      <c r="R70" s="15" t="n">
        <v>292.05</v>
      </c>
      <c r="S70" s="15" t="n">
        <v>292.05</v>
      </c>
      <c r="T70" s="15" t="n">
        <v>292.05</v>
      </c>
      <c r="U70" s="15" t="n">
        <v>350</v>
      </c>
      <c r="V70" s="15" t="n">
        <v>0</v>
      </c>
      <c r="W70" s="15" t="n">
        <f aca="false">U70+V70</f>
        <v>350</v>
      </c>
    </row>
    <row r="71" customFormat="false" ht="15" hidden="false" customHeight="false" outlineLevel="0" collapsed="false">
      <c r="A71" s="3" t="s">
        <v>2202</v>
      </c>
      <c r="B71" s="3" t="s">
        <v>2156</v>
      </c>
      <c r="C71" s="3" t="s">
        <v>2153</v>
      </c>
      <c r="D71" s="3" t="s">
        <v>138</v>
      </c>
      <c r="E71" s="13" t="n">
        <v>910000</v>
      </c>
      <c r="F71" s="13" t="n">
        <v>15882.42</v>
      </c>
      <c r="G71" s="13" t="n">
        <v>1985.3</v>
      </c>
      <c r="H71" s="13" t="n">
        <v>1985.3</v>
      </c>
      <c r="I71" s="13" t="n">
        <f aca="false">SUM(K71:T71)</f>
        <v>11911.8</v>
      </c>
      <c r="J71" s="13" t="n">
        <f aca="false">F71-(G71+H71+I71)</f>
        <v>0.0199999999986176</v>
      </c>
      <c r="K71" s="13" t="n">
        <v>1191.18</v>
      </c>
      <c r="L71" s="13" t="n">
        <v>1191.18</v>
      </c>
      <c r="M71" s="13" t="n">
        <v>1191.18</v>
      </c>
      <c r="N71" s="13" t="n">
        <v>1191.18</v>
      </c>
      <c r="O71" s="13" t="n">
        <v>1191.18</v>
      </c>
      <c r="P71" s="13" t="n">
        <v>1191.18</v>
      </c>
      <c r="Q71" s="13" t="n">
        <v>1191.18</v>
      </c>
      <c r="R71" s="13" t="n">
        <v>1191.18</v>
      </c>
      <c r="S71" s="13" t="n">
        <v>1191.18</v>
      </c>
      <c r="T71" s="13" t="n">
        <v>1191.18</v>
      </c>
      <c r="U71" s="13" t="n">
        <v>350</v>
      </c>
      <c r="V71" s="13" t="n">
        <v>0</v>
      </c>
      <c r="W71" s="13" t="n">
        <f aca="false">U71+V71</f>
        <v>350</v>
      </c>
    </row>
    <row r="72" customFormat="false" ht="15" hidden="false" customHeight="false" outlineLevel="0" collapsed="false">
      <c r="A72" s="14" t="s">
        <v>2203</v>
      </c>
      <c r="B72" s="14" t="s">
        <v>2156</v>
      </c>
      <c r="C72" s="14" t="s">
        <v>632</v>
      </c>
      <c r="D72" s="14" t="s">
        <v>251</v>
      </c>
      <c r="E72" s="15" t="n">
        <v>320000</v>
      </c>
      <c r="F72" s="15" t="n">
        <v>4294.21</v>
      </c>
      <c r="G72" s="15" t="n">
        <v>536.78</v>
      </c>
      <c r="H72" s="15" t="n">
        <v>536.78</v>
      </c>
      <c r="I72" s="15" t="n">
        <f aca="false">SUM(K72:T72)</f>
        <v>3220.7</v>
      </c>
      <c r="J72" s="15" t="n">
        <f aca="false">F72-(G72+H72+I72)</f>
        <v>-0.0500000000001819</v>
      </c>
      <c r="K72" s="15" t="n">
        <v>322.07</v>
      </c>
      <c r="L72" s="15" t="n">
        <v>322.07</v>
      </c>
      <c r="M72" s="15" t="n">
        <v>322.07</v>
      </c>
      <c r="N72" s="15" t="n">
        <v>322.07</v>
      </c>
      <c r="O72" s="15" t="n">
        <v>322.07</v>
      </c>
      <c r="P72" s="15" t="n">
        <v>322.07</v>
      </c>
      <c r="Q72" s="15" t="n">
        <v>322.07</v>
      </c>
      <c r="R72" s="15" t="n">
        <v>322.07</v>
      </c>
      <c r="S72" s="15" t="n">
        <v>322.07</v>
      </c>
      <c r="T72" s="15" t="n">
        <v>322.07</v>
      </c>
      <c r="U72" s="15" t="n">
        <v>350</v>
      </c>
      <c r="V72" s="15" t="n">
        <v>0</v>
      </c>
      <c r="W72" s="15" t="n">
        <f aca="false">U72+V72</f>
        <v>350</v>
      </c>
    </row>
    <row r="73" customFormat="false" ht="15" hidden="false" customHeight="false" outlineLevel="0" collapsed="false">
      <c r="A73" s="3" t="s">
        <v>2204</v>
      </c>
      <c r="B73" s="3" t="s">
        <v>2205</v>
      </c>
      <c r="C73" s="3" t="s">
        <v>2040</v>
      </c>
      <c r="D73" s="3" t="s">
        <v>312</v>
      </c>
      <c r="E73" s="13" t="n">
        <v>325000</v>
      </c>
      <c r="F73" s="13" t="n">
        <v>4322.36</v>
      </c>
      <c r="G73" s="13" t="n">
        <v>540.29</v>
      </c>
      <c r="H73" s="13" t="n">
        <v>540.29</v>
      </c>
      <c r="I73" s="13" t="n">
        <f aca="false">SUM(K73:T73)</f>
        <v>3241.8</v>
      </c>
      <c r="J73" s="13" t="n">
        <f aca="false">F73-(G73+H73+I73)</f>
        <v>-0.0199999999995271</v>
      </c>
      <c r="K73" s="13" t="n">
        <v>324.18</v>
      </c>
      <c r="L73" s="13" t="n">
        <v>324.18</v>
      </c>
      <c r="M73" s="13" t="n">
        <v>324.18</v>
      </c>
      <c r="N73" s="13" t="n">
        <v>324.18</v>
      </c>
      <c r="O73" s="13" t="n">
        <v>324.18</v>
      </c>
      <c r="P73" s="13" t="n">
        <v>324.18</v>
      </c>
      <c r="Q73" s="13" t="n">
        <v>324.18</v>
      </c>
      <c r="R73" s="13" t="n">
        <v>324.18</v>
      </c>
      <c r="S73" s="13" t="n">
        <v>324.18</v>
      </c>
      <c r="T73" s="13" t="n">
        <v>324.18</v>
      </c>
      <c r="U73" s="13" t="n">
        <v>350</v>
      </c>
      <c r="V73" s="13" t="n">
        <v>0</v>
      </c>
      <c r="W73" s="13" t="n">
        <f aca="false">U73+V73</f>
        <v>350</v>
      </c>
    </row>
    <row r="74" customFormat="false" ht="15" hidden="false" customHeight="false" outlineLevel="0" collapsed="false">
      <c r="A74" s="14" t="s">
        <v>2206</v>
      </c>
      <c r="B74" s="14" t="s">
        <v>2207</v>
      </c>
      <c r="C74" s="14" t="s">
        <v>2208</v>
      </c>
      <c r="D74" s="14" t="s">
        <v>377</v>
      </c>
      <c r="E74" s="15" t="n">
        <v>425000</v>
      </c>
      <c r="F74" s="15" t="n">
        <v>6823.52</v>
      </c>
      <c r="G74" s="15" t="n">
        <v>852.94</v>
      </c>
      <c r="H74" s="15" t="n">
        <v>852.94</v>
      </c>
      <c r="I74" s="15" t="n">
        <f aca="false">SUM(K74:T74)</f>
        <v>5117.6</v>
      </c>
      <c r="J74" s="15" t="n">
        <f aca="false">F74-(G74+H74+I74)</f>
        <v>0.0399999999999636</v>
      </c>
      <c r="K74" s="15" t="n">
        <v>511.76</v>
      </c>
      <c r="L74" s="15" t="n">
        <v>511.76</v>
      </c>
      <c r="M74" s="15" t="n">
        <v>511.76</v>
      </c>
      <c r="N74" s="15" t="n">
        <v>511.76</v>
      </c>
      <c r="O74" s="15" t="n">
        <v>511.76</v>
      </c>
      <c r="P74" s="15" t="n">
        <v>511.76</v>
      </c>
      <c r="Q74" s="15" t="n">
        <v>511.76</v>
      </c>
      <c r="R74" s="15" t="n">
        <v>511.76</v>
      </c>
      <c r="S74" s="15" t="n">
        <v>511.76</v>
      </c>
      <c r="T74" s="15" t="n">
        <v>511.76</v>
      </c>
      <c r="U74" s="15" t="n">
        <v>350</v>
      </c>
      <c r="V74" s="15" t="n">
        <v>0</v>
      </c>
      <c r="W74" s="15" t="n">
        <f aca="false">U74+V74</f>
        <v>350</v>
      </c>
    </row>
    <row r="75" customFormat="false" ht="15" hidden="false" customHeight="false" outlineLevel="0" collapsed="false">
      <c r="A75" s="3" t="s">
        <v>2209</v>
      </c>
      <c r="B75" s="3" t="s">
        <v>2176</v>
      </c>
      <c r="C75" s="3" t="s">
        <v>278</v>
      </c>
      <c r="D75" s="3" t="s">
        <v>166</v>
      </c>
      <c r="E75" s="13" t="n">
        <v>1115000</v>
      </c>
      <c r="F75" s="13" t="n">
        <v>19237.66</v>
      </c>
      <c r="G75" s="13" t="n">
        <v>2404.71</v>
      </c>
      <c r="H75" s="13" t="n">
        <v>2404.71</v>
      </c>
      <c r="I75" s="13" t="n">
        <f aca="false">SUM(K75:T75)</f>
        <v>14428.2</v>
      </c>
      <c r="J75" s="13" t="n">
        <f aca="false">F75-(G75+H75+I75)</f>
        <v>0.0400000000008731</v>
      </c>
      <c r="K75" s="13" t="n">
        <v>1442.82</v>
      </c>
      <c r="L75" s="13" t="n">
        <v>1442.82</v>
      </c>
      <c r="M75" s="13" t="n">
        <v>1442.82</v>
      </c>
      <c r="N75" s="13" t="n">
        <v>1442.82</v>
      </c>
      <c r="O75" s="13" t="n">
        <v>1442.82</v>
      </c>
      <c r="P75" s="13" t="n">
        <v>1442.82</v>
      </c>
      <c r="Q75" s="13" t="n">
        <v>1442.82</v>
      </c>
      <c r="R75" s="13" t="n">
        <v>1442.82</v>
      </c>
      <c r="S75" s="13" t="n">
        <v>1442.82</v>
      </c>
      <c r="T75" s="13" t="n">
        <v>1442.82</v>
      </c>
      <c r="U75" s="13" t="n">
        <v>350</v>
      </c>
      <c r="V75" s="13" t="n">
        <v>250</v>
      </c>
      <c r="W75" s="13" t="n">
        <f aca="false">U75+V75</f>
        <v>600</v>
      </c>
    </row>
    <row r="76" customFormat="false" ht="15" hidden="false" customHeight="false" outlineLevel="0" collapsed="false">
      <c r="A76" s="14" t="s">
        <v>2210</v>
      </c>
      <c r="B76" s="14" t="s">
        <v>2134</v>
      </c>
      <c r="C76" s="14" t="s">
        <v>213</v>
      </c>
      <c r="D76" s="14" t="s">
        <v>69</v>
      </c>
      <c r="E76" s="15" t="n">
        <v>945000</v>
      </c>
      <c r="F76" s="15" t="n">
        <v>9518.54</v>
      </c>
      <c r="G76" s="15" t="n">
        <v>1189.82</v>
      </c>
      <c r="H76" s="15" t="n">
        <v>1189.82</v>
      </c>
      <c r="I76" s="15" t="n">
        <f aca="false">SUM(K76:T76)</f>
        <v>7138.9</v>
      </c>
      <c r="J76" s="15" t="n">
        <f aca="false">F76-(G76+H76+I76)</f>
        <v>0</v>
      </c>
      <c r="K76" s="15" t="n">
        <v>713.89</v>
      </c>
      <c r="L76" s="15" t="n">
        <v>713.89</v>
      </c>
      <c r="M76" s="15" t="n">
        <v>713.89</v>
      </c>
      <c r="N76" s="15" t="n">
        <v>713.89</v>
      </c>
      <c r="O76" s="15" t="n">
        <v>713.89</v>
      </c>
      <c r="P76" s="15" t="n">
        <v>713.89</v>
      </c>
      <c r="Q76" s="15" t="n">
        <v>713.89</v>
      </c>
      <c r="R76" s="15" t="n">
        <v>713.89</v>
      </c>
      <c r="S76" s="15" t="n">
        <v>713.89</v>
      </c>
      <c r="T76" s="15" t="n">
        <v>713.89</v>
      </c>
      <c r="U76" s="15" t="n">
        <v>350</v>
      </c>
      <c r="V76" s="15" t="n">
        <v>0</v>
      </c>
      <c r="W76" s="15" t="n">
        <f aca="false">U76+V76</f>
        <v>350</v>
      </c>
    </row>
    <row r="77" customFormat="false" ht="15" hidden="false" customHeight="false" outlineLevel="0" collapsed="false">
      <c r="A77" s="3" t="s">
        <v>2211</v>
      </c>
      <c r="B77" s="3" t="s">
        <v>2148</v>
      </c>
      <c r="C77" s="3" t="s">
        <v>285</v>
      </c>
      <c r="D77" s="3" t="s">
        <v>69</v>
      </c>
      <c r="E77" s="13" t="n">
        <v>360000</v>
      </c>
      <c r="F77" s="13" t="n">
        <v>2677.75</v>
      </c>
      <c r="G77" s="13" t="n">
        <v>334.72</v>
      </c>
      <c r="H77" s="13" t="n">
        <v>334.72</v>
      </c>
      <c r="I77" s="13" t="n">
        <f aca="false">SUM(K77:T77)</f>
        <v>2008.3</v>
      </c>
      <c r="J77" s="13" t="n">
        <f aca="false">F77-(G77+H77+I77)</f>
        <v>0.0100000000002183</v>
      </c>
      <c r="K77" s="13" t="n">
        <v>200.83</v>
      </c>
      <c r="L77" s="13" t="n">
        <v>200.83</v>
      </c>
      <c r="M77" s="13" t="n">
        <v>200.83</v>
      </c>
      <c r="N77" s="13" t="n">
        <v>200.83</v>
      </c>
      <c r="O77" s="13" t="n">
        <v>200.83</v>
      </c>
      <c r="P77" s="13" t="n">
        <v>200.83</v>
      </c>
      <c r="Q77" s="13" t="n">
        <v>200.83</v>
      </c>
      <c r="R77" s="13" t="n">
        <v>200.83</v>
      </c>
      <c r="S77" s="13" t="n">
        <v>200.83</v>
      </c>
      <c r="T77" s="13" t="n">
        <v>200.83</v>
      </c>
      <c r="U77" s="13" t="n">
        <v>350</v>
      </c>
      <c r="V77" s="13" t="n">
        <v>0</v>
      </c>
      <c r="W77" s="13" t="n">
        <f aca="false">U77+V77</f>
        <v>350</v>
      </c>
    </row>
    <row r="78" customFormat="false" ht="15" hidden="false" customHeight="false" outlineLevel="0" collapsed="false">
      <c r="A78" s="14" t="s">
        <v>2212</v>
      </c>
      <c r="B78" s="14" t="s">
        <v>2104</v>
      </c>
      <c r="C78" s="14" t="s">
        <v>2114</v>
      </c>
      <c r="D78" s="14" t="s">
        <v>911</v>
      </c>
      <c r="E78" s="15" t="n">
        <v>550000</v>
      </c>
      <c r="F78" s="15" t="n">
        <v>9014.96</v>
      </c>
      <c r="G78" s="15" t="n">
        <v>1126.87</v>
      </c>
      <c r="H78" s="15" t="n">
        <v>1126.87</v>
      </c>
      <c r="I78" s="15" t="n">
        <f aca="false">SUM(K78:T78)</f>
        <v>6761.2</v>
      </c>
      <c r="J78" s="15" t="n">
        <f aca="false">F78-(G78+H78+I78)</f>
        <v>0.0200000000004366</v>
      </c>
      <c r="K78" s="15" t="n">
        <v>676.12</v>
      </c>
      <c r="L78" s="15" t="n">
        <v>676.12</v>
      </c>
      <c r="M78" s="15" t="n">
        <v>676.12</v>
      </c>
      <c r="N78" s="15" t="n">
        <v>676.12</v>
      </c>
      <c r="O78" s="15" t="n">
        <v>676.12</v>
      </c>
      <c r="P78" s="15" t="n">
        <v>676.12</v>
      </c>
      <c r="Q78" s="15" t="n">
        <v>676.12</v>
      </c>
      <c r="R78" s="15" t="n">
        <v>676.12</v>
      </c>
      <c r="S78" s="15" t="n">
        <v>676.12</v>
      </c>
      <c r="T78" s="15" t="n">
        <v>676.12</v>
      </c>
      <c r="U78" s="15" t="n">
        <v>350</v>
      </c>
      <c r="V78" s="15" t="n">
        <v>0</v>
      </c>
      <c r="W78" s="15" t="n">
        <f aca="false">U78+V78</f>
        <v>350</v>
      </c>
    </row>
    <row r="79" customFormat="false" ht="15" hidden="false" customHeight="false" outlineLevel="0" collapsed="false">
      <c r="A79" s="3" t="s">
        <v>2213</v>
      </c>
      <c r="B79" s="3" t="s">
        <v>2104</v>
      </c>
      <c r="C79" s="3" t="s">
        <v>664</v>
      </c>
      <c r="D79" s="3" t="s">
        <v>189</v>
      </c>
      <c r="E79" s="13" t="n">
        <v>435000</v>
      </c>
      <c r="F79" s="13" t="n">
        <v>5733.2</v>
      </c>
      <c r="G79" s="13" t="n">
        <v>716.65</v>
      </c>
      <c r="H79" s="13" t="n">
        <v>716.65</v>
      </c>
      <c r="I79" s="13" t="n">
        <f aca="false">SUM(K79:T79)</f>
        <v>4299.9</v>
      </c>
      <c r="J79" s="13" t="n">
        <f aca="false">F79-(G79+H79+I79)</f>
        <v>0</v>
      </c>
      <c r="K79" s="13" t="n">
        <v>429.99</v>
      </c>
      <c r="L79" s="13" t="n">
        <v>429.99</v>
      </c>
      <c r="M79" s="13" t="n">
        <v>429.99</v>
      </c>
      <c r="N79" s="13" t="n">
        <v>429.99</v>
      </c>
      <c r="O79" s="13" t="n">
        <v>429.99</v>
      </c>
      <c r="P79" s="13" t="n">
        <v>429.99</v>
      </c>
      <c r="Q79" s="13" t="n">
        <v>429.99</v>
      </c>
      <c r="R79" s="13" t="n">
        <v>429.99</v>
      </c>
      <c r="S79" s="13" t="n">
        <v>429.99</v>
      </c>
      <c r="T79" s="13" t="n">
        <v>429.99</v>
      </c>
      <c r="U79" s="13" t="n">
        <v>350</v>
      </c>
      <c r="V79" s="13" t="n">
        <v>0</v>
      </c>
      <c r="W79" s="13" t="n">
        <f aca="false">U79+V79</f>
        <v>350</v>
      </c>
    </row>
    <row r="80" customFormat="false" ht="15" hidden="false" customHeight="false" outlineLevel="0" collapsed="false">
      <c r="A80" s="14" t="s">
        <v>2214</v>
      </c>
      <c r="B80" s="14" t="s">
        <v>2164</v>
      </c>
      <c r="C80" s="14" t="s">
        <v>903</v>
      </c>
      <c r="D80" s="14" t="s">
        <v>246</v>
      </c>
      <c r="E80" s="15" t="n">
        <v>320000</v>
      </c>
      <c r="F80" s="15" t="n">
        <v>7054.77</v>
      </c>
      <c r="G80" s="15" t="n">
        <v>881.85</v>
      </c>
      <c r="H80" s="15" t="n">
        <v>881.85</v>
      </c>
      <c r="I80" s="15" t="n">
        <f aca="false">SUM(K80:T80)</f>
        <v>5291.1</v>
      </c>
      <c r="J80" s="15" t="n">
        <f aca="false">F80-(G80+H80+I80)</f>
        <v>-0.0299999999988358</v>
      </c>
      <c r="K80" s="15" t="n">
        <v>529.11</v>
      </c>
      <c r="L80" s="15" t="n">
        <v>529.11</v>
      </c>
      <c r="M80" s="15" t="n">
        <v>529.11</v>
      </c>
      <c r="N80" s="15" t="n">
        <v>529.11</v>
      </c>
      <c r="O80" s="15" t="n">
        <v>529.11</v>
      </c>
      <c r="P80" s="15" t="n">
        <v>529.11</v>
      </c>
      <c r="Q80" s="15" t="n">
        <v>529.11</v>
      </c>
      <c r="R80" s="15" t="n">
        <v>529.11</v>
      </c>
      <c r="S80" s="15" t="n">
        <v>529.11</v>
      </c>
      <c r="T80" s="15" t="n">
        <v>529.11</v>
      </c>
      <c r="U80" s="15" t="n">
        <v>350</v>
      </c>
      <c r="V80" s="15" t="n">
        <v>0</v>
      </c>
      <c r="W80" s="15" t="n">
        <f aca="false">U80+V80</f>
        <v>350</v>
      </c>
    </row>
    <row r="81" customFormat="false" ht="15" hidden="false" customHeight="false" outlineLevel="0" collapsed="false">
      <c r="A81" s="3" t="s">
        <v>2215</v>
      </c>
      <c r="B81" s="3" t="s">
        <v>2116</v>
      </c>
      <c r="C81" s="3" t="s">
        <v>1247</v>
      </c>
      <c r="D81" s="3" t="s">
        <v>93</v>
      </c>
      <c r="E81" s="13" t="n">
        <v>915000</v>
      </c>
      <c r="F81" s="13" t="n">
        <v>12161.8</v>
      </c>
      <c r="G81" s="13" t="n">
        <v>1520.22</v>
      </c>
      <c r="H81" s="13" t="n">
        <v>1520.22</v>
      </c>
      <c r="I81" s="13" t="n">
        <f aca="false">SUM(K81:T81)</f>
        <v>9121.3</v>
      </c>
      <c r="J81" s="13" t="n">
        <f aca="false">F81-(G81+H81+I81)</f>
        <v>0.0599999999994907</v>
      </c>
      <c r="K81" s="13" t="n">
        <v>912.13</v>
      </c>
      <c r="L81" s="13" t="n">
        <v>912.13</v>
      </c>
      <c r="M81" s="13" t="n">
        <v>912.13</v>
      </c>
      <c r="N81" s="13" t="n">
        <v>912.13</v>
      </c>
      <c r="O81" s="13" t="n">
        <v>912.13</v>
      </c>
      <c r="P81" s="13" t="n">
        <v>912.13</v>
      </c>
      <c r="Q81" s="13" t="n">
        <v>912.13</v>
      </c>
      <c r="R81" s="13" t="n">
        <v>912.13</v>
      </c>
      <c r="S81" s="13" t="n">
        <v>912.13</v>
      </c>
      <c r="T81" s="13" t="n">
        <v>912.13</v>
      </c>
      <c r="U81" s="13" t="n">
        <v>350</v>
      </c>
      <c r="V81" s="13" t="n">
        <v>0</v>
      </c>
      <c r="W81" s="13" t="n">
        <f aca="false">U81+V81</f>
        <v>350</v>
      </c>
    </row>
    <row r="82" customFormat="false" ht="15" hidden="false" customHeight="false" outlineLevel="0" collapsed="false">
      <c r="A82" s="14" t="s">
        <v>2216</v>
      </c>
      <c r="B82" s="14" t="s">
        <v>2127</v>
      </c>
      <c r="C82" s="14" t="s">
        <v>708</v>
      </c>
      <c r="D82" s="14" t="s">
        <v>251</v>
      </c>
      <c r="E82" s="15" t="n">
        <v>270000</v>
      </c>
      <c r="F82" s="15" t="n">
        <v>3623.24</v>
      </c>
      <c r="G82" s="15" t="n">
        <v>452.9</v>
      </c>
      <c r="H82" s="15" t="n">
        <v>452.9</v>
      </c>
      <c r="I82" s="15" t="n">
        <f aca="false">SUM(K82:T82)</f>
        <v>2717.4</v>
      </c>
      <c r="J82" s="15" t="n">
        <f aca="false">F82-(G82+H82+I82)</f>
        <v>0.0399999999999636</v>
      </c>
      <c r="K82" s="15" t="n">
        <v>271.74</v>
      </c>
      <c r="L82" s="15" t="n">
        <v>271.74</v>
      </c>
      <c r="M82" s="15" t="n">
        <v>271.74</v>
      </c>
      <c r="N82" s="15" t="n">
        <v>271.74</v>
      </c>
      <c r="O82" s="15" t="n">
        <v>271.74</v>
      </c>
      <c r="P82" s="15" t="n">
        <v>271.74</v>
      </c>
      <c r="Q82" s="15" t="n">
        <v>271.74</v>
      </c>
      <c r="R82" s="15" t="n">
        <v>271.74</v>
      </c>
      <c r="S82" s="15" t="n">
        <v>271.74</v>
      </c>
      <c r="T82" s="15" t="n">
        <v>271.74</v>
      </c>
      <c r="U82" s="15" t="n">
        <v>350</v>
      </c>
      <c r="V82" s="15" t="n">
        <v>0</v>
      </c>
      <c r="W82" s="15" t="n">
        <f aca="false">U82+V82</f>
        <v>350</v>
      </c>
    </row>
    <row r="83" customFormat="false" ht="15" hidden="false" customHeight="false" outlineLevel="0" collapsed="false">
      <c r="A83" s="3" t="s">
        <v>2217</v>
      </c>
      <c r="B83" s="3" t="s">
        <v>2179</v>
      </c>
      <c r="C83" s="3" t="s">
        <v>2218</v>
      </c>
      <c r="D83" s="3" t="s">
        <v>77</v>
      </c>
      <c r="E83" s="13" t="n">
        <v>620000</v>
      </c>
      <c r="F83" s="13" t="n">
        <v>5409.01</v>
      </c>
      <c r="G83" s="13" t="n">
        <v>676.13</v>
      </c>
      <c r="H83" s="13" t="n">
        <v>676.13</v>
      </c>
      <c r="I83" s="13" t="n">
        <f aca="false">SUM(K83:T83)</f>
        <v>4056.8</v>
      </c>
      <c r="J83" s="13" t="n">
        <f aca="false">F83-(G83+H83+I83)</f>
        <v>-0.0499999999992724</v>
      </c>
      <c r="K83" s="13" t="n">
        <v>405.68</v>
      </c>
      <c r="L83" s="13" t="n">
        <v>405.68</v>
      </c>
      <c r="M83" s="13" t="n">
        <v>405.68</v>
      </c>
      <c r="N83" s="13" t="n">
        <v>405.68</v>
      </c>
      <c r="O83" s="13" t="n">
        <v>405.68</v>
      </c>
      <c r="P83" s="13" t="n">
        <v>405.68</v>
      </c>
      <c r="Q83" s="13" t="n">
        <v>405.68</v>
      </c>
      <c r="R83" s="13" t="n">
        <v>405.68</v>
      </c>
      <c r="S83" s="13" t="n">
        <v>405.68</v>
      </c>
      <c r="T83" s="13" t="n">
        <v>405.68</v>
      </c>
      <c r="U83" s="13" t="n">
        <v>350</v>
      </c>
      <c r="V83" s="13" t="n">
        <v>0</v>
      </c>
      <c r="W83" s="13" t="n">
        <f aca="false">U83+V83</f>
        <v>350</v>
      </c>
    </row>
    <row r="84" customFormat="false" ht="15" hidden="false" customHeight="false" outlineLevel="0" collapsed="false">
      <c r="A84" s="14" t="s">
        <v>2219</v>
      </c>
      <c r="B84" s="14" t="s">
        <v>2132</v>
      </c>
      <c r="C84" s="14" t="s">
        <v>267</v>
      </c>
      <c r="D84" s="14" t="s">
        <v>325</v>
      </c>
      <c r="E84" s="15" t="n">
        <v>985000</v>
      </c>
      <c r="F84" s="15" t="n">
        <v>14115.05</v>
      </c>
      <c r="G84" s="15" t="n">
        <v>1764.38</v>
      </c>
      <c r="H84" s="15" t="n">
        <v>1764.38</v>
      </c>
      <c r="I84" s="15" t="n">
        <f aca="false">SUM(K84:T84)</f>
        <v>10586.3</v>
      </c>
      <c r="J84" s="15" t="n">
        <f aca="false">F84-(G84+H84+I84)</f>
        <v>-0.0100000000038563</v>
      </c>
      <c r="K84" s="15" t="n">
        <v>1058.63</v>
      </c>
      <c r="L84" s="15" t="n">
        <v>1058.63</v>
      </c>
      <c r="M84" s="15" t="n">
        <v>1058.63</v>
      </c>
      <c r="N84" s="15" t="n">
        <v>1058.63</v>
      </c>
      <c r="O84" s="15" t="n">
        <v>1058.63</v>
      </c>
      <c r="P84" s="15" t="n">
        <v>1058.63</v>
      </c>
      <c r="Q84" s="15" t="n">
        <v>1058.63</v>
      </c>
      <c r="R84" s="15" t="n">
        <v>1058.63</v>
      </c>
      <c r="S84" s="15" t="n">
        <v>1058.63</v>
      </c>
      <c r="T84" s="15" t="n">
        <v>1058.63</v>
      </c>
      <c r="U84" s="15" t="n">
        <v>350</v>
      </c>
      <c r="V84" s="15" t="n">
        <v>0</v>
      </c>
      <c r="W84" s="15" t="n">
        <f aca="false">U84+V84</f>
        <v>350</v>
      </c>
    </row>
    <row r="85" customFormat="false" ht="15" hidden="false" customHeight="false" outlineLevel="0" collapsed="false">
      <c r="A85" s="3" t="s">
        <v>2220</v>
      </c>
      <c r="B85" s="3" t="s">
        <v>2122</v>
      </c>
      <c r="C85" s="3" t="s">
        <v>1785</v>
      </c>
      <c r="D85" s="3" t="s">
        <v>121</v>
      </c>
      <c r="E85" s="13" t="n">
        <v>1195000</v>
      </c>
      <c r="F85" s="13" t="n">
        <v>12809.85</v>
      </c>
      <c r="G85" s="13" t="n">
        <v>1601.23</v>
      </c>
      <c r="H85" s="13" t="n">
        <v>1601.23</v>
      </c>
      <c r="I85" s="13" t="n">
        <f aca="false">SUM(K85:T85)</f>
        <v>9607.4</v>
      </c>
      <c r="J85" s="13" t="n">
        <f aca="false">F85-(G85+H85+I85)</f>
        <v>-0.0100000000002183</v>
      </c>
      <c r="K85" s="13" t="n">
        <v>960.74</v>
      </c>
      <c r="L85" s="13" t="n">
        <v>960.74</v>
      </c>
      <c r="M85" s="13" t="n">
        <v>960.74</v>
      </c>
      <c r="N85" s="13" t="n">
        <v>960.74</v>
      </c>
      <c r="O85" s="13" t="n">
        <v>960.74</v>
      </c>
      <c r="P85" s="13" t="n">
        <v>960.74</v>
      </c>
      <c r="Q85" s="13" t="n">
        <v>960.74</v>
      </c>
      <c r="R85" s="13" t="n">
        <v>960.74</v>
      </c>
      <c r="S85" s="13" t="n">
        <v>960.74</v>
      </c>
      <c r="T85" s="13" t="n">
        <v>960.74</v>
      </c>
      <c r="U85" s="13" t="n">
        <v>350</v>
      </c>
      <c r="V85" s="13" t="n">
        <v>250</v>
      </c>
      <c r="W85" s="13" t="n">
        <f aca="false">U85+V85</f>
        <v>600</v>
      </c>
    </row>
    <row r="86" customFormat="false" ht="15" hidden="false" customHeight="false" outlineLevel="0" collapsed="false">
      <c r="A86" s="14" t="s">
        <v>2221</v>
      </c>
      <c r="B86" s="14" t="s">
        <v>2127</v>
      </c>
      <c r="C86" s="14" t="s">
        <v>835</v>
      </c>
      <c r="D86" s="14" t="s">
        <v>180</v>
      </c>
      <c r="E86" s="15" t="n">
        <v>615000</v>
      </c>
      <c r="F86" s="15" t="n">
        <v>7727.3</v>
      </c>
      <c r="G86" s="15" t="n">
        <v>965.91</v>
      </c>
      <c r="H86" s="15" t="n">
        <v>965.91</v>
      </c>
      <c r="I86" s="15" t="n">
        <f aca="false">SUM(K86:T86)</f>
        <v>5795.5</v>
      </c>
      <c r="J86" s="15" t="n">
        <f aca="false">F86-(G86+H86+I86)</f>
        <v>-0.0199999999995271</v>
      </c>
      <c r="K86" s="15" t="n">
        <v>579.55</v>
      </c>
      <c r="L86" s="15" t="n">
        <v>579.55</v>
      </c>
      <c r="M86" s="15" t="n">
        <v>579.55</v>
      </c>
      <c r="N86" s="15" t="n">
        <v>579.55</v>
      </c>
      <c r="O86" s="15" t="n">
        <v>579.55</v>
      </c>
      <c r="P86" s="15" t="n">
        <v>579.55</v>
      </c>
      <c r="Q86" s="15" t="n">
        <v>579.55</v>
      </c>
      <c r="R86" s="15" t="n">
        <v>579.55</v>
      </c>
      <c r="S86" s="15" t="n">
        <v>579.55</v>
      </c>
      <c r="T86" s="15" t="n">
        <v>579.55</v>
      </c>
      <c r="U86" s="15" t="n">
        <v>350</v>
      </c>
      <c r="V86" s="15" t="n">
        <v>0</v>
      </c>
      <c r="W86" s="15" t="n">
        <f aca="false">U86+V86</f>
        <v>350</v>
      </c>
    </row>
    <row r="87" customFormat="false" ht="15" hidden="false" customHeight="false" outlineLevel="0" collapsed="false">
      <c r="A87" s="3" t="s">
        <v>2222</v>
      </c>
      <c r="B87" s="3" t="s">
        <v>2127</v>
      </c>
      <c r="C87" s="3" t="s">
        <v>1112</v>
      </c>
      <c r="D87" s="3" t="s">
        <v>157</v>
      </c>
      <c r="E87" s="13" t="n">
        <v>495000</v>
      </c>
      <c r="F87" s="13" t="n">
        <v>8421.87</v>
      </c>
      <c r="G87" s="13" t="n">
        <v>1052.73</v>
      </c>
      <c r="H87" s="13" t="n">
        <v>1052.73</v>
      </c>
      <c r="I87" s="13" t="n">
        <f aca="false">SUM(K87:T87)</f>
        <v>6316.4</v>
      </c>
      <c r="J87" s="13" t="n">
        <f aca="false">F87-(G87+H87+I87)</f>
        <v>0.0100000000002183</v>
      </c>
      <c r="K87" s="13" t="n">
        <v>631.64</v>
      </c>
      <c r="L87" s="13" t="n">
        <v>631.64</v>
      </c>
      <c r="M87" s="13" t="n">
        <v>631.64</v>
      </c>
      <c r="N87" s="13" t="n">
        <v>631.64</v>
      </c>
      <c r="O87" s="13" t="n">
        <v>631.64</v>
      </c>
      <c r="P87" s="13" t="n">
        <v>631.64</v>
      </c>
      <c r="Q87" s="13" t="n">
        <v>631.64</v>
      </c>
      <c r="R87" s="13" t="n">
        <v>631.64</v>
      </c>
      <c r="S87" s="13" t="n">
        <v>631.64</v>
      </c>
      <c r="T87" s="13" t="n">
        <v>631.64</v>
      </c>
      <c r="U87" s="13" t="n">
        <v>350</v>
      </c>
      <c r="V87" s="13" t="n">
        <v>0</v>
      </c>
      <c r="W87" s="13" t="n">
        <f aca="false">U87+V87</f>
        <v>350</v>
      </c>
    </row>
    <row r="88" customFormat="false" ht="15" hidden="false" customHeight="false" outlineLevel="0" collapsed="false">
      <c r="A88" s="14" t="s">
        <v>2223</v>
      </c>
      <c r="B88" s="14" t="s">
        <v>2162</v>
      </c>
      <c r="C88" s="14" t="s">
        <v>692</v>
      </c>
      <c r="D88" s="14" t="s">
        <v>89</v>
      </c>
      <c r="E88" s="15" t="n">
        <v>305000</v>
      </c>
      <c r="F88" s="15" t="n">
        <v>4933.42</v>
      </c>
      <c r="G88" s="15" t="n">
        <v>616.68</v>
      </c>
      <c r="H88" s="15" t="n">
        <v>616.68</v>
      </c>
      <c r="I88" s="15" t="n">
        <f aca="false">SUM(K88:T88)</f>
        <v>3700.1</v>
      </c>
      <c r="J88" s="15" t="n">
        <f aca="false">F88-(G88+H88+I88)</f>
        <v>-0.0399999999999636</v>
      </c>
      <c r="K88" s="15" t="n">
        <v>370.01</v>
      </c>
      <c r="L88" s="15" t="n">
        <v>370.01</v>
      </c>
      <c r="M88" s="15" t="n">
        <v>370.01</v>
      </c>
      <c r="N88" s="15" t="n">
        <v>370.01</v>
      </c>
      <c r="O88" s="15" t="n">
        <v>370.01</v>
      </c>
      <c r="P88" s="15" t="n">
        <v>370.01</v>
      </c>
      <c r="Q88" s="15" t="n">
        <v>370.01</v>
      </c>
      <c r="R88" s="15" t="n">
        <v>370.01</v>
      </c>
      <c r="S88" s="15" t="n">
        <v>370.01</v>
      </c>
      <c r="T88" s="15" t="n">
        <v>370.01</v>
      </c>
      <c r="U88" s="15" t="n">
        <v>350</v>
      </c>
      <c r="V88" s="15" t="n">
        <v>0</v>
      </c>
      <c r="W88" s="15" t="n">
        <f aca="false">U88+V88</f>
        <v>350</v>
      </c>
    </row>
    <row r="89" customFormat="false" ht="15" hidden="false" customHeight="false" outlineLevel="0" collapsed="false">
      <c r="A89" s="3" t="s">
        <v>2224</v>
      </c>
      <c r="B89" s="3" t="s">
        <v>2134</v>
      </c>
      <c r="C89" s="3" t="s">
        <v>245</v>
      </c>
      <c r="D89" s="3" t="s">
        <v>115</v>
      </c>
      <c r="E89" s="13" t="n">
        <v>460000</v>
      </c>
      <c r="F89" s="13" t="n">
        <v>7275.23</v>
      </c>
      <c r="G89" s="13" t="n">
        <v>909.4</v>
      </c>
      <c r="H89" s="13" t="n">
        <v>909.4</v>
      </c>
      <c r="I89" s="13" t="n">
        <f aca="false">SUM(K89:T89)</f>
        <v>5456.4</v>
      </c>
      <c r="J89" s="13" t="n">
        <f aca="false">F89-(G89+H89+I89)</f>
        <v>0.0299999999988358</v>
      </c>
      <c r="K89" s="13" t="n">
        <v>545.64</v>
      </c>
      <c r="L89" s="13" t="n">
        <v>545.64</v>
      </c>
      <c r="M89" s="13" t="n">
        <v>545.64</v>
      </c>
      <c r="N89" s="13" t="n">
        <v>545.64</v>
      </c>
      <c r="O89" s="13" t="n">
        <v>545.64</v>
      </c>
      <c r="P89" s="13" t="n">
        <v>545.64</v>
      </c>
      <c r="Q89" s="13" t="n">
        <v>545.64</v>
      </c>
      <c r="R89" s="13" t="n">
        <v>545.64</v>
      </c>
      <c r="S89" s="13" t="n">
        <v>545.64</v>
      </c>
      <c r="T89" s="13" t="n">
        <v>545.64</v>
      </c>
      <c r="U89" s="13" t="n">
        <v>350</v>
      </c>
      <c r="V89" s="13" t="n">
        <v>0</v>
      </c>
      <c r="W89" s="13" t="n">
        <f aca="false">U89+V89</f>
        <v>350</v>
      </c>
    </row>
    <row r="90" customFormat="false" ht="15" hidden="false" customHeight="false" outlineLevel="0" collapsed="false">
      <c r="A90" s="14" t="s">
        <v>2225</v>
      </c>
      <c r="B90" s="14" t="s">
        <v>2109</v>
      </c>
      <c r="C90" s="14" t="s">
        <v>316</v>
      </c>
      <c r="D90" s="14" t="s">
        <v>222</v>
      </c>
      <c r="E90" s="15" t="n">
        <v>695000</v>
      </c>
      <c r="F90" s="15" t="n">
        <v>7938.61</v>
      </c>
      <c r="G90" s="15" t="n">
        <v>992.33</v>
      </c>
      <c r="H90" s="15" t="n">
        <v>992.33</v>
      </c>
      <c r="I90" s="15" t="n">
        <f aca="false">SUM(K90:T90)</f>
        <v>5954</v>
      </c>
      <c r="J90" s="15" t="n">
        <f aca="false">F90-(G90+H90+I90)</f>
        <v>-0.0499999999992724</v>
      </c>
      <c r="K90" s="15" t="n">
        <v>595.4</v>
      </c>
      <c r="L90" s="15" t="n">
        <v>595.4</v>
      </c>
      <c r="M90" s="15" t="n">
        <v>595.4</v>
      </c>
      <c r="N90" s="15" t="n">
        <v>595.4</v>
      </c>
      <c r="O90" s="15" t="n">
        <v>595.4</v>
      </c>
      <c r="P90" s="15" t="n">
        <v>595.4</v>
      </c>
      <c r="Q90" s="15" t="n">
        <v>595.4</v>
      </c>
      <c r="R90" s="15" t="n">
        <v>595.4</v>
      </c>
      <c r="S90" s="15" t="n">
        <v>595.4</v>
      </c>
      <c r="T90" s="15" t="n">
        <v>595.4</v>
      </c>
      <c r="U90" s="15" t="n">
        <v>350</v>
      </c>
      <c r="V90" s="15" t="n">
        <v>0</v>
      </c>
      <c r="W90" s="15" t="n">
        <f aca="false">U90+V90</f>
        <v>350</v>
      </c>
    </row>
    <row r="91" customFormat="false" ht="15" hidden="false" customHeight="false" outlineLevel="0" collapsed="false">
      <c r="A91" s="3" t="s">
        <v>2226</v>
      </c>
      <c r="B91" s="3" t="s">
        <v>2113</v>
      </c>
      <c r="C91" s="3" t="s">
        <v>570</v>
      </c>
      <c r="D91" s="3" t="s">
        <v>180</v>
      </c>
      <c r="E91" s="13" t="n">
        <v>715000</v>
      </c>
      <c r="F91" s="13" t="n">
        <v>13130.12</v>
      </c>
      <c r="G91" s="13" t="n">
        <v>1641.27</v>
      </c>
      <c r="H91" s="13" t="n">
        <v>1641.27</v>
      </c>
      <c r="I91" s="13" t="n">
        <f aca="false">SUM(K91:T91)</f>
        <v>9847.6</v>
      </c>
      <c r="J91" s="13" t="n">
        <f aca="false">F91-(G91+H91+I91)</f>
        <v>-0.0199999999986176</v>
      </c>
      <c r="K91" s="13" t="n">
        <v>984.76</v>
      </c>
      <c r="L91" s="13" t="n">
        <v>984.76</v>
      </c>
      <c r="M91" s="13" t="n">
        <v>984.76</v>
      </c>
      <c r="N91" s="13" t="n">
        <v>984.76</v>
      </c>
      <c r="O91" s="13" t="n">
        <v>984.76</v>
      </c>
      <c r="P91" s="13" t="n">
        <v>984.76</v>
      </c>
      <c r="Q91" s="13" t="n">
        <v>984.76</v>
      </c>
      <c r="R91" s="13" t="n">
        <v>984.76</v>
      </c>
      <c r="S91" s="13" t="n">
        <v>984.76</v>
      </c>
      <c r="T91" s="13" t="n">
        <v>984.76</v>
      </c>
      <c r="U91" s="13" t="n">
        <v>350</v>
      </c>
      <c r="V91" s="13" t="n">
        <v>0</v>
      </c>
      <c r="W91" s="13" t="n">
        <f aca="false">U91+V91</f>
        <v>350</v>
      </c>
    </row>
    <row r="92" customFormat="false" ht="15" hidden="false" customHeight="false" outlineLevel="0" collapsed="false">
      <c r="A92" s="14" t="s">
        <v>2227</v>
      </c>
      <c r="B92" s="14" t="s">
        <v>2120</v>
      </c>
      <c r="C92" s="14" t="s">
        <v>281</v>
      </c>
      <c r="D92" s="14" t="s">
        <v>328</v>
      </c>
      <c r="E92" s="15" t="n">
        <v>1395000</v>
      </c>
      <c r="F92" s="15" t="n">
        <v>19700.63</v>
      </c>
      <c r="G92" s="15" t="n">
        <v>2462.58</v>
      </c>
      <c r="H92" s="15" t="n">
        <v>2462.58</v>
      </c>
      <c r="I92" s="15" t="n">
        <f aca="false">SUM(K92:T92)</f>
        <v>14775.5</v>
      </c>
      <c r="J92" s="15" t="n">
        <f aca="false">F92-(G92+H92+I92)</f>
        <v>-0.0299999999951979</v>
      </c>
      <c r="K92" s="15" t="n">
        <v>1477.55</v>
      </c>
      <c r="L92" s="15" t="n">
        <v>1477.55</v>
      </c>
      <c r="M92" s="15" t="n">
        <v>1477.55</v>
      </c>
      <c r="N92" s="15" t="n">
        <v>1477.55</v>
      </c>
      <c r="O92" s="15" t="n">
        <v>1477.55</v>
      </c>
      <c r="P92" s="15" t="n">
        <v>1477.55</v>
      </c>
      <c r="Q92" s="15" t="n">
        <v>1477.55</v>
      </c>
      <c r="R92" s="15" t="n">
        <v>1477.55</v>
      </c>
      <c r="S92" s="15" t="n">
        <v>1477.55</v>
      </c>
      <c r="T92" s="15" t="n">
        <v>1477.55</v>
      </c>
      <c r="U92" s="15" t="n">
        <v>350</v>
      </c>
      <c r="V92" s="15" t="n">
        <v>250</v>
      </c>
      <c r="W92" s="15" t="n">
        <f aca="false">U92+V92</f>
        <v>600</v>
      </c>
    </row>
    <row r="93" customFormat="false" ht="15" hidden="false" customHeight="false" outlineLevel="0" collapsed="false">
      <c r="A93" s="3" t="s">
        <v>2228</v>
      </c>
      <c r="B93" s="3" t="s">
        <v>2124</v>
      </c>
      <c r="C93" s="3" t="s">
        <v>1139</v>
      </c>
      <c r="D93" s="3" t="s">
        <v>352</v>
      </c>
      <c r="E93" s="13" t="n">
        <v>330000</v>
      </c>
      <c r="F93" s="13" t="n">
        <v>4467.94</v>
      </c>
      <c r="G93" s="13" t="n">
        <v>558.49</v>
      </c>
      <c r="H93" s="13" t="n">
        <v>558.49</v>
      </c>
      <c r="I93" s="13" t="n">
        <f aca="false">SUM(K93:T93)</f>
        <v>3351</v>
      </c>
      <c r="J93" s="13" t="n">
        <f aca="false">F93-(G93+H93+I93)</f>
        <v>-0.0399999999999636</v>
      </c>
      <c r="K93" s="13" t="n">
        <v>335.1</v>
      </c>
      <c r="L93" s="13" t="n">
        <v>335.1</v>
      </c>
      <c r="M93" s="13" t="n">
        <v>335.1</v>
      </c>
      <c r="N93" s="13" t="n">
        <v>335.1</v>
      </c>
      <c r="O93" s="13" t="n">
        <v>335.1</v>
      </c>
      <c r="P93" s="13" t="n">
        <v>335.1</v>
      </c>
      <c r="Q93" s="13" t="n">
        <v>335.1</v>
      </c>
      <c r="R93" s="13" t="n">
        <v>335.1</v>
      </c>
      <c r="S93" s="13" t="n">
        <v>335.1</v>
      </c>
      <c r="T93" s="13" t="n">
        <v>335.1</v>
      </c>
      <c r="U93" s="13" t="n">
        <v>350</v>
      </c>
      <c r="V93" s="13" t="n">
        <v>0</v>
      </c>
      <c r="W93" s="13" t="n">
        <f aca="false">U93+V93</f>
        <v>350</v>
      </c>
    </row>
    <row r="94" customFormat="false" ht="15" hidden="false" customHeight="false" outlineLevel="0" collapsed="false">
      <c r="A94" s="14" t="s">
        <v>2229</v>
      </c>
      <c r="B94" s="14" t="s">
        <v>2127</v>
      </c>
      <c r="C94" s="14" t="s">
        <v>913</v>
      </c>
      <c r="D94" s="14" t="s">
        <v>246</v>
      </c>
      <c r="E94" s="15" t="n">
        <v>345000</v>
      </c>
      <c r="F94" s="15" t="n">
        <v>3174.64</v>
      </c>
      <c r="G94" s="15" t="n">
        <v>396.83</v>
      </c>
      <c r="H94" s="15" t="n">
        <v>396.83</v>
      </c>
      <c r="I94" s="15" t="n">
        <f aca="false">SUM(K94:T94)</f>
        <v>2381</v>
      </c>
      <c r="J94" s="15" t="n">
        <f aca="false">F94-(G94+H94+I94)</f>
        <v>-0.0199999999999818</v>
      </c>
      <c r="K94" s="15" t="n">
        <v>238.1</v>
      </c>
      <c r="L94" s="15" t="n">
        <v>238.1</v>
      </c>
      <c r="M94" s="15" t="n">
        <v>238.1</v>
      </c>
      <c r="N94" s="15" t="n">
        <v>238.1</v>
      </c>
      <c r="O94" s="15" t="n">
        <v>238.1</v>
      </c>
      <c r="P94" s="15" t="n">
        <v>238.1</v>
      </c>
      <c r="Q94" s="15" t="n">
        <v>238.1</v>
      </c>
      <c r="R94" s="15" t="n">
        <v>238.1</v>
      </c>
      <c r="S94" s="15" t="n">
        <v>238.1</v>
      </c>
      <c r="T94" s="15" t="n">
        <v>238.1</v>
      </c>
      <c r="U94" s="15" t="n">
        <v>350</v>
      </c>
      <c r="V94" s="15" t="n">
        <v>0</v>
      </c>
      <c r="W94" s="15" t="n">
        <f aca="false">U94+V94</f>
        <v>350</v>
      </c>
    </row>
    <row r="95" customFormat="false" ht="15" hidden="false" customHeight="false" outlineLevel="0" collapsed="false">
      <c r="A95" s="3" t="s">
        <v>2230</v>
      </c>
      <c r="B95" s="3" t="s">
        <v>2104</v>
      </c>
      <c r="C95" s="3" t="s">
        <v>2231</v>
      </c>
      <c r="D95" s="3" t="s">
        <v>193</v>
      </c>
      <c r="E95" s="13" t="n">
        <v>750000</v>
      </c>
      <c r="F95" s="13" t="n">
        <v>11682.06</v>
      </c>
      <c r="G95" s="13" t="n">
        <v>1460.26</v>
      </c>
      <c r="H95" s="13" t="n">
        <v>1460.26</v>
      </c>
      <c r="I95" s="13" t="n">
        <f aca="false">SUM(K95:T95)</f>
        <v>8761.5</v>
      </c>
      <c r="J95" s="13" t="n">
        <f aca="false">F95-(G95+H95+I95)</f>
        <v>0.0399999999990541</v>
      </c>
      <c r="K95" s="13" t="n">
        <v>876.15</v>
      </c>
      <c r="L95" s="13" t="n">
        <v>876.15</v>
      </c>
      <c r="M95" s="13" t="n">
        <v>876.15</v>
      </c>
      <c r="N95" s="13" t="n">
        <v>876.15</v>
      </c>
      <c r="O95" s="13" t="n">
        <v>876.15</v>
      </c>
      <c r="P95" s="13" t="n">
        <v>876.15</v>
      </c>
      <c r="Q95" s="13" t="n">
        <v>876.15</v>
      </c>
      <c r="R95" s="13" t="n">
        <v>876.15</v>
      </c>
      <c r="S95" s="13" t="n">
        <v>876.15</v>
      </c>
      <c r="T95" s="13" t="n">
        <v>876.15</v>
      </c>
      <c r="U95" s="13" t="n">
        <v>350</v>
      </c>
      <c r="V95" s="13" t="n">
        <v>0</v>
      </c>
      <c r="W95" s="13" t="n">
        <f aca="false">U95+V95</f>
        <v>350</v>
      </c>
    </row>
    <row r="96" customFormat="false" ht="15" hidden="false" customHeight="false" outlineLevel="0" collapsed="false">
      <c r="A96" s="14" t="s">
        <v>2232</v>
      </c>
      <c r="B96" s="14" t="s">
        <v>2194</v>
      </c>
      <c r="C96" s="14" t="s">
        <v>670</v>
      </c>
      <c r="D96" s="14" t="s">
        <v>93</v>
      </c>
      <c r="E96" s="15" t="n">
        <v>710000</v>
      </c>
      <c r="F96" s="15" t="n">
        <v>6242.96</v>
      </c>
      <c r="G96" s="15" t="n">
        <v>780.37</v>
      </c>
      <c r="H96" s="15" t="n">
        <v>780.37</v>
      </c>
      <c r="I96" s="15" t="n">
        <f aca="false">SUM(K96:T96)</f>
        <v>4682.2</v>
      </c>
      <c r="J96" s="15" t="n">
        <f aca="false">F96-(G96+H96+I96)</f>
        <v>0.0199999999995271</v>
      </c>
      <c r="K96" s="15" t="n">
        <v>468.22</v>
      </c>
      <c r="L96" s="15" t="n">
        <v>468.22</v>
      </c>
      <c r="M96" s="15" t="n">
        <v>468.22</v>
      </c>
      <c r="N96" s="15" t="n">
        <v>468.22</v>
      </c>
      <c r="O96" s="15" t="n">
        <v>468.22</v>
      </c>
      <c r="P96" s="15" t="n">
        <v>468.22</v>
      </c>
      <c r="Q96" s="15" t="n">
        <v>468.22</v>
      </c>
      <c r="R96" s="15" t="n">
        <v>468.22</v>
      </c>
      <c r="S96" s="15" t="n">
        <v>468.22</v>
      </c>
      <c r="T96" s="15" t="n">
        <v>468.22</v>
      </c>
      <c r="U96" s="15" t="n">
        <v>350</v>
      </c>
      <c r="V96" s="15" t="n">
        <v>0</v>
      </c>
      <c r="W96" s="15" t="n">
        <f aca="false">U96+V96</f>
        <v>350</v>
      </c>
    </row>
    <row r="97" customFormat="false" ht="15" hidden="false" customHeight="false" outlineLevel="0" collapsed="false">
      <c r="A97" s="3" t="s">
        <v>2233</v>
      </c>
      <c r="B97" s="3" t="s">
        <v>2150</v>
      </c>
      <c r="C97" s="3" t="s">
        <v>538</v>
      </c>
      <c r="D97" s="3" t="s">
        <v>99</v>
      </c>
      <c r="E97" s="13" t="n">
        <v>1415000</v>
      </c>
      <c r="F97" s="13" t="n">
        <v>24594.56</v>
      </c>
      <c r="G97" s="13" t="n">
        <v>3074.32</v>
      </c>
      <c r="H97" s="13" t="n">
        <v>3074.32</v>
      </c>
      <c r="I97" s="13" t="n">
        <f aca="false">SUM(K97:T97)</f>
        <v>18445.9</v>
      </c>
      <c r="J97" s="13" t="n">
        <f aca="false">F97-(G97+H97+I97)</f>
        <v>0.0200000000040745</v>
      </c>
      <c r="K97" s="13" t="n">
        <v>1844.59</v>
      </c>
      <c r="L97" s="13" t="n">
        <v>1844.59</v>
      </c>
      <c r="M97" s="13" t="n">
        <v>1844.59</v>
      </c>
      <c r="N97" s="13" t="n">
        <v>1844.59</v>
      </c>
      <c r="O97" s="13" t="n">
        <v>1844.59</v>
      </c>
      <c r="P97" s="13" t="n">
        <v>1844.59</v>
      </c>
      <c r="Q97" s="13" t="n">
        <v>1844.59</v>
      </c>
      <c r="R97" s="13" t="n">
        <v>1844.59</v>
      </c>
      <c r="S97" s="13" t="n">
        <v>1844.59</v>
      </c>
      <c r="T97" s="13" t="n">
        <v>1844.59</v>
      </c>
      <c r="U97" s="13" t="n">
        <v>350</v>
      </c>
      <c r="V97" s="13" t="n">
        <v>250</v>
      </c>
      <c r="W97" s="13" t="n">
        <f aca="false">U97+V97</f>
        <v>600</v>
      </c>
    </row>
    <row r="98" customFormat="false" ht="15" hidden="false" customHeight="false" outlineLevel="0" collapsed="false">
      <c r="A98" s="14" t="s">
        <v>2234</v>
      </c>
      <c r="B98" s="14" t="s">
        <v>2150</v>
      </c>
      <c r="C98" s="14" t="s">
        <v>2235</v>
      </c>
      <c r="D98" s="14" t="s">
        <v>698</v>
      </c>
      <c r="E98" s="15" t="n">
        <v>885000</v>
      </c>
      <c r="F98" s="15" t="n">
        <v>12590.15</v>
      </c>
      <c r="G98" s="15" t="n">
        <v>1573.77</v>
      </c>
      <c r="H98" s="15" t="n">
        <v>1573.77</v>
      </c>
      <c r="I98" s="15" t="n">
        <f aca="false">SUM(K98:T98)</f>
        <v>9442.6</v>
      </c>
      <c r="J98" s="15" t="n">
        <f aca="false">F98-(G98+H98+I98)</f>
        <v>0.0100000000002183</v>
      </c>
      <c r="K98" s="15" t="n">
        <v>944.26</v>
      </c>
      <c r="L98" s="15" t="n">
        <v>944.26</v>
      </c>
      <c r="M98" s="15" t="n">
        <v>944.26</v>
      </c>
      <c r="N98" s="15" t="n">
        <v>944.26</v>
      </c>
      <c r="O98" s="15" t="n">
        <v>944.26</v>
      </c>
      <c r="P98" s="15" t="n">
        <v>944.26</v>
      </c>
      <c r="Q98" s="15" t="n">
        <v>944.26</v>
      </c>
      <c r="R98" s="15" t="n">
        <v>944.26</v>
      </c>
      <c r="S98" s="15" t="n">
        <v>944.26</v>
      </c>
      <c r="T98" s="15" t="n">
        <v>944.26</v>
      </c>
      <c r="U98" s="15" t="n">
        <v>350</v>
      </c>
      <c r="V98" s="15" t="n">
        <v>0</v>
      </c>
      <c r="W98" s="15" t="n">
        <f aca="false">U98+V98</f>
        <v>350</v>
      </c>
    </row>
    <row r="99" customFormat="false" ht="15" hidden="false" customHeight="false" outlineLevel="0" collapsed="false">
      <c r="A99" s="3" t="s">
        <v>2236</v>
      </c>
      <c r="B99" s="3" t="s">
        <v>2183</v>
      </c>
      <c r="C99" s="3" t="s">
        <v>340</v>
      </c>
      <c r="D99" s="3" t="s">
        <v>193</v>
      </c>
      <c r="E99" s="13" t="n">
        <v>610000</v>
      </c>
      <c r="F99" s="13" t="n">
        <v>7917.85</v>
      </c>
      <c r="G99" s="13" t="n">
        <v>989.73</v>
      </c>
      <c r="H99" s="13" t="n">
        <v>989.73</v>
      </c>
      <c r="I99" s="13" t="n">
        <f aca="false">SUM(K99:T99)</f>
        <v>5938.4</v>
      </c>
      <c r="J99" s="13" t="n">
        <f aca="false">F99-(G99+H99+I99)</f>
        <v>-0.0100000000002183</v>
      </c>
      <c r="K99" s="13" t="n">
        <v>593.84</v>
      </c>
      <c r="L99" s="13" t="n">
        <v>593.84</v>
      </c>
      <c r="M99" s="13" t="n">
        <v>593.84</v>
      </c>
      <c r="N99" s="13" t="n">
        <v>593.84</v>
      </c>
      <c r="O99" s="13" t="n">
        <v>593.84</v>
      </c>
      <c r="P99" s="13" t="n">
        <v>593.84</v>
      </c>
      <c r="Q99" s="13" t="n">
        <v>593.84</v>
      </c>
      <c r="R99" s="13" t="n">
        <v>593.84</v>
      </c>
      <c r="S99" s="13" t="n">
        <v>593.84</v>
      </c>
      <c r="T99" s="13" t="n">
        <v>593.84</v>
      </c>
      <c r="U99" s="13" t="n">
        <v>350</v>
      </c>
      <c r="V99" s="13" t="n">
        <v>0</v>
      </c>
      <c r="W99" s="13" t="n">
        <f aca="false">U99+V99</f>
        <v>350</v>
      </c>
    </row>
    <row r="100" customFormat="false" ht="15" hidden="false" customHeight="false" outlineLevel="0" collapsed="false">
      <c r="A100" s="14" t="s">
        <v>2237</v>
      </c>
      <c r="B100" s="14" t="s">
        <v>2109</v>
      </c>
      <c r="C100" s="14" t="s">
        <v>972</v>
      </c>
      <c r="D100" s="14" t="s">
        <v>125</v>
      </c>
      <c r="E100" s="15" t="n">
        <v>1685000</v>
      </c>
      <c r="F100" s="15" t="n">
        <v>20673.54</v>
      </c>
      <c r="G100" s="15" t="n">
        <v>2584.19</v>
      </c>
      <c r="H100" s="15" t="n">
        <v>2584.19</v>
      </c>
      <c r="I100" s="15" t="n">
        <f aca="false">SUM(K100:T100)</f>
        <v>15505.2</v>
      </c>
      <c r="J100" s="15" t="n">
        <f aca="false">F100-(G100+H100+I100)</f>
        <v>-0.0400000000008731</v>
      </c>
      <c r="K100" s="15" t="n">
        <v>1550.52</v>
      </c>
      <c r="L100" s="15" t="n">
        <v>1550.52</v>
      </c>
      <c r="M100" s="15" t="n">
        <v>1550.52</v>
      </c>
      <c r="N100" s="15" t="n">
        <v>1550.52</v>
      </c>
      <c r="O100" s="15" t="n">
        <v>1550.52</v>
      </c>
      <c r="P100" s="15" t="n">
        <v>1550.52</v>
      </c>
      <c r="Q100" s="15" t="n">
        <v>1550.52</v>
      </c>
      <c r="R100" s="15" t="n">
        <v>1550.52</v>
      </c>
      <c r="S100" s="15" t="n">
        <v>1550.52</v>
      </c>
      <c r="T100" s="15" t="n">
        <v>1550.52</v>
      </c>
      <c r="U100" s="15" t="n">
        <v>350</v>
      </c>
      <c r="V100" s="15" t="n">
        <v>250</v>
      </c>
      <c r="W100" s="15" t="n">
        <f aca="false">U100+V100</f>
        <v>600</v>
      </c>
    </row>
    <row r="101" customFormat="false" ht="15" hidden="false" customHeight="false" outlineLevel="0" collapsed="false">
      <c r="A101" s="3" t="s">
        <v>2238</v>
      </c>
      <c r="B101" s="3" t="s">
        <v>2132</v>
      </c>
      <c r="C101" s="3" t="s">
        <v>152</v>
      </c>
      <c r="D101" s="3" t="s">
        <v>197</v>
      </c>
      <c r="E101" s="13" t="n">
        <v>270000</v>
      </c>
      <c r="F101" s="13" t="n">
        <v>3526.18</v>
      </c>
      <c r="G101" s="13" t="n">
        <v>440.77</v>
      </c>
      <c r="H101" s="13" t="n">
        <v>440.77</v>
      </c>
      <c r="I101" s="13" t="n">
        <f aca="false">SUM(K101:T101)</f>
        <v>2644.6</v>
      </c>
      <c r="J101" s="13" t="n">
        <f aca="false">F101-(G101+H101+I101)</f>
        <v>0.0399999999999636</v>
      </c>
      <c r="K101" s="13" t="n">
        <v>264.46</v>
      </c>
      <c r="L101" s="13" t="n">
        <v>264.46</v>
      </c>
      <c r="M101" s="13" t="n">
        <v>264.46</v>
      </c>
      <c r="N101" s="13" t="n">
        <v>264.46</v>
      </c>
      <c r="O101" s="13" t="n">
        <v>264.46</v>
      </c>
      <c r="P101" s="13" t="n">
        <v>264.46</v>
      </c>
      <c r="Q101" s="13" t="n">
        <v>264.46</v>
      </c>
      <c r="R101" s="13" t="n">
        <v>264.46</v>
      </c>
      <c r="S101" s="13" t="n">
        <v>264.46</v>
      </c>
      <c r="T101" s="13" t="n">
        <v>264.46</v>
      </c>
      <c r="U101" s="13" t="n">
        <v>350</v>
      </c>
      <c r="V101" s="13" t="n">
        <v>0</v>
      </c>
      <c r="W101" s="13" t="n">
        <f aca="false">U101+V101</f>
        <v>350</v>
      </c>
    </row>
    <row r="102" customFormat="false" ht="15" hidden="false" customHeight="false" outlineLevel="0" collapsed="false">
      <c r="A102" s="14" t="s">
        <v>2239</v>
      </c>
      <c r="B102" s="14" t="s">
        <v>2176</v>
      </c>
      <c r="C102" s="14" t="s">
        <v>655</v>
      </c>
      <c r="D102" s="14" t="s">
        <v>77</v>
      </c>
      <c r="E102" s="15" t="n">
        <v>500000</v>
      </c>
      <c r="F102" s="15" t="n">
        <v>6593.88</v>
      </c>
      <c r="G102" s="15" t="n">
        <v>824.24</v>
      </c>
      <c r="H102" s="15" t="n">
        <v>824.24</v>
      </c>
      <c r="I102" s="15" t="n">
        <f aca="false">SUM(K102:T102)</f>
        <v>4945.4</v>
      </c>
      <c r="J102" s="15" t="n">
        <f aca="false">F102-(G102+H102+I102)</f>
        <v>0</v>
      </c>
      <c r="K102" s="15" t="n">
        <v>494.54</v>
      </c>
      <c r="L102" s="15" t="n">
        <v>494.54</v>
      </c>
      <c r="M102" s="15" t="n">
        <v>494.54</v>
      </c>
      <c r="N102" s="15" t="n">
        <v>494.54</v>
      </c>
      <c r="O102" s="15" t="n">
        <v>494.54</v>
      </c>
      <c r="P102" s="15" t="n">
        <v>494.54</v>
      </c>
      <c r="Q102" s="15" t="n">
        <v>494.54</v>
      </c>
      <c r="R102" s="15" t="n">
        <v>494.54</v>
      </c>
      <c r="S102" s="15" t="n">
        <v>494.54</v>
      </c>
      <c r="T102" s="15" t="n">
        <v>494.54</v>
      </c>
      <c r="U102" s="15" t="n">
        <v>350</v>
      </c>
      <c r="V102" s="15" t="n">
        <v>0</v>
      </c>
      <c r="W102" s="15" t="n">
        <f aca="false">U102+V102</f>
        <v>350</v>
      </c>
    </row>
    <row r="103" customFormat="false" ht="15" hidden="false" customHeight="false" outlineLevel="0" collapsed="false">
      <c r="A103" s="3" t="s">
        <v>2240</v>
      </c>
      <c r="B103" s="3" t="s">
        <v>2113</v>
      </c>
      <c r="C103" s="3" t="s">
        <v>939</v>
      </c>
      <c r="D103" s="3" t="s">
        <v>279</v>
      </c>
      <c r="E103" s="13" t="n">
        <v>635000</v>
      </c>
      <c r="F103" s="13" t="n">
        <v>6000.43</v>
      </c>
      <c r="G103" s="13" t="n">
        <v>750.05</v>
      </c>
      <c r="H103" s="13" t="n">
        <v>750.05</v>
      </c>
      <c r="I103" s="13" t="n">
        <f aca="false">SUM(K103:T103)</f>
        <v>4500.3</v>
      </c>
      <c r="J103" s="13" t="n">
        <f aca="false">F103-(G103+H103+I103)</f>
        <v>0.0300000000006548</v>
      </c>
      <c r="K103" s="13" t="n">
        <v>450.03</v>
      </c>
      <c r="L103" s="13" t="n">
        <v>450.03</v>
      </c>
      <c r="M103" s="13" t="n">
        <v>450.03</v>
      </c>
      <c r="N103" s="13" t="n">
        <v>450.03</v>
      </c>
      <c r="O103" s="13" t="n">
        <v>450.03</v>
      </c>
      <c r="P103" s="13" t="n">
        <v>450.03</v>
      </c>
      <c r="Q103" s="13" t="n">
        <v>450.03</v>
      </c>
      <c r="R103" s="13" t="n">
        <v>450.03</v>
      </c>
      <c r="S103" s="13" t="n">
        <v>450.03</v>
      </c>
      <c r="T103" s="13" t="n">
        <v>450.03</v>
      </c>
      <c r="U103" s="13" t="n">
        <v>350</v>
      </c>
      <c r="V103" s="13" t="n">
        <v>0</v>
      </c>
      <c r="W103" s="13" t="n">
        <f aca="false">U103+V103</f>
        <v>350</v>
      </c>
    </row>
    <row r="104" customFormat="false" ht="15" hidden="false" customHeight="false" outlineLevel="0" collapsed="false">
      <c r="A104" s="14" t="s">
        <v>2241</v>
      </c>
      <c r="B104" s="14" t="s">
        <v>2129</v>
      </c>
      <c r="C104" s="14" t="s">
        <v>263</v>
      </c>
      <c r="D104" s="14" t="s">
        <v>163</v>
      </c>
      <c r="E104" s="15" t="n">
        <v>1190000</v>
      </c>
      <c r="F104" s="15" t="n">
        <v>13185.9</v>
      </c>
      <c r="G104" s="15" t="n">
        <v>1648.24</v>
      </c>
      <c r="H104" s="15" t="n">
        <v>1648.24</v>
      </c>
      <c r="I104" s="15" t="n">
        <f aca="false">SUM(K104:T104)</f>
        <v>9889.4</v>
      </c>
      <c r="J104" s="15" t="n">
        <f aca="false">F104-(G104+H104+I104)</f>
        <v>0.0199999999986176</v>
      </c>
      <c r="K104" s="15" t="n">
        <v>988.94</v>
      </c>
      <c r="L104" s="15" t="n">
        <v>988.94</v>
      </c>
      <c r="M104" s="15" t="n">
        <v>988.94</v>
      </c>
      <c r="N104" s="15" t="n">
        <v>988.94</v>
      </c>
      <c r="O104" s="15" t="n">
        <v>988.94</v>
      </c>
      <c r="P104" s="15" t="n">
        <v>988.94</v>
      </c>
      <c r="Q104" s="15" t="n">
        <v>988.94</v>
      </c>
      <c r="R104" s="15" t="n">
        <v>988.94</v>
      </c>
      <c r="S104" s="15" t="n">
        <v>988.94</v>
      </c>
      <c r="T104" s="15" t="n">
        <v>988.94</v>
      </c>
      <c r="U104" s="15" t="n">
        <v>350</v>
      </c>
      <c r="V104" s="15" t="n">
        <v>250</v>
      </c>
      <c r="W104" s="15" t="n">
        <f aca="false">U104+V104</f>
        <v>600</v>
      </c>
    </row>
    <row r="105" customFormat="false" ht="15" hidden="false" customHeight="false" outlineLevel="0" collapsed="false">
      <c r="A105" s="3" t="s">
        <v>2242</v>
      </c>
      <c r="B105" s="3" t="s">
        <v>2205</v>
      </c>
      <c r="C105" s="3" t="s">
        <v>850</v>
      </c>
      <c r="D105" s="3" t="s">
        <v>109</v>
      </c>
      <c r="E105" s="13" t="n">
        <v>320000</v>
      </c>
      <c r="F105" s="13" t="n">
        <v>7348.72</v>
      </c>
      <c r="G105" s="13" t="n">
        <v>918.59</v>
      </c>
      <c r="H105" s="13" t="n">
        <v>918.59</v>
      </c>
      <c r="I105" s="13" t="n">
        <f aca="false">SUM(K105:T105)</f>
        <v>5511.5</v>
      </c>
      <c r="J105" s="13" t="n">
        <f aca="false">F105-(G105+H105+I105)</f>
        <v>0.0400000000008731</v>
      </c>
      <c r="K105" s="13" t="n">
        <v>551.15</v>
      </c>
      <c r="L105" s="13" t="n">
        <v>551.15</v>
      </c>
      <c r="M105" s="13" t="n">
        <v>551.15</v>
      </c>
      <c r="N105" s="13" t="n">
        <v>551.15</v>
      </c>
      <c r="O105" s="13" t="n">
        <v>551.15</v>
      </c>
      <c r="P105" s="13" t="n">
        <v>551.15</v>
      </c>
      <c r="Q105" s="13" t="n">
        <v>551.15</v>
      </c>
      <c r="R105" s="13" t="n">
        <v>551.15</v>
      </c>
      <c r="S105" s="13" t="n">
        <v>551.15</v>
      </c>
      <c r="T105" s="13" t="n">
        <v>551.15</v>
      </c>
      <c r="U105" s="13" t="n">
        <v>350</v>
      </c>
      <c r="V105" s="13" t="n">
        <v>0</v>
      </c>
      <c r="W105" s="13" t="n">
        <f aca="false">U105+V105</f>
        <v>350</v>
      </c>
    </row>
    <row r="106" customFormat="false" ht="15" hidden="false" customHeight="false" outlineLevel="0" collapsed="false">
      <c r="A106" s="14" t="s">
        <v>2243</v>
      </c>
      <c r="B106" s="14" t="s">
        <v>2164</v>
      </c>
      <c r="C106" s="14" t="s">
        <v>500</v>
      </c>
      <c r="D106" s="14" t="s">
        <v>166</v>
      </c>
      <c r="E106" s="15" t="n">
        <v>695000</v>
      </c>
      <c r="F106" s="15" t="n">
        <v>14239.54</v>
      </c>
      <c r="G106" s="15" t="n">
        <v>1779.94</v>
      </c>
      <c r="H106" s="15" t="n">
        <v>1779.94</v>
      </c>
      <c r="I106" s="15" t="n">
        <f aca="false">SUM(K106:T106)</f>
        <v>10679.7</v>
      </c>
      <c r="J106" s="15" t="n">
        <f aca="false">F106-(G106+H106+I106)</f>
        <v>-0.0399999999972351</v>
      </c>
      <c r="K106" s="15" t="n">
        <v>1067.97</v>
      </c>
      <c r="L106" s="15" t="n">
        <v>1067.97</v>
      </c>
      <c r="M106" s="15" t="n">
        <v>1067.97</v>
      </c>
      <c r="N106" s="15" t="n">
        <v>1067.97</v>
      </c>
      <c r="O106" s="15" t="n">
        <v>1067.97</v>
      </c>
      <c r="P106" s="15" t="n">
        <v>1067.97</v>
      </c>
      <c r="Q106" s="15" t="n">
        <v>1067.97</v>
      </c>
      <c r="R106" s="15" t="n">
        <v>1067.97</v>
      </c>
      <c r="S106" s="15" t="n">
        <v>1067.97</v>
      </c>
      <c r="T106" s="15" t="n">
        <v>1067.97</v>
      </c>
      <c r="U106" s="15" t="n">
        <v>350</v>
      </c>
      <c r="V106" s="15" t="n">
        <v>0</v>
      </c>
      <c r="W106" s="15" t="n">
        <f aca="false">U106+V106</f>
        <v>350</v>
      </c>
    </row>
    <row r="107" customFormat="false" ht="15" hidden="false" customHeight="false" outlineLevel="0" collapsed="false">
      <c r="A107" s="3" t="s">
        <v>2244</v>
      </c>
      <c r="B107" s="3" t="s">
        <v>2107</v>
      </c>
      <c r="C107" s="3" t="s">
        <v>239</v>
      </c>
      <c r="D107" s="3" t="s">
        <v>197</v>
      </c>
      <c r="E107" s="13" t="n">
        <v>725000</v>
      </c>
      <c r="F107" s="13" t="n">
        <v>8206</v>
      </c>
      <c r="G107" s="13" t="n">
        <v>1025.75</v>
      </c>
      <c r="H107" s="13" t="n">
        <v>1025.75</v>
      </c>
      <c r="I107" s="13" t="n">
        <f aca="false">SUM(K107:T107)</f>
        <v>6154.5</v>
      </c>
      <c r="J107" s="13" t="n">
        <f aca="false">F107-(G107+H107+I107)</f>
        <v>0</v>
      </c>
      <c r="K107" s="13" t="n">
        <v>615.45</v>
      </c>
      <c r="L107" s="13" t="n">
        <v>615.45</v>
      </c>
      <c r="M107" s="13" t="n">
        <v>615.45</v>
      </c>
      <c r="N107" s="13" t="n">
        <v>615.45</v>
      </c>
      <c r="O107" s="13" t="n">
        <v>615.45</v>
      </c>
      <c r="P107" s="13" t="n">
        <v>615.45</v>
      </c>
      <c r="Q107" s="13" t="n">
        <v>615.45</v>
      </c>
      <c r="R107" s="13" t="n">
        <v>615.45</v>
      </c>
      <c r="S107" s="13" t="n">
        <v>615.45</v>
      </c>
      <c r="T107" s="13" t="n">
        <v>615.45</v>
      </c>
      <c r="U107" s="13" t="n">
        <v>350</v>
      </c>
      <c r="V107" s="13" t="n">
        <v>0</v>
      </c>
      <c r="W107" s="13" t="n">
        <f aca="false">U107+V107</f>
        <v>350</v>
      </c>
    </row>
    <row r="108" customFormat="false" ht="15" hidden="false" customHeight="false" outlineLevel="0" collapsed="false">
      <c r="A108" s="14" t="s">
        <v>2245</v>
      </c>
      <c r="B108" s="14" t="s">
        <v>2159</v>
      </c>
      <c r="C108" s="14" t="s">
        <v>316</v>
      </c>
      <c r="D108" s="14" t="s">
        <v>85</v>
      </c>
      <c r="E108" s="15" t="n">
        <v>610000</v>
      </c>
      <c r="F108" s="15" t="n">
        <v>8804.64</v>
      </c>
      <c r="G108" s="15" t="n">
        <v>1100.58</v>
      </c>
      <c r="H108" s="15" t="n">
        <v>1100.58</v>
      </c>
      <c r="I108" s="15" t="n">
        <f aca="false">SUM(K108:T108)</f>
        <v>6603.5</v>
      </c>
      <c r="J108" s="15" t="n">
        <f aca="false">F108-(G108+H108+I108)</f>
        <v>-0.0200000000004366</v>
      </c>
      <c r="K108" s="15" t="n">
        <v>660.35</v>
      </c>
      <c r="L108" s="15" t="n">
        <v>660.35</v>
      </c>
      <c r="M108" s="15" t="n">
        <v>660.35</v>
      </c>
      <c r="N108" s="15" t="n">
        <v>660.35</v>
      </c>
      <c r="O108" s="15" t="n">
        <v>660.35</v>
      </c>
      <c r="P108" s="15" t="n">
        <v>660.35</v>
      </c>
      <c r="Q108" s="15" t="n">
        <v>660.35</v>
      </c>
      <c r="R108" s="15" t="n">
        <v>660.35</v>
      </c>
      <c r="S108" s="15" t="n">
        <v>660.35</v>
      </c>
      <c r="T108" s="15" t="n">
        <v>660.35</v>
      </c>
      <c r="U108" s="15" t="n">
        <v>350</v>
      </c>
      <c r="V108" s="15" t="n">
        <v>0</v>
      </c>
      <c r="W108" s="15" t="n">
        <f aca="false">U108+V108</f>
        <v>350</v>
      </c>
    </row>
    <row r="109" customFormat="false" ht="15" hidden="false" customHeight="false" outlineLevel="0" collapsed="false">
      <c r="A109" s="3" t="s">
        <v>2246</v>
      </c>
      <c r="B109" s="3" t="s">
        <v>2120</v>
      </c>
      <c r="C109" s="3" t="s">
        <v>570</v>
      </c>
      <c r="D109" s="3" t="s">
        <v>93</v>
      </c>
      <c r="E109" s="13" t="n">
        <v>615000</v>
      </c>
      <c r="F109" s="13" t="n">
        <v>8174.33</v>
      </c>
      <c r="G109" s="13" t="n">
        <v>1021.79</v>
      </c>
      <c r="H109" s="13" t="n">
        <v>1021.79</v>
      </c>
      <c r="I109" s="13" t="n">
        <f aca="false">SUM(K109:T109)</f>
        <v>6130.7</v>
      </c>
      <c r="J109" s="13" t="n">
        <f aca="false">F109-(G109+H109+I109)</f>
        <v>0.0500000000001819</v>
      </c>
      <c r="K109" s="13" t="n">
        <v>613.07</v>
      </c>
      <c r="L109" s="13" t="n">
        <v>613.07</v>
      </c>
      <c r="M109" s="13" t="n">
        <v>613.07</v>
      </c>
      <c r="N109" s="13" t="n">
        <v>613.07</v>
      </c>
      <c r="O109" s="13" t="n">
        <v>613.07</v>
      </c>
      <c r="P109" s="13" t="n">
        <v>613.07</v>
      </c>
      <c r="Q109" s="13" t="n">
        <v>613.07</v>
      </c>
      <c r="R109" s="13" t="n">
        <v>613.07</v>
      </c>
      <c r="S109" s="13" t="n">
        <v>613.07</v>
      </c>
      <c r="T109" s="13" t="n">
        <v>613.07</v>
      </c>
      <c r="U109" s="13" t="n">
        <v>350</v>
      </c>
      <c r="V109" s="13" t="n">
        <v>0</v>
      </c>
      <c r="W109" s="13" t="n">
        <f aca="false">U109+V109</f>
        <v>350</v>
      </c>
    </row>
    <row r="110" customFormat="false" ht="15" hidden="false" customHeight="false" outlineLevel="0" collapsed="false">
      <c r="A110" s="14" t="s">
        <v>2247</v>
      </c>
      <c r="B110" s="14" t="s">
        <v>2129</v>
      </c>
      <c r="C110" s="14" t="s">
        <v>651</v>
      </c>
      <c r="D110" s="14" t="s">
        <v>85</v>
      </c>
      <c r="E110" s="15" t="n">
        <v>325000</v>
      </c>
      <c r="F110" s="15" t="n">
        <v>5412.69</v>
      </c>
      <c r="G110" s="15" t="n">
        <v>676.59</v>
      </c>
      <c r="H110" s="15" t="n">
        <v>676.59</v>
      </c>
      <c r="I110" s="15" t="n">
        <f aca="false">SUM(K110:T110)</f>
        <v>4059.5</v>
      </c>
      <c r="J110" s="15" t="n">
        <f aca="false">F110-(G110+H110+I110)</f>
        <v>0.0100000000002183</v>
      </c>
      <c r="K110" s="15" t="n">
        <v>405.95</v>
      </c>
      <c r="L110" s="15" t="n">
        <v>405.95</v>
      </c>
      <c r="M110" s="15" t="n">
        <v>405.95</v>
      </c>
      <c r="N110" s="15" t="n">
        <v>405.95</v>
      </c>
      <c r="O110" s="15" t="n">
        <v>405.95</v>
      </c>
      <c r="P110" s="15" t="n">
        <v>405.95</v>
      </c>
      <c r="Q110" s="15" t="n">
        <v>405.95</v>
      </c>
      <c r="R110" s="15" t="n">
        <v>405.95</v>
      </c>
      <c r="S110" s="15" t="n">
        <v>405.95</v>
      </c>
      <c r="T110" s="15" t="n">
        <v>405.95</v>
      </c>
      <c r="U110" s="15" t="n">
        <v>350</v>
      </c>
      <c r="V110" s="15" t="n">
        <v>0</v>
      </c>
      <c r="W110" s="15" t="n">
        <f aca="false">U110+V110</f>
        <v>350</v>
      </c>
    </row>
    <row r="111" customFormat="false" ht="15" hidden="false" customHeight="false" outlineLevel="0" collapsed="false">
      <c r="A111" s="3" t="s">
        <v>2248</v>
      </c>
      <c r="B111" s="3" t="s">
        <v>2207</v>
      </c>
      <c r="C111" s="3" t="s">
        <v>511</v>
      </c>
      <c r="D111" s="3" t="s">
        <v>138</v>
      </c>
      <c r="E111" s="13" t="n">
        <v>290000</v>
      </c>
      <c r="F111" s="13" t="n">
        <v>6126.99</v>
      </c>
      <c r="G111" s="13" t="n">
        <v>765.87</v>
      </c>
      <c r="H111" s="13" t="n">
        <v>765.87</v>
      </c>
      <c r="I111" s="13" t="n">
        <f aca="false">SUM(K111:T111)</f>
        <v>4595.2</v>
      </c>
      <c r="J111" s="13" t="n">
        <f aca="false">F111-(G111+H111+I111)</f>
        <v>0.0499999999992724</v>
      </c>
      <c r="K111" s="13" t="n">
        <v>459.52</v>
      </c>
      <c r="L111" s="13" t="n">
        <v>459.52</v>
      </c>
      <c r="M111" s="13" t="n">
        <v>459.52</v>
      </c>
      <c r="N111" s="13" t="n">
        <v>459.52</v>
      </c>
      <c r="O111" s="13" t="n">
        <v>459.52</v>
      </c>
      <c r="P111" s="13" t="n">
        <v>459.52</v>
      </c>
      <c r="Q111" s="13" t="n">
        <v>459.52</v>
      </c>
      <c r="R111" s="13" t="n">
        <v>459.52</v>
      </c>
      <c r="S111" s="13" t="n">
        <v>459.52</v>
      </c>
      <c r="T111" s="13" t="n">
        <v>459.52</v>
      </c>
      <c r="U111" s="13" t="n">
        <v>350</v>
      </c>
      <c r="V111" s="13" t="n">
        <v>0</v>
      </c>
      <c r="W111" s="13" t="n">
        <f aca="false">U111+V111</f>
        <v>350</v>
      </c>
    </row>
    <row r="112" customFormat="false" ht="15" hidden="false" customHeight="false" outlineLevel="0" collapsed="false">
      <c r="A112" s="14" t="s">
        <v>2249</v>
      </c>
      <c r="B112" s="14" t="s">
        <v>2136</v>
      </c>
      <c r="C112" s="14" t="s">
        <v>2250</v>
      </c>
      <c r="D112" s="14" t="s">
        <v>279</v>
      </c>
      <c r="E112" s="15" t="n">
        <v>1030000</v>
      </c>
      <c r="F112" s="15" t="n">
        <v>10182.19</v>
      </c>
      <c r="G112" s="15" t="n">
        <v>1272.77</v>
      </c>
      <c r="H112" s="15" t="n">
        <v>1272.77</v>
      </c>
      <c r="I112" s="15" t="n">
        <f aca="false">SUM(K112:T112)</f>
        <v>7636.6</v>
      </c>
      <c r="J112" s="15" t="n">
        <f aca="false">F112-(G112+H112+I112)</f>
        <v>0.0500000000010914</v>
      </c>
      <c r="K112" s="15" t="n">
        <v>763.66</v>
      </c>
      <c r="L112" s="15" t="n">
        <v>763.66</v>
      </c>
      <c r="M112" s="15" t="n">
        <v>763.66</v>
      </c>
      <c r="N112" s="15" t="n">
        <v>763.66</v>
      </c>
      <c r="O112" s="15" t="n">
        <v>763.66</v>
      </c>
      <c r="P112" s="15" t="n">
        <v>763.66</v>
      </c>
      <c r="Q112" s="15" t="n">
        <v>763.66</v>
      </c>
      <c r="R112" s="15" t="n">
        <v>763.66</v>
      </c>
      <c r="S112" s="15" t="n">
        <v>763.66</v>
      </c>
      <c r="T112" s="15" t="n">
        <v>763.66</v>
      </c>
      <c r="U112" s="15" t="n">
        <v>350</v>
      </c>
      <c r="V112" s="15" t="n">
        <v>250</v>
      </c>
      <c r="W112" s="15" t="n">
        <f aca="false">U112+V112</f>
        <v>600</v>
      </c>
    </row>
    <row r="113" customFormat="false" ht="15" hidden="false" customHeight="false" outlineLevel="0" collapsed="false">
      <c r="A113" s="3" t="s">
        <v>2251</v>
      </c>
      <c r="B113" s="3" t="s">
        <v>2118</v>
      </c>
      <c r="C113" s="3" t="s">
        <v>374</v>
      </c>
      <c r="D113" s="3" t="s">
        <v>132</v>
      </c>
      <c r="E113" s="13" t="n">
        <v>745000</v>
      </c>
      <c r="F113" s="13" t="n">
        <v>7736.12</v>
      </c>
      <c r="G113" s="13" t="n">
        <v>967.01</v>
      </c>
      <c r="H113" s="13" t="n">
        <v>967.01</v>
      </c>
      <c r="I113" s="13" t="n">
        <f aca="false">SUM(K113:T113)</f>
        <v>5802.1</v>
      </c>
      <c r="J113" s="13" t="n">
        <f aca="false">F113-(G113+H113+I113)</f>
        <v>0</v>
      </c>
      <c r="K113" s="13" t="n">
        <v>580.21</v>
      </c>
      <c r="L113" s="13" t="n">
        <v>580.21</v>
      </c>
      <c r="M113" s="13" t="n">
        <v>580.21</v>
      </c>
      <c r="N113" s="13" t="n">
        <v>580.21</v>
      </c>
      <c r="O113" s="13" t="n">
        <v>580.21</v>
      </c>
      <c r="P113" s="13" t="n">
        <v>580.21</v>
      </c>
      <c r="Q113" s="13" t="n">
        <v>580.21</v>
      </c>
      <c r="R113" s="13" t="n">
        <v>580.21</v>
      </c>
      <c r="S113" s="13" t="n">
        <v>580.21</v>
      </c>
      <c r="T113" s="13" t="n">
        <v>580.21</v>
      </c>
      <c r="U113" s="13" t="n">
        <v>350</v>
      </c>
      <c r="V113" s="13" t="n">
        <v>0</v>
      </c>
      <c r="W113" s="13" t="n">
        <f aca="false">U113+V113</f>
        <v>350</v>
      </c>
    </row>
    <row r="114" customFormat="false" ht="15" hidden="false" customHeight="false" outlineLevel="0" collapsed="false">
      <c r="A114" s="14" t="s">
        <v>2252</v>
      </c>
      <c r="B114" s="14" t="s">
        <v>2111</v>
      </c>
      <c r="C114" s="14" t="s">
        <v>572</v>
      </c>
      <c r="D114" s="14" t="s">
        <v>230</v>
      </c>
      <c r="E114" s="15" t="n">
        <v>1360000</v>
      </c>
      <c r="F114" s="15" t="n">
        <v>14220.09</v>
      </c>
      <c r="G114" s="15" t="n">
        <v>1777.51</v>
      </c>
      <c r="H114" s="15" t="n">
        <v>1777.51</v>
      </c>
      <c r="I114" s="15" t="n">
        <f aca="false">SUM(K114:T114)</f>
        <v>10665.1</v>
      </c>
      <c r="J114" s="15" t="n">
        <f aca="false">F114-(G114+H114+I114)</f>
        <v>-0.0300000000006548</v>
      </c>
      <c r="K114" s="15" t="n">
        <v>1066.51</v>
      </c>
      <c r="L114" s="15" t="n">
        <v>1066.51</v>
      </c>
      <c r="M114" s="15" t="n">
        <v>1066.51</v>
      </c>
      <c r="N114" s="15" t="n">
        <v>1066.51</v>
      </c>
      <c r="O114" s="15" t="n">
        <v>1066.51</v>
      </c>
      <c r="P114" s="15" t="n">
        <v>1066.51</v>
      </c>
      <c r="Q114" s="15" t="n">
        <v>1066.51</v>
      </c>
      <c r="R114" s="15" t="n">
        <v>1066.51</v>
      </c>
      <c r="S114" s="15" t="n">
        <v>1066.51</v>
      </c>
      <c r="T114" s="15" t="n">
        <v>1066.51</v>
      </c>
      <c r="U114" s="15" t="n">
        <v>350</v>
      </c>
      <c r="V114" s="15" t="n">
        <v>250</v>
      </c>
      <c r="W114" s="15" t="n">
        <f aca="false">U114+V114</f>
        <v>600</v>
      </c>
    </row>
    <row r="115" customFormat="false" ht="15" hidden="false" customHeight="false" outlineLevel="0" collapsed="false">
      <c r="A115" s="3" t="s">
        <v>2253</v>
      </c>
      <c r="B115" s="3" t="s">
        <v>2111</v>
      </c>
      <c r="C115" s="3" t="s">
        <v>165</v>
      </c>
      <c r="D115" s="3" t="s">
        <v>89</v>
      </c>
      <c r="E115" s="13" t="n">
        <v>395000</v>
      </c>
      <c r="F115" s="13" t="n">
        <v>6389.19</v>
      </c>
      <c r="G115" s="13" t="n">
        <v>798.65</v>
      </c>
      <c r="H115" s="13" t="n">
        <v>798.65</v>
      </c>
      <c r="I115" s="13" t="n">
        <f aca="false">SUM(K115:T115)</f>
        <v>4791.9</v>
      </c>
      <c r="J115" s="13" t="n">
        <f aca="false">F115-(G115+H115+I115)</f>
        <v>-0.0100000000002183</v>
      </c>
      <c r="K115" s="13" t="n">
        <v>479.19</v>
      </c>
      <c r="L115" s="13" t="n">
        <v>479.19</v>
      </c>
      <c r="M115" s="13" t="n">
        <v>479.19</v>
      </c>
      <c r="N115" s="13" t="n">
        <v>479.19</v>
      </c>
      <c r="O115" s="13" t="n">
        <v>479.19</v>
      </c>
      <c r="P115" s="13" t="n">
        <v>479.19</v>
      </c>
      <c r="Q115" s="13" t="n">
        <v>479.19</v>
      </c>
      <c r="R115" s="13" t="n">
        <v>479.19</v>
      </c>
      <c r="S115" s="13" t="n">
        <v>479.19</v>
      </c>
      <c r="T115" s="13" t="n">
        <v>479.19</v>
      </c>
      <c r="U115" s="13" t="n">
        <v>350</v>
      </c>
      <c r="V115" s="13" t="n">
        <v>0</v>
      </c>
      <c r="W115" s="13" t="n">
        <f aca="false">U115+V115</f>
        <v>350</v>
      </c>
    </row>
    <row r="116" customFormat="false" ht="15" hidden="false" customHeight="false" outlineLevel="0" collapsed="false">
      <c r="A116" s="14" t="s">
        <v>2254</v>
      </c>
      <c r="B116" s="14" t="s">
        <v>2176</v>
      </c>
      <c r="C116" s="14" t="s">
        <v>1578</v>
      </c>
      <c r="D116" s="14" t="s">
        <v>153</v>
      </c>
      <c r="E116" s="15" t="n">
        <v>185000</v>
      </c>
      <c r="F116" s="15" t="n">
        <v>4214.49</v>
      </c>
      <c r="G116" s="15" t="n">
        <v>526.81</v>
      </c>
      <c r="H116" s="15" t="n">
        <v>526.81</v>
      </c>
      <c r="I116" s="15" t="n">
        <f aca="false">SUM(K116:T116)</f>
        <v>3160.9</v>
      </c>
      <c r="J116" s="15" t="n">
        <f aca="false">F116-(G116+H116+I116)</f>
        <v>-0.0300000000006548</v>
      </c>
      <c r="K116" s="15" t="n">
        <v>316.09</v>
      </c>
      <c r="L116" s="15" t="n">
        <v>316.09</v>
      </c>
      <c r="M116" s="15" t="n">
        <v>316.09</v>
      </c>
      <c r="N116" s="15" t="n">
        <v>316.09</v>
      </c>
      <c r="O116" s="15" t="n">
        <v>316.09</v>
      </c>
      <c r="P116" s="15" t="n">
        <v>316.09</v>
      </c>
      <c r="Q116" s="15" t="n">
        <v>316.09</v>
      </c>
      <c r="R116" s="15" t="n">
        <v>316.09</v>
      </c>
      <c r="S116" s="15" t="n">
        <v>316.09</v>
      </c>
      <c r="T116" s="15" t="n">
        <v>316.09</v>
      </c>
      <c r="U116" s="15" t="n">
        <v>350</v>
      </c>
      <c r="V116" s="15" t="n">
        <v>0</v>
      </c>
      <c r="W116" s="15" t="n">
        <f aca="false">U116+V116</f>
        <v>350</v>
      </c>
    </row>
    <row r="117" customFormat="false" ht="15" hidden="false" customHeight="false" outlineLevel="0" collapsed="false">
      <c r="A117" s="3" t="s">
        <v>2255</v>
      </c>
      <c r="B117" s="3" t="s">
        <v>2111</v>
      </c>
      <c r="C117" s="3" t="s">
        <v>165</v>
      </c>
      <c r="D117" s="3" t="s">
        <v>246</v>
      </c>
      <c r="E117" s="13" t="n">
        <v>275000</v>
      </c>
      <c r="F117" s="13" t="n">
        <v>4639.28</v>
      </c>
      <c r="G117" s="13" t="n">
        <v>579.91</v>
      </c>
      <c r="H117" s="13" t="n">
        <v>579.91</v>
      </c>
      <c r="I117" s="13" t="n">
        <f aca="false">SUM(K117:T117)</f>
        <v>3479.5</v>
      </c>
      <c r="J117" s="13" t="n">
        <f aca="false">F117-(G117+H117+I117)</f>
        <v>-0.0399999999999636</v>
      </c>
      <c r="K117" s="13" t="n">
        <v>347.95</v>
      </c>
      <c r="L117" s="13" t="n">
        <v>347.95</v>
      </c>
      <c r="M117" s="13" t="n">
        <v>347.95</v>
      </c>
      <c r="N117" s="13" t="n">
        <v>347.95</v>
      </c>
      <c r="O117" s="13" t="n">
        <v>347.95</v>
      </c>
      <c r="P117" s="13" t="n">
        <v>347.95</v>
      </c>
      <c r="Q117" s="13" t="n">
        <v>347.95</v>
      </c>
      <c r="R117" s="13" t="n">
        <v>347.95</v>
      </c>
      <c r="S117" s="13" t="n">
        <v>347.95</v>
      </c>
      <c r="T117" s="13" t="n">
        <v>347.95</v>
      </c>
      <c r="U117" s="13" t="n">
        <v>350</v>
      </c>
      <c r="V117" s="13" t="n">
        <v>0</v>
      </c>
      <c r="W117" s="13" t="n">
        <f aca="false">U117+V117</f>
        <v>350</v>
      </c>
    </row>
    <row r="118" customFormat="false" ht="15" hidden="false" customHeight="false" outlineLevel="0" collapsed="false">
      <c r="A118" s="14" t="s">
        <v>2256</v>
      </c>
      <c r="B118" s="14" t="s">
        <v>2142</v>
      </c>
      <c r="C118" s="14" t="s">
        <v>450</v>
      </c>
      <c r="D118" s="14" t="s">
        <v>153</v>
      </c>
      <c r="E118" s="15" t="n">
        <v>145000</v>
      </c>
      <c r="F118" s="15" t="n">
        <v>2046.58</v>
      </c>
      <c r="G118" s="15" t="n">
        <v>255.82</v>
      </c>
      <c r="H118" s="15" t="n">
        <v>255.82</v>
      </c>
      <c r="I118" s="15" t="n">
        <f aca="false">SUM(K118:T118)</f>
        <v>1534.9</v>
      </c>
      <c r="J118" s="15" t="n">
        <f aca="false">F118-(G118+H118+I118)</f>
        <v>0.0399999999999636</v>
      </c>
      <c r="K118" s="15" t="n">
        <v>153.49</v>
      </c>
      <c r="L118" s="15" t="n">
        <v>153.49</v>
      </c>
      <c r="M118" s="15" t="n">
        <v>153.49</v>
      </c>
      <c r="N118" s="15" t="n">
        <v>153.49</v>
      </c>
      <c r="O118" s="15" t="n">
        <v>153.49</v>
      </c>
      <c r="P118" s="15" t="n">
        <v>153.49</v>
      </c>
      <c r="Q118" s="15" t="n">
        <v>153.49</v>
      </c>
      <c r="R118" s="15" t="n">
        <v>153.49</v>
      </c>
      <c r="S118" s="15" t="n">
        <v>153.49</v>
      </c>
      <c r="T118" s="15" t="n">
        <v>153.49</v>
      </c>
      <c r="U118" s="15" t="n">
        <v>350</v>
      </c>
      <c r="V118" s="15" t="n">
        <v>0</v>
      </c>
      <c r="W118" s="15" t="n">
        <f aca="false">U118+V118</f>
        <v>350</v>
      </c>
    </row>
    <row r="119" customFormat="false" ht="15" hidden="false" customHeight="false" outlineLevel="0" collapsed="false">
      <c r="A119" s="3" t="s">
        <v>2257</v>
      </c>
      <c r="B119" s="3" t="s">
        <v>2120</v>
      </c>
      <c r="C119" s="3" t="s">
        <v>715</v>
      </c>
      <c r="D119" s="3" t="s">
        <v>338</v>
      </c>
      <c r="E119" s="13" t="n">
        <v>495000</v>
      </c>
      <c r="F119" s="13" t="n">
        <v>7354.31</v>
      </c>
      <c r="G119" s="13" t="n">
        <v>919.29</v>
      </c>
      <c r="H119" s="13" t="n">
        <v>919.29</v>
      </c>
      <c r="I119" s="13" t="n">
        <f aca="false">SUM(K119:T119)</f>
        <v>5515.7</v>
      </c>
      <c r="J119" s="13" t="n">
        <f aca="false">F119-(G119+H119+I119)</f>
        <v>0.0300000000006548</v>
      </c>
      <c r="K119" s="13" t="n">
        <v>551.57</v>
      </c>
      <c r="L119" s="13" t="n">
        <v>551.57</v>
      </c>
      <c r="M119" s="13" t="n">
        <v>551.57</v>
      </c>
      <c r="N119" s="13" t="n">
        <v>551.57</v>
      </c>
      <c r="O119" s="13" t="n">
        <v>551.57</v>
      </c>
      <c r="P119" s="13" t="n">
        <v>551.57</v>
      </c>
      <c r="Q119" s="13" t="n">
        <v>551.57</v>
      </c>
      <c r="R119" s="13" t="n">
        <v>551.57</v>
      </c>
      <c r="S119" s="13" t="n">
        <v>551.57</v>
      </c>
      <c r="T119" s="13" t="n">
        <v>551.57</v>
      </c>
      <c r="U119" s="13" t="n">
        <v>350</v>
      </c>
      <c r="V119" s="13" t="n">
        <v>0</v>
      </c>
      <c r="W119" s="13" t="n">
        <f aca="false">U119+V119</f>
        <v>350</v>
      </c>
    </row>
    <row r="120" customFormat="false" ht="15" hidden="false" customHeight="false" outlineLevel="0" collapsed="false">
      <c r="A120" s="14" t="s">
        <v>2258</v>
      </c>
      <c r="B120" s="14" t="s">
        <v>2162</v>
      </c>
      <c r="C120" s="14" t="s">
        <v>150</v>
      </c>
      <c r="D120" s="14" t="s">
        <v>132</v>
      </c>
      <c r="E120" s="15" t="n">
        <v>1725000</v>
      </c>
      <c r="F120" s="15" t="n">
        <v>22046.15</v>
      </c>
      <c r="G120" s="15" t="n">
        <v>2755.77</v>
      </c>
      <c r="H120" s="15" t="n">
        <v>2755.77</v>
      </c>
      <c r="I120" s="15" t="n">
        <f aca="false">SUM(K120:T120)</f>
        <v>16534.6</v>
      </c>
      <c r="J120" s="15" t="n">
        <f aca="false">F120-(G120+H120+I120)</f>
        <v>0.0100000000020373</v>
      </c>
      <c r="K120" s="15" t="n">
        <v>1653.46</v>
      </c>
      <c r="L120" s="15" t="n">
        <v>1653.46</v>
      </c>
      <c r="M120" s="15" t="n">
        <v>1653.46</v>
      </c>
      <c r="N120" s="15" t="n">
        <v>1653.46</v>
      </c>
      <c r="O120" s="15" t="n">
        <v>1653.46</v>
      </c>
      <c r="P120" s="15" t="n">
        <v>1653.46</v>
      </c>
      <c r="Q120" s="15" t="n">
        <v>1653.46</v>
      </c>
      <c r="R120" s="15" t="n">
        <v>1653.46</v>
      </c>
      <c r="S120" s="15" t="n">
        <v>1653.46</v>
      </c>
      <c r="T120" s="15" t="n">
        <v>1653.46</v>
      </c>
      <c r="U120" s="15" t="n">
        <v>350</v>
      </c>
      <c r="V120" s="15" t="n">
        <v>250</v>
      </c>
      <c r="W120" s="15" t="n">
        <f aca="false">U120+V120</f>
        <v>600</v>
      </c>
    </row>
    <row r="121" customFormat="false" ht="15" hidden="false" customHeight="false" outlineLevel="0" collapsed="false">
      <c r="A121" s="3" t="s">
        <v>2259</v>
      </c>
      <c r="B121" s="3" t="s">
        <v>2134</v>
      </c>
      <c r="C121" s="3" t="s">
        <v>2260</v>
      </c>
      <c r="D121" s="3" t="s">
        <v>382</v>
      </c>
      <c r="E121" s="13" t="n">
        <v>640000</v>
      </c>
      <c r="F121" s="13" t="n">
        <v>7443.29</v>
      </c>
      <c r="G121" s="13" t="n">
        <v>930.41</v>
      </c>
      <c r="H121" s="13" t="n">
        <v>930.41</v>
      </c>
      <c r="I121" s="13" t="n">
        <f aca="false">SUM(K121:T121)</f>
        <v>5582.5</v>
      </c>
      <c r="J121" s="13" t="n">
        <f aca="false">F121-(G121+H121+I121)</f>
        <v>-0.0299999999997453</v>
      </c>
      <c r="K121" s="13" t="n">
        <v>558.25</v>
      </c>
      <c r="L121" s="13" t="n">
        <v>558.25</v>
      </c>
      <c r="M121" s="13" t="n">
        <v>558.25</v>
      </c>
      <c r="N121" s="13" t="n">
        <v>558.25</v>
      </c>
      <c r="O121" s="13" t="n">
        <v>558.25</v>
      </c>
      <c r="P121" s="13" t="n">
        <v>558.25</v>
      </c>
      <c r="Q121" s="13" t="n">
        <v>558.25</v>
      </c>
      <c r="R121" s="13" t="n">
        <v>558.25</v>
      </c>
      <c r="S121" s="13" t="n">
        <v>558.25</v>
      </c>
      <c r="T121" s="13" t="n">
        <v>558.25</v>
      </c>
      <c r="U121" s="13" t="n">
        <v>350</v>
      </c>
      <c r="V121" s="13" t="n">
        <v>0</v>
      </c>
      <c r="W121" s="13" t="n">
        <f aca="false">U121+V121</f>
        <v>350</v>
      </c>
    </row>
    <row r="122" customFormat="false" ht="15" hidden="false" customHeight="false" outlineLevel="0" collapsed="false">
      <c r="A122" s="14" t="s">
        <v>2261</v>
      </c>
      <c r="B122" s="14" t="s">
        <v>2104</v>
      </c>
      <c r="C122" s="14" t="s">
        <v>1010</v>
      </c>
      <c r="D122" s="14" t="s">
        <v>193</v>
      </c>
      <c r="E122" s="15" t="n">
        <v>470000</v>
      </c>
      <c r="F122" s="15" t="n">
        <v>7039.19</v>
      </c>
      <c r="G122" s="15" t="n">
        <v>879.9</v>
      </c>
      <c r="H122" s="15" t="n">
        <v>879.9</v>
      </c>
      <c r="I122" s="15" t="n">
        <f aca="false">SUM(K122:T122)</f>
        <v>5279.4</v>
      </c>
      <c r="J122" s="15" t="n">
        <f aca="false">F122-(G122+H122+I122)</f>
        <v>-0.0100000000020373</v>
      </c>
      <c r="K122" s="15" t="n">
        <v>527.94</v>
      </c>
      <c r="L122" s="15" t="n">
        <v>527.94</v>
      </c>
      <c r="M122" s="15" t="n">
        <v>527.94</v>
      </c>
      <c r="N122" s="15" t="n">
        <v>527.94</v>
      </c>
      <c r="O122" s="15" t="n">
        <v>527.94</v>
      </c>
      <c r="P122" s="15" t="n">
        <v>527.94</v>
      </c>
      <c r="Q122" s="15" t="n">
        <v>527.94</v>
      </c>
      <c r="R122" s="15" t="n">
        <v>527.94</v>
      </c>
      <c r="S122" s="15" t="n">
        <v>527.94</v>
      </c>
      <c r="T122" s="15" t="n">
        <v>527.94</v>
      </c>
      <c r="U122" s="15" t="n">
        <v>350</v>
      </c>
      <c r="V122" s="15" t="n">
        <v>0</v>
      </c>
      <c r="W122" s="15" t="n">
        <f aca="false">U122+V122</f>
        <v>350</v>
      </c>
    </row>
    <row r="123" customFormat="false" ht="15" hidden="false" customHeight="false" outlineLevel="0" collapsed="false">
      <c r="A123" s="3" t="s">
        <v>2262</v>
      </c>
      <c r="B123" s="3" t="s">
        <v>2150</v>
      </c>
      <c r="C123" s="3" t="s">
        <v>310</v>
      </c>
      <c r="D123" s="3" t="s">
        <v>121</v>
      </c>
      <c r="E123" s="13" t="n">
        <v>640000</v>
      </c>
      <c r="F123" s="13" t="n">
        <v>8107.87</v>
      </c>
      <c r="G123" s="13" t="n">
        <v>1013.48</v>
      </c>
      <c r="H123" s="13" t="n">
        <v>1013.48</v>
      </c>
      <c r="I123" s="13" t="n">
        <f aca="false">SUM(K123:T123)</f>
        <v>6080.9</v>
      </c>
      <c r="J123" s="13" t="n">
        <f aca="false">F123-(G123+H123+I123)</f>
        <v>0.00999999999930878</v>
      </c>
      <c r="K123" s="13" t="n">
        <v>608.09</v>
      </c>
      <c r="L123" s="13" t="n">
        <v>608.09</v>
      </c>
      <c r="M123" s="13" t="n">
        <v>608.09</v>
      </c>
      <c r="N123" s="13" t="n">
        <v>608.09</v>
      </c>
      <c r="O123" s="13" t="n">
        <v>608.09</v>
      </c>
      <c r="P123" s="13" t="n">
        <v>608.09</v>
      </c>
      <c r="Q123" s="13" t="n">
        <v>608.09</v>
      </c>
      <c r="R123" s="13" t="n">
        <v>608.09</v>
      </c>
      <c r="S123" s="13" t="n">
        <v>608.09</v>
      </c>
      <c r="T123" s="13" t="n">
        <v>608.09</v>
      </c>
      <c r="U123" s="13" t="n">
        <v>350</v>
      </c>
      <c r="V123" s="13" t="n">
        <v>0</v>
      </c>
      <c r="W123" s="13" t="n">
        <f aca="false">U123+V123</f>
        <v>350</v>
      </c>
    </row>
    <row r="124" customFormat="false" ht="15" hidden="false" customHeight="false" outlineLevel="0" collapsed="false">
      <c r="A124" s="14" t="s">
        <v>2263</v>
      </c>
      <c r="B124" s="14" t="s">
        <v>2116</v>
      </c>
      <c r="C124" s="14" t="s">
        <v>529</v>
      </c>
      <c r="D124" s="14" t="s">
        <v>698</v>
      </c>
      <c r="E124" s="15" t="n">
        <v>765000</v>
      </c>
      <c r="F124" s="15" t="n">
        <v>15905.94</v>
      </c>
      <c r="G124" s="15" t="n">
        <v>1988.24</v>
      </c>
      <c r="H124" s="15" t="n">
        <v>1988.24</v>
      </c>
      <c r="I124" s="15" t="n">
        <f aca="false">SUM(K124:T124)</f>
        <v>11929.5</v>
      </c>
      <c r="J124" s="15" t="n">
        <f aca="false">F124-(G124+H124+I124)</f>
        <v>-0.0400000000008731</v>
      </c>
      <c r="K124" s="15" t="n">
        <v>1192.95</v>
      </c>
      <c r="L124" s="15" t="n">
        <v>1192.95</v>
      </c>
      <c r="M124" s="15" t="n">
        <v>1192.95</v>
      </c>
      <c r="N124" s="15" t="n">
        <v>1192.95</v>
      </c>
      <c r="O124" s="15" t="n">
        <v>1192.95</v>
      </c>
      <c r="P124" s="15" t="n">
        <v>1192.95</v>
      </c>
      <c r="Q124" s="15" t="n">
        <v>1192.95</v>
      </c>
      <c r="R124" s="15" t="n">
        <v>1192.95</v>
      </c>
      <c r="S124" s="15" t="n">
        <v>1192.95</v>
      </c>
      <c r="T124" s="15" t="n">
        <v>1192.95</v>
      </c>
      <c r="U124" s="15" t="n">
        <v>350</v>
      </c>
      <c r="V124" s="15" t="n">
        <v>0</v>
      </c>
      <c r="W124" s="15" t="n">
        <f aca="false">U124+V124</f>
        <v>350</v>
      </c>
    </row>
    <row r="125" customFormat="false" ht="15" hidden="false" customHeight="false" outlineLevel="0" collapsed="false">
      <c r="A125" s="3" t="s">
        <v>2264</v>
      </c>
      <c r="B125" s="3" t="s">
        <v>2118</v>
      </c>
      <c r="C125" s="3" t="s">
        <v>1136</v>
      </c>
      <c r="D125" s="3" t="s">
        <v>109</v>
      </c>
      <c r="E125" s="13" t="n">
        <v>825000</v>
      </c>
      <c r="F125" s="13" t="n">
        <v>10708.56</v>
      </c>
      <c r="G125" s="13" t="n">
        <v>1338.57</v>
      </c>
      <c r="H125" s="13" t="n">
        <v>1338.57</v>
      </c>
      <c r="I125" s="13" t="n">
        <f aca="false">SUM(K125:T125)</f>
        <v>8031.4</v>
      </c>
      <c r="J125" s="13" t="n">
        <f aca="false">F125-(G125+H125+I125)</f>
        <v>0.0199999999986176</v>
      </c>
      <c r="K125" s="13" t="n">
        <v>803.14</v>
      </c>
      <c r="L125" s="13" t="n">
        <v>803.14</v>
      </c>
      <c r="M125" s="13" t="n">
        <v>803.14</v>
      </c>
      <c r="N125" s="13" t="n">
        <v>803.14</v>
      </c>
      <c r="O125" s="13" t="n">
        <v>803.14</v>
      </c>
      <c r="P125" s="13" t="n">
        <v>803.14</v>
      </c>
      <c r="Q125" s="13" t="n">
        <v>803.14</v>
      </c>
      <c r="R125" s="13" t="n">
        <v>803.14</v>
      </c>
      <c r="S125" s="13" t="n">
        <v>803.14</v>
      </c>
      <c r="T125" s="13" t="n">
        <v>803.14</v>
      </c>
      <c r="U125" s="13" t="n">
        <v>350</v>
      </c>
      <c r="V125" s="13" t="n">
        <v>0</v>
      </c>
      <c r="W125" s="13" t="n">
        <f aca="false">U125+V125</f>
        <v>350</v>
      </c>
    </row>
    <row r="126" customFormat="false" ht="15" hidden="false" customHeight="false" outlineLevel="0" collapsed="false">
      <c r="A126" s="14" t="s">
        <v>2265</v>
      </c>
      <c r="B126" s="14" t="s">
        <v>2142</v>
      </c>
      <c r="C126" s="14" t="s">
        <v>749</v>
      </c>
      <c r="D126" s="14" t="s">
        <v>325</v>
      </c>
      <c r="E126" s="15" t="n">
        <v>345000</v>
      </c>
      <c r="F126" s="15" t="n">
        <v>5704.44</v>
      </c>
      <c r="G126" s="15" t="n">
        <v>713.05</v>
      </c>
      <c r="H126" s="15" t="n">
        <v>713.05</v>
      </c>
      <c r="I126" s="15" t="n">
        <f aca="false">SUM(K126:T126)</f>
        <v>4278.3</v>
      </c>
      <c r="J126" s="15" t="n">
        <f aca="false">F126-(G126+H126+I126)</f>
        <v>0.0399999999999636</v>
      </c>
      <c r="K126" s="15" t="n">
        <v>427.83</v>
      </c>
      <c r="L126" s="15" t="n">
        <v>427.83</v>
      </c>
      <c r="M126" s="15" t="n">
        <v>427.83</v>
      </c>
      <c r="N126" s="15" t="n">
        <v>427.83</v>
      </c>
      <c r="O126" s="15" t="n">
        <v>427.83</v>
      </c>
      <c r="P126" s="15" t="n">
        <v>427.83</v>
      </c>
      <c r="Q126" s="15" t="n">
        <v>427.83</v>
      </c>
      <c r="R126" s="15" t="n">
        <v>427.83</v>
      </c>
      <c r="S126" s="15" t="n">
        <v>427.83</v>
      </c>
      <c r="T126" s="15" t="n">
        <v>427.83</v>
      </c>
      <c r="U126" s="15" t="n">
        <v>350</v>
      </c>
      <c r="V126" s="15" t="n">
        <v>0</v>
      </c>
      <c r="W126" s="15" t="n">
        <f aca="false">U126+V126</f>
        <v>350</v>
      </c>
    </row>
    <row r="127" customFormat="false" ht="15" hidden="false" customHeight="false" outlineLevel="0" collapsed="false">
      <c r="A127" s="3" t="s">
        <v>2266</v>
      </c>
      <c r="B127" s="3" t="s">
        <v>2164</v>
      </c>
      <c r="C127" s="3" t="s">
        <v>1232</v>
      </c>
      <c r="D127" s="3" t="s">
        <v>138</v>
      </c>
      <c r="E127" s="13" t="n">
        <v>190000</v>
      </c>
      <c r="F127" s="13" t="n">
        <v>3211.39</v>
      </c>
      <c r="G127" s="13" t="n">
        <v>401.42</v>
      </c>
      <c r="H127" s="13" t="n">
        <v>401.42</v>
      </c>
      <c r="I127" s="13" t="n">
        <f aca="false">SUM(K127:T127)</f>
        <v>2408.5</v>
      </c>
      <c r="J127" s="13" t="n">
        <f aca="false">F127-(G127+H127+I127)</f>
        <v>0.0499999999997272</v>
      </c>
      <c r="K127" s="13" t="n">
        <v>240.85</v>
      </c>
      <c r="L127" s="13" t="n">
        <v>240.85</v>
      </c>
      <c r="M127" s="13" t="n">
        <v>240.85</v>
      </c>
      <c r="N127" s="13" t="n">
        <v>240.85</v>
      </c>
      <c r="O127" s="13" t="n">
        <v>240.85</v>
      </c>
      <c r="P127" s="13" t="n">
        <v>240.85</v>
      </c>
      <c r="Q127" s="13" t="n">
        <v>240.85</v>
      </c>
      <c r="R127" s="13" t="n">
        <v>240.85</v>
      </c>
      <c r="S127" s="13" t="n">
        <v>240.85</v>
      </c>
      <c r="T127" s="13" t="n">
        <v>240.85</v>
      </c>
      <c r="U127" s="13" t="n">
        <v>350</v>
      </c>
      <c r="V127" s="13" t="n">
        <v>0</v>
      </c>
      <c r="W127" s="13" t="n">
        <f aca="false">U127+V127</f>
        <v>350</v>
      </c>
    </row>
    <row r="128" customFormat="false" ht="15" hidden="false" customHeight="false" outlineLevel="0" collapsed="false">
      <c r="A128" s="14" t="s">
        <v>2267</v>
      </c>
      <c r="B128" s="14" t="s">
        <v>2104</v>
      </c>
      <c r="C128" s="14" t="s">
        <v>662</v>
      </c>
      <c r="D128" s="14" t="s">
        <v>77</v>
      </c>
      <c r="E128" s="15" t="n">
        <v>820000</v>
      </c>
      <c r="F128" s="15" t="n">
        <v>10813.96</v>
      </c>
      <c r="G128" s="15" t="n">
        <v>1351.74</v>
      </c>
      <c r="H128" s="15" t="n">
        <v>1351.74</v>
      </c>
      <c r="I128" s="15" t="n">
        <f aca="false">SUM(K128:T128)</f>
        <v>8110.5</v>
      </c>
      <c r="J128" s="15" t="n">
        <f aca="false">F128-(G128+H128+I128)</f>
        <v>-0.0200000000004366</v>
      </c>
      <c r="K128" s="15" t="n">
        <v>811.05</v>
      </c>
      <c r="L128" s="15" t="n">
        <v>811.05</v>
      </c>
      <c r="M128" s="15" t="n">
        <v>811.05</v>
      </c>
      <c r="N128" s="15" t="n">
        <v>811.05</v>
      </c>
      <c r="O128" s="15" t="n">
        <v>811.05</v>
      </c>
      <c r="P128" s="15" t="n">
        <v>811.05</v>
      </c>
      <c r="Q128" s="15" t="n">
        <v>811.05</v>
      </c>
      <c r="R128" s="15" t="n">
        <v>811.05</v>
      </c>
      <c r="S128" s="15" t="n">
        <v>811.05</v>
      </c>
      <c r="T128" s="15" t="n">
        <v>811.05</v>
      </c>
      <c r="U128" s="15" t="n">
        <v>350</v>
      </c>
      <c r="V128" s="15" t="n">
        <v>0</v>
      </c>
      <c r="W128" s="15" t="n">
        <f aca="false">U128+V128</f>
        <v>350</v>
      </c>
    </row>
    <row r="129" customFormat="false" ht="15" hidden="false" customHeight="false" outlineLevel="0" collapsed="false">
      <c r="A129" s="3" t="s">
        <v>2268</v>
      </c>
      <c r="B129" s="3" t="s">
        <v>2116</v>
      </c>
      <c r="C129" s="3" t="s">
        <v>1004</v>
      </c>
      <c r="D129" s="3" t="s">
        <v>157</v>
      </c>
      <c r="E129" s="13" t="n">
        <v>420000</v>
      </c>
      <c r="F129" s="13" t="n">
        <v>7145.83</v>
      </c>
      <c r="G129" s="13" t="n">
        <v>893.23</v>
      </c>
      <c r="H129" s="13" t="n">
        <v>893.23</v>
      </c>
      <c r="I129" s="13" t="n">
        <f aca="false">SUM(K129:T129)</f>
        <v>5359.4</v>
      </c>
      <c r="J129" s="13" t="n">
        <f aca="false">F129-(G129+H129+I129)</f>
        <v>-0.0300000000015643</v>
      </c>
      <c r="K129" s="13" t="n">
        <v>535.94</v>
      </c>
      <c r="L129" s="13" t="n">
        <v>535.94</v>
      </c>
      <c r="M129" s="13" t="n">
        <v>535.94</v>
      </c>
      <c r="N129" s="13" t="n">
        <v>535.94</v>
      </c>
      <c r="O129" s="13" t="n">
        <v>535.94</v>
      </c>
      <c r="P129" s="13" t="n">
        <v>535.94</v>
      </c>
      <c r="Q129" s="13" t="n">
        <v>535.94</v>
      </c>
      <c r="R129" s="13" t="n">
        <v>535.94</v>
      </c>
      <c r="S129" s="13" t="n">
        <v>535.94</v>
      </c>
      <c r="T129" s="13" t="n">
        <v>535.94</v>
      </c>
      <c r="U129" s="13" t="n">
        <v>350</v>
      </c>
      <c r="V129" s="13" t="n">
        <v>0</v>
      </c>
      <c r="W129" s="13" t="n">
        <f aca="false">U129+V129</f>
        <v>350</v>
      </c>
    </row>
    <row r="130" customFormat="false" ht="15" hidden="false" customHeight="false" outlineLevel="0" collapsed="false">
      <c r="A130" s="14" t="s">
        <v>2269</v>
      </c>
      <c r="B130" s="14" t="s">
        <v>2124</v>
      </c>
      <c r="C130" s="14" t="s">
        <v>1292</v>
      </c>
      <c r="D130" s="14" t="s">
        <v>85</v>
      </c>
      <c r="E130" s="15" t="n">
        <v>265000</v>
      </c>
      <c r="F130" s="15" t="n">
        <v>6767.25</v>
      </c>
      <c r="G130" s="15" t="n">
        <v>845.91</v>
      </c>
      <c r="H130" s="15" t="n">
        <v>845.91</v>
      </c>
      <c r="I130" s="15" t="n">
        <f aca="false">SUM(K130:T130)</f>
        <v>5075.4</v>
      </c>
      <c r="J130" s="15" t="n">
        <f aca="false">F130-(G130+H130+I130)</f>
        <v>0.0299999999997453</v>
      </c>
      <c r="K130" s="15" t="n">
        <v>507.54</v>
      </c>
      <c r="L130" s="15" t="n">
        <v>507.54</v>
      </c>
      <c r="M130" s="15" t="n">
        <v>507.54</v>
      </c>
      <c r="N130" s="15" t="n">
        <v>507.54</v>
      </c>
      <c r="O130" s="15" t="n">
        <v>507.54</v>
      </c>
      <c r="P130" s="15" t="n">
        <v>507.54</v>
      </c>
      <c r="Q130" s="15" t="n">
        <v>507.54</v>
      </c>
      <c r="R130" s="15" t="n">
        <v>507.54</v>
      </c>
      <c r="S130" s="15" t="n">
        <v>507.54</v>
      </c>
      <c r="T130" s="15" t="n">
        <v>507.54</v>
      </c>
      <c r="U130" s="15" t="n">
        <v>350</v>
      </c>
      <c r="V130" s="15" t="n">
        <v>0</v>
      </c>
      <c r="W130" s="15" t="n">
        <f aca="false">U130+V130</f>
        <v>350</v>
      </c>
    </row>
    <row r="131" customFormat="false" ht="15" hidden="false" customHeight="false" outlineLevel="0" collapsed="false">
      <c r="A131" s="3" t="s">
        <v>2270</v>
      </c>
      <c r="B131" s="3" t="s">
        <v>2113</v>
      </c>
      <c r="C131" s="3" t="s">
        <v>623</v>
      </c>
      <c r="D131" s="3" t="s">
        <v>157</v>
      </c>
      <c r="E131" s="13" t="n">
        <v>655000</v>
      </c>
      <c r="F131" s="13" t="n">
        <v>14115.84</v>
      </c>
      <c r="G131" s="13" t="n">
        <v>1764.48</v>
      </c>
      <c r="H131" s="13" t="n">
        <v>1764.48</v>
      </c>
      <c r="I131" s="13" t="n">
        <f aca="false">SUM(K131:T131)</f>
        <v>10586.9</v>
      </c>
      <c r="J131" s="13" t="n">
        <f aca="false">F131-(G131+H131+I131)</f>
        <v>-0.0200000000004366</v>
      </c>
      <c r="K131" s="13" t="n">
        <v>1058.69</v>
      </c>
      <c r="L131" s="13" t="n">
        <v>1058.69</v>
      </c>
      <c r="M131" s="13" t="n">
        <v>1058.69</v>
      </c>
      <c r="N131" s="13" t="n">
        <v>1058.69</v>
      </c>
      <c r="O131" s="13" t="n">
        <v>1058.69</v>
      </c>
      <c r="P131" s="13" t="n">
        <v>1058.69</v>
      </c>
      <c r="Q131" s="13" t="n">
        <v>1058.69</v>
      </c>
      <c r="R131" s="13" t="n">
        <v>1058.69</v>
      </c>
      <c r="S131" s="13" t="n">
        <v>1058.69</v>
      </c>
      <c r="T131" s="13" t="n">
        <v>1058.69</v>
      </c>
      <c r="U131" s="13" t="n">
        <v>350</v>
      </c>
      <c r="V131" s="13" t="n">
        <v>0</v>
      </c>
      <c r="W131" s="13" t="n">
        <f aca="false">U131+V131</f>
        <v>350</v>
      </c>
    </row>
    <row r="132" customFormat="false" ht="15" hidden="false" customHeight="false" outlineLevel="0" collapsed="false">
      <c r="A132" s="14" t="s">
        <v>2271</v>
      </c>
      <c r="B132" s="14" t="s">
        <v>2116</v>
      </c>
      <c r="C132" s="14" t="s">
        <v>719</v>
      </c>
      <c r="D132" s="14" t="s">
        <v>157</v>
      </c>
      <c r="E132" s="15" t="n">
        <v>1655000</v>
      </c>
      <c r="F132" s="15" t="n">
        <v>30035.17</v>
      </c>
      <c r="G132" s="15" t="n">
        <v>3754.4</v>
      </c>
      <c r="H132" s="15" t="n">
        <v>3754.4</v>
      </c>
      <c r="I132" s="15" t="n">
        <f aca="false">SUM(K132:T132)</f>
        <v>22526.4</v>
      </c>
      <c r="J132" s="15" t="n">
        <f aca="false">F132-(G132+H132+I132)</f>
        <v>-0.0299999999988358</v>
      </c>
      <c r="K132" s="15" t="n">
        <v>2252.64</v>
      </c>
      <c r="L132" s="15" t="n">
        <v>2252.64</v>
      </c>
      <c r="M132" s="15" t="n">
        <v>2252.64</v>
      </c>
      <c r="N132" s="15" t="n">
        <v>2252.64</v>
      </c>
      <c r="O132" s="15" t="n">
        <v>2252.64</v>
      </c>
      <c r="P132" s="15" t="n">
        <v>2252.64</v>
      </c>
      <c r="Q132" s="15" t="n">
        <v>2252.64</v>
      </c>
      <c r="R132" s="15" t="n">
        <v>2252.64</v>
      </c>
      <c r="S132" s="15" t="n">
        <v>2252.64</v>
      </c>
      <c r="T132" s="15" t="n">
        <v>2252.64</v>
      </c>
      <c r="U132" s="15" t="n">
        <v>350</v>
      </c>
      <c r="V132" s="15" t="n">
        <v>250</v>
      </c>
      <c r="W132" s="15" t="n">
        <f aca="false">U132+V132</f>
        <v>600</v>
      </c>
    </row>
    <row r="133" customFormat="false" ht="15" hidden="false" customHeight="false" outlineLevel="0" collapsed="false">
      <c r="A133" s="3" t="s">
        <v>2272</v>
      </c>
      <c r="B133" s="3" t="s">
        <v>2136</v>
      </c>
      <c r="C133" s="3" t="s">
        <v>283</v>
      </c>
      <c r="D133" s="3" t="s">
        <v>77</v>
      </c>
      <c r="E133" s="13" t="n">
        <v>295000</v>
      </c>
      <c r="F133" s="13" t="n">
        <v>4488.91</v>
      </c>
      <c r="G133" s="13" t="n">
        <v>561.11</v>
      </c>
      <c r="H133" s="13" t="n">
        <v>561.11</v>
      </c>
      <c r="I133" s="13" t="n">
        <f aca="false">SUM(K133:T133)</f>
        <v>3366.7</v>
      </c>
      <c r="J133" s="13" t="n">
        <f aca="false">F133-(G133+H133+I133)</f>
        <v>-0.0100000000002183</v>
      </c>
      <c r="K133" s="13" t="n">
        <v>336.67</v>
      </c>
      <c r="L133" s="13" t="n">
        <v>336.67</v>
      </c>
      <c r="M133" s="13" t="n">
        <v>336.67</v>
      </c>
      <c r="N133" s="13" t="n">
        <v>336.67</v>
      </c>
      <c r="O133" s="13" t="n">
        <v>336.67</v>
      </c>
      <c r="P133" s="13" t="n">
        <v>336.67</v>
      </c>
      <c r="Q133" s="13" t="n">
        <v>336.67</v>
      </c>
      <c r="R133" s="13" t="n">
        <v>336.67</v>
      </c>
      <c r="S133" s="13" t="n">
        <v>336.67</v>
      </c>
      <c r="T133" s="13" t="n">
        <v>336.67</v>
      </c>
      <c r="U133" s="13" t="n">
        <v>350</v>
      </c>
      <c r="V133" s="13" t="n">
        <v>0</v>
      </c>
      <c r="W133" s="13" t="n">
        <f aca="false">U133+V133</f>
        <v>350</v>
      </c>
    </row>
    <row r="134" customFormat="false" ht="15" hidden="false" customHeight="false" outlineLevel="0" collapsed="false">
      <c r="A134" s="14" t="s">
        <v>2273</v>
      </c>
      <c r="B134" s="14" t="s">
        <v>2120</v>
      </c>
      <c r="C134" s="14" t="s">
        <v>673</v>
      </c>
      <c r="D134" s="14" t="s">
        <v>406</v>
      </c>
      <c r="E134" s="15" t="n">
        <v>155000</v>
      </c>
      <c r="F134" s="15" t="n">
        <v>1312.63</v>
      </c>
      <c r="G134" s="15" t="n">
        <v>164.08</v>
      </c>
      <c r="H134" s="15" t="n">
        <v>164.08</v>
      </c>
      <c r="I134" s="15" t="n">
        <f aca="false">SUM(K134:T134)</f>
        <v>984.5</v>
      </c>
      <c r="J134" s="15" t="n">
        <f aca="false">F134-(G134+H134+I134)</f>
        <v>-0.0299999999999727</v>
      </c>
      <c r="K134" s="15" t="n">
        <v>98.45</v>
      </c>
      <c r="L134" s="15" t="n">
        <v>98.45</v>
      </c>
      <c r="M134" s="15" t="n">
        <v>98.45</v>
      </c>
      <c r="N134" s="15" t="n">
        <v>98.45</v>
      </c>
      <c r="O134" s="15" t="n">
        <v>98.45</v>
      </c>
      <c r="P134" s="15" t="n">
        <v>98.45</v>
      </c>
      <c r="Q134" s="15" t="n">
        <v>98.45</v>
      </c>
      <c r="R134" s="15" t="n">
        <v>98.45</v>
      </c>
      <c r="S134" s="15" t="n">
        <v>98.45</v>
      </c>
      <c r="T134" s="15" t="n">
        <v>98.45</v>
      </c>
      <c r="U134" s="15" t="n">
        <v>350</v>
      </c>
      <c r="V134" s="15" t="n">
        <v>0</v>
      </c>
      <c r="W134" s="15" t="n">
        <f aca="false">U134+V134</f>
        <v>350</v>
      </c>
    </row>
    <row r="135" customFormat="false" ht="15" hidden="false" customHeight="false" outlineLevel="0" collapsed="false">
      <c r="A135" s="3" t="s">
        <v>2274</v>
      </c>
      <c r="B135" s="3" t="s">
        <v>2132</v>
      </c>
      <c r="C135" s="3" t="s">
        <v>523</v>
      </c>
      <c r="D135" s="3" t="s">
        <v>121</v>
      </c>
      <c r="E135" s="13" t="n">
        <v>525000</v>
      </c>
      <c r="F135" s="13" t="n">
        <v>4399.89</v>
      </c>
      <c r="G135" s="13" t="n">
        <v>549.99</v>
      </c>
      <c r="H135" s="13" t="n">
        <v>549.99</v>
      </c>
      <c r="I135" s="13" t="n">
        <f aca="false">SUM(K135:T135)</f>
        <v>3299.9</v>
      </c>
      <c r="J135" s="13" t="n">
        <f aca="false">F135-(G135+H135+I135)</f>
        <v>0.0100000000011278</v>
      </c>
      <c r="K135" s="13" t="n">
        <v>329.99</v>
      </c>
      <c r="L135" s="13" t="n">
        <v>329.99</v>
      </c>
      <c r="M135" s="13" t="n">
        <v>329.99</v>
      </c>
      <c r="N135" s="13" t="n">
        <v>329.99</v>
      </c>
      <c r="O135" s="13" t="n">
        <v>329.99</v>
      </c>
      <c r="P135" s="13" t="n">
        <v>329.99</v>
      </c>
      <c r="Q135" s="13" t="n">
        <v>329.99</v>
      </c>
      <c r="R135" s="13" t="n">
        <v>329.99</v>
      </c>
      <c r="S135" s="13" t="n">
        <v>329.99</v>
      </c>
      <c r="T135" s="13" t="n">
        <v>329.99</v>
      </c>
      <c r="U135" s="13" t="n">
        <v>350</v>
      </c>
      <c r="V135" s="13" t="n">
        <v>0</v>
      </c>
      <c r="W135" s="13" t="n">
        <f aca="false">U135+V135</f>
        <v>350</v>
      </c>
    </row>
    <row r="136" customFormat="false" ht="15" hidden="false" customHeight="false" outlineLevel="0" collapsed="false">
      <c r="A136" s="14" t="s">
        <v>2275</v>
      </c>
      <c r="B136" s="14" t="s">
        <v>2136</v>
      </c>
      <c r="C136" s="14" t="s">
        <v>2276</v>
      </c>
      <c r="D136" s="14" t="s">
        <v>208</v>
      </c>
      <c r="E136" s="15" t="n">
        <v>425000</v>
      </c>
      <c r="F136" s="15" t="n">
        <v>7767.27</v>
      </c>
      <c r="G136" s="15" t="n">
        <v>970.91</v>
      </c>
      <c r="H136" s="15" t="n">
        <v>970.91</v>
      </c>
      <c r="I136" s="15" t="n">
        <f aca="false">SUM(K136:T136)</f>
        <v>5825.5</v>
      </c>
      <c r="J136" s="15" t="n">
        <f aca="false">F136-(G136+H136+I136)</f>
        <v>-0.0499999999992724</v>
      </c>
      <c r="K136" s="15" t="n">
        <v>582.55</v>
      </c>
      <c r="L136" s="15" t="n">
        <v>582.55</v>
      </c>
      <c r="M136" s="15" t="n">
        <v>582.55</v>
      </c>
      <c r="N136" s="15" t="n">
        <v>582.55</v>
      </c>
      <c r="O136" s="15" t="n">
        <v>582.55</v>
      </c>
      <c r="P136" s="15" t="n">
        <v>582.55</v>
      </c>
      <c r="Q136" s="15" t="n">
        <v>582.55</v>
      </c>
      <c r="R136" s="15" t="n">
        <v>582.55</v>
      </c>
      <c r="S136" s="15" t="n">
        <v>582.55</v>
      </c>
      <c r="T136" s="15" t="n">
        <v>582.55</v>
      </c>
      <c r="U136" s="15" t="n">
        <v>350</v>
      </c>
      <c r="V136" s="15" t="n">
        <v>0</v>
      </c>
      <c r="W136" s="15" t="n">
        <f aca="false">U136+V136</f>
        <v>350</v>
      </c>
    </row>
    <row r="137" customFormat="false" ht="15" hidden="false" customHeight="false" outlineLevel="0" collapsed="false">
      <c r="A137" s="3" t="s">
        <v>2277</v>
      </c>
      <c r="B137" s="3" t="s">
        <v>2132</v>
      </c>
      <c r="C137" s="3" t="s">
        <v>221</v>
      </c>
      <c r="D137" s="3" t="s">
        <v>338</v>
      </c>
      <c r="E137" s="13" t="n">
        <v>645000</v>
      </c>
      <c r="F137" s="13" t="n">
        <v>8305.17</v>
      </c>
      <c r="G137" s="13" t="n">
        <v>1038.15</v>
      </c>
      <c r="H137" s="13" t="n">
        <v>1038.15</v>
      </c>
      <c r="I137" s="13" t="n">
        <f aca="false">SUM(K137:T137)</f>
        <v>6228.9</v>
      </c>
      <c r="J137" s="13" t="n">
        <f aca="false">F137-(G137+H137+I137)</f>
        <v>-0.0300000000006548</v>
      </c>
      <c r="K137" s="13" t="n">
        <v>622.89</v>
      </c>
      <c r="L137" s="13" t="n">
        <v>622.89</v>
      </c>
      <c r="M137" s="13" t="n">
        <v>622.89</v>
      </c>
      <c r="N137" s="13" t="n">
        <v>622.89</v>
      </c>
      <c r="O137" s="13" t="n">
        <v>622.89</v>
      </c>
      <c r="P137" s="13" t="n">
        <v>622.89</v>
      </c>
      <c r="Q137" s="13" t="n">
        <v>622.89</v>
      </c>
      <c r="R137" s="13" t="n">
        <v>622.89</v>
      </c>
      <c r="S137" s="13" t="n">
        <v>622.89</v>
      </c>
      <c r="T137" s="13" t="n">
        <v>622.89</v>
      </c>
      <c r="U137" s="13" t="n">
        <v>350</v>
      </c>
      <c r="V137" s="13" t="n">
        <v>0</v>
      </c>
      <c r="W137" s="13" t="n">
        <f aca="false">U137+V137</f>
        <v>350</v>
      </c>
    </row>
    <row r="138" customFormat="false" ht="15" hidden="false" customHeight="false" outlineLevel="0" collapsed="false">
      <c r="A138" s="14" t="s">
        <v>2278</v>
      </c>
      <c r="B138" s="14" t="s">
        <v>2142</v>
      </c>
      <c r="C138" s="14" t="s">
        <v>283</v>
      </c>
      <c r="D138" s="14" t="s">
        <v>189</v>
      </c>
      <c r="E138" s="15" t="n">
        <v>630000</v>
      </c>
      <c r="F138" s="15" t="n">
        <v>7196.15</v>
      </c>
      <c r="G138" s="15" t="n">
        <v>899.52</v>
      </c>
      <c r="H138" s="15" t="n">
        <v>899.52</v>
      </c>
      <c r="I138" s="15" t="n">
        <f aca="false">SUM(K138:T138)</f>
        <v>5397.1</v>
      </c>
      <c r="J138" s="15" t="n">
        <f aca="false">F138-(G138+H138+I138)</f>
        <v>0.00999999999930878</v>
      </c>
      <c r="K138" s="15" t="n">
        <v>539.71</v>
      </c>
      <c r="L138" s="15" t="n">
        <v>539.71</v>
      </c>
      <c r="M138" s="15" t="n">
        <v>539.71</v>
      </c>
      <c r="N138" s="15" t="n">
        <v>539.71</v>
      </c>
      <c r="O138" s="15" t="n">
        <v>539.71</v>
      </c>
      <c r="P138" s="15" t="n">
        <v>539.71</v>
      </c>
      <c r="Q138" s="15" t="n">
        <v>539.71</v>
      </c>
      <c r="R138" s="15" t="n">
        <v>539.71</v>
      </c>
      <c r="S138" s="15" t="n">
        <v>539.71</v>
      </c>
      <c r="T138" s="15" t="n">
        <v>539.71</v>
      </c>
      <c r="U138" s="15" t="n">
        <v>350</v>
      </c>
      <c r="V138" s="15" t="n">
        <v>0</v>
      </c>
      <c r="W138" s="15" t="n">
        <f aca="false">U138+V138</f>
        <v>350</v>
      </c>
    </row>
    <row r="139" customFormat="false" ht="15" hidden="false" customHeight="false" outlineLevel="0" collapsed="false">
      <c r="A139" s="3" t="s">
        <v>2279</v>
      </c>
      <c r="B139" s="3" t="s">
        <v>2150</v>
      </c>
      <c r="C139" s="3" t="s">
        <v>1408</v>
      </c>
      <c r="D139" s="3" t="s">
        <v>93</v>
      </c>
      <c r="E139" s="13" t="n">
        <v>805000</v>
      </c>
      <c r="F139" s="13" t="n">
        <v>10699.73</v>
      </c>
      <c r="G139" s="13" t="n">
        <v>1337.47</v>
      </c>
      <c r="H139" s="13" t="n">
        <v>1337.47</v>
      </c>
      <c r="I139" s="13" t="n">
        <f aca="false">SUM(K139:T139)</f>
        <v>8024.8</v>
      </c>
      <c r="J139" s="13" t="n">
        <f aca="false">F139-(G139+H139+I139)</f>
        <v>-0.0100000000002183</v>
      </c>
      <c r="K139" s="13" t="n">
        <v>802.48</v>
      </c>
      <c r="L139" s="13" t="n">
        <v>802.48</v>
      </c>
      <c r="M139" s="13" t="n">
        <v>802.48</v>
      </c>
      <c r="N139" s="13" t="n">
        <v>802.48</v>
      </c>
      <c r="O139" s="13" t="n">
        <v>802.48</v>
      </c>
      <c r="P139" s="13" t="n">
        <v>802.48</v>
      </c>
      <c r="Q139" s="13" t="n">
        <v>802.48</v>
      </c>
      <c r="R139" s="13" t="n">
        <v>802.48</v>
      </c>
      <c r="S139" s="13" t="n">
        <v>802.48</v>
      </c>
      <c r="T139" s="13" t="n">
        <v>802.48</v>
      </c>
      <c r="U139" s="13" t="n">
        <v>350</v>
      </c>
      <c r="V139" s="13" t="n">
        <v>0</v>
      </c>
      <c r="W139" s="13" t="n">
        <f aca="false">U139+V139</f>
        <v>350</v>
      </c>
    </row>
    <row r="140" customFormat="false" ht="15" hidden="false" customHeight="false" outlineLevel="0" collapsed="false">
      <c r="A140" s="14" t="s">
        <v>2280</v>
      </c>
      <c r="B140" s="14" t="s">
        <v>2183</v>
      </c>
      <c r="C140" s="14" t="s">
        <v>608</v>
      </c>
      <c r="D140" s="14" t="s">
        <v>89</v>
      </c>
      <c r="E140" s="15" t="n">
        <v>1950000</v>
      </c>
      <c r="F140" s="15" t="n">
        <v>33644.34</v>
      </c>
      <c r="G140" s="15" t="n">
        <v>4205.54</v>
      </c>
      <c r="H140" s="15" t="n">
        <v>4205.54</v>
      </c>
      <c r="I140" s="15" t="n">
        <f aca="false">SUM(K140:T140)</f>
        <v>25233.3</v>
      </c>
      <c r="J140" s="15" t="n">
        <f aca="false">F140-(G140+H140+I140)</f>
        <v>-0.0400000000081491</v>
      </c>
      <c r="K140" s="15" t="n">
        <v>2523.33</v>
      </c>
      <c r="L140" s="15" t="n">
        <v>2523.33</v>
      </c>
      <c r="M140" s="15" t="n">
        <v>2523.33</v>
      </c>
      <c r="N140" s="15" t="n">
        <v>2523.33</v>
      </c>
      <c r="O140" s="15" t="n">
        <v>2523.33</v>
      </c>
      <c r="P140" s="15" t="n">
        <v>2523.33</v>
      </c>
      <c r="Q140" s="15" t="n">
        <v>2523.33</v>
      </c>
      <c r="R140" s="15" t="n">
        <v>2523.33</v>
      </c>
      <c r="S140" s="15" t="n">
        <v>2523.33</v>
      </c>
      <c r="T140" s="15" t="n">
        <v>2523.33</v>
      </c>
      <c r="U140" s="15" t="n">
        <v>350</v>
      </c>
      <c r="V140" s="15" t="n">
        <v>250</v>
      </c>
      <c r="W140" s="15" t="n">
        <f aca="false">U140+V140</f>
        <v>600</v>
      </c>
    </row>
    <row r="141" customFormat="false" ht="15" hidden="false" customHeight="false" outlineLevel="0" collapsed="false">
      <c r="A141" s="3" t="s">
        <v>2281</v>
      </c>
      <c r="B141" s="3" t="s">
        <v>2118</v>
      </c>
      <c r="C141" s="3" t="s">
        <v>2282</v>
      </c>
      <c r="D141" s="3" t="s">
        <v>233</v>
      </c>
      <c r="E141" s="13" t="n">
        <v>750000</v>
      </c>
      <c r="F141" s="13" t="n">
        <v>7632.28</v>
      </c>
      <c r="G141" s="13" t="n">
        <v>954.03</v>
      </c>
      <c r="H141" s="13" t="n">
        <v>954.03</v>
      </c>
      <c r="I141" s="13" t="n">
        <f aca="false">SUM(K141:T141)</f>
        <v>5724.2</v>
      </c>
      <c r="J141" s="13" t="n">
        <f aca="false">F141-(G141+H141+I141)</f>
        <v>0.0199999999995271</v>
      </c>
      <c r="K141" s="13" t="n">
        <v>572.42</v>
      </c>
      <c r="L141" s="13" t="n">
        <v>572.42</v>
      </c>
      <c r="M141" s="13" t="n">
        <v>572.42</v>
      </c>
      <c r="N141" s="13" t="n">
        <v>572.42</v>
      </c>
      <c r="O141" s="13" t="n">
        <v>572.42</v>
      </c>
      <c r="P141" s="13" t="n">
        <v>572.42</v>
      </c>
      <c r="Q141" s="13" t="n">
        <v>572.42</v>
      </c>
      <c r="R141" s="13" t="n">
        <v>572.42</v>
      </c>
      <c r="S141" s="13" t="n">
        <v>572.42</v>
      </c>
      <c r="T141" s="13" t="n">
        <v>572.42</v>
      </c>
      <c r="U141" s="13" t="n">
        <v>350</v>
      </c>
      <c r="V141" s="13" t="n">
        <v>0</v>
      </c>
      <c r="W141" s="13" t="n">
        <f aca="false">U141+V141</f>
        <v>350</v>
      </c>
    </row>
    <row r="142" customFormat="false" ht="15" hidden="false" customHeight="false" outlineLevel="0" collapsed="false">
      <c r="A142" s="14" t="s">
        <v>2283</v>
      </c>
      <c r="B142" s="14" t="s">
        <v>2118</v>
      </c>
      <c r="C142" s="14" t="s">
        <v>92</v>
      </c>
      <c r="D142" s="14" t="s">
        <v>208</v>
      </c>
      <c r="E142" s="15" t="n">
        <v>810000</v>
      </c>
      <c r="F142" s="15" t="n">
        <v>10934.41</v>
      </c>
      <c r="G142" s="15" t="n">
        <v>1366.8</v>
      </c>
      <c r="H142" s="15" t="n">
        <v>1366.8</v>
      </c>
      <c r="I142" s="15" t="n">
        <f aca="false">SUM(K142:T142)</f>
        <v>8200.8</v>
      </c>
      <c r="J142" s="15" t="n">
        <f aca="false">F142-(G142+H142+I142)</f>
        <v>0.00999999999839929</v>
      </c>
      <c r="K142" s="15" t="n">
        <v>820.08</v>
      </c>
      <c r="L142" s="15" t="n">
        <v>820.08</v>
      </c>
      <c r="M142" s="15" t="n">
        <v>820.08</v>
      </c>
      <c r="N142" s="15" t="n">
        <v>820.08</v>
      </c>
      <c r="O142" s="15" t="n">
        <v>820.08</v>
      </c>
      <c r="P142" s="15" t="n">
        <v>820.08</v>
      </c>
      <c r="Q142" s="15" t="n">
        <v>820.08</v>
      </c>
      <c r="R142" s="15" t="n">
        <v>820.08</v>
      </c>
      <c r="S142" s="15" t="n">
        <v>820.08</v>
      </c>
      <c r="T142" s="15" t="n">
        <v>820.08</v>
      </c>
      <c r="U142" s="15" t="n">
        <v>350</v>
      </c>
      <c r="V142" s="15" t="n">
        <v>0</v>
      </c>
      <c r="W142" s="15" t="n">
        <f aca="false">U142+V142</f>
        <v>350</v>
      </c>
    </row>
    <row r="143" customFormat="false" ht="15" hidden="false" customHeight="false" outlineLevel="0" collapsed="false">
      <c r="A143" s="3" t="s">
        <v>2284</v>
      </c>
      <c r="B143" s="3" t="s">
        <v>2120</v>
      </c>
      <c r="C143" s="3" t="s">
        <v>265</v>
      </c>
      <c r="D143" s="3" t="s">
        <v>89</v>
      </c>
      <c r="E143" s="13" t="n">
        <v>1320000</v>
      </c>
      <c r="F143" s="13" t="n">
        <v>9679.22</v>
      </c>
      <c r="G143" s="13" t="n">
        <v>1209.9</v>
      </c>
      <c r="H143" s="13" t="n">
        <v>1209.9</v>
      </c>
      <c r="I143" s="13" t="n">
        <f aca="false">SUM(K143:T143)</f>
        <v>7259.4</v>
      </c>
      <c r="J143" s="13" t="n">
        <f aca="false">F143-(G143+H143+I143)</f>
        <v>0.0199999999986176</v>
      </c>
      <c r="K143" s="13" t="n">
        <v>725.94</v>
      </c>
      <c r="L143" s="13" t="n">
        <v>725.94</v>
      </c>
      <c r="M143" s="13" t="n">
        <v>725.94</v>
      </c>
      <c r="N143" s="13" t="n">
        <v>725.94</v>
      </c>
      <c r="O143" s="13" t="n">
        <v>725.94</v>
      </c>
      <c r="P143" s="13" t="n">
        <v>725.94</v>
      </c>
      <c r="Q143" s="13" t="n">
        <v>725.94</v>
      </c>
      <c r="R143" s="13" t="n">
        <v>725.94</v>
      </c>
      <c r="S143" s="13" t="n">
        <v>725.94</v>
      </c>
      <c r="T143" s="13" t="n">
        <v>725.94</v>
      </c>
      <c r="U143" s="13" t="n">
        <v>350</v>
      </c>
      <c r="V143" s="13" t="n">
        <v>250</v>
      </c>
      <c r="W143" s="13" t="n">
        <f aca="false">U143+V143</f>
        <v>600</v>
      </c>
    </row>
    <row r="144" customFormat="false" ht="15" hidden="false" customHeight="false" outlineLevel="0" collapsed="false">
      <c r="A144" s="14" t="s">
        <v>2285</v>
      </c>
      <c r="B144" s="14" t="s">
        <v>2144</v>
      </c>
      <c r="C144" s="14" t="s">
        <v>2276</v>
      </c>
      <c r="D144" s="14" t="s">
        <v>193</v>
      </c>
      <c r="E144" s="15" t="n">
        <v>465000</v>
      </c>
      <c r="F144" s="15" t="n">
        <v>10678.61</v>
      </c>
      <c r="G144" s="15" t="n">
        <v>1334.83</v>
      </c>
      <c r="H144" s="15" t="n">
        <v>1334.83</v>
      </c>
      <c r="I144" s="15" t="n">
        <f aca="false">SUM(K144:T144)</f>
        <v>8009</v>
      </c>
      <c r="J144" s="15" t="n">
        <f aca="false">F144-(G144+H144+I144)</f>
        <v>-0.0499999999992724</v>
      </c>
      <c r="K144" s="15" t="n">
        <v>800.9</v>
      </c>
      <c r="L144" s="15" t="n">
        <v>800.9</v>
      </c>
      <c r="M144" s="15" t="n">
        <v>800.9</v>
      </c>
      <c r="N144" s="15" t="n">
        <v>800.9</v>
      </c>
      <c r="O144" s="15" t="n">
        <v>800.9</v>
      </c>
      <c r="P144" s="15" t="n">
        <v>800.9</v>
      </c>
      <c r="Q144" s="15" t="n">
        <v>800.9</v>
      </c>
      <c r="R144" s="15" t="n">
        <v>800.9</v>
      </c>
      <c r="S144" s="15" t="n">
        <v>800.9</v>
      </c>
      <c r="T144" s="15" t="n">
        <v>800.9</v>
      </c>
      <c r="U144" s="15" t="n">
        <v>350</v>
      </c>
      <c r="V144" s="15" t="n">
        <v>0</v>
      </c>
      <c r="W144" s="15" t="n">
        <f aca="false">U144+V144</f>
        <v>350</v>
      </c>
    </row>
    <row r="145" customFormat="false" ht="15" hidden="false" customHeight="false" outlineLevel="0" collapsed="false">
      <c r="A145" s="3" t="s">
        <v>2286</v>
      </c>
      <c r="B145" s="3" t="s">
        <v>2118</v>
      </c>
      <c r="C145" s="3" t="s">
        <v>991</v>
      </c>
      <c r="D145" s="3" t="s">
        <v>77</v>
      </c>
      <c r="E145" s="13" t="n">
        <v>1335000</v>
      </c>
      <c r="F145" s="13" t="n">
        <v>21668.49</v>
      </c>
      <c r="G145" s="13" t="n">
        <v>2708.56</v>
      </c>
      <c r="H145" s="13" t="n">
        <v>2708.56</v>
      </c>
      <c r="I145" s="13" t="n">
        <f aca="false">SUM(K145:T145)</f>
        <v>16251.4</v>
      </c>
      <c r="J145" s="13" t="n">
        <f aca="false">F145-(G145+H145+I145)</f>
        <v>-0.0299999999988358</v>
      </c>
      <c r="K145" s="13" t="n">
        <v>1625.14</v>
      </c>
      <c r="L145" s="13" t="n">
        <v>1625.14</v>
      </c>
      <c r="M145" s="13" t="n">
        <v>1625.14</v>
      </c>
      <c r="N145" s="13" t="n">
        <v>1625.14</v>
      </c>
      <c r="O145" s="13" t="n">
        <v>1625.14</v>
      </c>
      <c r="P145" s="13" t="n">
        <v>1625.14</v>
      </c>
      <c r="Q145" s="13" t="n">
        <v>1625.14</v>
      </c>
      <c r="R145" s="13" t="n">
        <v>1625.14</v>
      </c>
      <c r="S145" s="13" t="n">
        <v>1625.14</v>
      </c>
      <c r="T145" s="13" t="n">
        <v>1625.14</v>
      </c>
      <c r="U145" s="13" t="n">
        <v>350</v>
      </c>
      <c r="V145" s="13" t="n">
        <v>250</v>
      </c>
      <c r="W145" s="13" t="n">
        <f aca="false">U145+V145</f>
        <v>600</v>
      </c>
    </row>
    <row r="146" customFormat="false" ht="15" hidden="false" customHeight="false" outlineLevel="0" collapsed="false">
      <c r="A146" s="14" t="s">
        <v>2287</v>
      </c>
      <c r="B146" s="14" t="s">
        <v>2107</v>
      </c>
      <c r="C146" s="14" t="s">
        <v>131</v>
      </c>
      <c r="D146" s="14" t="s">
        <v>279</v>
      </c>
      <c r="E146" s="15" t="n">
        <v>600000</v>
      </c>
      <c r="F146" s="15" t="n">
        <v>5669.7</v>
      </c>
      <c r="G146" s="15" t="n">
        <v>708.71</v>
      </c>
      <c r="H146" s="15" t="n">
        <v>708.71</v>
      </c>
      <c r="I146" s="15" t="n">
        <f aca="false">SUM(K146:T146)</f>
        <v>4252.3</v>
      </c>
      <c r="J146" s="15" t="n">
        <f aca="false">F146-(G146+H146+I146)</f>
        <v>-0.0200000000004366</v>
      </c>
      <c r="K146" s="15" t="n">
        <v>425.23</v>
      </c>
      <c r="L146" s="15" t="n">
        <v>425.23</v>
      </c>
      <c r="M146" s="15" t="n">
        <v>425.23</v>
      </c>
      <c r="N146" s="15" t="n">
        <v>425.23</v>
      </c>
      <c r="O146" s="15" t="n">
        <v>425.23</v>
      </c>
      <c r="P146" s="15" t="n">
        <v>425.23</v>
      </c>
      <c r="Q146" s="15" t="n">
        <v>425.23</v>
      </c>
      <c r="R146" s="15" t="n">
        <v>425.23</v>
      </c>
      <c r="S146" s="15" t="n">
        <v>425.23</v>
      </c>
      <c r="T146" s="15" t="n">
        <v>425.23</v>
      </c>
      <c r="U146" s="15" t="n">
        <v>350</v>
      </c>
      <c r="V146" s="15" t="n">
        <v>0</v>
      </c>
      <c r="W146" s="15" t="n">
        <f aca="false">U146+V146</f>
        <v>350</v>
      </c>
    </row>
    <row r="147" customFormat="false" ht="15" hidden="false" customHeight="false" outlineLevel="0" collapsed="false">
      <c r="A147" s="3" t="s">
        <v>2288</v>
      </c>
      <c r="B147" s="3" t="s">
        <v>2136</v>
      </c>
      <c r="C147" s="3" t="s">
        <v>389</v>
      </c>
      <c r="D147" s="3" t="s">
        <v>377</v>
      </c>
      <c r="E147" s="13" t="n">
        <v>440000</v>
      </c>
      <c r="F147" s="13" t="n">
        <v>4521.18</v>
      </c>
      <c r="G147" s="13" t="n">
        <v>565.15</v>
      </c>
      <c r="H147" s="13" t="n">
        <v>565.15</v>
      </c>
      <c r="I147" s="13" t="n">
        <f aca="false">SUM(K147:T147)</f>
        <v>3390.9</v>
      </c>
      <c r="J147" s="13" t="n">
        <f aca="false">F147-(G147+H147+I147)</f>
        <v>-0.0199999999995271</v>
      </c>
      <c r="K147" s="13" t="n">
        <v>339.09</v>
      </c>
      <c r="L147" s="13" t="n">
        <v>339.09</v>
      </c>
      <c r="M147" s="13" t="n">
        <v>339.09</v>
      </c>
      <c r="N147" s="13" t="n">
        <v>339.09</v>
      </c>
      <c r="O147" s="13" t="n">
        <v>339.09</v>
      </c>
      <c r="P147" s="13" t="n">
        <v>339.09</v>
      </c>
      <c r="Q147" s="13" t="n">
        <v>339.09</v>
      </c>
      <c r="R147" s="13" t="n">
        <v>339.09</v>
      </c>
      <c r="S147" s="13" t="n">
        <v>339.09</v>
      </c>
      <c r="T147" s="13" t="n">
        <v>339.09</v>
      </c>
      <c r="U147" s="13" t="n">
        <v>350</v>
      </c>
      <c r="V147" s="13" t="n">
        <v>0</v>
      </c>
      <c r="W147" s="13" t="n">
        <f aca="false">U147+V147</f>
        <v>350</v>
      </c>
    </row>
    <row r="148" customFormat="false" ht="15" hidden="false" customHeight="false" outlineLevel="0" collapsed="false">
      <c r="A148" s="14" t="s">
        <v>2289</v>
      </c>
      <c r="B148" s="14" t="s">
        <v>2118</v>
      </c>
      <c r="C148" s="14" t="s">
        <v>578</v>
      </c>
      <c r="D148" s="14" t="s">
        <v>338</v>
      </c>
      <c r="E148" s="15" t="n">
        <v>750000</v>
      </c>
      <c r="F148" s="15" t="n">
        <v>14114.33</v>
      </c>
      <c r="G148" s="15" t="n">
        <v>1764.29</v>
      </c>
      <c r="H148" s="15" t="n">
        <v>1764.29</v>
      </c>
      <c r="I148" s="15" t="n">
        <f aca="false">SUM(K148:T148)</f>
        <v>10585.7</v>
      </c>
      <c r="J148" s="15" t="n">
        <f aca="false">F148-(G148+H148+I148)</f>
        <v>0.0500000000010914</v>
      </c>
      <c r="K148" s="15" t="n">
        <v>1058.57</v>
      </c>
      <c r="L148" s="15" t="n">
        <v>1058.57</v>
      </c>
      <c r="M148" s="15" t="n">
        <v>1058.57</v>
      </c>
      <c r="N148" s="15" t="n">
        <v>1058.57</v>
      </c>
      <c r="O148" s="15" t="n">
        <v>1058.57</v>
      </c>
      <c r="P148" s="15" t="n">
        <v>1058.57</v>
      </c>
      <c r="Q148" s="15" t="n">
        <v>1058.57</v>
      </c>
      <c r="R148" s="15" t="n">
        <v>1058.57</v>
      </c>
      <c r="S148" s="15" t="n">
        <v>1058.57</v>
      </c>
      <c r="T148" s="15" t="n">
        <v>1058.57</v>
      </c>
      <c r="U148" s="15" t="n">
        <v>350</v>
      </c>
      <c r="V148" s="15" t="n">
        <v>0</v>
      </c>
      <c r="W148" s="15" t="n">
        <f aca="false">U148+V148</f>
        <v>350</v>
      </c>
    </row>
    <row r="149" customFormat="false" ht="15" hidden="false" customHeight="false" outlineLevel="0" collapsed="false">
      <c r="A149" s="3" t="s">
        <v>2290</v>
      </c>
      <c r="B149" s="3" t="s">
        <v>2134</v>
      </c>
      <c r="C149" s="3" t="s">
        <v>98</v>
      </c>
      <c r="D149" s="3" t="s">
        <v>138</v>
      </c>
      <c r="E149" s="13" t="n">
        <v>1285000</v>
      </c>
      <c r="F149" s="13" t="n">
        <v>12984.26</v>
      </c>
      <c r="G149" s="13" t="n">
        <v>1623.03</v>
      </c>
      <c r="H149" s="13" t="n">
        <v>1623.03</v>
      </c>
      <c r="I149" s="13" t="n">
        <f aca="false">SUM(K149:T149)</f>
        <v>9738.2</v>
      </c>
      <c r="J149" s="13" t="n">
        <f aca="false">F149-(G149+H149+I149)</f>
        <v>0</v>
      </c>
      <c r="K149" s="13" t="n">
        <v>973.82</v>
      </c>
      <c r="L149" s="13" t="n">
        <v>973.82</v>
      </c>
      <c r="M149" s="13" t="n">
        <v>973.82</v>
      </c>
      <c r="N149" s="13" t="n">
        <v>973.82</v>
      </c>
      <c r="O149" s="13" t="n">
        <v>973.82</v>
      </c>
      <c r="P149" s="13" t="n">
        <v>973.82</v>
      </c>
      <c r="Q149" s="13" t="n">
        <v>973.82</v>
      </c>
      <c r="R149" s="13" t="n">
        <v>973.82</v>
      </c>
      <c r="S149" s="13" t="n">
        <v>973.82</v>
      </c>
      <c r="T149" s="13" t="n">
        <v>973.82</v>
      </c>
      <c r="U149" s="13" t="n">
        <v>350</v>
      </c>
      <c r="V149" s="13" t="n">
        <v>250</v>
      </c>
      <c r="W149" s="13" t="n">
        <f aca="false">U149+V149</f>
        <v>600</v>
      </c>
    </row>
    <row r="150" customFormat="false" ht="15" hidden="false" customHeight="false" outlineLevel="0" collapsed="false">
      <c r="A150" s="14" t="s">
        <v>2291</v>
      </c>
      <c r="B150" s="14" t="s">
        <v>2109</v>
      </c>
      <c r="C150" s="14" t="s">
        <v>128</v>
      </c>
      <c r="D150" s="14" t="s">
        <v>185</v>
      </c>
      <c r="E150" s="15" t="n">
        <v>965000</v>
      </c>
      <c r="F150" s="15" t="n">
        <v>14791.97</v>
      </c>
      <c r="G150" s="15" t="n">
        <v>1849</v>
      </c>
      <c r="H150" s="15" t="n">
        <v>1849</v>
      </c>
      <c r="I150" s="15" t="n">
        <f aca="false">SUM(K150:T150)</f>
        <v>11094</v>
      </c>
      <c r="J150" s="15" t="n">
        <f aca="false">F150-(G150+H150+I150)</f>
        <v>-0.0300000000006548</v>
      </c>
      <c r="K150" s="15" t="n">
        <v>1109.4</v>
      </c>
      <c r="L150" s="15" t="n">
        <v>1109.4</v>
      </c>
      <c r="M150" s="15" t="n">
        <v>1109.4</v>
      </c>
      <c r="N150" s="15" t="n">
        <v>1109.4</v>
      </c>
      <c r="O150" s="15" t="n">
        <v>1109.4</v>
      </c>
      <c r="P150" s="15" t="n">
        <v>1109.4</v>
      </c>
      <c r="Q150" s="15" t="n">
        <v>1109.4</v>
      </c>
      <c r="R150" s="15" t="n">
        <v>1109.4</v>
      </c>
      <c r="S150" s="15" t="n">
        <v>1109.4</v>
      </c>
      <c r="T150" s="15" t="n">
        <v>1109.4</v>
      </c>
      <c r="U150" s="15" t="n">
        <v>350</v>
      </c>
      <c r="V150" s="15" t="n">
        <v>0</v>
      </c>
      <c r="W150" s="15" t="n">
        <f aca="false">U150+V150</f>
        <v>350</v>
      </c>
    </row>
    <row r="151" customFormat="false" ht="15" hidden="false" customHeight="false" outlineLevel="0" collapsed="false">
      <c r="A151" s="3" t="s">
        <v>2292</v>
      </c>
      <c r="B151" s="3" t="s">
        <v>2127</v>
      </c>
      <c r="C151" s="3" t="s">
        <v>1774</v>
      </c>
      <c r="D151" s="3" t="s">
        <v>251</v>
      </c>
      <c r="E151" s="13" t="n">
        <v>930000</v>
      </c>
      <c r="F151" s="13" t="n">
        <v>10816.03</v>
      </c>
      <c r="G151" s="13" t="n">
        <v>1352</v>
      </c>
      <c r="H151" s="13" t="n">
        <v>1352</v>
      </c>
      <c r="I151" s="13" t="n">
        <f aca="false">SUM(K151:T151)</f>
        <v>8112</v>
      </c>
      <c r="J151" s="13" t="n">
        <f aca="false">F151-(G151+H151+I151)</f>
        <v>0.0300000000006548</v>
      </c>
      <c r="K151" s="13" t="n">
        <v>811.2</v>
      </c>
      <c r="L151" s="13" t="n">
        <v>811.2</v>
      </c>
      <c r="M151" s="13" t="n">
        <v>811.2</v>
      </c>
      <c r="N151" s="13" t="n">
        <v>811.2</v>
      </c>
      <c r="O151" s="13" t="n">
        <v>811.2</v>
      </c>
      <c r="P151" s="13" t="n">
        <v>811.2</v>
      </c>
      <c r="Q151" s="13" t="n">
        <v>811.2</v>
      </c>
      <c r="R151" s="13" t="n">
        <v>811.2</v>
      </c>
      <c r="S151" s="13" t="n">
        <v>811.2</v>
      </c>
      <c r="T151" s="13" t="n">
        <v>811.2</v>
      </c>
      <c r="U151" s="13" t="n">
        <v>350</v>
      </c>
      <c r="V151" s="13" t="n">
        <v>0</v>
      </c>
      <c r="W151" s="13" t="n">
        <f aca="false">U151+V151</f>
        <v>350</v>
      </c>
    </row>
    <row r="152" customFormat="false" ht="15" hidden="false" customHeight="false" outlineLevel="0" collapsed="false">
      <c r="A152" s="14" t="s">
        <v>2293</v>
      </c>
      <c r="B152" s="14" t="s">
        <v>2104</v>
      </c>
      <c r="C152" s="14" t="s">
        <v>111</v>
      </c>
      <c r="D152" s="14" t="s">
        <v>246</v>
      </c>
      <c r="E152" s="15" t="n">
        <v>370000</v>
      </c>
      <c r="F152" s="15" t="n">
        <v>5319.83</v>
      </c>
      <c r="G152" s="15" t="n">
        <v>664.98</v>
      </c>
      <c r="H152" s="15" t="n">
        <v>664.98</v>
      </c>
      <c r="I152" s="15" t="n">
        <f aca="false">SUM(K152:T152)</f>
        <v>3989.9</v>
      </c>
      <c r="J152" s="15" t="n">
        <f aca="false">F152-(G152+H152+I152)</f>
        <v>-0.0299999999997453</v>
      </c>
      <c r="K152" s="15" t="n">
        <v>398.99</v>
      </c>
      <c r="L152" s="15" t="n">
        <v>398.99</v>
      </c>
      <c r="M152" s="15" t="n">
        <v>398.99</v>
      </c>
      <c r="N152" s="15" t="n">
        <v>398.99</v>
      </c>
      <c r="O152" s="15" t="n">
        <v>398.99</v>
      </c>
      <c r="P152" s="15" t="n">
        <v>398.99</v>
      </c>
      <c r="Q152" s="15" t="n">
        <v>398.99</v>
      </c>
      <c r="R152" s="15" t="n">
        <v>398.99</v>
      </c>
      <c r="S152" s="15" t="n">
        <v>398.99</v>
      </c>
      <c r="T152" s="15" t="n">
        <v>398.99</v>
      </c>
      <c r="U152" s="15" t="n">
        <v>350</v>
      </c>
      <c r="V152" s="15" t="n">
        <v>0</v>
      </c>
      <c r="W152" s="15" t="n">
        <f aca="false">U152+V152</f>
        <v>350</v>
      </c>
    </row>
    <row r="153" customFormat="false" ht="15" hidden="false" customHeight="false" outlineLevel="0" collapsed="false">
      <c r="A153" s="3" t="s">
        <v>2294</v>
      </c>
      <c r="B153" s="3" t="s">
        <v>2162</v>
      </c>
      <c r="C153" s="3" t="s">
        <v>128</v>
      </c>
      <c r="D153" s="3" t="s">
        <v>85</v>
      </c>
      <c r="E153" s="13" t="n">
        <v>845000</v>
      </c>
      <c r="F153" s="13" t="n">
        <v>8068.52</v>
      </c>
      <c r="G153" s="13" t="n">
        <v>1008.57</v>
      </c>
      <c r="H153" s="13" t="n">
        <v>1008.57</v>
      </c>
      <c r="I153" s="13" t="n">
        <f aca="false">SUM(K153:T153)</f>
        <v>6051.4</v>
      </c>
      <c r="J153" s="13" t="n">
        <f aca="false">F153-(G153+H153+I153)</f>
        <v>-0.0200000000004366</v>
      </c>
      <c r="K153" s="13" t="n">
        <v>605.14</v>
      </c>
      <c r="L153" s="13" t="n">
        <v>605.14</v>
      </c>
      <c r="M153" s="13" t="n">
        <v>605.14</v>
      </c>
      <c r="N153" s="13" t="n">
        <v>605.14</v>
      </c>
      <c r="O153" s="13" t="n">
        <v>605.14</v>
      </c>
      <c r="P153" s="13" t="n">
        <v>605.14</v>
      </c>
      <c r="Q153" s="13" t="n">
        <v>605.14</v>
      </c>
      <c r="R153" s="13" t="n">
        <v>605.14</v>
      </c>
      <c r="S153" s="13" t="n">
        <v>605.14</v>
      </c>
      <c r="T153" s="13" t="n">
        <v>605.14</v>
      </c>
      <c r="U153" s="13" t="n">
        <v>350</v>
      </c>
      <c r="V153" s="13" t="n">
        <v>0</v>
      </c>
      <c r="W153" s="13" t="n">
        <f aca="false">U153+V153</f>
        <v>350</v>
      </c>
    </row>
    <row r="154" customFormat="false" ht="15" hidden="false" customHeight="false" outlineLevel="0" collapsed="false">
      <c r="A154" s="14" t="s">
        <v>2295</v>
      </c>
      <c r="B154" s="14" t="s">
        <v>2134</v>
      </c>
      <c r="C154" s="14" t="s">
        <v>2296</v>
      </c>
      <c r="D154" s="14" t="s">
        <v>153</v>
      </c>
      <c r="E154" s="15" t="n">
        <v>1605000</v>
      </c>
      <c r="F154" s="15" t="n">
        <v>21858.64</v>
      </c>
      <c r="G154" s="15" t="n">
        <v>2732.33</v>
      </c>
      <c r="H154" s="15" t="n">
        <v>2732.33</v>
      </c>
      <c r="I154" s="15" t="n">
        <f aca="false">SUM(K154:T154)</f>
        <v>16394</v>
      </c>
      <c r="J154" s="15" t="n">
        <f aca="false">F154-(G154+H154+I154)</f>
        <v>-0.0200000000004366</v>
      </c>
      <c r="K154" s="15" t="n">
        <v>1639.4</v>
      </c>
      <c r="L154" s="15" t="n">
        <v>1639.4</v>
      </c>
      <c r="M154" s="15" t="n">
        <v>1639.4</v>
      </c>
      <c r="N154" s="15" t="n">
        <v>1639.4</v>
      </c>
      <c r="O154" s="15" t="n">
        <v>1639.4</v>
      </c>
      <c r="P154" s="15" t="n">
        <v>1639.4</v>
      </c>
      <c r="Q154" s="15" t="n">
        <v>1639.4</v>
      </c>
      <c r="R154" s="15" t="n">
        <v>1639.4</v>
      </c>
      <c r="S154" s="15" t="n">
        <v>1639.4</v>
      </c>
      <c r="T154" s="15" t="n">
        <v>1639.4</v>
      </c>
      <c r="U154" s="15" t="n">
        <v>350</v>
      </c>
      <c r="V154" s="15" t="n">
        <v>250</v>
      </c>
      <c r="W154" s="15" t="n">
        <f aca="false">U154+V154</f>
        <v>600</v>
      </c>
    </row>
    <row r="155" customFormat="false" ht="15" hidden="false" customHeight="false" outlineLevel="0" collapsed="false">
      <c r="A155" s="3" t="s">
        <v>2297</v>
      </c>
      <c r="B155" s="3" t="s">
        <v>2111</v>
      </c>
      <c r="C155" s="3" t="s">
        <v>410</v>
      </c>
      <c r="D155" s="3" t="s">
        <v>77</v>
      </c>
      <c r="E155" s="13" t="n">
        <v>475000</v>
      </c>
      <c r="F155" s="13" t="n">
        <v>11082.79</v>
      </c>
      <c r="G155" s="13" t="n">
        <v>1385.35</v>
      </c>
      <c r="H155" s="13" t="n">
        <v>1385.35</v>
      </c>
      <c r="I155" s="13" t="n">
        <f aca="false">SUM(K155:T155)</f>
        <v>8312.1</v>
      </c>
      <c r="J155" s="13" t="n">
        <f aca="false">F155-(G155+H155+I155)</f>
        <v>-0.00999999999839929</v>
      </c>
      <c r="K155" s="13" t="n">
        <v>831.21</v>
      </c>
      <c r="L155" s="13" t="n">
        <v>831.21</v>
      </c>
      <c r="M155" s="13" t="n">
        <v>831.21</v>
      </c>
      <c r="N155" s="13" t="n">
        <v>831.21</v>
      </c>
      <c r="O155" s="13" t="n">
        <v>831.21</v>
      </c>
      <c r="P155" s="13" t="n">
        <v>831.21</v>
      </c>
      <c r="Q155" s="13" t="n">
        <v>831.21</v>
      </c>
      <c r="R155" s="13" t="n">
        <v>831.21</v>
      </c>
      <c r="S155" s="13" t="n">
        <v>831.21</v>
      </c>
      <c r="T155" s="13" t="n">
        <v>831.21</v>
      </c>
      <c r="U155" s="13" t="n">
        <v>350</v>
      </c>
      <c r="V155" s="13" t="n">
        <v>0</v>
      </c>
      <c r="W155" s="13" t="n">
        <f aca="false">U155+V155</f>
        <v>350</v>
      </c>
    </row>
    <row r="156" customFormat="false" ht="15" hidden="false" customHeight="false" outlineLevel="0" collapsed="false">
      <c r="A156" s="14" t="s">
        <v>2298</v>
      </c>
      <c r="B156" s="14" t="s">
        <v>2299</v>
      </c>
      <c r="C156" s="14" t="s">
        <v>296</v>
      </c>
      <c r="D156" s="14" t="s">
        <v>77</v>
      </c>
      <c r="E156" s="15" t="n">
        <v>465000</v>
      </c>
      <c r="F156" s="15" t="n">
        <v>7075.74</v>
      </c>
      <c r="G156" s="15" t="n">
        <v>884.47</v>
      </c>
      <c r="H156" s="15" t="n">
        <v>884.47</v>
      </c>
      <c r="I156" s="15" t="n">
        <f aca="false">SUM(K156:T156)</f>
        <v>5306.8</v>
      </c>
      <c r="J156" s="15" t="n">
        <f aca="false">F156-(G156+H156+I156)</f>
        <v>0</v>
      </c>
      <c r="K156" s="15" t="n">
        <v>530.68</v>
      </c>
      <c r="L156" s="15" t="n">
        <v>530.68</v>
      </c>
      <c r="M156" s="15" t="n">
        <v>530.68</v>
      </c>
      <c r="N156" s="15" t="n">
        <v>530.68</v>
      </c>
      <c r="O156" s="15" t="n">
        <v>530.68</v>
      </c>
      <c r="P156" s="15" t="n">
        <v>530.68</v>
      </c>
      <c r="Q156" s="15" t="n">
        <v>530.68</v>
      </c>
      <c r="R156" s="15" t="n">
        <v>530.68</v>
      </c>
      <c r="S156" s="15" t="n">
        <v>530.68</v>
      </c>
      <c r="T156" s="15" t="n">
        <v>530.68</v>
      </c>
      <c r="U156" s="15" t="n">
        <v>350</v>
      </c>
      <c r="V156" s="15" t="n">
        <v>0</v>
      </c>
      <c r="W156" s="15" t="n">
        <f aca="false">U156+V156</f>
        <v>350</v>
      </c>
    </row>
    <row r="157" customFormat="false" ht="15" hidden="false" customHeight="false" outlineLevel="0" collapsed="false">
      <c r="A157" s="3" t="s">
        <v>2300</v>
      </c>
      <c r="B157" s="3" t="s">
        <v>2150</v>
      </c>
      <c r="C157" s="3" t="s">
        <v>1960</v>
      </c>
      <c r="D157" s="3" t="s">
        <v>197</v>
      </c>
      <c r="E157" s="13" t="n">
        <v>365000</v>
      </c>
      <c r="F157" s="13" t="n">
        <v>3050.8</v>
      </c>
      <c r="G157" s="13" t="n">
        <v>381.35</v>
      </c>
      <c r="H157" s="13" t="n">
        <v>381.35</v>
      </c>
      <c r="I157" s="13" t="n">
        <f aca="false">SUM(K157:T157)</f>
        <v>2288.1</v>
      </c>
      <c r="J157" s="13" t="n">
        <f aca="false">F157-(G157+H157+I157)</f>
        <v>0</v>
      </c>
      <c r="K157" s="13" t="n">
        <v>228.81</v>
      </c>
      <c r="L157" s="13" t="n">
        <v>228.81</v>
      </c>
      <c r="M157" s="13" t="n">
        <v>228.81</v>
      </c>
      <c r="N157" s="13" t="n">
        <v>228.81</v>
      </c>
      <c r="O157" s="13" t="n">
        <v>228.81</v>
      </c>
      <c r="P157" s="13" t="n">
        <v>228.81</v>
      </c>
      <c r="Q157" s="13" t="n">
        <v>228.81</v>
      </c>
      <c r="R157" s="13" t="n">
        <v>228.81</v>
      </c>
      <c r="S157" s="13" t="n">
        <v>228.81</v>
      </c>
      <c r="T157" s="13" t="n">
        <v>228.81</v>
      </c>
      <c r="U157" s="13" t="n">
        <v>350</v>
      </c>
      <c r="V157" s="13" t="n">
        <v>0</v>
      </c>
      <c r="W157" s="13" t="n">
        <f aca="false">U157+V157</f>
        <v>350</v>
      </c>
    </row>
    <row r="158" customFormat="false" ht="15" hidden="false" customHeight="false" outlineLevel="0" collapsed="false">
      <c r="A158" s="14" t="s">
        <v>2301</v>
      </c>
      <c r="B158" s="14" t="s">
        <v>2159</v>
      </c>
      <c r="C158" s="14" t="s">
        <v>597</v>
      </c>
      <c r="D158" s="14" t="s">
        <v>132</v>
      </c>
      <c r="E158" s="15" t="n">
        <v>1440000</v>
      </c>
      <c r="F158" s="15" t="n">
        <v>18403.74</v>
      </c>
      <c r="G158" s="15" t="n">
        <v>2300.47</v>
      </c>
      <c r="H158" s="15" t="n">
        <v>2300.47</v>
      </c>
      <c r="I158" s="15" t="n">
        <f aca="false">SUM(K158:T158)</f>
        <v>13802.8</v>
      </c>
      <c r="J158" s="15" t="n">
        <f aca="false">F158-(G158+H158+I158)</f>
        <v>0</v>
      </c>
      <c r="K158" s="15" t="n">
        <v>1380.28</v>
      </c>
      <c r="L158" s="15" t="n">
        <v>1380.28</v>
      </c>
      <c r="M158" s="15" t="n">
        <v>1380.28</v>
      </c>
      <c r="N158" s="15" t="n">
        <v>1380.28</v>
      </c>
      <c r="O158" s="15" t="n">
        <v>1380.28</v>
      </c>
      <c r="P158" s="15" t="n">
        <v>1380.28</v>
      </c>
      <c r="Q158" s="15" t="n">
        <v>1380.28</v>
      </c>
      <c r="R158" s="15" t="n">
        <v>1380.28</v>
      </c>
      <c r="S158" s="15" t="n">
        <v>1380.28</v>
      </c>
      <c r="T158" s="15" t="n">
        <v>1380.28</v>
      </c>
      <c r="U158" s="15" t="n">
        <v>350</v>
      </c>
      <c r="V158" s="15" t="n">
        <v>250</v>
      </c>
      <c r="W158" s="15" t="n">
        <f aca="false">U158+V158</f>
        <v>600</v>
      </c>
    </row>
    <row r="159" customFormat="false" ht="15" hidden="false" customHeight="false" outlineLevel="0" collapsed="false">
      <c r="A159" s="3" t="s">
        <v>2302</v>
      </c>
      <c r="B159" s="3" t="s">
        <v>2111</v>
      </c>
      <c r="C159" s="3" t="s">
        <v>1327</v>
      </c>
      <c r="D159" s="3" t="s">
        <v>222</v>
      </c>
      <c r="E159" s="13" t="n">
        <v>765000</v>
      </c>
      <c r="F159" s="13" t="n">
        <v>8738.18</v>
      </c>
      <c r="G159" s="13" t="n">
        <v>1092.27</v>
      </c>
      <c r="H159" s="13" t="n">
        <v>1092.27</v>
      </c>
      <c r="I159" s="13" t="n">
        <f aca="false">SUM(K159:T159)</f>
        <v>6553.6</v>
      </c>
      <c r="J159" s="13" t="n">
        <f aca="false">F159-(G159+H159+I159)</f>
        <v>0.0400000000008731</v>
      </c>
      <c r="K159" s="13" t="n">
        <v>655.36</v>
      </c>
      <c r="L159" s="13" t="n">
        <v>655.36</v>
      </c>
      <c r="M159" s="13" t="n">
        <v>655.36</v>
      </c>
      <c r="N159" s="13" t="n">
        <v>655.36</v>
      </c>
      <c r="O159" s="13" t="n">
        <v>655.36</v>
      </c>
      <c r="P159" s="13" t="n">
        <v>655.36</v>
      </c>
      <c r="Q159" s="13" t="n">
        <v>655.36</v>
      </c>
      <c r="R159" s="13" t="n">
        <v>655.36</v>
      </c>
      <c r="S159" s="13" t="n">
        <v>655.36</v>
      </c>
      <c r="T159" s="13" t="n">
        <v>655.36</v>
      </c>
      <c r="U159" s="13" t="n">
        <v>350</v>
      </c>
      <c r="V159" s="13" t="n">
        <v>0</v>
      </c>
      <c r="W159" s="13" t="n">
        <f aca="false">U159+V159</f>
        <v>350</v>
      </c>
    </row>
    <row r="160" customFormat="false" ht="15" hidden="false" customHeight="false" outlineLevel="0" collapsed="false">
      <c r="A160" s="14" t="s">
        <v>2303</v>
      </c>
      <c r="B160" s="14" t="s">
        <v>2127</v>
      </c>
      <c r="C160" s="14" t="s">
        <v>1638</v>
      </c>
      <c r="D160" s="14" t="s">
        <v>325</v>
      </c>
      <c r="E160" s="15" t="n">
        <v>300000</v>
      </c>
      <c r="F160" s="15" t="n">
        <v>4960.38</v>
      </c>
      <c r="G160" s="15" t="n">
        <v>620.05</v>
      </c>
      <c r="H160" s="15" t="n">
        <v>620.05</v>
      </c>
      <c r="I160" s="15" t="n">
        <f aca="false">SUM(K160:T160)</f>
        <v>3720.3</v>
      </c>
      <c r="J160" s="15" t="n">
        <f aca="false">F160-(G160+H160+I160)</f>
        <v>-0.0199999999995271</v>
      </c>
      <c r="K160" s="15" t="n">
        <v>372.03</v>
      </c>
      <c r="L160" s="15" t="n">
        <v>372.03</v>
      </c>
      <c r="M160" s="15" t="n">
        <v>372.03</v>
      </c>
      <c r="N160" s="15" t="n">
        <v>372.03</v>
      </c>
      <c r="O160" s="15" t="n">
        <v>372.03</v>
      </c>
      <c r="P160" s="15" t="n">
        <v>372.03</v>
      </c>
      <c r="Q160" s="15" t="n">
        <v>372.03</v>
      </c>
      <c r="R160" s="15" t="n">
        <v>372.03</v>
      </c>
      <c r="S160" s="15" t="n">
        <v>372.03</v>
      </c>
      <c r="T160" s="15" t="n">
        <v>372.03</v>
      </c>
      <c r="U160" s="15" t="n">
        <v>350</v>
      </c>
      <c r="V160" s="15" t="n">
        <v>0</v>
      </c>
      <c r="W160" s="15" t="n">
        <f aca="false">U160+V160</f>
        <v>350</v>
      </c>
    </row>
    <row r="161" customFormat="false" ht="15" hidden="false" customHeight="false" outlineLevel="0" collapsed="false">
      <c r="A161" s="3" t="s">
        <v>2304</v>
      </c>
      <c r="B161" s="3" t="s">
        <v>2205</v>
      </c>
      <c r="C161" s="3" t="s">
        <v>2059</v>
      </c>
      <c r="D161" s="3" t="s">
        <v>448</v>
      </c>
      <c r="E161" s="13" t="n">
        <v>1400000</v>
      </c>
      <c r="F161" s="13" t="n">
        <v>13039.18</v>
      </c>
      <c r="G161" s="13" t="n">
        <v>1629.9</v>
      </c>
      <c r="H161" s="13" t="n">
        <v>1629.9</v>
      </c>
      <c r="I161" s="13" t="n">
        <f aca="false">SUM(K161:T161)</f>
        <v>9779.4</v>
      </c>
      <c r="J161" s="13" t="n">
        <f aca="false">F161-(G161+H161+I161)</f>
        <v>-0.0200000000004366</v>
      </c>
      <c r="K161" s="13" t="n">
        <v>977.94</v>
      </c>
      <c r="L161" s="13" t="n">
        <v>977.94</v>
      </c>
      <c r="M161" s="13" t="n">
        <v>977.94</v>
      </c>
      <c r="N161" s="13" t="n">
        <v>977.94</v>
      </c>
      <c r="O161" s="13" t="n">
        <v>977.94</v>
      </c>
      <c r="P161" s="13" t="n">
        <v>977.94</v>
      </c>
      <c r="Q161" s="13" t="n">
        <v>977.94</v>
      </c>
      <c r="R161" s="13" t="n">
        <v>977.94</v>
      </c>
      <c r="S161" s="13" t="n">
        <v>977.94</v>
      </c>
      <c r="T161" s="13" t="n">
        <v>977.94</v>
      </c>
      <c r="U161" s="13" t="n">
        <v>350</v>
      </c>
      <c r="V161" s="13" t="n">
        <v>250</v>
      </c>
      <c r="W161" s="13" t="n">
        <f aca="false">U161+V161</f>
        <v>600</v>
      </c>
    </row>
    <row r="162" customFormat="false" ht="15" hidden="false" customHeight="false" outlineLevel="0" collapsed="false">
      <c r="A162" s="14" t="s">
        <v>2305</v>
      </c>
      <c r="B162" s="14" t="s">
        <v>2179</v>
      </c>
      <c r="C162" s="14" t="s">
        <v>628</v>
      </c>
      <c r="D162" s="14" t="s">
        <v>180</v>
      </c>
      <c r="E162" s="15" t="n">
        <v>125000</v>
      </c>
      <c r="F162" s="15" t="n">
        <v>2537.1</v>
      </c>
      <c r="G162" s="15" t="n">
        <v>317.14</v>
      </c>
      <c r="H162" s="15" t="n">
        <v>317.14</v>
      </c>
      <c r="I162" s="15" t="n">
        <f aca="false">SUM(K162:T162)</f>
        <v>1902.8</v>
      </c>
      <c r="J162" s="15" t="n">
        <f aca="false">F162-(G162+H162+I162)</f>
        <v>0.0199999999999818</v>
      </c>
      <c r="K162" s="15" t="n">
        <v>190.28</v>
      </c>
      <c r="L162" s="15" t="n">
        <v>190.28</v>
      </c>
      <c r="M162" s="15" t="n">
        <v>190.28</v>
      </c>
      <c r="N162" s="15" t="n">
        <v>190.28</v>
      </c>
      <c r="O162" s="15" t="n">
        <v>190.28</v>
      </c>
      <c r="P162" s="15" t="n">
        <v>190.28</v>
      </c>
      <c r="Q162" s="15" t="n">
        <v>190.28</v>
      </c>
      <c r="R162" s="15" t="n">
        <v>190.28</v>
      </c>
      <c r="S162" s="15" t="n">
        <v>190.28</v>
      </c>
      <c r="T162" s="15" t="n">
        <v>190.28</v>
      </c>
      <c r="U162" s="15" t="n">
        <v>350</v>
      </c>
      <c r="V162" s="15" t="n">
        <v>0</v>
      </c>
      <c r="W162" s="15" t="n">
        <f aca="false">U162+V162</f>
        <v>350</v>
      </c>
    </row>
    <row r="163" customFormat="false" ht="15" hidden="false" customHeight="false" outlineLevel="0" collapsed="false">
      <c r="A163" s="3" t="s">
        <v>2306</v>
      </c>
      <c r="B163" s="3" t="s">
        <v>2127</v>
      </c>
      <c r="C163" s="3" t="s">
        <v>434</v>
      </c>
      <c r="D163" s="3" t="s">
        <v>89</v>
      </c>
      <c r="E163" s="13" t="n">
        <v>895000</v>
      </c>
      <c r="F163" s="13" t="n">
        <v>18337.24</v>
      </c>
      <c r="G163" s="13" t="n">
        <v>2292.16</v>
      </c>
      <c r="H163" s="13" t="n">
        <v>2292.16</v>
      </c>
      <c r="I163" s="13" t="n">
        <f aca="false">SUM(K163:T163)</f>
        <v>13752.9</v>
      </c>
      <c r="J163" s="13" t="n">
        <f aca="false">F163-(G163+H163+I163)</f>
        <v>0.0200000000004366</v>
      </c>
      <c r="K163" s="13" t="n">
        <v>1375.29</v>
      </c>
      <c r="L163" s="13" t="n">
        <v>1375.29</v>
      </c>
      <c r="M163" s="13" t="n">
        <v>1375.29</v>
      </c>
      <c r="N163" s="13" t="n">
        <v>1375.29</v>
      </c>
      <c r="O163" s="13" t="n">
        <v>1375.29</v>
      </c>
      <c r="P163" s="13" t="n">
        <v>1375.29</v>
      </c>
      <c r="Q163" s="13" t="n">
        <v>1375.29</v>
      </c>
      <c r="R163" s="13" t="n">
        <v>1375.29</v>
      </c>
      <c r="S163" s="13" t="n">
        <v>1375.29</v>
      </c>
      <c r="T163" s="13" t="n">
        <v>1375.29</v>
      </c>
      <c r="U163" s="13" t="n">
        <v>350</v>
      </c>
      <c r="V163" s="13" t="n">
        <v>0</v>
      </c>
      <c r="W163" s="13" t="n">
        <f aca="false">U163+V163</f>
        <v>350</v>
      </c>
    </row>
    <row r="164" customFormat="false" ht="15" hidden="false" customHeight="false" outlineLevel="0" collapsed="false">
      <c r="A164" s="14" t="s">
        <v>2307</v>
      </c>
      <c r="B164" s="14" t="s">
        <v>2205</v>
      </c>
      <c r="C164" s="14" t="s">
        <v>543</v>
      </c>
      <c r="D164" s="14" t="s">
        <v>125</v>
      </c>
      <c r="E164" s="15" t="n">
        <v>660000</v>
      </c>
      <c r="F164" s="15" t="n">
        <v>6579.34</v>
      </c>
      <c r="G164" s="15" t="n">
        <v>822.42</v>
      </c>
      <c r="H164" s="15" t="n">
        <v>822.42</v>
      </c>
      <c r="I164" s="15" t="n">
        <f aca="false">SUM(K164:T164)</f>
        <v>4934.5</v>
      </c>
      <c r="J164" s="15" t="n">
        <f aca="false">F164-(G164+H164+I164)</f>
        <v>0</v>
      </c>
      <c r="K164" s="15" t="n">
        <v>493.45</v>
      </c>
      <c r="L164" s="15" t="n">
        <v>493.45</v>
      </c>
      <c r="M164" s="15" t="n">
        <v>493.45</v>
      </c>
      <c r="N164" s="15" t="n">
        <v>493.45</v>
      </c>
      <c r="O164" s="15" t="n">
        <v>493.45</v>
      </c>
      <c r="P164" s="15" t="n">
        <v>493.45</v>
      </c>
      <c r="Q164" s="15" t="n">
        <v>493.45</v>
      </c>
      <c r="R164" s="15" t="n">
        <v>493.45</v>
      </c>
      <c r="S164" s="15" t="n">
        <v>493.45</v>
      </c>
      <c r="T164" s="15" t="n">
        <v>493.45</v>
      </c>
      <c r="U164" s="15" t="n">
        <v>350</v>
      </c>
      <c r="V164" s="15" t="n">
        <v>0</v>
      </c>
      <c r="W164" s="15" t="n">
        <f aca="false">U164+V164</f>
        <v>350</v>
      </c>
    </row>
    <row r="165" customFormat="false" ht="15" hidden="false" customHeight="false" outlineLevel="0" collapsed="false">
      <c r="A165" s="3" t="s">
        <v>2308</v>
      </c>
      <c r="B165" s="3" t="s">
        <v>2136</v>
      </c>
      <c r="C165" s="3" t="s">
        <v>438</v>
      </c>
      <c r="D165" s="3" t="s">
        <v>93</v>
      </c>
      <c r="E165" s="13" t="n">
        <v>535000</v>
      </c>
      <c r="F165" s="13" t="n">
        <v>4704.2</v>
      </c>
      <c r="G165" s="13" t="n">
        <v>588.02</v>
      </c>
      <c r="H165" s="13" t="n">
        <v>588.02</v>
      </c>
      <c r="I165" s="13" t="n">
        <f aca="false">SUM(K165:T165)</f>
        <v>3528.1</v>
      </c>
      <c r="J165" s="13" t="n">
        <f aca="false">F165-(G165+H165+I165)</f>
        <v>0.0600000000004002</v>
      </c>
      <c r="K165" s="13" t="n">
        <v>352.81</v>
      </c>
      <c r="L165" s="13" t="n">
        <v>352.81</v>
      </c>
      <c r="M165" s="13" t="n">
        <v>352.81</v>
      </c>
      <c r="N165" s="13" t="n">
        <v>352.81</v>
      </c>
      <c r="O165" s="13" t="n">
        <v>352.81</v>
      </c>
      <c r="P165" s="13" t="n">
        <v>352.81</v>
      </c>
      <c r="Q165" s="13" t="n">
        <v>352.81</v>
      </c>
      <c r="R165" s="13" t="n">
        <v>352.81</v>
      </c>
      <c r="S165" s="13" t="n">
        <v>352.81</v>
      </c>
      <c r="T165" s="13" t="n">
        <v>352.81</v>
      </c>
      <c r="U165" s="13" t="n">
        <v>350</v>
      </c>
      <c r="V165" s="13" t="n">
        <v>0</v>
      </c>
      <c r="W165" s="13" t="n">
        <f aca="false">U165+V165</f>
        <v>350</v>
      </c>
    </row>
    <row r="166" customFormat="false" ht="15" hidden="false" customHeight="false" outlineLevel="0" collapsed="false">
      <c r="A166" s="14" t="s">
        <v>2309</v>
      </c>
      <c r="B166" s="14" t="s">
        <v>2179</v>
      </c>
      <c r="C166" s="14" t="s">
        <v>2250</v>
      </c>
      <c r="D166" s="14" t="s">
        <v>69</v>
      </c>
      <c r="E166" s="15" t="n">
        <v>1275000</v>
      </c>
      <c r="F166" s="15" t="n">
        <v>15806.13</v>
      </c>
      <c r="G166" s="15" t="n">
        <v>1975.77</v>
      </c>
      <c r="H166" s="15" t="n">
        <v>1975.77</v>
      </c>
      <c r="I166" s="15" t="n">
        <f aca="false">SUM(K166:T166)</f>
        <v>11854.6</v>
      </c>
      <c r="J166" s="15" t="n">
        <f aca="false">F166-(G166+H166+I166)</f>
        <v>-0.0100000000002183</v>
      </c>
      <c r="K166" s="15" t="n">
        <v>1185.46</v>
      </c>
      <c r="L166" s="15" t="n">
        <v>1185.46</v>
      </c>
      <c r="M166" s="15" t="n">
        <v>1185.46</v>
      </c>
      <c r="N166" s="15" t="n">
        <v>1185.46</v>
      </c>
      <c r="O166" s="15" t="n">
        <v>1185.46</v>
      </c>
      <c r="P166" s="15" t="n">
        <v>1185.46</v>
      </c>
      <c r="Q166" s="15" t="n">
        <v>1185.46</v>
      </c>
      <c r="R166" s="15" t="n">
        <v>1185.46</v>
      </c>
      <c r="S166" s="15" t="n">
        <v>1185.46</v>
      </c>
      <c r="T166" s="15" t="n">
        <v>1185.46</v>
      </c>
      <c r="U166" s="15" t="n">
        <v>350</v>
      </c>
      <c r="V166" s="15" t="n">
        <v>250</v>
      </c>
      <c r="W166" s="15" t="n">
        <f aca="false">U166+V166</f>
        <v>600</v>
      </c>
    </row>
    <row r="167" customFormat="false" ht="15" hidden="false" customHeight="false" outlineLevel="0" collapsed="false">
      <c r="A167" s="3" t="s">
        <v>2310</v>
      </c>
      <c r="B167" s="3" t="s">
        <v>2107</v>
      </c>
      <c r="C167" s="3" t="s">
        <v>272</v>
      </c>
      <c r="D167" s="3" t="s">
        <v>352</v>
      </c>
      <c r="E167" s="13" t="n">
        <v>1615000</v>
      </c>
      <c r="F167" s="13" t="n">
        <v>11078.69</v>
      </c>
      <c r="G167" s="13" t="n">
        <v>1384.84</v>
      </c>
      <c r="H167" s="13" t="n">
        <v>1384.84</v>
      </c>
      <c r="I167" s="13" t="n">
        <f aca="false">SUM(K167:T167)</f>
        <v>8309</v>
      </c>
      <c r="J167" s="13" t="n">
        <f aca="false">F167-(G167+H167+I167)</f>
        <v>0.0100000000002183</v>
      </c>
      <c r="K167" s="13" t="n">
        <v>830.9</v>
      </c>
      <c r="L167" s="13" t="n">
        <v>830.9</v>
      </c>
      <c r="M167" s="13" t="n">
        <v>830.9</v>
      </c>
      <c r="N167" s="13" t="n">
        <v>830.9</v>
      </c>
      <c r="O167" s="13" t="n">
        <v>830.9</v>
      </c>
      <c r="P167" s="13" t="n">
        <v>830.9</v>
      </c>
      <c r="Q167" s="13" t="n">
        <v>830.9</v>
      </c>
      <c r="R167" s="13" t="n">
        <v>830.9</v>
      </c>
      <c r="S167" s="13" t="n">
        <v>830.9</v>
      </c>
      <c r="T167" s="13" t="n">
        <v>830.9</v>
      </c>
      <c r="U167" s="13" t="n">
        <v>350</v>
      </c>
      <c r="V167" s="13" t="n">
        <v>250</v>
      </c>
      <c r="W167" s="13" t="n">
        <f aca="false">U167+V167</f>
        <v>600</v>
      </c>
    </row>
    <row r="168" customFormat="false" ht="15" hidden="false" customHeight="false" outlineLevel="0" collapsed="false">
      <c r="A168" s="14" t="s">
        <v>2311</v>
      </c>
      <c r="B168" s="14" t="s">
        <v>2136</v>
      </c>
      <c r="C168" s="14" t="s">
        <v>758</v>
      </c>
      <c r="D168" s="14" t="s">
        <v>138</v>
      </c>
      <c r="E168" s="15" t="n">
        <v>680000</v>
      </c>
      <c r="F168" s="15" t="n">
        <v>8120.34</v>
      </c>
      <c r="G168" s="15" t="n">
        <v>1015.04</v>
      </c>
      <c r="H168" s="15" t="n">
        <v>1015.04</v>
      </c>
      <c r="I168" s="15" t="n">
        <f aca="false">SUM(K168:T168)</f>
        <v>6090.3</v>
      </c>
      <c r="J168" s="15" t="n">
        <f aca="false">F168-(G168+H168+I168)</f>
        <v>-0.0399999999990541</v>
      </c>
      <c r="K168" s="15" t="n">
        <v>609.03</v>
      </c>
      <c r="L168" s="15" t="n">
        <v>609.03</v>
      </c>
      <c r="M168" s="15" t="n">
        <v>609.03</v>
      </c>
      <c r="N168" s="15" t="n">
        <v>609.03</v>
      </c>
      <c r="O168" s="15" t="n">
        <v>609.03</v>
      </c>
      <c r="P168" s="15" t="n">
        <v>609.03</v>
      </c>
      <c r="Q168" s="15" t="n">
        <v>609.03</v>
      </c>
      <c r="R168" s="15" t="n">
        <v>609.03</v>
      </c>
      <c r="S168" s="15" t="n">
        <v>609.03</v>
      </c>
      <c r="T168" s="15" t="n">
        <v>609.03</v>
      </c>
      <c r="U168" s="15" t="n">
        <v>350</v>
      </c>
      <c r="V168" s="15" t="n">
        <v>0</v>
      </c>
      <c r="W168" s="15" t="n">
        <f aca="false">U168+V168</f>
        <v>350</v>
      </c>
    </row>
    <row r="169" customFormat="false" ht="15" hidden="false" customHeight="false" outlineLevel="0" collapsed="false">
      <c r="A169" s="3" t="s">
        <v>2312</v>
      </c>
      <c r="B169" s="3" t="s">
        <v>2132</v>
      </c>
      <c r="C169" s="3" t="s">
        <v>2313</v>
      </c>
      <c r="D169" s="3" t="s">
        <v>230</v>
      </c>
      <c r="E169" s="13" t="n">
        <v>560000</v>
      </c>
      <c r="F169" s="13" t="n">
        <v>6919.94</v>
      </c>
      <c r="G169" s="13" t="n">
        <v>864.99</v>
      </c>
      <c r="H169" s="13" t="n">
        <v>864.99</v>
      </c>
      <c r="I169" s="13" t="n">
        <f aca="false">SUM(K169:T169)</f>
        <v>5190</v>
      </c>
      <c r="J169" s="13" t="n">
        <f aca="false">F169-(G169+H169+I169)</f>
        <v>-0.0399999999999636</v>
      </c>
      <c r="K169" s="13" t="n">
        <v>519</v>
      </c>
      <c r="L169" s="13" t="n">
        <v>519</v>
      </c>
      <c r="M169" s="13" t="n">
        <v>519</v>
      </c>
      <c r="N169" s="13" t="n">
        <v>519</v>
      </c>
      <c r="O169" s="13" t="n">
        <v>519</v>
      </c>
      <c r="P169" s="13" t="n">
        <v>519</v>
      </c>
      <c r="Q169" s="13" t="n">
        <v>519</v>
      </c>
      <c r="R169" s="13" t="n">
        <v>519</v>
      </c>
      <c r="S169" s="13" t="n">
        <v>519</v>
      </c>
      <c r="T169" s="13" t="n">
        <v>519</v>
      </c>
      <c r="U169" s="13" t="n">
        <v>350</v>
      </c>
      <c r="V169" s="13" t="n">
        <v>0</v>
      </c>
      <c r="W169" s="13" t="n">
        <f aca="false">U169+V169</f>
        <v>350</v>
      </c>
    </row>
    <row r="170" customFormat="false" ht="15" hidden="false" customHeight="false" outlineLevel="0" collapsed="false">
      <c r="A170" s="14" t="s">
        <v>2314</v>
      </c>
      <c r="B170" s="14" t="s">
        <v>2120</v>
      </c>
      <c r="C170" s="14" t="s">
        <v>1271</v>
      </c>
      <c r="D170" s="14" t="s">
        <v>121</v>
      </c>
      <c r="E170" s="15" t="n">
        <v>985000</v>
      </c>
      <c r="F170" s="15" t="n">
        <v>12478.52</v>
      </c>
      <c r="G170" s="15" t="n">
        <v>1559.82</v>
      </c>
      <c r="H170" s="15" t="n">
        <v>1559.82</v>
      </c>
      <c r="I170" s="15" t="n">
        <f aca="false">SUM(K170:T170)</f>
        <v>9358.9</v>
      </c>
      <c r="J170" s="15" t="n">
        <f aca="false">F170-(G170+H170+I170)</f>
        <v>-0.0199999999986176</v>
      </c>
      <c r="K170" s="15" t="n">
        <v>935.89</v>
      </c>
      <c r="L170" s="15" t="n">
        <v>935.89</v>
      </c>
      <c r="M170" s="15" t="n">
        <v>935.89</v>
      </c>
      <c r="N170" s="15" t="n">
        <v>935.89</v>
      </c>
      <c r="O170" s="15" t="n">
        <v>935.89</v>
      </c>
      <c r="P170" s="15" t="n">
        <v>935.89</v>
      </c>
      <c r="Q170" s="15" t="n">
        <v>935.89</v>
      </c>
      <c r="R170" s="15" t="n">
        <v>935.89</v>
      </c>
      <c r="S170" s="15" t="n">
        <v>935.89</v>
      </c>
      <c r="T170" s="15" t="n">
        <v>935.89</v>
      </c>
      <c r="U170" s="15" t="n">
        <v>350</v>
      </c>
      <c r="V170" s="15" t="n">
        <v>0</v>
      </c>
      <c r="W170" s="15" t="n">
        <f aca="false">U170+V170</f>
        <v>350</v>
      </c>
    </row>
    <row r="171" customFormat="false" ht="15" hidden="false" customHeight="false" outlineLevel="0" collapsed="false">
      <c r="A171" s="3" t="s">
        <v>2315</v>
      </c>
      <c r="B171" s="3" t="s">
        <v>2156</v>
      </c>
      <c r="C171" s="3" t="s">
        <v>582</v>
      </c>
      <c r="D171" s="3" t="s">
        <v>189</v>
      </c>
      <c r="E171" s="13" t="n">
        <v>885000</v>
      </c>
      <c r="F171" s="13" t="n">
        <v>14774.52</v>
      </c>
      <c r="G171" s="13" t="n">
        <v>1846.82</v>
      </c>
      <c r="H171" s="13" t="n">
        <v>1846.82</v>
      </c>
      <c r="I171" s="13" t="n">
        <f aca="false">SUM(K171:T171)</f>
        <v>11080.9</v>
      </c>
      <c r="J171" s="13" t="n">
        <f aca="false">F171-(G171+H171+I171)</f>
        <v>-0.0199999999986176</v>
      </c>
      <c r="K171" s="13" t="n">
        <v>1108.09</v>
      </c>
      <c r="L171" s="13" t="n">
        <v>1108.09</v>
      </c>
      <c r="M171" s="13" t="n">
        <v>1108.09</v>
      </c>
      <c r="N171" s="13" t="n">
        <v>1108.09</v>
      </c>
      <c r="O171" s="13" t="n">
        <v>1108.09</v>
      </c>
      <c r="P171" s="13" t="n">
        <v>1108.09</v>
      </c>
      <c r="Q171" s="13" t="n">
        <v>1108.09</v>
      </c>
      <c r="R171" s="13" t="n">
        <v>1108.09</v>
      </c>
      <c r="S171" s="13" t="n">
        <v>1108.09</v>
      </c>
      <c r="T171" s="13" t="n">
        <v>1108.09</v>
      </c>
      <c r="U171" s="13" t="n">
        <v>350</v>
      </c>
      <c r="V171" s="13" t="n">
        <v>0</v>
      </c>
      <c r="W171" s="13" t="n">
        <f aca="false">U171+V171</f>
        <v>350</v>
      </c>
    </row>
    <row r="172" customFormat="false" ht="15" hidden="false" customHeight="false" outlineLevel="0" collapsed="false">
      <c r="A172" s="14" t="s">
        <v>2316</v>
      </c>
      <c r="B172" s="14" t="s">
        <v>2101</v>
      </c>
      <c r="C172" s="14" t="s">
        <v>421</v>
      </c>
      <c r="D172" s="14" t="s">
        <v>85</v>
      </c>
      <c r="E172" s="15" t="n">
        <v>395000</v>
      </c>
      <c r="F172" s="15" t="n">
        <v>6578.5</v>
      </c>
      <c r="G172" s="15" t="n">
        <v>822.31</v>
      </c>
      <c r="H172" s="15" t="n">
        <v>822.31</v>
      </c>
      <c r="I172" s="15" t="n">
        <f aca="false">SUM(K172:T172)</f>
        <v>4933.9</v>
      </c>
      <c r="J172" s="15" t="n">
        <f aca="false">F172-(G172+H172+I172)</f>
        <v>-0.0200000000004366</v>
      </c>
      <c r="K172" s="15" t="n">
        <v>493.39</v>
      </c>
      <c r="L172" s="15" t="n">
        <v>493.39</v>
      </c>
      <c r="M172" s="15" t="n">
        <v>493.39</v>
      </c>
      <c r="N172" s="15" t="n">
        <v>493.39</v>
      </c>
      <c r="O172" s="15" t="n">
        <v>493.39</v>
      </c>
      <c r="P172" s="15" t="n">
        <v>493.39</v>
      </c>
      <c r="Q172" s="15" t="n">
        <v>493.39</v>
      </c>
      <c r="R172" s="15" t="n">
        <v>493.39</v>
      </c>
      <c r="S172" s="15" t="n">
        <v>493.39</v>
      </c>
      <c r="T172" s="15" t="n">
        <v>493.39</v>
      </c>
      <c r="U172" s="15" t="n">
        <v>350</v>
      </c>
      <c r="V172" s="15" t="n">
        <v>0</v>
      </c>
      <c r="W172" s="15" t="n">
        <f aca="false">U172+V172</f>
        <v>350</v>
      </c>
    </row>
    <row r="173" customFormat="false" ht="15" hidden="false" customHeight="false" outlineLevel="0" collapsed="false">
      <c r="A173" s="3" t="s">
        <v>2317</v>
      </c>
      <c r="B173" s="3" t="s">
        <v>2104</v>
      </c>
      <c r="C173" s="3" t="s">
        <v>1088</v>
      </c>
      <c r="D173" s="3" t="s">
        <v>180</v>
      </c>
      <c r="E173" s="13" t="n">
        <v>715000</v>
      </c>
      <c r="F173" s="13" t="n">
        <v>8983.77</v>
      </c>
      <c r="G173" s="13" t="n">
        <v>1122.97</v>
      </c>
      <c r="H173" s="13" t="n">
        <v>1122.97</v>
      </c>
      <c r="I173" s="13" t="n">
        <f aca="false">SUM(K173:T173)</f>
        <v>6737.8</v>
      </c>
      <c r="J173" s="13" t="n">
        <f aca="false">F173-(G173+H173+I173)</f>
        <v>0.0300000000006548</v>
      </c>
      <c r="K173" s="13" t="n">
        <v>673.78</v>
      </c>
      <c r="L173" s="13" t="n">
        <v>673.78</v>
      </c>
      <c r="M173" s="13" t="n">
        <v>673.78</v>
      </c>
      <c r="N173" s="13" t="n">
        <v>673.78</v>
      </c>
      <c r="O173" s="13" t="n">
        <v>673.78</v>
      </c>
      <c r="P173" s="13" t="n">
        <v>673.78</v>
      </c>
      <c r="Q173" s="13" t="n">
        <v>673.78</v>
      </c>
      <c r="R173" s="13" t="n">
        <v>673.78</v>
      </c>
      <c r="S173" s="13" t="n">
        <v>673.78</v>
      </c>
      <c r="T173" s="13" t="n">
        <v>673.78</v>
      </c>
      <c r="U173" s="13" t="n">
        <v>350</v>
      </c>
      <c r="V173" s="13" t="n">
        <v>0</v>
      </c>
      <c r="W173" s="13" t="n">
        <f aca="false">U173+V173</f>
        <v>350</v>
      </c>
    </row>
    <row r="174" customFormat="false" ht="15" hidden="false" customHeight="false" outlineLevel="0" collapsed="false">
      <c r="A174" s="14" t="s">
        <v>2318</v>
      </c>
      <c r="B174" s="14" t="s">
        <v>2164</v>
      </c>
      <c r="C174" s="14" t="s">
        <v>590</v>
      </c>
      <c r="D174" s="14" t="s">
        <v>93</v>
      </c>
      <c r="E174" s="15" t="n">
        <v>285000</v>
      </c>
      <c r="F174" s="15" t="n">
        <v>4370.89</v>
      </c>
      <c r="G174" s="15" t="n">
        <v>546.36</v>
      </c>
      <c r="H174" s="15" t="n">
        <v>546.36</v>
      </c>
      <c r="I174" s="15" t="n">
        <f aca="false">SUM(K174:T174)</f>
        <v>3278.2</v>
      </c>
      <c r="J174" s="15" t="n">
        <f aca="false">F174-(G174+H174+I174)</f>
        <v>-0.0299999999997453</v>
      </c>
      <c r="K174" s="15" t="n">
        <v>327.82</v>
      </c>
      <c r="L174" s="15" t="n">
        <v>327.82</v>
      </c>
      <c r="M174" s="15" t="n">
        <v>327.82</v>
      </c>
      <c r="N174" s="15" t="n">
        <v>327.82</v>
      </c>
      <c r="O174" s="15" t="n">
        <v>327.82</v>
      </c>
      <c r="P174" s="15" t="n">
        <v>327.82</v>
      </c>
      <c r="Q174" s="15" t="n">
        <v>327.82</v>
      </c>
      <c r="R174" s="15" t="n">
        <v>327.82</v>
      </c>
      <c r="S174" s="15" t="n">
        <v>327.82</v>
      </c>
      <c r="T174" s="15" t="n">
        <v>327.82</v>
      </c>
      <c r="U174" s="15" t="n">
        <v>350</v>
      </c>
      <c r="V174" s="15" t="n">
        <v>0</v>
      </c>
      <c r="W174" s="15" t="n">
        <f aca="false">U174+V174</f>
        <v>350</v>
      </c>
    </row>
    <row r="175" customFormat="false" ht="15" hidden="false" customHeight="false" outlineLevel="0" collapsed="false">
      <c r="A175" s="3" t="s">
        <v>2319</v>
      </c>
      <c r="B175" s="3" t="s">
        <v>2129</v>
      </c>
      <c r="C175" s="3" t="s">
        <v>854</v>
      </c>
      <c r="D175" s="3" t="s">
        <v>138</v>
      </c>
      <c r="E175" s="13" t="n">
        <v>1020000</v>
      </c>
      <c r="F175" s="13" t="n">
        <v>10306.57</v>
      </c>
      <c r="G175" s="13" t="n">
        <v>1288.32</v>
      </c>
      <c r="H175" s="13" t="n">
        <v>1288.32</v>
      </c>
      <c r="I175" s="13" t="n">
        <f aca="false">SUM(K175:T175)</f>
        <v>7729.9</v>
      </c>
      <c r="J175" s="13" t="n">
        <f aca="false">F175-(G175+H175+I175)</f>
        <v>0.0300000000006548</v>
      </c>
      <c r="K175" s="13" t="n">
        <v>772.99</v>
      </c>
      <c r="L175" s="13" t="n">
        <v>772.99</v>
      </c>
      <c r="M175" s="13" t="n">
        <v>772.99</v>
      </c>
      <c r="N175" s="13" t="n">
        <v>772.99</v>
      </c>
      <c r="O175" s="13" t="n">
        <v>772.99</v>
      </c>
      <c r="P175" s="13" t="n">
        <v>772.99</v>
      </c>
      <c r="Q175" s="13" t="n">
        <v>772.99</v>
      </c>
      <c r="R175" s="13" t="n">
        <v>772.99</v>
      </c>
      <c r="S175" s="13" t="n">
        <v>772.99</v>
      </c>
      <c r="T175" s="13" t="n">
        <v>772.99</v>
      </c>
      <c r="U175" s="13" t="n">
        <v>350</v>
      </c>
      <c r="V175" s="13" t="n">
        <v>250</v>
      </c>
      <c r="W175" s="13" t="n">
        <f aca="false">U175+V175</f>
        <v>600</v>
      </c>
    </row>
    <row r="176" customFormat="false" ht="15" hidden="false" customHeight="false" outlineLevel="0" collapsed="false">
      <c r="A176" s="14" t="s">
        <v>2320</v>
      </c>
      <c r="B176" s="14" t="s">
        <v>2179</v>
      </c>
      <c r="C176" s="14" t="s">
        <v>285</v>
      </c>
      <c r="D176" s="14" t="s">
        <v>430</v>
      </c>
      <c r="E176" s="15" t="n">
        <v>735000</v>
      </c>
      <c r="F176" s="15" t="n">
        <v>9067.15</v>
      </c>
      <c r="G176" s="15" t="n">
        <v>1133.39</v>
      </c>
      <c r="H176" s="15" t="n">
        <v>1133.39</v>
      </c>
      <c r="I176" s="15" t="n">
        <f aca="false">SUM(K176:T176)</f>
        <v>6800.4</v>
      </c>
      <c r="J176" s="15" t="n">
        <f aca="false">F176-(G176+H176+I176)</f>
        <v>-0.0300000000006548</v>
      </c>
      <c r="K176" s="15" t="n">
        <v>680.04</v>
      </c>
      <c r="L176" s="15" t="n">
        <v>680.04</v>
      </c>
      <c r="M176" s="15" t="n">
        <v>680.04</v>
      </c>
      <c r="N176" s="15" t="n">
        <v>680.04</v>
      </c>
      <c r="O176" s="15" t="n">
        <v>680.04</v>
      </c>
      <c r="P176" s="15" t="n">
        <v>680.04</v>
      </c>
      <c r="Q176" s="15" t="n">
        <v>680.04</v>
      </c>
      <c r="R176" s="15" t="n">
        <v>680.04</v>
      </c>
      <c r="S176" s="15" t="n">
        <v>680.04</v>
      </c>
      <c r="T176" s="15" t="n">
        <v>680.04</v>
      </c>
      <c r="U176" s="15" t="n">
        <v>350</v>
      </c>
      <c r="V176" s="15" t="n">
        <v>0</v>
      </c>
      <c r="W176" s="15" t="n">
        <f aca="false">U176+V176</f>
        <v>350</v>
      </c>
    </row>
    <row r="177" customFormat="false" ht="15" hidden="false" customHeight="false" outlineLevel="0" collapsed="false">
      <c r="A177" s="3" t="s">
        <v>2321</v>
      </c>
      <c r="B177" s="3" t="s">
        <v>2148</v>
      </c>
      <c r="C177" s="3" t="s">
        <v>255</v>
      </c>
      <c r="D177" s="3" t="s">
        <v>157</v>
      </c>
      <c r="E177" s="13" t="n">
        <v>570000</v>
      </c>
      <c r="F177" s="13" t="n">
        <v>5560.13</v>
      </c>
      <c r="G177" s="13" t="n">
        <v>695.02</v>
      </c>
      <c r="H177" s="13" t="n">
        <v>695.02</v>
      </c>
      <c r="I177" s="13" t="n">
        <f aca="false">SUM(K177:T177)</f>
        <v>4170.1</v>
      </c>
      <c r="J177" s="13" t="n">
        <f aca="false">F177-(G177+H177+I177)</f>
        <v>-0.0100000000002183</v>
      </c>
      <c r="K177" s="13" t="n">
        <v>417.01</v>
      </c>
      <c r="L177" s="13" t="n">
        <v>417.01</v>
      </c>
      <c r="M177" s="13" t="n">
        <v>417.01</v>
      </c>
      <c r="N177" s="13" t="n">
        <v>417.01</v>
      </c>
      <c r="O177" s="13" t="n">
        <v>417.01</v>
      </c>
      <c r="P177" s="13" t="n">
        <v>417.01</v>
      </c>
      <c r="Q177" s="13" t="n">
        <v>417.01</v>
      </c>
      <c r="R177" s="13" t="n">
        <v>417.01</v>
      </c>
      <c r="S177" s="13" t="n">
        <v>417.01</v>
      </c>
      <c r="T177" s="13" t="n">
        <v>417.01</v>
      </c>
      <c r="U177" s="13" t="n">
        <v>350</v>
      </c>
      <c r="V177" s="13" t="n">
        <v>0</v>
      </c>
      <c r="W177" s="13" t="n">
        <f aca="false">U177+V177</f>
        <v>350</v>
      </c>
    </row>
    <row r="178" customFormat="false" ht="15" hidden="false" customHeight="false" outlineLevel="0" collapsed="false">
      <c r="A178" s="14" t="s">
        <v>2322</v>
      </c>
      <c r="B178" s="14" t="s">
        <v>2176</v>
      </c>
      <c r="C178" s="14" t="s">
        <v>645</v>
      </c>
      <c r="D178" s="14" t="s">
        <v>233</v>
      </c>
      <c r="E178" s="15" t="n">
        <v>575000</v>
      </c>
      <c r="F178" s="15" t="n">
        <v>5851.42</v>
      </c>
      <c r="G178" s="15" t="n">
        <v>731.43</v>
      </c>
      <c r="H178" s="15" t="n">
        <v>731.43</v>
      </c>
      <c r="I178" s="15" t="n">
        <f aca="false">SUM(K178:T178)</f>
        <v>4388.6</v>
      </c>
      <c r="J178" s="15" t="n">
        <f aca="false">F178-(G178+H178+I178)</f>
        <v>-0.0399999999999636</v>
      </c>
      <c r="K178" s="15" t="n">
        <v>438.86</v>
      </c>
      <c r="L178" s="15" t="n">
        <v>438.86</v>
      </c>
      <c r="M178" s="15" t="n">
        <v>438.86</v>
      </c>
      <c r="N178" s="15" t="n">
        <v>438.86</v>
      </c>
      <c r="O178" s="15" t="n">
        <v>438.86</v>
      </c>
      <c r="P178" s="15" t="n">
        <v>438.86</v>
      </c>
      <c r="Q178" s="15" t="n">
        <v>438.86</v>
      </c>
      <c r="R178" s="15" t="n">
        <v>438.86</v>
      </c>
      <c r="S178" s="15" t="n">
        <v>438.86</v>
      </c>
      <c r="T178" s="15" t="n">
        <v>438.86</v>
      </c>
      <c r="U178" s="15" t="n">
        <v>350</v>
      </c>
      <c r="V178" s="15" t="n">
        <v>0</v>
      </c>
      <c r="W178" s="15" t="n">
        <f aca="false">U178+V178</f>
        <v>350</v>
      </c>
    </row>
    <row r="179" customFormat="false" ht="15" hidden="false" customHeight="false" outlineLevel="0" collapsed="false">
      <c r="A179" s="3" t="s">
        <v>2323</v>
      </c>
      <c r="B179" s="3" t="s">
        <v>2134</v>
      </c>
      <c r="C179" s="3" t="s">
        <v>484</v>
      </c>
      <c r="D179" s="3" t="s">
        <v>698</v>
      </c>
      <c r="E179" s="13" t="n">
        <v>470000</v>
      </c>
      <c r="F179" s="13" t="n">
        <v>7714.95</v>
      </c>
      <c r="G179" s="13" t="n">
        <v>964.37</v>
      </c>
      <c r="H179" s="13" t="n">
        <v>964.37</v>
      </c>
      <c r="I179" s="13" t="n">
        <f aca="false">SUM(K179:T179)</f>
        <v>5786.2</v>
      </c>
      <c r="J179" s="13" t="n">
        <f aca="false">F179-(G179+H179+I179)</f>
        <v>0.0100000000002183</v>
      </c>
      <c r="K179" s="13" t="n">
        <v>578.62</v>
      </c>
      <c r="L179" s="13" t="n">
        <v>578.62</v>
      </c>
      <c r="M179" s="13" t="n">
        <v>578.62</v>
      </c>
      <c r="N179" s="13" t="n">
        <v>578.62</v>
      </c>
      <c r="O179" s="13" t="n">
        <v>578.62</v>
      </c>
      <c r="P179" s="13" t="n">
        <v>578.62</v>
      </c>
      <c r="Q179" s="13" t="n">
        <v>578.62</v>
      </c>
      <c r="R179" s="13" t="n">
        <v>578.62</v>
      </c>
      <c r="S179" s="13" t="n">
        <v>578.62</v>
      </c>
      <c r="T179" s="13" t="n">
        <v>578.62</v>
      </c>
      <c r="U179" s="13" t="n">
        <v>350</v>
      </c>
      <c r="V179" s="13" t="n">
        <v>0</v>
      </c>
      <c r="W179" s="13" t="n">
        <f aca="false">U179+V179</f>
        <v>350</v>
      </c>
    </row>
    <row r="180" customFormat="false" ht="15" hidden="false" customHeight="false" outlineLevel="0" collapsed="false">
      <c r="A180" s="14" t="s">
        <v>2324</v>
      </c>
      <c r="B180" s="14" t="s">
        <v>2142</v>
      </c>
      <c r="C180" s="14" t="s">
        <v>1239</v>
      </c>
      <c r="D180" s="14" t="s">
        <v>256</v>
      </c>
      <c r="E180" s="15" t="n">
        <v>1030000</v>
      </c>
      <c r="F180" s="15" t="n">
        <v>12036.64</v>
      </c>
      <c r="G180" s="15" t="n">
        <v>1504.58</v>
      </c>
      <c r="H180" s="15" t="n">
        <v>1504.58</v>
      </c>
      <c r="I180" s="15" t="n">
        <f aca="false">SUM(K180:T180)</f>
        <v>9027.5</v>
      </c>
      <c r="J180" s="15" t="n">
        <f aca="false">F180-(G180+H180+I180)</f>
        <v>-0.0200000000004366</v>
      </c>
      <c r="K180" s="15" t="n">
        <v>902.75</v>
      </c>
      <c r="L180" s="15" t="n">
        <v>902.75</v>
      </c>
      <c r="M180" s="15" t="n">
        <v>902.75</v>
      </c>
      <c r="N180" s="15" t="n">
        <v>902.75</v>
      </c>
      <c r="O180" s="15" t="n">
        <v>902.75</v>
      </c>
      <c r="P180" s="15" t="n">
        <v>902.75</v>
      </c>
      <c r="Q180" s="15" t="n">
        <v>902.75</v>
      </c>
      <c r="R180" s="15" t="n">
        <v>902.75</v>
      </c>
      <c r="S180" s="15" t="n">
        <v>902.75</v>
      </c>
      <c r="T180" s="15" t="n">
        <v>902.75</v>
      </c>
      <c r="U180" s="15" t="n">
        <v>350</v>
      </c>
      <c r="V180" s="15" t="n">
        <v>250</v>
      </c>
      <c r="W180" s="15" t="n">
        <f aca="false">U180+V180</f>
        <v>600</v>
      </c>
    </row>
    <row r="181" customFormat="false" ht="15" hidden="false" customHeight="false" outlineLevel="0" collapsed="false">
      <c r="A181" s="3" t="s">
        <v>2325</v>
      </c>
      <c r="B181" s="3" t="s">
        <v>2176</v>
      </c>
      <c r="C181" s="3" t="s">
        <v>2326</v>
      </c>
      <c r="D181" s="3" t="s">
        <v>89</v>
      </c>
      <c r="E181" s="13" t="n">
        <v>1950000</v>
      </c>
      <c r="F181" s="13" t="n">
        <v>33644.34</v>
      </c>
      <c r="G181" s="13" t="n">
        <v>4205.54</v>
      </c>
      <c r="H181" s="13" t="n">
        <v>4205.54</v>
      </c>
      <c r="I181" s="13" t="n">
        <f aca="false">SUM(K181:T181)</f>
        <v>25233.3</v>
      </c>
      <c r="J181" s="13" t="n">
        <f aca="false">F181-(G181+H181+I181)</f>
        <v>-0.0400000000081491</v>
      </c>
      <c r="K181" s="13" t="n">
        <v>2523.33</v>
      </c>
      <c r="L181" s="13" t="n">
        <v>2523.33</v>
      </c>
      <c r="M181" s="13" t="n">
        <v>2523.33</v>
      </c>
      <c r="N181" s="13" t="n">
        <v>2523.33</v>
      </c>
      <c r="O181" s="13" t="n">
        <v>2523.33</v>
      </c>
      <c r="P181" s="13" t="n">
        <v>2523.33</v>
      </c>
      <c r="Q181" s="13" t="n">
        <v>2523.33</v>
      </c>
      <c r="R181" s="13" t="n">
        <v>2523.33</v>
      </c>
      <c r="S181" s="13" t="n">
        <v>2523.33</v>
      </c>
      <c r="T181" s="13" t="n">
        <v>2523.33</v>
      </c>
      <c r="U181" s="13" t="n">
        <v>350</v>
      </c>
      <c r="V181" s="13" t="n">
        <v>250</v>
      </c>
      <c r="W181" s="13" t="n">
        <f aca="false">U181+V181</f>
        <v>600</v>
      </c>
    </row>
    <row r="182" customFormat="false" ht="15" hidden="false" customHeight="false" outlineLevel="0" collapsed="false">
      <c r="A182" s="14" t="s">
        <v>2327</v>
      </c>
      <c r="B182" s="14" t="s">
        <v>2132</v>
      </c>
      <c r="C182" s="14" t="s">
        <v>547</v>
      </c>
      <c r="D182" s="14" t="s">
        <v>93</v>
      </c>
      <c r="E182" s="15" t="n">
        <v>520000</v>
      </c>
      <c r="F182" s="15" t="n">
        <v>4572.31</v>
      </c>
      <c r="G182" s="15" t="n">
        <v>571.54</v>
      </c>
      <c r="H182" s="15" t="n">
        <v>571.54</v>
      </c>
      <c r="I182" s="15" t="n">
        <f aca="false">SUM(K182:T182)</f>
        <v>3429.2</v>
      </c>
      <c r="J182" s="15" t="n">
        <f aca="false">F182-(G182+H182+I182)</f>
        <v>0.0299999999997453</v>
      </c>
      <c r="K182" s="15" t="n">
        <v>342.92</v>
      </c>
      <c r="L182" s="15" t="n">
        <v>342.92</v>
      </c>
      <c r="M182" s="15" t="n">
        <v>342.92</v>
      </c>
      <c r="N182" s="15" t="n">
        <v>342.92</v>
      </c>
      <c r="O182" s="15" t="n">
        <v>342.92</v>
      </c>
      <c r="P182" s="15" t="n">
        <v>342.92</v>
      </c>
      <c r="Q182" s="15" t="n">
        <v>342.92</v>
      </c>
      <c r="R182" s="15" t="n">
        <v>342.92</v>
      </c>
      <c r="S182" s="15" t="n">
        <v>342.92</v>
      </c>
      <c r="T182" s="15" t="n">
        <v>342.92</v>
      </c>
      <c r="U182" s="15" t="n">
        <v>350</v>
      </c>
      <c r="V182" s="15" t="n">
        <v>0</v>
      </c>
      <c r="W182" s="15" t="n">
        <f aca="false">U182+V182</f>
        <v>350</v>
      </c>
    </row>
    <row r="183" customFormat="false" ht="15" hidden="false" customHeight="false" outlineLevel="0" collapsed="false">
      <c r="A183" s="3" t="s">
        <v>2328</v>
      </c>
      <c r="B183" s="3" t="s">
        <v>2150</v>
      </c>
      <c r="C183" s="3" t="s">
        <v>827</v>
      </c>
      <c r="D183" s="3" t="s">
        <v>298</v>
      </c>
      <c r="E183" s="13" t="n">
        <v>220000</v>
      </c>
      <c r="F183" s="13" t="n">
        <v>2524.19</v>
      </c>
      <c r="G183" s="13" t="n">
        <v>315.52</v>
      </c>
      <c r="H183" s="13" t="n">
        <v>315.52</v>
      </c>
      <c r="I183" s="13" t="n">
        <f aca="false">SUM(K183:T183)</f>
        <v>1893.1</v>
      </c>
      <c r="J183" s="13" t="n">
        <f aca="false">F183-(G183+H183+I183)</f>
        <v>0.0500000000001819</v>
      </c>
      <c r="K183" s="13" t="n">
        <v>189.31</v>
      </c>
      <c r="L183" s="13" t="n">
        <v>189.31</v>
      </c>
      <c r="M183" s="13" t="n">
        <v>189.31</v>
      </c>
      <c r="N183" s="13" t="n">
        <v>189.31</v>
      </c>
      <c r="O183" s="13" t="n">
        <v>189.31</v>
      </c>
      <c r="P183" s="13" t="n">
        <v>189.31</v>
      </c>
      <c r="Q183" s="13" t="n">
        <v>189.31</v>
      </c>
      <c r="R183" s="13" t="n">
        <v>189.31</v>
      </c>
      <c r="S183" s="13" t="n">
        <v>189.31</v>
      </c>
      <c r="T183" s="13" t="n">
        <v>189.31</v>
      </c>
      <c r="U183" s="13" t="n">
        <v>350</v>
      </c>
      <c r="V183" s="13" t="n">
        <v>0</v>
      </c>
      <c r="W183" s="13" t="n">
        <f aca="false">U183+V183</f>
        <v>350</v>
      </c>
    </row>
    <row r="184" customFormat="false" ht="15" hidden="false" customHeight="false" outlineLevel="0" collapsed="false">
      <c r="A184" s="14" t="s">
        <v>2329</v>
      </c>
      <c r="B184" s="14" t="s">
        <v>2162</v>
      </c>
      <c r="C184" s="14" t="s">
        <v>987</v>
      </c>
      <c r="D184" s="14" t="s">
        <v>157</v>
      </c>
      <c r="E184" s="15" t="n">
        <v>860000</v>
      </c>
      <c r="F184" s="15" t="n">
        <v>12681.01</v>
      </c>
      <c r="G184" s="15" t="n">
        <v>1585.13</v>
      </c>
      <c r="H184" s="15" t="n">
        <v>1585.13</v>
      </c>
      <c r="I184" s="15" t="n">
        <f aca="false">SUM(K184:T184)</f>
        <v>9510.8</v>
      </c>
      <c r="J184" s="15" t="n">
        <f aca="false">F184-(G184+H184+I184)</f>
        <v>-0.0500000000010914</v>
      </c>
      <c r="K184" s="15" t="n">
        <v>951.08</v>
      </c>
      <c r="L184" s="15" t="n">
        <v>951.08</v>
      </c>
      <c r="M184" s="15" t="n">
        <v>951.08</v>
      </c>
      <c r="N184" s="15" t="n">
        <v>951.08</v>
      </c>
      <c r="O184" s="15" t="n">
        <v>951.08</v>
      </c>
      <c r="P184" s="15" t="n">
        <v>951.08</v>
      </c>
      <c r="Q184" s="15" t="n">
        <v>951.08</v>
      </c>
      <c r="R184" s="15" t="n">
        <v>951.08</v>
      </c>
      <c r="S184" s="15" t="n">
        <v>951.08</v>
      </c>
      <c r="T184" s="15" t="n">
        <v>951.08</v>
      </c>
      <c r="U184" s="15" t="n">
        <v>350</v>
      </c>
      <c r="V184" s="15" t="n">
        <v>0</v>
      </c>
      <c r="W184" s="15" t="n">
        <f aca="false">U184+V184</f>
        <v>350</v>
      </c>
    </row>
    <row r="185" customFormat="false" ht="15" hidden="false" customHeight="false" outlineLevel="0" collapsed="false">
      <c r="A185" s="3" t="s">
        <v>2330</v>
      </c>
      <c r="B185" s="3" t="s">
        <v>2299</v>
      </c>
      <c r="C185" s="3" t="s">
        <v>2331</v>
      </c>
      <c r="D185" s="3" t="s">
        <v>377</v>
      </c>
      <c r="E185" s="13" t="n">
        <v>785000</v>
      </c>
      <c r="F185" s="13" t="n">
        <v>10922.99</v>
      </c>
      <c r="G185" s="13" t="n">
        <v>1365.37</v>
      </c>
      <c r="H185" s="13" t="n">
        <v>1365.37</v>
      </c>
      <c r="I185" s="13" t="n">
        <f aca="false">SUM(K185:T185)</f>
        <v>8192.2</v>
      </c>
      <c r="J185" s="13" t="n">
        <f aca="false">F185-(G185+H185+I185)</f>
        <v>0.0499999999992724</v>
      </c>
      <c r="K185" s="13" t="n">
        <v>819.22</v>
      </c>
      <c r="L185" s="13" t="n">
        <v>819.22</v>
      </c>
      <c r="M185" s="13" t="n">
        <v>819.22</v>
      </c>
      <c r="N185" s="13" t="n">
        <v>819.22</v>
      </c>
      <c r="O185" s="13" t="n">
        <v>819.22</v>
      </c>
      <c r="P185" s="13" t="n">
        <v>819.22</v>
      </c>
      <c r="Q185" s="13" t="n">
        <v>819.22</v>
      </c>
      <c r="R185" s="13" t="n">
        <v>819.22</v>
      </c>
      <c r="S185" s="13" t="n">
        <v>819.22</v>
      </c>
      <c r="T185" s="13" t="n">
        <v>819.22</v>
      </c>
      <c r="U185" s="13" t="n">
        <v>350</v>
      </c>
      <c r="V185" s="13" t="n">
        <v>0</v>
      </c>
      <c r="W185" s="13" t="n">
        <f aca="false">U185+V185</f>
        <v>350</v>
      </c>
    </row>
    <row r="186" customFormat="false" ht="15" hidden="false" customHeight="false" outlineLevel="0" collapsed="false">
      <c r="A186" s="14" t="s">
        <v>2332</v>
      </c>
      <c r="B186" s="14" t="s">
        <v>2150</v>
      </c>
      <c r="C186" s="14" t="s">
        <v>1423</v>
      </c>
      <c r="D186" s="14" t="s">
        <v>382</v>
      </c>
      <c r="E186" s="15" t="n">
        <v>280000</v>
      </c>
      <c r="F186" s="15" t="n">
        <v>3757.43</v>
      </c>
      <c r="G186" s="15" t="n">
        <v>469.68</v>
      </c>
      <c r="H186" s="15" t="n">
        <v>469.68</v>
      </c>
      <c r="I186" s="15" t="n">
        <f aca="false">SUM(K186:T186)</f>
        <v>2818.1</v>
      </c>
      <c r="J186" s="15" t="n">
        <f aca="false">F186-(G186+H186+I186)</f>
        <v>-0.0300000000002001</v>
      </c>
      <c r="K186" s="15" t="n">
        <v>281.81</v>
      </c>
      <c r="L186" s="15" t="n">
        <v>281.81</v>
      </c>
      <c r="M186" s="15" t="n">
        <v>281.81</v>
      </c>
      <c r="N186" s="15" t="n">
        <v>281.81</v>
      </c>
      <c r="O186" s="15" t="n">
        <v>281.81</v>
      </c>
      <c r="P186" s="15" t="n">
        <v>281.81</v>
      </c>
      <c r="Q186" s="15" t="n">
        <v>281.81</v>
      </c>
      <c r="R186" s="15" t="n">
        <v>281.81</v>
      </c>
      <c r="S186" s="15" t="n">
        <v>281.81</v>
      </c>
      <c r="T186" s="15" t="n">
        <v>281.81</v>
      </c>
      <c r="U186" s="15" t="n">
        <v>350</v>
      </c>
      <c r="V186" s="15" t="n">
        <v>0</v>
      </c>
      <c r="W186" s="15" t="n">
        <f aca="false">U186+V186</f>
        <v>350</v>
      </c>
    </row>
    <row r="187" customFormat="false" ht="15" hidden="false" customHeight="false" outlineLevel="0" collapsed="false">
      <c r="A187" s="3" t="s">
        <v>2333</v>
      </c>
      <c r="B187" s="3" t="s">
        <v>2120</v>
      </c>
      <c r="C187" s="3" t="s">
        <v>358</v>
      </c>
      <c r="D187" s="3" t="s">
        <v>89</v>
      </c>
      <c r="E187" s="13" t="n">
        <v>395000</v>
      </c>
      <c r="F187" s="13" t="n">
        <v>6389.19</v>
      </c>
      <c r="G187" s="13" t="n">
        <v>798.65</v>
      </c>
      <c r="H187" s="13" t="n">
        <v>798.65</v>
      </c>
      <c r="I187" s="13" t="n">
        <f aca="false">SUM(K187:T187)</f>
        <v>4791.9</v>
      </c>
      <c r="J187" s="13" t="n">
        <f aca="false">F187-(G187+H187+I187)</f>
        <v>-0.0100000000002183</v>
      </c>
      <c r="K187" s="13" t="n">
        <v>479.19</v>
      </c>
      <c r="L187" s="13" t="n">
        <v>479.19</v>
      </c>
      <c r="M187" s="13" t="n">
        <v>479.19</v>
      </c>
      <c r="N187" s="13" t="n">
        <v>479.19</v>
      </c>
      <c r="O187" s="13" t="n">
        <v>479.19</v>
      </c>
      <c r="P187" s="13" t="n">
        <v>479.19</v>
      </c>
      <c r="Q187" s="13" t="n">
        <v>479.19</v>
      </c>
      <c r="R187" s="13" t="n">
        <v>479.19</v>
      </c>
      <c r="S187" s="13" t="n">
        <v>479.19</v>
      </c>
      <c r="T187" s="13" t="n">
        <v>479.19</v>
      </c>
      <c r="U187" s="13" t="n">
        <v>350</v>
      </c>
      <c r="V187" s="13" t="n">
        <v>0</v>
      </c>
      <c r="W187" s="13" t="n">
        <f aca="false">U187+V187</f>
        <v>350</v>
      </c>
    </row>
    <row r="188" customFormat="false" ht="15" hidden="false" customHeight="false" outlineLevel="0" collapsed="false">
      <c r="A188" s="14" t="s">
        <v>2334</v>
      </c>
      <c r="B188" s="14" t="s">
        <v>2148</v>
      </c>
      <c r="C188" s="14" t="s">
        <v>1555</v>
      </c>
      <c r="D188" s="14" t="s">
        <v>132</v>
      </c>
      <c r="E188" s="15" t="n">
        <v>955000</v>
      </c>
      <c r="F188" s="15" t="n">
        <v>6560.32</v>
      </c>
      <c r="G188" s="15" t="n">
        <v>820.04</v>
      </c>
      <c r="H188" s="15" t="n">
        <v>820.04</v>
      </c>
      <c r="I188" s="15" t="n">
        <f aca="false">SUM(K188:T188)</f>
        <v>4920.2</v>
      </c>
      <c r="J188" s="15" t="n">
        <f aca="false">F188-(G188+H188+I188)</f>
        <v>0.0399999999990541</v>
      </c>
      <c r="K188" s="15" t="n">
        <v>492.02</v>
      </c>
      <c r="L188" s="15" t="n">
        <v>492.02</v>
      </c>
      <c r="M188" s="15" t="n">
        <v>492.02</v>
      </c>
      <c r="N188" s="15" t="n">
        <v>492.02</v>
      </c>
      <c r="O188" s="15" t="n">
        <v>492.02</v>
      </c>
      <c r="P188" s="15" t="n">
        <v>492.02</v>
      </c>
      <c r="Q188" s="15" t="n">
        <v>492.02</v>
      </c>
      <c r="R188" s="15" t="n">
        <v>492.02</v>
      </c>
      <c r="S188" s="15" t="n">
        <v>492.02</v>
      </c>
      <c r="T188" s="15" t="n">
        <v>492.02</v>
      </c>
      <c r="U188" s="15" t="n">
        <v>350</v>
      </c>
      <c r="V188" s="15" t="n">
        <v>0</v>
      </c>
      <c r="W188" s="15" t="n">
        <f aca="false">U188+V188</f>
        <v>350</v>
      </c>
    </row>
    <row r="189" customFormat="false" ht="15" hidden="false" customHeight="false" outlineLevel="0" collapsed="false">
      <c r="A189" s="3" t="s">
        <v>2335</v>
      </c>
      <c r="B189" s="3" t="s">
        <v>2176</v>
      </c>
      <c r="C189" s="3" t="s">
        <v>670</v>
      </c>
      <c r="D189" s="3" t="s">
        <v>89</v>
      </c>
      <c r="E189" s="13" t="n">
        <v>700000</v>
      </c>
      <c r="F189" s="13" t="n">
        <v>9812.93</v>
      </c>
      <c r="G189" s="13" t="n">
        <v>1226.62</v>
      </c>
      <c r="H189" s="13" t="n">
        <v>1226.62</v>
      </c>
      <c r="I189" s="13" t="n">
        <f aca="false">SUM(K189:T189)</f>
        <v>7359.7</v>
      </c>
      <c r="J189" s="13" t="n">
        <f aca="false">F189-(G189+H189+I189)</f>
        <v>-0.0100000000002183</v>
      </c>
      <c r="K189" s="13" t="n">
        <v>735.97</v>
      </c>
      <c r="L189" s="13" t="n">
        <v>735.97</v>
      </c>
      <c r="M189" s="13" t="n">
        <v>735.97</v>
      </c>
      <c r="N189" s="13" t="n">
        <v>735.97</v>
      </c>
      <c r="O189" s="13" t="n">
        <v>735.97</v>
      </c>
      <c r="P189" s="13" t="n">
        <v>735.97</v>
      </c>
      <c r="Q189" s="13" t="n">
        <v>735.97</v>
      </c>
      <c r="R189" s="13" t="n">
        <v>735.97</v>
      </c>
      <c r="S189" s="13" t="n">
        <v>735.97</v>
      </c>
      <c r="T189" s="13" t="n">
        <v>735.97</v>
      </c>
      <c r="U189" s="13" t="n">
        <v>350</v>
      </c>
      <c r="V189" s="13" t="n">
        <v>0</v>
      </c>
      <c r="W189" s="13" t="n">
        <f aca="false">U189+V189</f>
        <v>350</v>
      </c>
    </row>
    <row r="190" customFormat="false" ht="15" hidden="false" customHeight="false" outlineLevel="0" collapsed="false">
      <c r="A190" s="14" t="s">
        <v>2336</v>
      </c>
      <c r="B190" s="14" t="s">
        <v>2111</v>
      </c>
      <c r="C190" s="14" t="s">
        <v>1255</v>
      </c>
      <c r="D190" s="14" t="s">
        <v>172</v>
      </c>
      <c r="E190" s="15" t="n">
        <v>150000</v>
      </c>
      <c r="F190" s="15" t="n">
        <v>2616.79</v>
      </c>
      <c r="G190" s="15" t="n">
        <v>327.1</v>
      </c>
      <c r="H190" s="15" t="n">
        <v>327.1</v>
      </c>
      <c r="I190" s="15" t="n">
        <f aca="false">SUM(K190:T190)</f>
        <v>1962.6</v>
      </c>
      <c r="J190" s="15" t="n">
        <f aca="false">F190-(G190+H190+I190)</f>
        <v>-0.0100000000002183</v>
      </c>
      <c r="K190" s="15" t="n">
        <v>196.26</v>
      </c>
      <c r="L190" s="15" t="n">
        <v>196.26</v>
      </c>
      <c r="M190" s="15" t="n">
        <v>196.26</v>
      </c>
      <c r="N190" s="15" t="n">
        <v>196.26</v>
      </c>
      <c r="O190" s="15" t="n">
        <v>196.26</v>
      </c>
      <c r="P190" s="15" t="n">
        <v>196.26</v>
      </c>
      <c r="Q190" s="15" t="n">
        <v>196.26</v>
      </c>
      <c r="R190" s="15" t="n">
        <v>196.26</v>
      </c>
      <c r="S190" s="15" t="n">
        <v>196.26</v>
      </c>
      <c r="T190" s="15" t="n">
        <v>196.26</v>
      </c>
      <c r="U190" s="15" t="n">
        <v>350</v>
      </c>
      <c r="V190" s="15" t="n">
        <v>0</v>
      </c>
      <c r="W190" s="15" t="n">
        <f aca="false">U190+V190</f>
        <v>350</v>
      </c>
    </row>
    <row r="191" customFormat="false" ht="15" hidden="false" customHeight="false" outlineLevel="0" collapsed="false">
      <c r="A191" s="3" t="s">
        <v>2337</v>
      </c>
      <c r="B191" s="3" t="s">
        <v>2299</v>
      </c>
      <c r="C191" s="3" t="s">
        <v>2338</v>
      </c>
      <c r="D191" s="3" t="s">
        <v>279</v>
      </c>
      <c r="E191" s="13" t="n">
        <v>435000</v>
      </c>
      <c r="F191" s="13" t="n">
        <v>4742.92</v>
      </c>
      <c r="G191" s="13" t="n">
        <v>592.87</v>
      </c>
      <c r="H191" s="13" t="n">
        <v>592.87</v>
      </c>
      <c r="I191" s="13" t="n">
        <f aca="false">SUM(K191:T191)</f>
        <v>3557.2</v>
      </c>
      <c r="J191" s="13" t="n">
        <f aca="false">F191-(G191+H191+I191)</f>
        <v>-0.0200000000004366</v>
      </c>
      <c r="K191" s="13" t="n">
        <v>355.72</v>
      </c>
      <c r="L191" s="13" t="n">
        <v>355.72</v>
      </c>
      <c r="M191" s="13" t="n">
        <v>355.72</v>
      </c>
      <c r="N191" s="13" t="n">
        <v>355.72</v>
      </c>
      <c r="O191" s="13" t="n">
        <v>355.72</v>
      </c>
      <c r="P191" s="13" t="n">
        <v>355.72</v>
      </c>
      <c r="Q191" s="13" t="n">
        <v>355.72</v>
      </c>
      <c r="R191" s="13" t="n">
        <v>355.72</v>
      </c>
      <c r="S191" s="13" t="n">
        <v>355.72</v>
      </c>
      <c r="T191" s="13" t="n">
        <v>355.72</v>
      </c>
      <c r="U191" s="13" t="n">
        <v>350</v>
      </c>
      <c r="V191" s="13" t="n">
        <v>0</v>
      </c>
      <c r="W191" s="13" t="n">
        <f aca="false">U191+V191</f>
        <v>350</v>
      </c>
    </row>
    <row r="192" customFormat="false" ht="15" hidden="false" customHeight="false" outlineLevel="0" collapsed="false">
      <c r="A192" s="14" t="s">
        <v>2339</v>
      </c>
      <c r="B192" s="14" t="s">
        <v>2127</v>
      </c>
      <c r="C192" s="14" t="s">
        <v>2074</v>
      </c>
      <c r="D192" s="14" t="s">
        <v>352</v>
      </c>
      <c r="E192" s="15" t="n">
        <v>500000</v>
      </c>
      <c r="F192" s="15" t="n">
        <v>3881.24</v>
      </c>
      <c r="G192" s="15" t="n">
        <v>485.15</v>
      </c>
      <c r="H192" s="15" t="n">
        <v>485.15</v>
      </c>
      <c r="I192" s="15" t="n">
        <f aca="false">SUM(K192:T192)</f>
        <v>2910.9</v>
      </c>
      <c r="J192" s="15" t="n">
        <f aca="false">F192-(G192+H192+I192)</f>
        <v>0.0399999999999636</v>
      </c>
      <c r="K192" s="15" t="n">
        <v>291.09</v>
      </c>
      <c r="L192" s="15" t="n">
        <v>291.09</v>
      </c>
      <c r="M192" s="15" t="n">
        <v>291.09</v>
      </c>
      <c r="N192" s="15" t="n">
        <v>291.09</v>
      </c>
      <c r="O192" s="15" t="n">
        <v>291.09</v>
      </c>
      <c r="P192" s="15" t="n">
        <v>291.09</v>
      </c>
      <c r="Q192" s="15" t="n">
        <v>291.09</v>
      </c>
      <c r="R192" s="15" t="n">
        <v>291.09</v>
      </c>
      <c r="S192" s="15" t="n">
        <v>291.09</v>
      </c>
      <c r="T192" s="15" t="n">
        <v>291.09</v>
      </c>
      <c r="U192" s="15" t="n">
        <v>350</v>
      </c>
      <c r="V192" s="15" t="n">
        <v>0</v>
      </c>
      <c r="W192" s="15" t="n">
        <f aca="false">U192+V192</f>
        <v>350</v>
      </c>
    </row>
    <row r="193" customFormat="false" ht="15" hidden="false" customHeight="false" outlineLevel="0" collapsed="false">
      <c r="A193" s="3" t="s">
        <v>2340</v>
      </c>
      <c r="B193" s="3" t="s">
        <v>2104</v>
      </c>
      <c r="C193" s="3" t="s">
        <v>1381</v>
      </c>
      <c r="D193" s="3" t="s">
        <v>203</v>
      </c>
      <c r="E193" s="13" t="n">
        <v>485000</v>
      </c>
      <c r="F193" s="13" t="n">
        <v>4239.77</v>
      </c>
      <c r="G193" s="13" t="n">
        <v>529.97</v>
      </c>
      <c r="H193" s="13" t="n">
        <v>529.97</v>
      </c>
      <c r="I193" s="13" t="n">
        <f aca="false">SUM(K193:T193)</f>
        <v>3179.8</v>
      </c>
      <c r="J193" s="13" t="n">
        <f aca="false">F193-(G193+H193+I193)</f>
        <v>0.0300000000006548</v>
      </c>
      <c r="K193" s="13" t="n">
        <v>317.98</v>
      </c>
      <c r="L193" s="13" t="n">
        <v>317.98</v>
      </c>
      <c r="M193" s="13" t="n">
        <v>317.98</v>
      </c>
      <c r="N193" s="13" t="n">
        <v>317.98</v>
      </c>
      <c r="O193" s="13" t="n">
        <v>317.98</v>
      </c>
      <c r="P193" s="13" t="n">
        <v>317.98</v>
      </c>
      <c r="Q193" s="13" t="n">
        <v>317.98</v>
      </c>
      <c r="R193" s="13" t="n">
        <v>317.98</v>
      </c>
      <c r="S193" s="13" t="n">
        <v>317.98</v>
      </c>
      <c r="T193" s="13" t="n">
        <v>317.98</v>
      </c>
      <c r="U193" s="13" t="n">
        <v>350</v>
      </c>
      <c r="V193" s="13" t="n">
        <v>0</v>
      </c>
      <c r="W193" s="13" t="n">
        <f aca="false">U193+V193</f>
        <v>350</v>
      </c>
    </row>
    <row r="194" customFormat="false" ht="15" hidden="false" customHeight="false" outlineLevel="0" collapsed="false">
      <c r="A194" s="14" t="s">
        <v>2341</v>
      </c>
      <c r="B194" s="14" t="s">
        <v>2132</v>
      </c>
      <c r="C194" s="14" t="s">
        <v>2342</v>
      </c>
      <c r="D194" s="14" t="s">
        <v>222</v>
      </c>
      <c r="E194" s="15" t="n">
        <v>580000</v>
      </c>
      <c r="F194" s="15" t="n">
        <v>6625.03</v>
      </c>
      <c r="G194" s="15" t="n">
        <v>828.13</v>
      </c>
      <c r="H194" s="15" t="n">
        <v>828.13</v>
      </c>
      <c r="I194" s="15" t="n">
        <f aca="false">SUM(K194:T194)</f>
        <v>4968.8</v>
      </c>
      <c r="J194" s="15" t="n">
        <f aca="false">F194-(G194+H194+I194)</f>
        <v>-0.0300000000006548</v>
      </c>
      <c r="K194" s="15" t="n">
        <v>496.88</v>
      </c>
      <c r="L194" s="15" t="n">
        <v>496.88</v>
      </c>
      <c r="M194" s="15" t="n">
        <v>496.88</v>
      </c>
      <c r="N194" s="15" t="n">
        <v>496.88</v>
      </c>
      <c r="O194" s="15" t="n">
        <v>496.88</v>
      </c>
      <c r="P194" s="15" t="n">
        <v>496.88</v>
      </c>
      <c r="Q194" s="15" t="n">
        <v>496.88</v>
      </c>
      <c r="R194" s="15" t="n">
        <v>496.88</v>
      </c>
      <c r="S194" s="15" t="n">
        <v>496.88</v>
      </c>
      <c r="T194" s="15" t="n">
        <v>496.88</v>
      </c>
      <c r="U194" s="15" t="n">
        <v>350</v>
      </c>
      <c r="V194" s="15" t="n">
        <v>0</v>
      </c>
      <c r="W194" s="15" t="n">
        <f aca="false">U194+V194</f>
        <v>350</v>
      </c>
    </row>
    <row r="195" customFormat="false" ht="15" hidden="false" customHeight="false" outlineLevel="0" collapsed="false">
      <c r="A195" s="3" t="s">
        <v>2343</v>
      </c>
      <c r="B195" s="3" t="s">
        <v>2194</v>
      </c>
      <c r="C195" s="3" t="s">
        <v>278</v>
      </c>
      <c r="D195" s="3" t="s">
        <v>157</v>
      </c>
      <c r="E195" s="13" t="n">
        <v>470000</v>
      </c>
      <c r="F195" s="13" t="n">
        <v>7996.52</v>
      </c>
      <c r="G195" s="13" t="n">
        <v>999.57</v>
      </c>
      <c r="H195" s="13" t="n">
        <v>999.57</v>
      </c>
      <c r="I195" s="13" t="n">
        <f aca="false">SUM(K195:T195)</f>
        <v>5997.4</v>
      </c>
      <c r="J195" s="13" t="n">
        <f aca="false">F195-(G195+H195+I195)</f>
        <v>-0.0199999999995271</v>
      </c>
      <c r="K195" s="13" t="n">
        <v>599.74</v>
      </c>
      <c r="L195" s="13" t="n">
        <v>599.74</v>
      </c>
      <c r="M195" s="13" t="n">
        <v>599.74</v>
      </c>
      <c r="N195" s="13" t="n">
        <v>599.74</v>
      </c>
      <c r="O195" s="13" t="n">
        <v>599.74</v>
      </c>
      <c r="P195" s="13" t="n">
        <v>599.74</v>
      </c>
      <c r="Q195" s="13" t="n">
        <v>599.74</v>
      </c>
      <c r="R195" s="13" t="n">
        <v>599.74</v>
      </c>
      <c r="S195" s="13" t="n">
        <v>599.74</v>
      </c>
      <c r="T195" s="13" t="n">
        <v>599.74</v>
      </c>
      <c r="U195" s="13" t="n">
        <v>350</v>
      </c>
      <c r="V195" s="13" t="n">
        <v>0</v>
      </c>
      <c r="W195" s="13" t="n">
        <f aca="false">U195+V195</f>
        <v>350</v>
      </c>
    </row>
    <row r="196" customFormat="false" ht="15" hidden="false" customHeight="false" outlineLevel="0" collapsed="false">
      <c r="A196" s="14" t="s">
        <v>2344</v>
      </c>
      <c r="B196" s="14" t="s">
        <v>2118</v>
      </c>
      <c r="C196" s="14" t="s">
        <v>626</v>
      </c>
      <c r="D196" s="14" t="s">
        <v>125</v>
      </c>
      <c r="E196" s="15" t="n">
        <v>655000</v>
      </c>
      <c r="F196" s="15" t="n">
        <v>9543.1</v>
      </c>
      <c r="G196" s="15" t="n">
        <v>1192.89</v>
      </c>
      <c r="H196" s="15" t="n">
        <v>1192.89</v>
      </c>
      <c r="I196" s="15" t="n">
        <f aca="false">SUM(K196:T196)</f>
        <v>7157.3</v>
      </c>
      <c r="J196" s="15" t="n">
        <f aca="false">F196-(G196+H196+I196)</f>
        <v>0.0200000000004366</v>
      </c>
      <c r="K196" s="15" t="n">
        <v>715.73</v>
      </c>
      <c r="L196" s="15" t="n">
        <v>715.73</v>
      </c>
      <c r="M196" s="15" t="n">
        <v>715.73</v>
      </c>
      <c r="N196" s="15" t="n">
        <v>715.73</v>
      </c>
      <c r="O196" s="15" t="n">
        <v>715.73</v>
      </c>
      <c r="P196" s="15" t="n">
        <v>715.73</v>
      </c>
      <c r="Q196" s="15" t="n">
        <v>715.73</v>
      </c>
      <c r="R196" s="15" t="n">
        <v>715.73</v>
      </c>
      <c r="S196" s="15" t="n">
        <v>715.73</v>
      </c>
      <c r="T196" s="15" t="n">
        <v>715.73</v>
      </c>
      <c r="U196" s="15" t="n">
        <v>350</v>
      </c>
      <c r="V196" s="15" t="n">
        <v>0</v>
      </c>
      <c r="W196" s="15" t="n">
        <f aca="false">U196+V196</f>
        <v>350</v>
      </c>
    </row>
    <row r="197" customFormat="false" ht="15" hidden="false" customHeight="false" outlineLevel="0" collapsed="false">
      <c r="A197" s="3" t="s">
        <v>2345</v>
      </c>
      <c r="B197" s="3" t="s">
        <v>2120</v>
      </c>
      <c r="C197" s="3" t="s">
        <v>878</v>
      </c>
      <c r="D197" s="3" t="s">
        <v>911</v>
      </c>
      <c r="E197" s="13" t="n">
        <v>255000</v>
      </c>
      <c r="F197" s="13" t="n">
        <v>3299.73</v>
      </c>
      <c r="G197" s="13" t="n">
        <v>412.47</v>
      </c>
      <c r="H197" s="13" t="n">
        <v>412.47</v>
      </c>
      <c r="I197" s="13" t="n">
        <f aca="false">SUM(K197:T197)</f>
        <v>2474.8</v>
      </c>
      <c r="J197" s="13" t="n">
        <f aca="false">F197-(G197+H197+I197)</f>
        <v>-0.00999999999976353</v>
      </c>
      <c r="K197" s="13" t="n">
        <v>247.48</v>
      </c>
      <c r="L197" s="13" t="n">
        <v>247.48</v>
      </c>
      <c r="M197" s="13" t="n">
        <v>247.48</v>
      </c>
      <c r="N197" s="13" t="n">
        <v>247.48</v>
      </c>
      <c r="O197" s="13" t="n">
        <v>247.48</v>
      </c>
      <c r="P197" s="13" t="n">
        <v>247.48</v>
      </c>
      <c r="Q197" s="13" t="n">
        <v>247.48</v>
      </c>
      <c r="R197" s="13" t="n">
        <v>247.48</v>
      </c>
      <c r="S197" s="13" t="n">
        <v>247.48</v>
      </c>
      <c r="T197" s="13" t="n">
        <v>247.48</v>
      </c>
      <c r="U197" s="13" t="n">
        <v>350</v>
      </c>
      <c r="V197" s="13" t="n">
        <v>0</v>
      </c>
      <c r="W197" s="13" t="n">
        <f aca="false">U197+V197</f>
        <v>350</v>
      </c>
    </row>
    <row r="198" customFormat="false" ht="15" hidden="false" customHeight="false" outlineLevel="0" collapsed="false">
      <c r="A198" s="14" t="s">
        <v>2346</v>
      </c>
      <c r="B198" s="14" t="s">
        <v>2150</v>
      </c>
      <c r="C198" s="14" t="s">
        <v>2347</v>
      </c>
      <c r="D198" s="14" t="s">
        <v>698</v>
      </c>
      <c r="E198" s="15" t="n">
        <v>1200000</v>
      </c>
      <c r="F198" s="15" t="n">
        <v>14445.02</v>
      </c>
      <c r="G198" s="15" t="n">
        <v>1805.63</v>
      </c>
      <c r="H198" s="15" t="n">
        <v>1805.63</v>
      </c>
      <c r="I198" s="15" t="n">
        <f aca="false">SUM(K198:T198)</f>
        <v>10833.8</v>
      </c>
      <c r="J198" s="15" t="n">
        <f aca="false">F198-(G198+H198+I198)</f>
        <v>-0.0400000000026921</v>
      </c>
      <c r="K198" s="15" t="n">
        <v>1083.38</v>
      </c>
      <c r="L198" s="15" t="n">
        <v>1083.38</v>
      </c>
      <c r="M198" s="15" t="n">
        <v>1083.38</v>
      </c>
      <c r="N198" s="15" t="n">
        <v>1083.38</v>
      </c>
      <c r="O198" s="15" t="n">
        <v>1083.38</v>
      </c>
      <c r="P198" s="15" t="n">
        <v>1083.38</v>
      </c>
      <c r="Q198" s="15" t="n">
        <v>1083.38</v>
      </c>
      <c r="R198" s="15" t="n">
        <v>1083.38</v>
      </c>
      <c r="S198" s="15" t="n">
        <v>1083.38</v>
      </c>
      <c r="T198" s="15" t="n">
        <v>1083.38</v>
      </c>
      <c r="U198" s="15" t="n">
        <v>350</v>
      </c>
      <c r="V198" s="15" t="n">
        <v>250</v>
      </c>
      <c r="W198" s="15" t="n">
        <f aca="false">U198+V198</f>
        <v>600</v>
      </c>
    </row>
    <row r="199" customFormat="false" ht="15" hidden="false" customHeight="false" outlineLevel="0" collapsed="false">
      <c r="A199" s="3" t="s">
        <v>2348</v>
      </c>
      <c r="B199" s="3" t="s">
        <v>2148</v>
      </c>
      <c r="C199" s="3" t="s">
        <v>2349</v>
      </c>
      <c r="D199" s="3" t="s">
        <v>102</v>
      </c>
      <c r="E199" s="13" t="n">
        <v>590000</v>
      </c>
      <c r="F199" s="13" t="n">
        <v>7045.59</v>
      </c>
      <c r="G199" s="13" t="n">
        <v>880.7</v>
      </c>
      <c r="H199" s="13" t="n">
        <v>880.7</v>
      </c>
      <c r="I199" s="13" t="n">
        <f aca="false">SUM(K199:T199)</f>
        <v>5284.2</v>
      </c>
      <c r="J199" s="13" t="n">
        <f aca="false">F199-(G199+H199+I199)</f>
        <v>-0.0100000000002183</v>
      </c>
      <c r="K199" s="13" t="n">
        <v>528.42</v>
      </c>
      <c r="L199" s="13" t="n">
        <v>528.42</v>
      </c>
      <c r="M199" s="13" t="n">
        <v>528.42</v>
      </c>
      <c r="N199" s="13" t="n">
        <v>528.42</v>
      </c>
      <c r="O199" s="13" t="n">
        <v>528.42</v>
      </c>
      <c r="P199" s="13" t="n">
        <v>528.42</v>
      </c>
      <c r="Q199" s="13" t="n">
        <v>528.42</v>
      </c>
      <c r="R199" s="13" t="n">
        <v>528.42</v>
      </c>
      <c r="S199" s="13" t="n">
        <v>528.42</v>
      </c>
      <c r="T199" s="13" t="n">
        <v>528.42</v>
      </c>
      <c r="U199" s="13" t="n">
        <v>350</v>
      </c>
      <c r="V199" s="13" t="n">
        <v>0</v>
      </c>
      <c r="W199" s="13" t="n">
        <f aca="false">U199+V199</f>
        <v>350</v>
      </c>
    </row>
    <row r="200" customFormat="false" ht="15" hidden="false" customHeight="false" outlineLevel="0" collapsed="false">
      <c r="A200" s="14" t="s">
        <v>2350</v>
      </c>
      <c r="B200" s="14" t="s">
        <v>2194</v>
      </c>
      <c r="C200" s="14" t="s">
        <v>829</v>
      </c>
      <c r="D200" s="14" t="s">
        <v>163</v>
      </c>
      <c r="E200" s="15" t="n">
        <v>535000</v>
      </c>
      <c r="F200" s="15" t="n">
        <v>5666.58</v>
      </c>
      <c r="G200" s="15" t="n">
        <v>708.32</v>
      </c>
      <c r="H200" s="15" t="n">
        <v>708.32</v>
      </c>
      <c r="I200" s="15" t="n">
        <f aca="false">SUM(K200:T200)</f>
        <v>4249.9</v>
      </c>
      <c r="J200" s="15" t="n">
        <f aca="false">F200-(G200+H200+I200)</f>
        <v>0.0399999999999636</v>
      </c>
      <c r="K200" s="15" t="n">
        <v>424.99</v>
      </c>
      <c r="L200" s="15" t="n">
        <v>424.99</v>
      </c>
      <c r="M200" s="15" t="n">
        <v>424.99</v>
      </c>
      <c r="N200" s="15" t="n">
        <v>424.99</v>
      </c>
      <c r="O200" s="15" t="n">
        <v>424.99</v>
      </c>
      <c r="P200" s="15" t="n">
        <v>424.99</v>
      </c>
      <c r="Q200" s="15" t="n">
        <v>424.99</v>
      </c>
      <c r="R200" s="15" t="n">
        <v>424.99</v>
      </c>
      <c r="S200" s="15" t="n">
        <v>424.99</v>
      </c>
      <c r="T200" s="15" t="n">
        <v>424.99</v>
      </c>
      <c r="U200" s="15" t="n">
        <v>350</v>
      </c>
      <c r="V200" s="15" t="n">
        <v>0</v>
      </c>
      <c r="W200" s="15" t="n">
        <f aca="false">U200+V200</f>
        <v>350</v>
      </c>
    </row>
    <row r="201" customFormat="false" ht="15" hidden="false" customHeight="false" outlineLevel="0" collapsed="false">
      <c r="A201" s="3" t="s">
        <v>2351</v>
      </c>
      <c r="B201" s="3" t="s">
        <v>2194</v>
      </c>
      <c r="C201" s="3" t="s">
        <v>2042</v>
      </c>
      <c r="D201" s="3" t="s">
        <v>77</v>
      </c>
      <c r="E201" s="13" t="n">
        <v>895000</v>
      </c>
      <c r="F201" s="13" t="n">
        <v>7808.17</v>
      </c>
      <c r="G201" s="13" t="n">
        <v>976.02</v>
      </c>
      <c r="H201" s="13" t="n">
        <v>976.02</v>
      </c>
      <c r="I201" s="13" t="n">
        <f aca="false">SUM(K201:T201)</f>
        <v>5856.1</v>
      </c>
      <c r="J201" s="13" t="n">
        <f aca="false">F201-(G201+H201+I201)</f>
        <v>0.0300000000006548</v>
      </c>
      <c r="K201" s="13" t="n">
        <v>585.61</v>
      </c>
      <c r="L201" s="13" t="n">
        <v>585.61</v>
      </c>
      <c r="M201" s="13" t="n">
        <v>585.61</v>
      </c>
      <c r="N201" s="13" t="n">
        <v>585.61</v>
      </c>
      <c r="O201" s="13" t="n">
        <v>585.61</v>
      </c>
      <c r="P201" s="13" t="n">
        <v>585.61</v>
      </c>
      <c r="Q201" s="13" t="n">
        <v>585.61</v>
      </c>
      <c r="R201" s="13" t="n">
        <v>585.61</v>
      </c>
      <c r="S201" s="13" t="n">
        <v>585.61</v>
      </c>
      <c r="T201" s="13" t="n">
        <v>585.61</v>
      </c>
      <c r="U201" s="13" t="n">
        <v>350</v>
      </c>
      <c r="V201" s="13" t="n">
        <v>0</v>
      </c>
      <c r="W201" s="13" t="n">
        <f aca="false">U201+V201</f>
        <v>350</v>
      </c>
    </row>
    <row r="202" customFormat="false" ht="15" hidden="false" customHeight="false" outlineLevel="0" collapsed="false">
      <c r="A202" s="14" t="s">
        <v>2352</v>
      </c>
      <c r="B202" s="14" t="s">
        <v>2118</v>
      </c>
      <c r="C202" s="14" t="s">
        <v>827</v>
      </c>
      <c r="D202" s="14" t="s">
        <v>99</v>
      </c>
      <c r="E202" s="15" t="n">
        <v>1050000</v>
      </c>
      <c r="F202" s="15" t="n">
        <v>12547.14</v>
      </c>
      <c r="G202" s="15" t="n">
        <v>1568.39</v>
      </c>
      <c r="H202" s="15" t="n">
        <v>1568.39</v>
      </c>
      <c r="I202" s="15" t="n">
        <f aca="false">SUM(K202:T202)</f>
        <v>9410.4</v>
      </c>
      <c r="J202" s="15" t="n">
        <f aca="false">F202-(G202+H202+I202)</f>
        <v>-0.0400000000026921</v>
      </c>
      <c r="K202" s="15" t="n">
        <v>941.04</v>
      </c>
      <c r="L202" s="15" t="n">
        <v>941.04</v>
      </c>
      <c r="M202" s="15" t="n">
        <v>941.04</v>
      </c>
      <c r="N202" s="15" t="n">
        <v>941.04</v>
      </c>
      <c r="O202" s="15" t="n">
        <v>941.04</v>
      </c>
      <c r="P202" s="15" t="n">
        <v>941.04</v>
      </c>
      <c r="Q202" s="15" t="n">
        <v>941.04</v>
      </c>
      <c r="R202" s="15" t="n">
        <v>941.04</v>
      </c>
      <c r="S202" s="15" t="n">
        <v>941.04</v>
      </c>
      <c r="T202" s="15" t="n">
        <v>941.04</v>
      </c>
      <c r="U202" s="15" t="n">
        <v>350</v>
      </c>
      <c r="V202" s="15" t="n">
        <v>250</v>
      </c>
      <c r="W202" s="15" t="n">
        <f aca="false">U202+V202</f>
        <v>600</v>
      </c>
    </row>
    <row r="203" customFormat="false" ht="15" hidden="false" customHeight="false" outlineLevel="0" collapsed="false">
      <c r="A203" s="3" t="s">
        <v>2353</v>
      </c>
      <c r="B203" s="3" t="s">
        <v>2150</v>
      </c>
      <c r="C203" s="3" t="s">
        <v>443</v>
      </c>
      <c r="D203" s="3" t="s">
        <v>166</v>
      </c>
      <c r="E203" s="13" t="n">
        <v>605000</v>
      </c>
      <c r="F203" s="13" t="n">
        <v>8481.18</v>
      </c>
      <c r="G203" s="13" t="n">
        <v>1060.15</v>
      </c>
      <c r="H203" s="13" t="n">
        <v>1060.15</v>
      </c>
      <c r="I203" s="13" t="n">
        <f aca="false">SUM(K203:T203)</f>
        <v>6360.9</v>
      </c>
      <c r="J203" s="13" t="n">
        <f aca="false">F203-(G203+H203+I203)</f>
        <v>-0.0200000000004366</v>
      </c>
      <c r="K203" s="13" t="n">
        <v>636.09</v>
      </c>
      <c r="L203" s="13" t="n">
        <v>636.09</v>
      </c>
      <c r="M203" s="13" t="n">
        <v>636.09</v>
      </c>
      <c r="N203" s="13" t="n">
        <v>636.09</v>
      </c>
      <c r="O203" s="13" t="n">
        <v>636.09</v>
      </c>
      <c r="P203" s="13" t="n">
        <v>636.09</v>
      </c>
      <c r="Q203" s="13" t="n">
        <v>636.09</v>
      </c>
      <c r="R203" s="13" t="n">
        <v>636.09</v>
      </c>
      <c r="S203" s="13" t="n">
        <v>636.09</v>
      </c>
      <c r="T203" s="13" t="n">
        <v>636.09</v>
      </c>
      <c r="U203" s="13" t="n">
        <v>350</v>
      </c>
      <c r="V203" s="13" t="n">
        <v>0</v>
      </c>
      <c r="W203" s="13" t="n">
        <f aca="false">U203+V203</f>
        <v>350</v>
      </c>
    </row>
    <row r="204" customFormat="false" ht="15" hidden="false" customHeight="false" outlineLevel="0" collapsed="false">
      <c r="A204" s="14" t="s">
        <v>2354</v>
      </c>
      <c r="B204" s="14" t="s">
        <v>2111</v>
      </c>
      <c r="C204" s="14" t="s">
        <v>923</v>
      </c>
      <c r="D204" s="14" t="s">
        <v>208</v>
      </c>
      <c r="E204" s="15" t="n">
        <v>390000</v>
      </c>
      <c r="F204" s="15" t="n">
        <v>6074.67</v>
      </c>
      <c r="G204" s="15" t="n">
        <v>759.33</v>
      </c>
      <c r="H204" s="15" t="n">
        <v>759.33</v>
      </c>
      <c r="I204" s="15" t="n">
        <f aca="false">SUM(K204:T204)</f>
        <v>4556</v>
      </c>
      <c r="J204" s="15" t="n">
        <f aca="false">F204-(G204+H204+I204)</f>
        <v>0.00999999999930878</v>
      </c>
      <c r="K204" s="15" t="n">
        <v>455.6</v>
      </c>
      <c r="L204" s="15" t="n">
        <v>455.6</v>
      </c>
      <c r="M204" s="15" t="n">
        <v>455.6</v>
      </c>
      <c r="N204" s="15" t="n">
        <v>455.6</v>
      </c>
      <c r="O204" s="15" t="n">
        <v>455.6</v>
      </c>
      <c r="P204" s="15" t="n">
        <v>455.6</v>
      </c>
      <c r="Q204" s="15" t="n">
        <v>455.6</v>
      </c>
      <c r="R204" s="15" t="n">
        <v>455.6</v>
      </c>
      <c r="S204" s="15" t="n">
        <v>455.6</v>
      </c>
      <c r="T204" s="15" t="n">
        <v>455.6</v>
      </c>
      <c r="U204" s="15" t="n">
        <v>350</v>
      </c>
      <c r="V204" s="15" t="n">
        <v>0</v>
      </c>
      <c r="W204" s="15" t="n">
        <f aca="false">U204+V204</f>
        <v>350</v>
      </c>
    </row>
    <row r="205" customFormat="false" ht="15" hidden="false" customHeight="false" outlineLevel="0" collapsed="false">
      <c r="A205" s="3" t="s">
        <v>2355</v>
      </c>
      <c r="B205" s="3" t="s">
        <v>2101</v>
      </c>
      <c r="C205" s="3" t="s">
        <v>923</v>
      </c>
      <c r="D205" s="3" t="s">
        <v>377</v>
      </c>
      <c r="E205" s="13" t="n">
        <v>365000</v>
      </c>
      <c r="F205" s="13" t="n">
        <v>8985.65</v>
      </c>
      <c r="G205" s="13" t="n">
        <v>1123.21</v>
      </c>
      <c r="H205" s="13" t="n">
        <v>1123.21</v>
      </c>
      <c r="I205" s="13" t="n">
        <f aca="false">SUM(K205:T205)</f>
        <v>6739.2</v>
      </c>
      <c r="J205" s="13" t="n">
        <f aca="false">F205-(G205+H205+I205)</f>
        <v>0.0300000000006548</v>
      </c>
      <c r="K205" s="13" t="n">
        <v>673.92</v>
      </c>
      <c r="L205" s="13" t="n">
        <v>673.92</v>
      </c>
      <c r="M205" s="13" t="n">
        <v>673.92</v>
      </c>
      <c r="N205" s="13" t="n">
        <v>673.92</v>
      </c>
      <c r="O205" s="13" t="n">
        <v>673.92</v>
      </c>
      <c r="P205" s="13" t="n">
        <v>673.92</v>
      </c>
      <c r="Q205" s="13" t="n">
        <v>673.92</v>
      </c>
      <c r="R205" s="13" t="n">
        <v>673.92</v>
      </c>
      <c r="S205" s="13" t="n">
        <v>673.92</v>
      </c>
      <c r="T205" s="13" t="n">
        <v>673.92</v>
      </c>
      <c r="U205" s="13" t="n">
        <v>350</v>
      </c>
      <c r="V205" s="13" t="n">
        <v>0</v>
      </c>
      <c r="W205" s="13" t="n">
        <f aca="false">U205+V205</f>
        <v>350</v>
      </c>
    </row>
    <row r="206" customFormat="false" ht="15" hidden="false" customHeight="false" outlineLevel="0" collapsed="false">
      <c r="A206" s="14" t="s">
        <v>2356</v>
      </c>
      <c r="B206" s="14" t="s">
        <v>2134</v>
      </c>
      <c r="C206" s="14" t="s">
        <v>506</v>
      </c>
      <c r="D206" s="14" t="s">
        <v>73</v>
      </c>
      <c r="E206" s="15" t="n">
        <v>205000</v>
      </c>
      <c r="F206" s="15" t="n">
        <v>3525.18</v>
      </c>
      <c r="G206" s="15" t="n">
        <v>440.65</v>
      </c>
      <c r="H206" s="15" t="n">
        <v>440.65</v>
      </c>
      <c r="I206" s="15" t="n">
        <f aca="false">SUM(K206:T206)</f>
        <v>2643.9</v>
      </c>
      <c r="J206" s="15" t="n">
        <f aca="false">F206-(G206+H206+I206)</f>
        <v>-0.0199999999999818</v>
      </c>
      <c r="K206" s="15" t="n">
        <v>264.39</v>
      </c>
      <c r="L206" s="15" t="n">
        <v>264.39</v>
      </c>
      <c r="M206" s="15" t="n">
        <v>264.39</v>
      </c>
      <c r="N206" s="15" t="n">
        <v>264.39</v>
      </c>
      <c r="O206" s="15" t="n">
        <v>264.39</v>
      </c>
      <c r="P206" s="15" t="n">
        <v>264.39</v>
      </c>
      <c r="Q206" s="15" t="n">
        <v>264.39</v>
      </c>
      <c r="R206" s="15" t="n">
        <v>264.39</v>
      </c>
      <c r="S206" s="15" t="n">
        <v>264.39</v>
      </c>
      <c r="T206" s="15" t="n">
        <v>264.39</v>
      </c>
      <c r="U206" s="15" t="n">
        <v>350</v>
      </c>
      <c r="V206" s="15" t="n">
        <v>0</v>
      </c>
      <c r="W206" s="15" t="n">
        <f aca="false">U206+V206</f>
        <v>350</v>
      </c>
    </row>
    <row r="207" customFormat="false" ht="15" hidden="false" customHeight="false" outlineLevel="0" collapsed="false">
      <c r="A207" s="3" t="s">
        <v>2357</v>
      </c>
      <c r="B207" s="3" t="s">
        <v>2205</v>
      </c>
      <c r="C207" s="3" t="s">
        <v>495</v>
      </c>
      <c r="D207" s="3" t="s">
        <v>193</v>
      </c>
      <c r="E207" s="13" t="n">
        <v>575000</v>
      </c>
      <c r="F207" s="13" t="n">
        <v>10908.25</v>
      </c>
      <c r="G207" s="13" t="n">
        <v>1363.53</v>
      </c>
      <c r="H207" s="13" t="n">
        <v>1363.53</v>
      </c>
      <c r="I207" s="13" t="n">
        <f aca="false">SUM(K207:T207)</f>
        <v>8181.2</v>
      </c>
      <c r="J207" s="13" t="n">
        <f aca="false">F207-(G207+H207+I207)</f>
        <v>-0.0100000000002183</v>
      </c>
      <c r="K207" s="13" t="n">
        <v>818.12</v>
      </c>
      <c r="L207" s="13" t="n">
        <v>818.12</v>
      </c>
      <c r="M207" s="13" t="n">
        <v>818.12</v>
      </c>
      <c r="N207" s="13" t="n">
        <v>818.12</v>
      </c>
      <c r="O207" s="13" t="n">
        <v>818.12</v>
      </c>
      <c r="P207" s="13" t="n">
        <v>818.12</v>
      </c>
      <c r="Q207" s="13" t="n">
        <v>818.12</v>
      </c>
      <c r="R207" s="13" t="n">
        <v>818.12</v>
      </c>
      <c r="S207" s="13" t="n">
        <v>818.12</v>
      </c>
      <c r="T207" s="13" t="n">
        <v>818.12</v>
      </c>
      <c r="U207" s="13" t="n">
        <v>350</v>
      </c>
      <c r="V207" s="13" t="n">
        <v>0</v>
      </c>
      <c r="W207" s="13" t="n">
        <f aca="false">U207+V207</f>
        <v>350</v>
      </c>
    </row>
    <row r="208" customFormat="false" ht="15" hidden="false" customHeight="false" outlineLevel="0" collapsed="false">
      <c r="A208" s="14" t="s">
        <v>2358</v>
      </c>
      <c r="B208" s="14" t="s">
        <v>2120</v>
      </c>
      <c r="C208" s="14" t="s">
        <v>1175</v>
      </c>
      <c r="D208" s="14" t="s">
        <v>352</v>
      </c>
      <c r="E208" s="15" t="n">
        <v>1535000</v>
      </c>
      <c r="F208" s="15" t="n">
        <v>22168.21</v>
      </c>
      <c r="G208" s="15" t="n">
        <v>2771.03</v>
      </c>
      <c r="H208" s="15" t="n">
        <v>2771.03</v>
      </c>
      <c r="I208" s="15" t="n">
        <f aca="false">SUM(K208:T208)</f>
        <v>16626.2</v>
      </c>
      <c r="J208" s="15" t="n">
        <f aca="false">F208-(G208+H208+I208)</f>
        <v>-0.0499999999992724</v>
      </c>
      <c r="K208" s="15" t="n">
        <v>1662.62</v>
      </c>
      <c r="L208" s="15" t="n">
        <v>1662.62</v>
      </c>
      <c r="M208" s="15" t="n">
        <v>1662.62</v>
      </c>
      <c r="N208" s="15" t="n">
        <v>1662.62</v>
      </c>
      <c r="O208" s="15" t="n">
        <v>1662.62</v>
      </c>
      <c r="P208" s="15" t="n">
        <v>1662.62</v>
      </c>
      <c r="Q208" s="15" t="n">
        <v>1662.62</v>
      </c>
      <c r="R208" s="15" t="n">
        <v>1662.62</v>
      </c>
      <c r="S208" s="15" t="n">
        <v>1662.62</v>
      </c>
      <c r="T208" s="15" t="n">
        <v>1662.62</v>
      </c>
      <c r="U208" s="15" t="n">
        <v>350</v>
      </c>
      <c r="V208" s="15" t="n">
        <v>250</v>
      </c>
      <c r="W208" s="15" t="n">
        <f aca="false">U208+V208</f>
        <v>600</v>
      </c>
    </row>
    <row r="209" customFormat="false" ht="15" hidden="false" customHeight="false" outlineLevel="0" collapsed="false">
      <c r="A209" s="3" t="s">
        <v>2359</v>
      </c>
      <c r="B209" s="3" t="s">
        <v>2142</v>
      </c>
      <c r="C209" s="3" t="s">
        <v>314</v>
      </c>
      <c r="D209" s="3" t="s">
        <v>77</v>
      </c>
      <c r="E209" s="13" t="n">
        <v>470000</v>
      </c>
      <c r="F209" s="13" t="n">
        <v>7151.82</v>
      </c>
      <c r="G209" s="13" t="n">
        <v>893.98</v>
      </c>
      <c r="H209" s="13" t="n">
        <v>893.98</v>
      </c>
      <c r="I209" s="13" t="n">
        <f aca="false">SUM(K209:T209)</f>
        <v>5363.9</v>
      </c>
      <c r="J209" s="13" t="n">
        <f aca="false">F209-(G209+H209+I209)</f>
        <v>-0.0400000000008731</v>
      </c>
      <c r="K209" s="13" t="n">
        <v>536.39</v>
      </c>
      <c r="L209" s="13" t="n">
        <v>536.39</v>
      </c>
      <c r="M209" s="13" t="n">
        <v>536.39</v>
      </c>
      <c r="N209" s="13" t="n">
        <v>536.39</v>
      </c>
      <c r="O209" s="13" t="n">
        <v>536.39</v>
      </c>
      <c r="P209" s="13" t="n">
        <v>536.39</v>
      </c>
      <c r="Q209" s="13" t="n">
        <v>536.39</v>
      </c>
      <c r="R209" s="13" t="n">
        <v>536.39</v>
      </c>
      <c r="S209" s="13" t="n">
        <v>536.39</v>
      </c>
      <c r="T209" s="13" t="n">
        <v>536.39</v>
      </c>
      <c r="U209" s="13" t="n">
        <v>350</v>
      </c>
      <c r="V209" s="13" t="n">
        <v>0</v>
      </c>
      <c r="W209" s="13" t="n">
        <f aca="false">U209+V209</f>
        <v>350</v>
      </c>
    </row>
    <row r="210" customFormat="false" ht="15" hidden="false" customHeight="false" outlineLevel="0" collapsed="false">
      <c r="A210" s="14" t="s">
        <v>2360</v>
      </c>
      <c r="B210" s="14" t="s">
        <v>2136</v>
      </c>
      <c r="C210" s="14" t="s">
        <v>1139</v>
      </c>
      <c r="D210" s="14" t="s">
        <v>157</v>
      </c>
      <c r="E210" s="15" t="n">
        <v>1085000</v>
      </c>
      <c r="F210" s="15" t="n">
        <v>19690.73</v>
      </c>
      <c r="G210" s="15" t="n">
        <v>2461.34</v>
      </c>
      <c r="H210" s="15" t="n">
        <v>2461.34</v>
      </c>
      <c r="I210" s="15" t="n">
        <f aca="false">SUM(K210:T210)</f>
        <v>14768</v>
      </c>
      <c r="J210" s="15" t="n">
        <f aca="false">F210-(G210+H210+I210)</f>
        <v>0.0499999999992724</v>
      </c>
      <c r="K210" s="15" t="n">
        <v>1476.8</v>
      </c>
      <c r="L210" s="15" t="n">
        <v>1476.8</v>
      </c>
      <c r="M210" s="15" t="n">
        <v>1476.8</v>
      </c>
      <c r="N210" s="15" t="n">
        <v>1476.8</v>
      </c>
      <c r="O210" s="15" t="n">
        <v>1476.8</v>
      </c>
      <c r="P210" s="15" t="n">
        <v>1476.8</v>
      </c>
      <c r="Q210" s="15" t="n">
        <v>1476.8</v>
      </c>
      <c r="R210" s="15" t="n">
        <v>1476.8</v>
      </c>
      <c r="S210" s="15" t="n">
        <v>1476.8</v>
      </c>
      <c r="T210" s="15" t="n">
        <v>1476.8</v>
      </c>
      <c r="U210" s="15" t="n">
        <v>350</v>
      </c>
      <c r="V210" s="15" t="n">
        <v>250</v>
      </c>
      <c r="W210" s="15" t="n">
        <f aca="false">U210+V210</f>
        <v>600</v>
      </c>
    </row>
    <row r="211" customFormat="false" ht="15" hidden="false" customHeight="false" outlineLevel="0" collapsed="false">
      <c r="A211" s="3" t="s">
        <v>2361</v>
      </c>
      <c r="B211" s="3" t="s">
        <v>2207</v>
      </c>
      <c r="C211" s="3" t="s">
        <v>2153</v>
      </c>
      <c r="D211" s="3" t="s">
        <v>85</v>
      </c>
      <c r="E211" s="13" t="n">
        <v>340000</v>
      </c>
      <c r="F211" s="13" t="n">
        <v>5662.51</v>
      </c>
      <c r="G211" s="13" t="n">
        <v>707.81</v>
      </c>
      <c r="H211" s="13" t="n">
        <v>707.81</v>
      </c>
      <c r="I211" s="13" t="n">
        <f aca="false">SUM(K211:T211)</f>
        <v>4246.9</v>
      </c>
      <c r="J211" s="13" t="n">
        <f aca="false">F211-(G211+H211+I211)</f>
        <v>-0.00999999999930878</v>
      </c>
      <c r="K211" s="13" t="n">
        <v>424.69</v>
      </c>
      <c r="L211" s="13" t="n">
        <v>424.69</v>
      </c>
      <c r="M211" s="13" t="n">
        <v>424.69</v>
      </c>
      <c r="N211" s="13" t="n">
        <v>424.69</v>
      </c>
      <c r="O211" s="13" t="n">
        <v>424.69</v>
      </c>
      <c r="P211" s="13" t="n">
        <v>424.69</v>
      </c>
      <c r="Q211" s="13" t="n">
        <v>424.69</v>
      </c>
      <c r="R211" s="13" t="n">
        <v>424.69</v>
      </c>
      <c r="S211" s="13" t="n">
        <v>424.69</v>
      </c>
      <c r="T211" s="13" t="n">
        <v>424.69</v>
      </c>
      <c r="U211" s="13" t="n">
        <v>350</v>
      </c>
      <c r="V211" s="13" t="n">
        <v>0</v>
      </c>
      <c r="W211" s="13" t="n">
        <f aca="false">U211+V211</f>
        <v>350</v>
      </c>
    </row>
    <row r="212" customFormat="false" ht="15" hidden="false" customHeight="false" outlineLevel="0" collapsed="false">
      <c r="A212" s="14" t="s">
        <v>2362</v>
      </c>
      <c r="B212" s="14" t="s">
        <v>2136</v>
      </c>
      <c r="C212" s="14" t="s">
        <v>632</v>
      </c>
      <c r="D212" s="14" t="s">
        <v>325</v>
      </c>
      <c r="E212" s="15" t="n">
        <v>920000</v>
      </c>
      <c r="F212" s="15" t="n">
        <v>13183.6</v>
      </c>
      <c r="G212" s="15" t="n">
        <v>1647.95</v>
      </c>
      <c r="H212" s="15" t="n">
        <v>1647.95</v>
      </c>
      <c r="I212" s="15" t="n">
        <f aca="false">SUM(K212:T212)</f>
        <v>9887.7</v>
      </c>
      <c r="J212" s="15" t="n">
        <f aca="false">F212-(G212+H212+I212)</f>
        <v>0</v>
      </c>
      <c r="K212" s="15" t="n">
        <v>988.77</v>
      </c>
      <c r="L212" s="15" t="n">
        <v>988.77</v>
      </c>
      <c r="M212" s="15" t="n">
        <v>988.77</v>
      </c>
      <c r="N212" s="15" t="n">
        <v>988.77</v>
      </c>
      <c r="O212" s="15" t="n">
        <v>988.77</v>
      </c>
      <c r="P212" s="15" t="n">
        <v>988.77</v>
      </c>
      <c r="Q212" s="15" t="n">
        <v>988.77</v>
      </c>
      <c r="R212" s="15" t="n">
        <v>988.77</v>
      </c>
      <c r="S212" s="15" t="n">
        <v>988.77</v>
      </c>
      <c r="T212" s="15" t="n">
        <v>988.77</v>
      </c>
      <c r="U212" s="15" t="n">
        <v>350</v>
      </c>
      <c r="V212" s="15" t="n">
        <v>0</v>
      </c>
      <c r="W212" s="15" t="n">
        <f aca="false">U212+V212</f>
        <v>350</v>
      </c>
    </row>
    <row r="213" customFormat="false" ht="15" hidden="false" customHeight="false" outlineLevel="0" collapsed="false">
      <c r="A213" s="3" t="s">
        <v>2363</v>
      </c>
      <c r="B213" s="3" t="s">
        <v>2116</v>
      </c>
      <c r="C213" s="3" t="s">
        <v>366</v>
      </c>
      <c r="D213" s="3" t="s">
        <v>153</v>
      </c>
      <c r="E213" s="13" t="n">
        <v>470000</v>
      </c>
      <c r="F213" s="13" t="n">
        <v>8728.6</v>
      </c>
      <c r="G213" s="13" t="n">
        <v>1091.08</v>
      </c>
      <c r="H213" s="13" t="n">
        <v>1091.08</v>
      </c>
      <c r="I213" s="13" t="n">
        <f aca="false">SUM(K213:T213)</f>
        <v>6546.4</v>
      </c>
      <c r="J213" s="13" t="n">
        <f aca="false">F213-(G213+H213+I213)</f>
        <v>0.0399999999990541</v>
      </c>
      <c r="K213" s="13" t="n">
        <v>654.64</v>
      </c>
      <c r="L213" s="13" t="n">
        <v>654.64</v>
      </c>
      <c r="M213" s="13" t="n">
        <v>654.64</v>
      </c>
      <c r="N213" s="13" t="n">
        <v>654.64</v>
      </c>
      <c r="O213" s="13" t="n">
        <v>654.64</v>
      </c>
      <c r="P213" s="13" t="n">
        <v>654.64</v>
      </c>
      <c r="Q213" s="13" t="n">
        <v>654.64</v>
      </c>
      <c r="R213" s="13" t="n">
        <v>654.64</v>
      </c>
      <c r="S213" s="13" t="n">
        <v>654.64</v>
      </c>
      <c r="T213" s="13" t="n">
        <v>654.64</v>
      </c>
      <c r="U213" s="13" t="n">
        <v>350</v>
      </c>
      <c r="V213" s="13" t="n">
        <v>0</v>
      </c>
      <c r="W213" s="13" t="n">
        <f aca="false">U213+V213</f>
        <v>350</v>
      </c>
    </row>
    <row r="214" customFormat="false" ht="15" hidden="false" customHeight="false" outlineLevel="0" collapsed="false">
      <c r="A214" s="14" t="s">
        <v>2364</v>
      </c>
      <c r="B214" s="14" t="s">
        <v>2299</v>
      </c>
      <c r="C214" s="14" t="s">
        <v>294</v>
      </c>
      <c r="D214" s="14" t="s">
        <v>112</v>
      </c>
      <c r="E214" s="15" t="n">
        <v>410000</v>
      </c>
      <c r="F214" s="15" t="n">
        <v>4666.83</v>
      </c>
      <c r="G214" s="15" t="n">
        <v>583.35</v>
      </c>
      <c r="H214" s="15" t="n">
        <v>583.35</v>
      </c>
      <c r="I214" s="15" t="n">
        <f aca="false">SUM(K214:T214)</f>
        <v>3500.1</v>
      </c>
      <c r="J214" s="15" t="n">
        <f aca="false">F214-(G214+H214+I214)</f>
        <v>0.0299999999997453</v>
      </c>
      <c r="K214" s="15" t="n">
        <v>350.01</v>
      </c>
      <c r="L214" s="15" t="n">
        <v>350.01</v>
      </c>
      <c r="M214" s="15" t="n">
        <v>350.01</v>
      </c>
      <c r="N214" s="15" t="n">
        <v>350.01</v>
      </c>
      <c r="O214" s="15" t="n">
        <v>350.01</v>
      </c>
      <c r="P214" s="15" t="n">
        <v>350.01</v>
      </c>
      <c r="Q214" s="15" t="n">
        <v>350.01</v>
      </c>
      <c r="R214" s="15" t="n">
        <v>350.01</v>
      </c>
      <c r="S214" s="15" t="n">
        <v>350.01</v>
      </c>
      <c r="T214" s="15" t="n">
        <v>350.01</v>
      </c>
      <c r="U214" s="15" t="n">
        <v>350</v>
      </c>
      <c r="V214" s="15" t="n">
        <v>0</v>
      </c>
      <c r="W214" s="15" t="n">
        <f aca="false">U214+V214</f>
        <v>350</v>
      </c>
    </row>
    <row r="215" customFormat="false" ht="15" hidden="false" customHeight="false" outlineLevel="0" collapsed="false">
      <c r="A215" s="3" t="s">
        <v>2365</v>
      </c>
      <c r="B215" s="3" t="s">
        <v>2118</v>
      </c>
      <c r="C215" s="3" t="s">
        <v>1881</v>
      </c>
      <c r="D215" s="3" t="s">
        <v>93</v>
      </c>
      <c r="E215" s="13" t="n">
        <v>1130000</v>
      </c>
      <c r="F215" s="13" t="n">
        <v>12708.81</v>
      </c>
      <c r="G215" s="13" t="n">
        <v>1588.6</v>
      </c>
      <c r="H215" s="13" t="n">
        <v>1588.6</v>
      </c>
      <c r="I215" s="13" t="n">
        <f aca="false">SUM(K215:T215)</f>
        <v>9531.6</v>
      </c>
      <c r="J215" s="13" t="n">
        <f aca="false">F215-(G215+H215+I215)</f>
        <v>0.0100000000002183</v>
      </c>
      <c r="K215" s="13" t="n">
        <v>953.16</v>
      </c>
      <c r="L215" s="13" t="n">
        <v>953.16</v>
      </c>
      <c r="M215" s="13" t="n">
        <v>953.16</v>
      </c>
      <c r="N215" s="13" t="n">
        <v>953.16</v>
      </c>
      <c r="O215" s="13" t="n">
        <v>953.16</v>
      </c>
      <c r="P215" s="13" t="n">
        <v>953.16</v>
      </c>
      <c r="Q215" s="13" t="n">
        <v>953.16</v>
      </c>
      <c r="R215" s="13" t="n">
        <v>953.16</v>
      </c>
      <c r="S215" s="13" t="n">
        <v>953.16</v>
      </c>
      <c r="T215" s="13" t="n">
        <v>953.16</v>
      </c>
      <c r="U215" s="13" t="n">
        <v>350</v>
      </c>
      <c r="V215" s="13" t="n">
        <v>250</v>
      </c>
      <c r="W215" s="13" t="n">
        <f aca="false">U215+V215</f>
        <v>600</v>
      </c>
    </row>
    <row r="216" customFormat="false" ht="15" hidden="false" customHeight="false" outlineLevel="0" collapsed="false">
      <c r="A216" s="14" t="s">
        <v>2366</v>
      </c>
      <c r="B216" s="14" t="s">
        <v>2118</v>
      </c>
      <c r="C216" s="14" t="s">
        <v>570</v>
      </c>
      <c r="D216" s="14" t="s">
        <v>698</v>
      </c>
      <c r="E216" s="15" t="n">
        <v>815000</v>
      </c>
      <c r="F216" s="15" t="n">
        <v>7670.09</v>
      </c>
      <c r="G216" s="15" t="n">
        <v>958.76</v>
      </c>
      <c r="H216" s="15" t="n">
        <v>958.76</v>
      </c>
      <c r="I216" s="15" t="n">
        <f aca="false">SUM(K216:T216)</f>
        <v>5752.6</v>
      </c>
      <c r="J216" s="15" t="n">
        <f aca="false">F216-(G216+H216+I216)</f>
        <v>-0.0300000000006548</v>
      </c>
      <c r="K216" s="15" t="n">
        <v>575.26</v>
      </c>
      <c r="L216" s="15" t="n">
        <v>575.26</v>
      </c>
      <c r="M216" s="15" t="n">
        <v>575.26</v>
      </c>
      <c r="N216" s="15" t="n">
        <v>575.26</v>
      </c>
      <c r="O216" s="15" t="n">
        <v>575.26</v>
      </c>
      <c r="P216" s="15" t="n">
        <v>575.26</v>
      </c>
      <c r="Q216" s="15" t="n">
        <v>575.26</v>
      </c>
      <c r="R216" s="15" t="n">
        <v>575.26</v>
      </c>
      <c r="S216" s="15" t="n">
        <v>575.26</v>
      </c>
      <c r="T216" s="15" t="n">
        <v>575.26</v>
      </c>
      <c r="U216" s="15" t="n">
        <v>350</v>
      </c>
      <c r="V216" s="15" t="n">
        <v>0</v>
      </c>
      <c r="W216" s="15" t="n">
        <f aca="false">U216+V216</f>
        <v>350</v>
      </c>
    </row>
    <row r="217" customFormat="false" ht="15" hidden="false" customHeight="false" outlineLevel="0" collapsed="false">
      <c r="A217" s="3" t="s">
        <v>2367</v>
      </c>
      <c r="B217" s="3" t="s">
        <v>2176</v>
      </c>
      <c r="C217" s="3" t="s">
        <v>863</v>
      </c>
      <c r="D217" s="3" t="s">
        <v>698</v>
      </c>
      <c r="E217" s="13" t="n">
        <v>440000</v>
      </c>
      <c r="F217" s="13" t="n">
        <v>11074.51</v>
      </c>
      <c r="G217" s="13" t="n">
        <v>1384.31</v>
      </c>
      <c r="H217" s="13" t="n">
        <v>1384.31</v>
      </c>
      <c r="I217" s="13" t="n">
        <f aca="false">SUM(K217:T217)</f>
        <v>8305.9</v>
      </c>
      <c r="J217" s="13" t="n">
        <f aca="false">F217-(G217+H217+I217)</f>
        <v>-0.0100000000002183</v>
      </c>
      <c r="K217" s="13" t="n">
        <v>830.59</v>
      </c>
      <c r="L217" s="13" t="n">
        <v>830.59</v>
      </c>
      <c r="M217" s="13" t="n">
        <v>830.59</v>
      </c>
      <c r="N217" s="13" t="n">
        <v>830.59</v>
      </c>
      <c r="O217" s="13" t="n">
        <v>830.59</v>
      </c>
      <c r="P217" s="13" t="n">
        <v>830.59</v>
      </c>
      <c r="Q217" s="13" t="n">
        <v>830.59</v>
      </c>
      <c r="R217" s="13" t="n">
        <v>830.59</v>
      </c>
      <c r="S217" s="13" t="n">
        <v>830.59</v>
      </c>
      <c r="T217" s="13" t="n">
        <v>830.59</v>
      </c>
      <c r="U217" s="13" t="n">
        <v>350</v>
      </c>
      <c r="V217" s="13" t="n">
        <v>0</v>
      </c>
      <c r="W217" s="13" t="n">
        <f aca="false">U217+V217</f>
        <v>350</v>
      </c>
    </row>
    <row r="218" customFormat="false" ht="15" hidden="false" customHeight="false" outlineLevel="0" collapsed="false">
      <c r="A218" s="14" t="s">
        <v>2368</v>
      </c>
      <c r="B218" s="14" t="s">
        <v>2122</v>
      </c>
      <c r="C218" s="14" t="s">
        <v>684</v>
      </c>
      <c r="D218" s="14" t="s">
        <v>352</v>
      </c>
      <c r="E218" s="15" t="n">
        <v>475000</v>
      </c>
      <c r="F218" s="15" t="n">
        <v>6431.13</v>
      </c>
      <c r="G218" s="15" t="n">
        <v>803.89</v>
      </c>
      <c r="H218" s="15" t="n">
        <v>803.89</v>
      </c>
      <c r="I218" s="15" t="n">
        <f aca="false">SUM(K218:T218)</f>
        <v>4823.3</v>
      </c>
      <c r="J218" s="15" t="n">
        <f aca="false">F218-(G218+H218+I218)</f>
        <v>0.0500000000001819</v>
      </c>
      <c r="K218" s="15" t="n">
        <v>482.33</v>
      </c>
      <c r="L218" s="15" t="n">
        <v>482.33</v>
      </c>
      <c r="M218" s="15" t="n">
        <v>482.33</v>
      </c>
      <c r="N218" s="15" t="n">
        <v>482.33</v>
      </c>
      <c r="O218" s="15" t="n">
        <v>482.33</v>
      </c>
      <c r="P218" s="15" t="n">
        <v>482.33</v>
      </c>
      <c r="Q218" s="15" t="n">
        <v>482.33</v>
      </c>
      <c r="R218" s="15" t="n">
        <v>482.33</v>
      </c>
      <c r="S218" s="15" t="n">
        <v>482.33</v>
      </c>
      <c r="T218" s="15" t="n">
        <v>482.33</v>
      </c>
      <c r="U218" s="15" t="n">
        <v>350</v>
      </c>
      <c r="V218" s="15" t="n">
        <v>0</v>
      </c>
      <c r="W218" s="15" t="n">
        <f aca="false">U218+V218</f>
        <v>350</v>
      </c>
    </row>
    <row r="219" customFormat="false" ht="15" hidden="false" customHeight="false" outlineLevel="0" collapsed="false">
      <c r="A219" s="3" t="s">
        <v>2369</v>
      </c>
      <c r="B219" s="3" t="s">
        <v>2132</v>
      </c>
      <c r="C219" s="3" t="s">
        <v>184</v>
      </c>
      <c r="D219" s="3" t="s">
        <v>157</v>
      </c>
      <c r="E219" s="13" t="n">
        <v>1950000</v>
      </c>
      <c r="F219" s="13" t="n">
        <v>35388.87</v>
      </c>
      <c r="G219" s="13" t="n">
        <v>4423.61</v>
      </c>
      <c r="H219" s="13" t="n">
        <v>4423.61</v>
      </c>
      <c r="I219" s="13" t="n">
        <f aca="false">SUM(K219:T219)</f>
        <v>26541.7</v>
      </c>
      <c r="J219" s="13" t="n">
        <f aca="false">F219-(G219+H219+I219)</f>
        <v>-0.0499999999956344</v>
      </c>
      <c r="K219" s="13" t="n">
        <v>2654.17</v>
      </c>
      <c r="L219" s="13" t="n">
        <v>2654.17</v>
      </c>
      <c r="M219" s="13" t="n">
        <v>2654.17</v>
      </c>
      <c r="N219" s="13" t="n">
        <v>2654.17</v>
      </c>
      <c r="O219" s="13" t="n">
        <v>2654.17</v>
      </c>
      <c r="P219" s="13" t="n">
        <v>2654.17</v>
      </c>
      <c r="Q219" s="13" t="n">
        <v>2654.17</v>
      </c>
      <c r="R219" s="13" t="n">
        <v>2654.17</v>
      </c>
      <c r="S219" s="13" t="n">
        <v>2654.17</v>
      </c>
      <c r="T219" s="13" t="n">
        <v>2654.17</v>
      </c>
      <c r="U219" s="13" t="n">
        <v>350</v>
      </c>
      <c r="V219" s="13" t="n">
        <v>250</v>
      </c>
      <c r="W219" s="13" t="n">
        <f aca="false">U219+V219</f>
        <v>600</v>
      </c>
    </row>
    <row r="220" customFormat="false" ht="15" hidden="false" customHeight="false" outlineLevel="0" collapsed="false">
      <c r="A220" s="14" t="s">
        <v>2370</v>
      </c>
      <c r="B220" s="14" t="s">
        <v>2205</v>
      </c>
      <c r="C220" s="14" t="s">
        <v>330</v>
      </c>
      <c r="D220" s="14" t="s">
        <v>328</v>
      </c>
      <c r="E220" s="15" t="n">
        <v>805000</v>
      </c>
      <c r="F220" s="15" t="n">
        <v>15882.42</v>
      </c>
      <c r="G220" s="15" t="n">
        <v>1985.3</v>
      </c>
      <c r="H220" s="15" t="n">
        <v>1985.3</v>
      </c>
      <c r="I220" s="15" t="n">
        <f aca="false">SUM(K220:T220)</f>
        <v>11911.8</v>
      </c>
      <c r="J220" s="15" t="n">
        <f aca="false">F220-(G220+H220+I220)</f>
        <v>0.0199999999986176</v>
      </c>
      <c r="K220" s="15" t="n">
        <v>1191.18</v>
      </c>
      <c r="L220" s="15" t="n">
        <v>1191.18</v>
      </c>
      <c r="M220" s="15" t="n">
        <v>1191.18</v>
      </c>
      <c r="N220" s="15" t="n">
        <v>1191.18</v>
      </c>
      <c r="O220" s="15" t="n">
        <v>1191.18</v>
      </c>
      <c r="P220" s="15" t="n">
        <v>1191.18</v>
      </c>
      <c r="Q220" s="15" t="n">
        <v>1191.18</v>
      </c>
      <c r="R220" s="15" t="n">
        <v>1191.18</v>
      </c>
      <c r="S220" s="15" t="n">
        <v>1191.18</v>
      </c>
      <c r="T220" s="15" t="n">
        <v>1191.18</v>
      </c>
      <c r="U220" s="15" t="n">
        <v>350</v>
      </c>
      <c r="V220" s="15" t="n">
        <v>0</v>
      </c>
      <c r="W220" s="15" t="n">
        <f aca="false">U220+V220</f>
        <v>350</v>
      </c>
    </row>
    <row r="221" customFormat="false" ht="15" hidden="false" customHeight="false" outlineLevel="0" collapsed="false">
      <c r="A221" s="3" t="s">
        <v>2371</v>
      </c>
      <c r="B221" s="3" t="s">
        <v>2207</v>
      </c>
      <c r="C221" s="3" t="s">
        <v>263</v>
      </c>
      <c r="D221" s="3" t="s">
        <v>157</v>
      </c>
      <c r="E221" s="13" t="n">
        <v>705000</v>
      </c>
      <c r="F221" s="13" t="n">
        <v>15193.4</v>
      </c>
      <c r="G221" s="13" t="n">
        <v>1899.17</v>
      </c>
      <c r="H221" s="13" t="n">
        <v>1899.17</v>
      </c>
      <c r="I221" s="13" t="n">
        <f aca="false">SUM(K221:T221)</f>
        <v>11395</v>
      </c>
      <c r="J221" s="13" t="n">
        <f aca="false">F221-(G221+H221+I221)</f>
        <v>0.0599999999994907</v>
      </c>
      <c r="K221" s="13" t="n">
        <v>1139.5</v>
      </c>
      <c r="L221" s="13" t="n">
        <v>1139.5</v>
      </c>
      <c r="M221" s="13" t="n">
        <v>1139.5</v>
      </c>
      <c r="N221" s="13" t="n">
        <v>1139.5</v>
      </c>
      <c r="O221" s="13" t="n">
        <v>1139.5</v>
      </c>
      <c r="P221" s="13" t="n">
        <v>1139.5</v>
      </c>
      <c r="Q221" s="13" t="n">
        <v>1139.5</v>
      </c>
      <c r="R221" s="13" t="n">
        <v>1139.5</v>
      </c>
      <c r="S221" s="13" t="n">
        <v>1139.5</v>
      </c>
      <c r="T221" s="13" t="n">
        <v>1139.5</v>
      </c>
      <c r="U221" s="13" t="n">
        <v>350</v>
      </c>
      <c r="V221" s="13" t="n">
        <v>0</v>
      </c>
      <c r="W221" s="13" t="n">
        <f aca="false">U221+V221</f>
        <v>350</v>
      </c>
    </row>
    <row r="222" customFormat="false" ht="15" hidden="false" customHeight="false" outlineLevel="0" collapsed="false">
      <c r="A222" s="14" t="s">
        <v>2372</v>
      </c>
      <c r="B222" s="14" t="s">
        <v>2136</v>
      </c>
      <c r="C222" s="14" t="s">
        <v>1165</v>
      </c>
      <c r="D222" s="14" t="s">
        <v>698</v>
      </c>
      <c r="E222" s="15" t="n">
        <v>570000</v>
      </c>
      <c r="F222" s="15" t="n">
        <v>8108.91</v>
      </c>
      <c r="G222" s="15" t="n">
        <v>1013.61</v>
      </c>
      <c r="H222" s="15" t="n">
        <v>1013.61</v>
      </c>
      <c r="I222" s="15" t="n">
        <f aca="false">SUM(K222:T222)</f>
        <v>6081.7</v>
      </c>
      <c r="J222" s="15" t="n">
        <f aca="false">F222-(G222+H222+I222)</f>
        <v>-0.0100000000002183</v>
      </c>
      <c r="K222" s="15" t="n">
        <v>608.17</v>
      </c>
      <c r="L222" s="15" t="n">
        <v>608.17</v>
      </c>
      <c r="M222" s="15" t="n">
        <v>608.17</v>
      </c>
      <c r="N222" s="15" t="n">
        <v>608.17</v>
      </c>
      <c r="O222" s="15" t="n">
        <v>608.17</v>
      </c>
      <c r="P222" s="15" t="n">
        <v>608.17</v>
      </c>
      <c r="Q222" s="15" t="n">
        <v>608.17</v>
      </c>
      <c r="R222" s="15" t="n">
        <v>608.17</v>
      </c>
      <c r="S222" s="15" t="n">
        <v>608.17</v>
      </c>
      <c r="T222" s="15" t="n">
        <v>608.17</v>
      </c>
      <c r="U222" s="15" t="n">
        <v>350</v>
      </c>
      <c r="V222" s="15" t="n">
        <v>0</v>
      </c>
      <c r="W222" s="15" t="n">
        <f aca="false">U222+V222</f>
        <v>350</v>
      </c>
    </row>
    <row r="223" customFormat="false" ht="15" hidden="false" customHeight="false" outlineLevel="0" collapsed="false">
      <c r="A223" s="3" t="s">
        <v>2373</v>
      </c>
      <c r="B223" s="3" t="s">
        <v>2122</v>
      </c>
      <c r="C223" s="3" t="s">
        <v>852</v>
      </c>
      <c r="D223" s="3" t="s">
        <v>125</v>
      </c>
      <c r="E223" s="13" t="n">
        <v>840000</v>
      </c>
      <c r="F223" s="13" t="n">
        <v>10048.44</v>
      </c>
      <c r="G223" s="13" t="n">
        <v>1256.06</v>
      </c>
      <c r="H223" s="13" t="n">
        <v>1256.06</v>
      </c>
      <c r="I223" s="13" t="n">
        <f aca="false">SUM(K223:T223)</f>
        <v>7536.3</v>
      </c>
      <c r="J223" s="13" t="n">
        <f aca="false">F223-(G223+H223+I223)</f>
        <v>0.0200000000004366</v>
      </c>
      <c r="K223" s="13" t="n">
        <v>753.63</v>
      </c>
      <c r="L223" s="13" t="n">
        <v>753.63</v>
      </c>
      <c r="M223" s="13" t="n">
        <v>753.63</v>
      </c>
      <c r="N223" s="13" t="n">
        <v>753.63</v>
      </c>
      <c r="O223" s="13" t="n">
        <v>753.63</v>
      </c>
      <c r="P223" s="13" t="n">
        <v>753.63</v>
      </c>
      <c r="Q223" s="13" t="n">
        <v>753.63</v>
      </c>
      <c r="R223" s="13" t="n">
        <v>753.63</v>
      </c>
      <c r="S223" s="13" t="n">
        <v>753.63</v>
      </c>
      <c r="T223" s="13" t="n">
        <v>753.63</v>
      </c>
      <c r="U223" s="13" t="n">
        <v>350</v>
      </c>
      <c r="V223" s="13" t="n">
        <v>0</v>
      </c>
      <c r="W223" s="13" t="n">
        <f aca="false">U223+V223</f>
        <v>350</v>
      </c>
    </row>
    <row r="224" customFormat="false" ht="15" hidden="false" customHeight="false" outlineLevel="0" collapsed="false">
      <c r="A224" s="14" t="s">
        <v>2374</v>
      </c>
      <c r="B224" s="14" t="s">
        <v>2101</v>
      </c>
      <c r="C224" s="14" t="s">
        <v>165</v>
      </c>
      <c r="D224" s="14" t="s">
        <v>185</v>
      </c>
      <c r="E224" s="15" t="n">
        <v>725000</v>
      </c>
      <c r="F224" s="15" t="n">
        <v>7603.72</v>
      </c>
      <c r="G224" s="15" t="n">
        <v>950.47</v>
      </c>
      <c r="H224" s="15" t="n">
        <v>950.47</v>
      </c>
      <c r="I224" s="15" t="n">
        <f aca="false">SUM(K224:T224)</f>
        <v>5702.8</v>
      </c>
      <c r="J224" s="15" t="n">
        <f aca="false">F224-(G224+H224+I224)</f>
        <v>-0.0199999999995271</v>
      </c>
      <c r="K224" s="15" t="n">
        <v>570.28</v>
      </c>
      <c r="L224" s="15" t="n">
        <v>570.28</v>
      </c>
      <c r="M224" s="15" t="n">
        <v>570.28</v>
      </c>
      <c r="N224" s="15" t="n">
        <v>570.28</v>
      </c>
      <c r="O224" s="15" t="n">
        <v>570.28</v>
      </c>
      <c r="P224" s="15" t="n">
        <v>570.28</v>
      </c>
      <c r="Q224" s="15" t="n">
        <v>570.28</v>
      </c>
      <c r="R224" s="15" t="n">
        <v>570.28</v>
      </c>
      <c r="S224" s="15" t="n">
        <v>570.28</v>
      </c>
      <c r="T224" s="15" t="n">
        <v>570.28</v>
      </c>
      <c r="U224" s="15" t="n">
        <v>350</v>
      </c>
      <c r="V224" s="15" t="n">
        <v>0</v>
      </c>
      <c r="W224" s="15" t="n">
        <f aca="false">U224+V224</f>
        <v>350</v>
      </c>
    </row>
    <row r="225" customFormat="false" ht="15" hidden="false" customHeight="false" outlineLevel="0" collapsed="false">
      <c r="A225" s="3" t="s">
        <v>2375</v>
      </c>
      <c r="B225" s="3" t="s">
        <v>2132</v>
      </c>
      <c r="C225" s="3" t="s">
        <v>2376</v>
      </c>
      <c r="D225" s="3" t="s">
        <v>698</v>
      </c>
      <c r="E225" s="13" t="n">
        <v>980000</v>
      </c>
      <c r="F225" s="13" t="n">
        <v>13941.64</v>
      </c>
      <c r="G225" s="13" t="n">
        <v>1742.7</v>
      </c>
      <c r="H225" s="13" t="n">
        <v>1742.7</v>
      </c>
      <c r="I225" s="13" t="n">
        <f aca="false">SUM(K225:T225)</f>
        <v>10456.2</v>
      </c>
      <c r="J225" s="13" t="n">
        <f aca="false">F225-(G225+H225+I225)</f>
        <v>0.0400000000026921</v>
      </c>
      <c r="K225" s="13" t="n">
        <v>1045.62</v>
      </c>
      <c r="L225" s="13" t="n">
        <v>1045.62</v>
      </c>
      <c r="M225" s="13" t="n">
        <v>1045.62</v>
      </c>
      <c r="N225" s="13" t="n">
        <v>1045.62</v>
      </c>
      <c r="O225" s="13" t="n">
        <v>1045.62</v>
      </c>
      <c r="P225" s="13" t="n">
        <v>1045.62</v>
      </c>
      <c r="Q225" s="13" t="n">
        <v>1045.62</v>
      </c>
      <c r="R225" s="13" t="n">
        <v>1045.62</v>
      </c>
      <c r="S225" s="13" t="n">
        <v>1045.62</v>
      </c>
      <c r="T225" s="13" t="n">
        <v>1045.62</v>
      </c>
      <c r="U225" s="13" t="n">
        <v>350</v>
      </c>
      <c r="V225" s="13" t="n">
        <v>0</v>
      </c>
      <c r="W225" s="13" t="n">
        <f aca="false">U225+V225</f>
        <v>350</v>
      </c>
    </row>
    <row r="226" customFormat="false" ht="15" hidden="false" customHeight="false" outlineLevel="0" collapsed="false">
      <c r="A226" s="14" t="s">
        <v>2377</v>
      </c>
      <c r="B226" s="14" t="s">
        <v>2159</v>
      </c>
      <c r="C226" s="14" t="s">
        <v>2235</v>
      </c>
      <c r="D226" s="14" t="s">
        <v>93</v>
      </c>
      <c r="E226" s="15" t="n">
        <v>335000</v>
      </c>
      <c r="F226" s="15" t="n">
        <v>5137.71</v>
      </c>
      <c r="G226" s="15" t="n">
        <v>642.21</v>
      </c>
      <c r="H226" s="15" t="n">
        <v>642.21</v>
      </c>
      <c r="I226" s="15" t="n">
        <f aca="false">SUM(K226:T226)</f>
        <v>3853.3</v>
      </c>
      <c r="J226" s="15" t="n">
        <f aca="false">F226-(G226+H226+I226)</f>
        <v>-0.00999999999930878</v>
      </c>
      <c r="K226" s="15" t="n">
        <v>385.33</v>
      </c>
      <c r="L226" s="15" t="n">
        <v>385.33</v>
      </c>
      <c r="M226" s="15" t="n">
        <v>385.33</v>
      </c>
      <c r="N226" s="15" t="n">
        <v>385.33</v>
      </c>
      <c r="O226" s="15" t="n">
        <v>385.33</v>
      </c>
      <c r="P226" s="15" t="n">
        <v>385.33</v>
      </c>
      <c r="Q226" s="15" t="n">
        <v>385.33</v>
      </c>
      <c r="R226" s="15" t="n">
        <v>385.33</v>
      </c>
      <c r="S226" s="15" t="n">
        <v>385.33</v>
      </c>
      <c r="T226" s="15" t="n">
        <v>385.33</v>
      </c>
      <c r="U226" s="15" t="n">
        <v>350</v>
      </c>
      <c r="V226" s="15" t="n">
        <v>0</v>
      </c>
      <c r="W226" s="15" t="n">
        <f aca="false">U226+V226</f>
        <v>350</v>
      </c>
    </row>
    <row r="227" customFormat="false" ht="15" hidden="false" customHeight="false" outlineLevel="0" collapsed="false">
      <c r="A227" s="3" t="s">
        <v>2378</v>
      </c>
      <c r="B227" s="3" t="s">
        <v>2111</v>
      </c>
      <c r="C227" s="3" t="s">
        <v>1000</v>
      </c>
      <c r="D227" s="3" t="s">
        <v>69</v>
      </c>
      <c r="E227" s="13" t="n">
        <v>630000</v>
      </c>
      <c r="F227" s="13" t="n">
        <v>6345.69</v>
      </c>
      <c r="G227" s="13" t="n">
        <v>793.21</v>
      </c>
      <c r="H227" s="13" t="n">
        <v>793.21</v>
      </c>
      <c r="I227" s="13" t="n">
        <f aca="false">SUM(K227:T227)</f>
        <v>4759.3</v>
      </c>
      <c r="J227" s="13" t="n">
        <f aca="false">F227-(G227+H227+I227)</f>
        <v>-0.0300000000006548</v>
      </c>
      <c r="K227" s="13" t="n">
        <v>475.93</v>
      </c>
      <c r="L227" s="13" t="n">
        <v>475.93</v>
      </c>
      <c r="M227" s="13" t="n">
        <v>475.93</v>
      </c>
      <c r="N227" s="13" t="n">
        <v>475.93</v>
      </c>
      <c r="O227" s="13" t="n">
        <v>475.93</v>
      </c>
      <c r="P227" s="13" t="n">
        <v>475.93</v>
      </c>
      <c r="Q227" s="13" t="n">
        <v>475.93</v>
      </c>
      <c r="R227" s="13" t="n">
        <v>475.93</v>
      </c>
      <c r="S227" s="13" t="n">
        <v>475.93</v>
      </c>
      <c r="T227" s="13" t="n">
        <v>475.93</v>
      </c>
      <c r="U227" s="13" t="n">
        <v>350</v>
      </c>
      <c r="V227" s="13" t="n">
        <v>0</v>
      </c>
      <c r="W227" s="13" t="n">
        <f aca="false">U227+V227</f>
        <v>350</v>
      </c>
    </row>
    <row r="228" customFormat="false" ht="15" hidden="false" customHeight="false" outlineLevel="0" collapsed="false">
      <c r="A228" s="14" t="s">
        <v>2379</v>
      </c>
      <c r="B228" s="14" t="s">
        <v>2129</v>
      </c>
      <c r="C228" s="14" t="s">
        <v>651</v>
      </c>
      <c r="D228" s="14" t="s">
        <v>189</v>
      </c>
      <c r="E228" s="15" t="n">
        <v>530000</v>
      </c>
      <c r="F228" s="15" t="n">
        <v>6053.9</v>
      </c>
      <c r="G228" s="15" t="n">
        <v>756.74</v>
      </c>
      <c r="H228" s="15" t="n">
        <v>756.74</v>
      </c>
      <c r="I228" s="15" t="n">
        <f aca="false">SUM(K228:T228)</f>
        <v>4540.4</v>
      </c>
      <c r="J228" s="15" t="n">
        <f aca="false">F228-(G228+H228+I228)</f>
        <v>0.0199999999986176</v>
      </c>
      <c r="K228" s="15" t="n">
        <v>454.04</v>
      </c>
      <c r="L228" s="15" t="n">
        <v>454.04</v>
      </c>
      <c r="M228" s="15" t="n">
        <v>454.04</v>
      </c>
      <c r="N228" s="15" t="n">
        <v>454.04</v>
      </c>
      <c r="O228" s="15" t="n">
        <v>454.04</v>
      </c>
      <c r="P228" s="15" t="n">
        <v>454.04</v>
      </c>
      <c r="Q228" s="15" t="n">
        <v>454.04</v>
      </c>
      <c r="R228" s="15" t="n">
        <v>454.04</v>
      </c>
      <c r="S228" s="15" t="n">
        <v>454.04</v>
      </c>
      <c r="T228" s="15" t="n">
        <v>454.04</v>
      </c>
      <c r="U228" s="15" t="n">
        <v>350</v>
      </c>
      <c r="V228" s="15" t="n">
        <v>0</v>
      </c>
      <c r="W228" s="15" t="n">
        <f aca="false">U228+V228</f>
        <v>350</v>
      </c>
    </row>
    <row r="229" customFormat="false" ht="15" hidden="false" customHeight="false" outlineLevel="0" collapsed="false">
      <c r="A229" s="3" t="s">
        <v>2380</v>
      </c>
      <c r="B229" s="3" t="s">
        <v>2159</v>
      </c>
      <c r="C229" s="3" t="s">
        <v>199</v>
      </c>
      <c r="D229" s="3" t="s">
        <v>99</v>
      </c>
      <c r="E229" s="13" t="n">
        <v>840000</v>
      </c>
      <c r="F229" s="13" t="n">
        <v>17337.86</v>
      </c>
      <c r="G229" s="13" t="n">
        <v>2167.23</v>
      </c>
      <c r="H229" s="13" t="n">
        <v>2167.23</v>
      </c>
      <c r="I229" s="13" t="n">
        <f aca="false">SUM(K229:T229)</f>
        <v>13003.4</v>
      </c>
      <c r="J229" s="13" t="n">
        <f aca="false">F229-(G229+H229+I229)</f>
        <v>0</v>
      </c>
      <c r="K229" s="13" t="n">
        <v>1300.34</v>
      </c>
      <c r="L229" s="13" t="n">
        <v>1300.34</v>
      </c>
      <c r="M229" s="13" t="n">
        <v>1300.34</v>
      </c>
      <c r="N229" s="13" t="n">
        <v>1300.34</v>
      </c>
      <c r="O229" s="13" t="n">
        <v>1300.34</v>
      </c>
      <c r="P229" s="13" t="n">
        <v>1300.34</v>
      </c>
      <c r="Q229" s="13" t="n">
        <v>1300.34</v>
      </c>
      <c r="R229" s="13" t="n">
        <v>1300.34</v>
      </c>
      <c r="S229" s="13" t="n">
        <v>1300.34</v>
      </c>
      <c r="T229" s="13" t="n">
        <v>1300.34</v>
      </c>
      <c r="U229" s="13" t="n">
        <v>350</v>
      </c>
      <c r="V229" s="13" t="n">
        <v>0</v>
      </c>
      <c r="W229" s="13" t="n">
        <f aca="false">U229+V229</f>
        <v>350</v>
      </c>
    </row>
    <row r="230" customFormat="false" ht="15" hidden="false" customHeight="false" outlineLevel="0" collapsed="false">
      <c r="A230" s="14" t="s">
        <v>2381</v>
      </c>
      <c r="B230" s="14" t="s">
        <v>2120</v>
      </c>
      <c r="C230" s="14" t="s">
        <v>294</v>
      </c>
      <c r="D230" s="14" t="s">
        <v>89</v>
      </c>
      <c r="E230" s="15" t="n">
        <v>720000</v>
      </c>
      <c r="F230" s="15" t="n">
        <v>10093.3</v>
      </c>
      <c r="G230" s="15" t="n">
        <v>1261.66</v>
      </c>
      <c r="H230" s="15" t="n">
        <v>1261.66</v>
      </c>
      <c r="I230" s="15" t="n">
        <f aca="false">SUM(K230:T230)</f>
        <v>7570</v>
      </c>
      <c r="J230" s="15" t="n">
        <f aca="false">F230-(G230+H230+I230)</f>
        <v>-0.0200000000004366</v>
      </c>
      <c r="K230" s="15" t="n">
        <v>757</v>
      </c>
      <c r="L230" s="15" t="n">
        <v>757</v>
      </c>
      <c r="M230" s="15" t="n">
        <v>757</v>
      </c>
      <c r="N230" s="15" t="n">
        <v>757</v>
      </c>
      <c r="O230" s="15" t="n">
        <v>757</v>
      </c>
      <c r="P230" s="15" t="n">
        <v>757</v>
      </c>
      <c r="Q230" s="15" t="n">
        <v>757</v>
      </c>
      <c r="R230" s="15" t="n">
        <v>757</v>
      </c>
      <c r="S230" s="15" t="n">
        <v>757</v>
      </c>
      <c r="T230" s="15" t="n">
        <v>757</v>
      </c>
      <c r="U230" s="15" t="n">
        <v>350</v>
      </c>
      <c r="V230" s="15" t="n">
        <v>0</v>
      </c>
      <c r="W230" s="15" t="n">
        <f aca="false">U230+V230</f>
        <v>350</v>
      </c>
    </row>
    <row r="231" customFormat="false" ht="15" hidden="false" customHeight="false" outlineLevel="0" collapsed="false">
      <c r="A231" s="3" t="s">
        <v>2382</v>
      </c>
      <c r="B231" s="3" t="s">
        <v>2113</v>
      </c>
      <c r="C231" s="3" t="s">
        <v>1285</v>
      </c>
      <c r="D231" s="3" t="s">
        <v>93</v>
      </c>
      <c r="E231" s="13" t="n">
        <v>360000</v>
      </c>
      <c r="F231" s="13" t="n">
        <v>5521.12</v>
      </c>
      <c r="G231" s="13" t="n">
        <v>690.14</v>
      </c>
      <c r="H231" s="13" t="n">
        <v>690.14</v>
      </c>
      <c r="I231" s="13" t="n">
        <f aca="false">SUM(K231:T231)</f>
        <v>4140.8</v>
      </c>
      <c r="J231" s="13" t="n">
        <f aca="false">F231-(G231+H231+I231)</f>
        <v>0.0399999999999636</v>
      </c>
      <c r="K231" s="13" t="n">
        <v>414.08</v>
      </c>
      <c r="L231" s="13" t="n">
        <v>414.08</v>
      </c>
      <c r="M231" s="13" t="n">
        <v>414.08</v>
      </c>
      <c r="N231" s="13" t="n">
        <v>414.08</v>
      </c>
      <c r="O231" s="13" t="n">
        <v>414.08</v>
      </c>
      <c r="P231" s="13" t="n">
        <v>414.08</v>
      </c>
      <c r="Q231" s="13" t="n">
        <v>414.08</v>
      </c>
      <c r="R231" s="13" t="n">
        <v>414.08</v>
      </c>
      <c r="S231" s="13" t="n">
        <v>414.08</v>
      </c>
      <c r="T231" s="13" t="n">
        <v>414.08</v>
      </c>
      <c r="U231" s="13" t="n">
        <v>350</v>
      </c>
      <c r="V231" s="13" t="n">
        <v>0</v>
      </c>
      <c r="W231" s="13" t="n">
        <f aca="false">U231+V231</f>
        <v>350</v>
      </c>
    </row>
    <row r="232" customFormat="false" ht="15" hidden="false" customHeight="false" outlineLevel="0" collapsed="false">
      <c r="A232" s="14" t="s">
        <v>2383</v>
      </c>
      <c r="B232" s="14" t="s">
        <v>2136</v>
      </c>
      <c r="C232" s="14" t="s">
        <v>1514</v>
      </c>
      <c r="D232" s="14" t="s">
        <v>147</v>
      </c>
      <c r="E232" s="15" t="n">
        <v>305000</v>
      </c>
      <c r="F232" s="15" t="n">
        <v>3910.2</v>
      </c>
      <c r="G232" s="15" t="n">
        <v>488.77</v>
      </c>
      <c r="H232" s="15" t="n">
        <v>488.77</v>
      </c>
      <c r="I232" s="15" t="n">
        <f aca="false">SUM(K232:T232)</f>
        <v>2932.6</v>
      </c>
      <c r="J232" s="15" t="n">
        <f aca="false">F232-(G232+H232+I232)</f>
        <v>0.0599999999994907</v>
      </c>
      <c r="K232" s="15" t="n">
        <v>293.26</v>
      </c>
      <c r="L232" s="15" t="n">
        <v>293.26</v>
      </c>
      <c r="M232" s="15" t="n">
        <v>293.26</v>
      </c>
      <c r="N232" s="15" t="n">
        <v>293.26</v>
      </c>
      <c r="O232" s="15" t="n">
        <v>293.26</v>
      </c>
      <c r="P232" s="15" t="n">
        <v>293.26</v>
      </c>
      <c r="Q232" s="15" t="n">
        <v>293.26</v>
      </c>
      <c r="R232" s="15" t="n">
        <v>293.26</v>
      </c>
      <c r="S232" s="15" t="n">
        <v>293.26</v>
      </c>
      <c r="T232" s="15" t="n">
        <v>293.26</v>
      </c>
      <c r="U232" s="15" t="n">
        <v>350</v>
      </c>
      <c r="V232" s="15" t="n">
        <v>0</v>
      </c>
      <c r="W232" s="15" t="n">
        <f aca="false">U232+V232</f>
        <v>350</v>
      </c>
    </row>
    <row r="233" customFormat="false" ht="15" hidden="false" customHeight="false" outlineLevel="0" collapsed="false">
      <c r="A233" s="3" t="s">
        <v>2384</v>
      </c>
      <c r="B233" s="3" t="s">
        <v>2164</v>
      </c>
      <c r="C233" s="3" t="s">
        <v>366</v>
      </c>
      <c r="D233" s="3" t="s">
        <v>157</v>
      </c>
      <c r="E233" s="13" t="n">
        <v>565000</v>
      </c>
      <c r="F233" s="13" t="n">
        <v>8331.13</v>
      </c>
      <c r="G233" s="13" t="n">
        <v>1041.39</v>
      </c>
      <c r="H233" s="13" t="n">
        <v>1041.39</v>
      </c>
      <c r="I233" s="13" t="n">
        <f aca="false">SUM(K233:T233)</f>
        <v>6248.3</v>
      </c>
      <c r="J233" s="13" t="n">
        <f aca="false">F233-(G233+H233+I233)</f>
        <v>0.0499999999992724</v>
      </c>
      <c r="K233" s="13" t="n">
        <v>624.83</v>
      </c>
      <c r="L233" s="13" t="n">
        <v>624.83</v>
      </c>
      <c r="M233" s="13" t="n">
        <v>624.83</v>
      </c>
      <c r="N233" s="13" t="n">
        <v>624.83</v>
      </c>
      <c r="O233" s="13" t="n">
        <v>624.83</v>
      </c>
      <c r="P233" s="13" t="n">
        <v>624.83</v>
      </c>
      <c r="Q233" s="13" t="n">
        <v>624.83</v>
      </c>
      <c r="R233" s="13" t="n">
        <v>624.83</v>
      </c>
      <c r="S233" s="13" t="n">
        <v>624.83</v>
      </c>
      <c r="T233" s="13" t="n">
        <v>624.83</v>
      </c>
      <c r="U233" s="13" t="n">
        <v>350</v>
      </c>
      <c r="V233" s="13" t="n">
        <v>0</v>
      </c>
      <c r="W233" s="13" t="n">
        <f aca="false">U233+V233</f>
        <v>350</v>
      </c>
    </row>
    <row r="234" customFormat="false" ht="15" hidden="false" customHeight="false" outlineLevel="0" collapsed="false">
      <c r="A234" s="14" t="s">
        <v>2385</v>
      </c>
      <c r="B234" s="14" t="s">
        <v>2194</v>
      </c>
      <c r="C234" s="14" t="s">
        <v>761</v>
      </c>
      <c r="D234" s="14" t="s">
        <v>166</v>
      </c>
      <c r="E234" s="15" t="n">
        <v>345000</v>
      </c>
      <c r="F234" s="15" t="n">
        <v>5580.43</v>
      </c>
      <c r="G234" s="15" t="n">
        <v>697.55</v>
      </c>
      <c r="H234" s="15" t="n">
        <v>697.55</v>
      </c>
      <c r="I234" s="15" t="n">
        <f aca="false">SUM(K234:T234)</f>
        <v>4185.3</v>
      </c>
      <c r="J234" s="15" t="n">
        <f aca="false">F234-(G234+H234+I234)</f>
        <v>0.0300000000006548</v>
      </c>
      <c r="K234" s="15" t="n">
        <v>418.53</v>
      </c>
      <c r="L234" s="15" t="n">
        <v>418.53</v>
      </c>
      <c r="M234" s="15" t="n">
        <v>418.53</v>
      </c>
      <c r="N234" s="15" t="n">
        <v>418.53</v>
      </c>
      <c r="O234" s="15" t="n">
        <v>418.53</v>
      </c>
      <c r="P234" s="15" t="n">
        <v>418.53</v>
      </c>
      <c r="Q234" s="15" t="n">
        <v>418.53</v>
      </c>
      <c r="R234" s="15" t="n">
        <v>418.53</v>
      </c>
      <c r="S234" s="15" t="n">
        <v>418.53</v>
      </c>
      <c r="T234" s="15" t="n">
        <v>418.53</v>
      </c>
      <c r="U234" s="15" t="n">
        <v>350</v>
      </c>
      <c r="V234" s="15" t="n">
        <v>0</v>
      </c>
      <c r="W234" s="15" t="n">
        <f aca="false">U234+V234</f>
        <v>350</v>
      </c>
    </row>
    <row r="235" customFormat="false" ht="15" hidden="false" customHeight="false" outlineLevel="0" collapsed="false">
      <c r="A235" s="3" t="s">
        <v>2386</v>
      </c>
      <c r="B235" s="3" t="s">
        <v>2122</v>
      </c>
      <c r="C235" s="3" t="s">
        <v>636</v>
      </c>
      <c r="D235" s="3" t="s">
        <v>338</v>
      </c>
      <c r="E235" s="13" t="n">
        <v>560000</v>
      </c>
      <c r="F235" s="13" t="n">
        <v>10538.7</v>
      </c>
      <c r="G235" s="13" t="n">
        <v>1317.34</v>
      </c>
      <c r="H235" s="13" t="n">
        <v>1317.34</v>
      </c>
      <c r="I235" s="13" t="n">
        <f aca="false">SUM(K235:T235)</f>
        <v>7904</v>
      </c>
      <c r="J235" s="13" t="n">
        <f aca="false">F235-(G235+H235+I235)</f>
        <v>0.0200000000022555</v>
      </c>
      <c r="K235" s="13" t="n">
        <v>790.4</v>
      </c>
      <c r="L235" s="13" t="n">
        <v>790.4</v>
      </c>
      <c r="M235" s="13" t="n">
        <v>790.4</v>
      </c>
      <c r="N235" s="13" t="n">
        <v>790.4</v>
      </c>
      <c r="O235" s="13" t="n">
        <v>790.4</v>
      </c>
      <c r="P235" s="13" t="n">
        <v>790.4</v>
      </c>
      <c r="Q235" s="13" t="n">
        <v>790.4</v>
      </c>
      <c r="R235" s="13" t="n">
        <v>790.4</v>
      </c>
      <c r="S235" s="13" t="n">
        <v>790.4</v>
      </c>
      <c r="T235" s="13" t="n">
        <v>790.4</v>
      </c>
      <c r="U235" s="13" t="n">
        <v>350</v>
      </c>
      <c r="V235" s="13" t="n">
        <v>0</v>
      </c>
      <c r="W235" s="13" t="n">
        <f aca="false">U235+V235</f>
        <v>350</v>
      </c>
    </row>
    <row r="236" customFormat="false" ht="15" hidden="false" customHeight="false" outlineLevel="0" collapsed="false">
      <c r="A236" s="14" t="s">
        <v>2387</v>
      </c>
      <c r="B236" s="14" t="s">
        <v>2156</v>
      </c>
      <c r="C236" s="14" t="s">
        <v>570</v>
      </c>
      <c r="D236" s="14" t="s">
        <v>89</v>
      </c>
      <c r="E236" s="15" t="n">
        <v>1120000</v>
      </c>
      <c r="F236" s="15" t="n">
        <v>13285.21</v>
      </c>
      <c r="G236" s="15" t="n">
        <v>1660.65</v>
      </c>
      <c r="H236" s="15" t="n">
        <v>1660.65</v>
      </c>
      <c r="I236" s="15" t="n">
        <f aca="false">SUM(K236:T236)</f>
        <v>9963.9</v>
      </c>
      <c r="J236" s="15" t="n">
        <f aca="false">F236-(G236+H236+I236)</f>
        <v>0.00999999999839929</v>
      </c>
      <c r="K236" s="15" t="n">
        <v>996.39</v>
      </c>
      <c r="L236" s="15" t="n">
        <v>996.39</v>
      </c>
      <c r="M236" s="15" t="n">
        <v>996.39</v>
      </c>
      <c r="N236" s="15" t="n">
        <v>996.39</v>
      </c>
      <c r="O236" s="15" t="n">
        <v>996.39</v>
      </c>
      <c r="P236" s="15" t="n">
        <v>996.39</v>
      </c>
      <c r="Q236" s="15" t="n">
        <v>996.39</v>
      </c>
      <c r="R236" s="15" t="n">
        <v>996.39</v>
      </c>
      <c r="S236" s="15" t="n">
        <v>996.39</v>
      </c>
      <c r="T236" s="15" t="n">
        <v>996.39</v>
      </c>
      <c r="U236" s="15" t="n">
        <v>350</v>
      </c>
      <c r="V236" s="15" t="n">
        <v>250</v>
      </c>
      <c r="W236" s="15" t="n">
        <f aca="false">U236+V236</f>
        <v>600</v>
      </c>
    </row>
    <row r="237" customFormat="false" ht="15" hidden="false" customHeight="false" outlineLevel="0" collapsed="false">
      <c r="A237" s="3" t="s">
        <v>2388</v>
      </c>
      <c r="B237" s="3" t="s">
        <v>2118</v>
      </c>
      <c r="C237" s="3" t="s">
        <v>2040</v>
      </c>
      <c r="D237" s="3" t="s">
        <v>325</v>
      </c>
      <c r="E237" s="13" t="n">
        <v>475000</v>
      </c>
      <c r="F237" s="13" t="n">
        <v>5026.52</v>
      </c>
      <c r="G237" s="13" t="n">
        <v>628.32</v>
      </c>
      <c r="H237" s="13" t="n">
        <v>628.32</v>
      </c>
      <c r="I237" s="13" t="n">
        <f aca="false">SUM(K237:T237)</f>
        <v>3769.9</v>
      </c>
      <c r="J237" s="13" t="n">
        <f aca="false">F237-(G237+H237+I237)</f>
        <v>-0.0199999999995271</v>
      </c>
      <c r="K237" s="13" t="n">
        <v>376.99</v>
      </c>
      <c r="L237" s="13" t="n">
        <v>376.99</v>
      </c>
      <c r="M237" s="13" t="n">
        <v>376.99</v>
      </c>
      <c r="N237" s="13" t="n">
        <v>376.99</v>
      </c>
      <c r="O237" s="13" t="n">
        <v>376.99</v>
      </c>
      <c r="P237" s="13" t="n">
        <v>376.99</v>
      </c>
      <c r="Q237" s="13" t="n">
        <v>376.99</v>
      </c>
      <c r="R237" s="13" t="n">
        <v>376.99</v>
      </c>
      <c r="S237" s="13" t="n">
        <v>376.99</v>
      </c>
      <c r="T237" s="13" t="n">
        <v>376.99</v>
      </c>
      <c r="U237" s="13" t="n">
        <v>350</v>
      </c>
      <c r="V237" s="13" t="n">
        <v>0</v>
      </c>
      <c r="W237" s="13" t="n">
        <f aca="false">U237+V237</f>
        <v>350</v>
      </c>
    </row>
    <row r="238" customFormat="false" ht="15" hidden="false" customHeight="false" outlineLevel="0" collapsed="false">
      <c r="A238" s="14" t="s">
        <v>2389</v>
      </c>
      <c r="B238" s="14" t="s">
        <v>2107</v>
      </c>
      <c r="C238" s="14" t="s">
        <v>1779</v>
      </c>
      <c r="D238" s="14" t="s">
        <v>430</v>
      </c>
      <c r="E238" s="15" t="n">
        <v>825000</v>
      </c>
      <c r="F238" s="15" t="n">
        <v>12395.57</v>
      </c>
      <c r="G238" s="15" t="n">
        <v>1549.45</v>
      </c>
      <c r="H238" s="15" t="n">
        <v>1549.45</v>
      </c>
      <c r="I238" s="15" t="n">
        <f aca="false">SUM(K238:T238)</f>
        <v>9296.7</v>
      </c>
      <c r="J238" s="15" t="n">
        <f aca="false">F238-(G238+H238+I238)</f>
        <v>-0.0299999999988358</v>
      </c>
      <c r="K238" s="15" t="n">
        <v>929.67</v>
      </c>
      <c r="L238" s="15" t="n">
        <v>929.67</v>
      </c>
      <c r="M238" s="15" t="n">
        <v>929.67</v>
      </c>
      <c r="N238" s="15" t="n">
        <v>929.67</v>
      </c>
      <c r="O238" s="15" t="n">
        <v>929.67</v>
      </c>
      <c r="P238" s="15" t="n">
        <v>929.67</v>
      </c>
      <c r="Q238" s="15" t="n">
        <v>929.67</v>
      </c>
      <c r="R238" s="15" t="n">
        <v>929.67</v>
      </c>
      <c r="S238" s="15" t="n">
        <v>929.67</v>
      </c>
      <c r="T238" s="15" t="n">
        <v>929.67</v>
      </c>
      <c r="U238" s="15" t="n">
        <v>350</v>
      </c>
      <c r="V238" s="15" t="n">
        <v>0</v>
      </c>
      <c r="W238" s="15" t="n">
        <f aca="false">U238+V238</f>
        <v>350</v>
      </c>
    </row>
    <row r="239" customFormat="false" ht="15" hidden="false" customHeight="false" outlineLevel="0" collapsed="false">
      <c r="A239" s="3" t="s">
        <v>2390</v>
      </c>
      <c r="B239" s="3" t="s">
        <v>2299</v>
      </c>
      <c r="C239" s="3" t="s">
        <v>253</v>
      </c>
      <c r="D239" s="3" t="s">
        <v>125</v>
      </c>
      <c r="E239" s="13" t="n">
        <v>425000</v>
      </c>
      <c r="F239" s="13" t="n">
        <v>3128.63</v>
      </c>
      <c r="G239" s="13" t="n">
        <v>391.08</v>
      </c>
      <c r="H239" s="13" t="n">
        <v>391.08</v>
      </c>
      <c r="I239" s="13" t="n">
        <f aca="false">SUM(K239:T239)</f>
        <v>2346.5</v>
      </c>
      <c r="J239" s="13" t="n">
        <f aca="false">F239-(G239+H239+I239)</f>
        <v>-0.0299999999997453</v>
      </c>
      <c r="K239" s="13" t="n">
        <v>234.65</v>
      </c>
      <c r="L239" s="13" t="n">
        <v>234.65</v>
      </c>
      <c r="M239" s="13" t="n">
        <v>234.65</v>
      </c>
      <c r="N239" s="13" t="n">
        <v>234.65</v>
      </c>
      <c r="O239" s="13" t="n">
        <v>234.65</v>
      </c>
      <c r="P239" s="13" t="n">
        <v>234.65</v>
      </c>
      <c r="Q239" s="13" t="n">
        <v>234.65</v>
      </c>
      <c r="R239" s="13" t="n">
        <v>234.65</v>
      </c>
      <c r="S239" s="13" t="n">
        <v>234.65</v>
      </c>
      <c r="T239" s="13" t="n">
        <v>234.65</v>
      </c>
      <c r="U239" s="13" t="n">
        <v>350</v>
      </c>
      <c r="V239" s="13" t="n">
        <v>0</v>
      </c>
      <c r="W239" s="13" t="n">
        <f aca="false">U239+V239</f>
        <v>350</v>
      </c>
    </row>
    <row r="240" customFormat="false" ht="15" hidden="false" customHeight="false" outlineLevel="0" collapsed="false">
      <c r="A240" s="14" t="s">
        <v>2391</v>
      </c>
      <c r="B240" s="14" t="s">
        <v>2164</v>
      </c>
      <c r="C240" s="14" t="s">
        <v>1123</v>
      </c>
      <c r="D240" s="14" t="s">
        <v>406</v>
      </c>
      <c r="E240" s="15" t="n">
        <v>215000</v>
      </c>
      <c r="F240" s="15" t="n">
        <v>2938.75</v>
      </c>
      <c r="G240" s="15" t="n">
        <v>367.34</v>
      </c>
      <c r="H240" s="15" t="n">
        <v>367.34</v>
      </c>
      <c r="I240" s="15" t="n">
        <f aca="false">SUM(K240:T240)</f>
        <v>2204.1</v>
      </c>
      <c r="J240" s="15" t="n">
        <f aca="false">F240-(G240+H240+I240)</f>
        <v>-0.0299999999997453</v>
      </c>
      <c r="K240" s="15" t="n">
        <v>220.41</v>
      </c>
      <c r="L240" s="15" t="n">
        <v>220.41</v>
      </c>
      <c r="M240" s="15" t="n">
        <v>220.41</v>
      </c>
      <c r="N240" s="15" t="n">
        <v>220.41</v>
      </c>
      <c r="O240" s="15" t="n">
        <v>220.41</v>
      </c>
      <c r="P240" s="15" t="n">
        <v>220.41</v>
      </c>
      <c r="Q240" s="15" t="n">
        <v>220.41</v>
      </c>
      <c r="R240" s="15" t="n">
        <v>220.41</v>
      </c>
      <c r="S240" s="15" t="n">
        <v>220.41</v>
      </c>
      <c r="T240" s="15" t="n">
        <v>220.41</v>
      </c>
      <c r="U240" s="15" t="n">
        <v>350</v>
      </c>
      <c r="V240" s="15" t="n">
        <v>0</v>
      </c>
      <c r="W240" s="15" t="n">
        <f aca="false">U240+V240</f>
        <v>350</v>
      </c>
    </row>
    <row r="241" customFormat="false" ht="15" hidden="false" customHeight="false" outlineLevel="0" collapsed="false">
      <c r="A241" s="3" t="s">
        <v>2392</v>
      </c>
      <c r="B241" s="3" t="s">
        <v>2176</v>
      </c>
      <c r="C241" s="3" t="s">
        <v>2393</v>
      </c>
      <c r="D241" s="3" t="s">
        <v>197</v>
      </c>
      <c r="E241" s="13" t="n">
        <v>750000</v>
      </c>
      <c r="F241" s="13" t="n">
        <v>5615.78</v>
      </c>
      <c r="G241" s="13" t="n">
        <v>701.97</v>
      </c>
      <c r="H241" s="13" t="n">
        <v>701.97</v>
      </c>
      <c r="I241" s="13" t="n">
        <f aca="false">SUM(K241:T241)</f>
        <v>4211.8</v>
      </c>
      <c r="J241" s="13" t="n">
        <f aca="false">F241-(G241+H241+I241)</f>
        <v>0.0399999999999636</v>
      </c>
      <c r="K241" s="13" t="n">
        <v>421.18</v>
      </c>
      <c r="L241" s="13" t="n">
        <v>421.18</v>
      </c>
      <c r="M241" s="13" t="n">
        <v>421.18</v>
      </c>
      <c r="N241" s="13" t="n">
        <v>421.18</v>
      </c>
      <c r="O241" s="13" t="n">
        <v>421.18</v>
      </c>
      <c r="P241" s="13" t="n">
        <v>421.18</v>
      </c>
      <c r="Q241" s="13" t="n">
        <v>421.18</v>
      </c>
      <c r="R241" s="13" t="n">
        <v>421.18</v>
      </c>
      <c r="S241" s="13" t="n">
        <v>421.18</v>
      </c>
      <c r="T241" s="13" t="n">
        <v>421.18</v>
      </c>
      <c r="U241" s="13" t="n">
        <v>350</v>
      </c>
      <c r="V241" s="13" t="n">
        <v>0</v>
      </c>
      <c r="W241" s="13" t="n">
        <f aca="false">U241+V241</f>
        <v>350</v>
      </c>
    </row>
    <row r="242" customFormat="false" ht="15" hidden="false" customHeight="false" outlineLevel="0" collapsed="false">
      <c r="A242" s="14" t="s">
        <v>2394</v>
      </c>
      <c r="B242" s="14" t="s">
        <v>2159</v>
      </c>
      <c r="C242" s="14" t="s">
        <v>1105</v>
      </c>
      <c r="D242" s="14" t="s">
        <v>115</v>
      </c>
      <c r="E242" s="15" t="n">
        <v>380000</v>
      </c>
      <c r="F242" s="15" t="n">
        <v>6009.97</v>
      </c>
      <c r="G242" s="15" t="n">
        <v>751.25</v>
      </c>
      <c r="H242" s="15" t="n">
        <v>751.25</v>
      </c>
      <c r="I242" s="15" t="n">
        <f aca="false">SUM(K242:T242)</f>
        <v>4507.5</v>
      </c>
      <c r="J242" s="15" t="n">
        <f aca="false">F242-(G242+H242+I242)</f>
        <v>-0.0299999999997453</v>
      </c>
      <c r="K242" s="15" t="n">
        <v>450.75</v>
      </c>
      <c r="L242" s="15" t="n">
        <v>450.75</v>
      </c>
      <c r="M242" s="15" t="n">
        <v>450.75</v>
      </c>
      <c r="N242" s="15" t="n">
        <v>450.75</v>
      </c>
      <c r="O242" s="15" t="n">
        <v>450.75</v>
      </c>
      <c r="P242" s="15" t="n">
        <v>450.75</v>
      </c>
      <c r="Q242" s="15" t="n">
        <v>450.75</v>
      </c>
      <c r="R242" s="15" t="n">
        <v>450.75</v>
      </c>
      <c r="S242" s="15" t="n">
        <v>450.75</v>
      </c>
      <c r="T242" s="15" t="n">
        <v>450.75</v>
      </c>
      <c r="U242" s="15" t="n">
        <v>350</v>
      </c>
      <c r="V242" s="15" t="n">
        <v>0</v>
      </c>
      <c r="W242" s="15" t="n">
        <f aca="false">U242+V242</f>
        <v>350</v>
      </c>
    </row>
    <row r="243" customFormat="false" ht="15" hidden="false" customHeight="false" outlineLevel="0" collapsed="false">
      <c r="A243" s="3" t="s">
        <v>2395</v>
      </c>
      <c r="B243" s="3" t="s">
        <v>2148</v>
      </c>
      <c r="C243" s="3" t="s">
        <v>2396</v>
      </c>
      <c r="D243" s="3" t="s">
        <v>911</v>
      </c>
      <c r="E243" s="13" t="n">
        <v>890000</v>
      </c>
      <c r="F243" s="13" t="n">
        <v>6602.92</v>
      </c>
      <c r="G243" s="13" t="n">
        <v>825.37</v>
      </c>
      <c r="H243" s="13" t="n">
        <v>825.37</v>
      </c>
      <c r="I243" s="13" t="n">
        <f aca="false">SUM(K243:T243)</f>
        <v>4952.2</v>
      </c>
      <c r="J243" s="13" t="n">
        <f aca="false">F243-(G243+H243+I243)</f>
        <v>-0.0200000000004366</v>
      </c>
      <c r="K243" s="13" t="n">
        <v>495.22</v>
      </c>
      <c r="L243" s="13" t="n">
        <v>495.22</v>
      </c>
      <c r="M243" s="13" t="n">
        <v>495.22</v>
      </c>
      <c r="N243" s="13" t="n">
        <v>495.22</v>
      </c>
      <c r="O243" s="13" t="n">
        <v>495.22</v>
      </c>
      <c r="P243" s="13" t="n">
        <v>495.22</v>
      </c>
      <c r="Q243" s="13" t="n">
        <v>495.22</v>
      </c>
      <c r="R243" s="13" t="n">
        <v>495.22</v>
      </c>
      <c r="S243" s="13" t="n">
        <v>495.22</v>
      </c>
      <c r="T243" s="13" t="n">
        <v>495.22</v>
      </c>
      <c r="U243" s="13" t="n">
        <v>350</v>
      </c>
      <c r="V243" s="13" t="n">
        <v>0</v>
      </c>
      <c r="W243" s="13" t="n">
        <f aca="false">U243+V243</f>
        <v>350</v>
      </c>
    </row>
    <row r="244" customFormat="false" ht="15" hidden="false" customHeight="false" outlineLevel="0" collapsed="false">
      <c r="A244" s="14" t="s">
        <v>2397</v>
      </c>
      <c r="B244" s="14" t="s">
        <v>2124</v>
      </c>
      <c r="C244" s="14" t="s">
        <v>1329</v>
      </c>
      <c r="D244" s="14" t="s">
        <v>69</v>
      </c>
      <c r="E244" s="15" t="n">
        <v>1090000</v>
      </c>
      <c r="F244" s="15" t="n">
        <v>13512.7</v>
      </c>
      <c r="G244" s="15" t="n">
        <v>1689.09</v>
      </c>
      <c r="H244" s="15" t="n">
        <v>1689.09</v>
      </c>
      <c r="I244" s="15" t="n">
        <f aca="false">SUM(K244:T244)</f>
        <v>10134.5</v>
      </c>
      <c r="J244" s="15" t="n">
        <f aca="false">F244-(G244+H244+I244)</f>
        <v>0.0199999999986176</v>
      </c>
      <c r="K244" s="15" t="n">
        <v>1013.45</v>
      </c>
      <c r="L244" s="15" t="n">
        <v>1013.45</v>
      </c>
      <c r="M244" s="15" t="n">
        <v>1013.45</v>
      </c>
      <c r="N244" s="15" t="n">
        <v>1013.45</v>
      </c>
      <c r="O244" s="15" t="n">
        <v>1013.45</v>
      </c>
      <c r="P244" s="15" t="n">
        <v>1013.45</v>
      </c>
      <c r="Q244" s="15" t="n">
        <v>1013.45</v>
      </c>
      <c r="R244" s="15" t="n">
        <v>1013.45</v>
      </c>
      <c r="S244" s="15" t="n">
        <v>1013.45</v>
      </c>
      <c r="T244" s="15" t="n">
        <v>1013.45</v>
      </c>
      <c r="U244" s="15" t="n">
        <v>350</v>
      </c>
      <c r="V244" s="15" t="n">
        <v>250</v>
      </c>
      <c r="W244" s="15" t="n">
        <f aca="false">U244+V244</f>
        <v>600</v>
      </c>
    </row>
    <row r="245" customFormat="false" ht="15" hidden="false" customHeight="false" outlineLevel="0" collapsed="false">
      <c r="A245" s="3" t="s">
        <v>2398</v>
      </c>
      <c r="B245" s="3" t="s">
        <v>2183</v>
      </c>
      <c r="C245" s="3" t="s">
        <v>2399</v>
      </c>
      <c r="D245" s="3" t="s">
        <v>279</v>
      </c>
      <c r="E245" s="13" t="n">
        <v>400000</v>
      </c>
      <c r="F245" s="13" t="n">
        <v>4361.3</v>
      </c>
      <c r="G245" s="13" t="n">
        <v>545.16</v>
      </c>
      <c r="H245" s="13" t="n">
        <v>545.16</v>
      </c>
      <c r="I245" s="13" t="n">
        <f aca="false">SUM(K245:T245)</f>
        <v>3271</v>
      </c>
      <c r="J245" s="13" t="n">
        <f aca="false">F245-(G245+H245+I245)</f>
        <v>-0.0199999999995271</v>
      </c>
      <c r="K245" s="13" t="n">
        <v>327.1</v>
      </c>
      <c r="L245" s="13" t="n">
        <v>327.1</v>
      </c>
      <c r="M245" s="13" t="n">
        <v>327.1</v>
      </c>
      <c r="N245" s="13" t="n">
        <v>327.1</v>
      </c>
      <c r="O245" s="13" t="n">
        <v>327.1</v>
      </c>
      <c r="P245" s="13" t="n">
        <v>327.1</v>
      </c>
      <c r="Q245" s="13" t="n">
        <v>327.1</v>
      </c>
      <c r="R245" s="13" t="n">
        <v>327.1</v>
      </c>
      <c r="S245" s="13" t="n">
        <v>327.1</v>
      </c>
      <c r="T245" s="13" t="n">
        <v>327.1</v>
      </c>
      <c r="U245" s="13" t="n">
        <v>350</v>
      </c>
      <c r="V245" s="13" t="n">
        <v>0</v>
      </c>
      <c r="W245" s="13" t="n">
        <f aca="false">U245+V245</f>
        <v>350</v>
      </c>
    </row>
    <row r="246" customFormat="false" ht="15" hidden="false" customHeight="false" outlineLevel="0" collapsed="false">
      <c r="A246" s="8" t="s">
        <v>459</v>
      </c>
      <c r="E246" s="9" t="n">
        <f aca="false">SUM(E5:E245)</f>
        <v>171415000</v>
      </c>
      <c r="F246" s="9" t="n">
        <f aca="false">SUM(F5:F245)</f>
        <v>2340474.51</v>
      </c>
      <c r="G246" s="9" t="n">
        <f aca="false">SUM(G5:G245)</f>
        <v>292559.3</v>
      </c>
      <c r="H246" s="9" t="n">
        <f aca="false">SUM(H5:H245)</f>
        <v>292559.3</v>
      </c>
      <c r="I246" s="9" t="n">
        <f aca="false">SUM(I5:I245)</f>
        <v>1755356.1</v>
      </c>
      <c r="J246" s="9" t="n">
        <f aca="false">SUM(J5:J245)</f>
        <v>-0.190000000010741</v>
      </c>
      <c r="K246" s="9" t="n">
        <f aca="false">SUM(K5:K245)</f>
        <v>175535.61</v>
      </c>
      <c r="L246" s="9" t="n">
        <f aca="false">SUM(L5:L245)</f>
        <v>175535.61</v>
      </c>
      <c r="M246" s="9" t="n">
        <f aca="false">SUM(M5:M245)</f>
        <v>175535.61</v>
      </c>
      <c r="N246" s="9" t="n">
        <f aca="false">SUM(N5:N245)</f>
        <v>175535.61</v>
      </c>
      <c r="O246" s="9" t="n">
        <f aca="false">SUM(O5:O245)</f>
        <v>175535.61</v>
      </c>
      <c r="P246" s="9" t="n">
        <f aca="false">SUM(P5:P245)</f>
        <v>175535.61</v>
      </c>
      <c r="Q246" s="9" t="n">
        <f aca="false">SUM(Q5:Q245)</f>
        <v>175535.61</v>
      </c>
      <c r="R246" s="9" t="n">
        <f aca="false">SUM(R5:R245)</f>
        <v>175535.61</v>
      </c>
      <c r="S246" s="9" t="n">
        <f aca="false">SUM(S5:S245)</f>
        <v>175535.61</v>
      </c>
      <c r="T246" s="9" t="n">
        <f aca="false">SUM(T5:T245)</f>
        <v>175535.61</v>
      </c>
      <c r="U246" s="9" t="n">
        <f aca="false">SUM(U5:U245)</f>
        <v>84350</v>
      </c>
      <c r="V246" s="9" t="n">
        <f aca="false">SUM(V5:V245)</f>
        <v>11000</v>
      </c>
      <c r="W246" s="9" t="n">
        <f aca="false">SUM(W5:W245)</f>
        <v>95350</v>
      </c>
    </row>
    <row r="247" customFormat="false" ht="15" hidden="false" customHeight="false" outlineLevel="0" collapsed="false">
      <c r="A247" s="4" t="s">
        <v>460</v>
      </c>
      <c r="F247" s="16" t="n">
        <f aca="false">F246-(G246+H246+I246+J246)</f>
        <v>0</v>
      </c>
    </row>
    <row r="248" customFormat="false" ht="15" hidden="false" customHeight="false" outlineLevel="0" collapsed="false">
      <c r="A248" s="4" t="s">
        <v>461</v>
      </c>
      <c r="I248" s="16" t="n">
        <f aca="false">I246-SUM(K246:T246)</f>
        <v>0</v>
      </c>
    </row>
  </sheetData>
  <autoFilter ref="A4:W24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21" min="11" style="0" width="11"/>
    <col collapsed="false" customWidth="true" hidden="false" outlineLevel="0" max="22" min="22" style="0" width="13"/>
    <col collapsed="false" customWidth="true" hidden="false" outlineLevel="0" max="23" min="23" style="0" width="11"/>
  </cols>
  <sheetData>
    <row r="1" customFormat="false" ht="17.35" hidden="false" customHeight="false" outlineLevel="0" collapsed="false">
      <c r="A1" s="1" t="s">
        <v>2400</v>
      </c>
    </row>
    <row r="2" customFormat="false" ht="15" hidden="false" customHeight="false" outlineLevel="0" collapsed="false">
      <c r="A2" s="4" t="s">
        <v>60</v>
      </c>
    </row>
    <row r="4" customFormat="false" ht="15" hidden="false" customHeight="false" outlineLevel="0" collapsed="false">
      <c r="A4" s="5" t="s">
        <v>61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15</v>
      </c>
      <c r="G4" s="5" t="s">
        <v>16</v>
      </c>
      <c r="H4" s="5" t="s">
        <v>17</v>
      </c>
      <c r="I4" s="5" t="s">
        <v>18</v>
      </c>
      <c r="J4" s="5" t="s">
        <v>19</v>
      </c>
      <c r="K4" s="5" t="s">
        <v>20</v>
      </c>
      <c r="L4" s="5" t="s">
        <v>21</v>
      </c>
      <c r="M4" s="5" t="s">
        <v>22</v>
      </c>
      <c r="N4" s="5" t="s">
        <v>23</v>
      </c>
      <c r="O4" s="5" t="s">
        <v>24</v>
      </c>
      <c r="P4" s="5" t="s">
        <v>25</v>
      </c>
      <c r="Q4" s="5" t="s">
        <v>26</v>
      </c>
      <c r="R4" s="5" t="s">
        <v>27</v>
      </c>
      <c r="S4" s="5" t="s">
        <v>28</v>
      </c>
      <c r="T4" s="5" t="s">
        <v>29</v>
      </c>
      <c r="U4" s="5" t="s">
        <v>30</v>
      </c>
      <c r="V4" s="5" t="s">
        <v>31</v>
      </c>
      <c r="W4" s="5" t="s">
        <v>32</v>
      </c>
    </row>
    <row r="5" customFormat="false" ht="15" hidden="false" customHeight="false" outlineLevel="0" collapsed="false">
      <c r="A5" s="3" t="s">
        <v>2401</v>
      </c>
      <c r="B5" s="3" t="s">
        <v>2402</v>
      </c>
      <c r="C5" s="3" t="s">
        <v>1748</v>
      </c>
      <c r="D5" s="3" t="s">
        <v>448</v>
      </c>
      <c r="E5" s="13" t="n">
        <v>1450000</v>
      </c>
      <c r="F5" s="13" t="n">
        <v>9152.11</v>
      </c>
      <c r="G5" s="13" t="n">
        <v>1144.01</v>
      </c>
      <c r="H5" s="13" t="n">
        <v>1144.01</v>
      </c>
      <c r="I5" s="13" t="n">
        <f aca="false">SUM(K5:T5)</f>
        <v>6864.1</v>
      </c>
      <c r="J5" s="13" t="n">
        <f aca="false">F5-(G5+H5+I5)</f>
        <v>-0.00999999999839929</v>
      </c>
      <c r="K5" s="13" t="n">
        <v>686.41</v>
      </c>
      <c r="L5" s="13" t="n">
        <v>686.41</v>
      </c>
      <c r="M5" s="13" t="n">
        <v>686.41</v>
      </c>
      <c r="N5" s="13" t="n">
        <v>686.41</v>
      </c>
      <c r="O5" s="13" t="n">
        <v>686.41</v>
      </c>
      <c r="P5" s="13" t="n">
        <v>686.41</v>
      </c>
      <c r="Q5" s="13" t="n">
        <v>686.41</v>
      </c>
      <c r="R5" s="13" t="n">
        <v>686.41</v>
      </c>
      <c r="S5" s="13" t="n">
        <v>686.41</v>
      </c>
      <c r="T5" s="13" t="n">
        <v>686.41</v>
      </c>
      <c r="U5" s="13" t="n">
        <v>350</v>
      </c>
      <c r="V5" s="13" t="n">
        <v>250</v>
      </c>
      <c r="W5" s="13" t="n">
        <f aca="false">U5+V5</f>
        <v>600</v>
      </c>
    </row>
    <row r="6" customFormat="false" ht="15" hidden="false" customHeight="false" outlineLevel="0" collapsed="false">
      <c r="A6" s="14" t="s">
        <v>2403</v>
      </c>
      <c r="B6" s="14" t="s">
        <v>2404</v>
      </c>
      <c r="C6" s="14" t="s">
        <v>128</v>
      </c>
      <c r="D6" s="14" t="s">
        <v>230</v>
      </c>
      <c r="E6" s="15" t="n">
        <v>430000</v>
      </c>
      <c r="F6" s="15" t="n">
        <v>6013.68</v>
      </c>
      <c r="G6" s="15" t="n">
        <v>751.71</v>
      </c>
      <c r="H6" s="15" t="n">
        <v>751.71</v>
      </c>
      <c r="I6" s="15" t="n">
        <f aca="false">SUM(K6:T6)</f>
        <v>4510.3</v>
      </c>
      <c r="J6" s="15" t="n">
        <f aca="false">F6-(G6+H6+I6)</f>
        <v>-0.0399999999990541</v>
      </c>
      <c r="K6" s="15" t="n">
        <v>451.03</v>
      </c>
      <c r="L6" s="15" t="n">
        <v>451.03</v>
      </c>
      <c r="M6" s="15" t="n">
        <v>451.03</v>
      </c>
      <c r="N6" s="15" t="n">
        <v>451.03</v>
      </c>
      <c r="O6" s="15" t="n">
        <v>451.03</v>
      </c>
      <c r="P6" s="15" t="n">
        <v>451.03</v>
      </c>
      <c r="Q6" s="15" t="n">
        <v>451.03</v>
      </c>
      <c r="R6" s="15" t="n">
        <v>451.03</v>
      </c>
      <c r="S6" s="15" t="n">
        <v>451.03</v>
      </c>
      <c r="T6" s="15" t="n">
        <v>451.03</v>
      </c>
      <c r="U6" s="15" t="n">
        <v>350</v>
      </c>
      <c r="V6" s="15" t="n">
        <v>0</v>
      </c>
      <c r="W6" s="15" t="n">
        <f aca="false">U6+V6</f>
        <v>350</v>
      </c>
    </row>
    <row r="7" customFormat="false" ht="15" hidden="false" customHeight="false" outlineLevel="0" collapsed="false">
      <c r="A7" s="3" t="s">
        <v>2405</v>
      </c>
      <c r="B7" s="3" t="s">
        <v>2406</v>
      </c>
      <c r="C7" s="3" t="s">
        <v>471</v>
      </c>
      <c r="D7" s="3" t="s">
        <v>138</v>
      </c>
      <c r="E7" s="13" t="n">
        <v>560000</v>
      </c>
      <c r="F7" s="13" t="n">
        <v>9586.79</v>
      </c>
      <c r="G7" s="13" t="n">
        <v>1198.35</v>
      </c>
      <c r="H7" s="13" t="n">
        <v>1198.35</v>
      </c>
      <c r="I7" s="13" t="n">
        <f aca="false">SUM(K7:T7)</f>
        <v>7190.1</v>
      </c>
      <c r="J7" s="13" t="n">
        <f aca="false">F7-(G7+H7+I7)</f>
        <v>-0.00999999999839929</v>
      </c>
      <c r="K7" s="13" t="n">
        <v>719.01</v>
      </c>
      <c r="L7" s="13" t="n">
        <v>719.01</v>
      </c>
      <c r="M7" s="13" t="n">
        <v>719.01</v>
      </c>
      <c r="N7" s="13" t="n">
        <v>719.01</v>
      </c>
      <c r="O7" s="13" t="n">
        <v>719.01</v>
      </c>
      <c r="P7" s="13" t="n">
        <v>719.01</v>
      </c>
      <c r="Q7" s="13" t="n">
        <v>719.01</v>
      </c>
      <c r="R7" s="13" t="n">
        <v>719.01</v>
      </c>
      <c r="S7" s="13" t="n">
        <v>719.01</v>
      </c>
      <c r="T7" s="13" t="n">
        <v>719.01</v>
      </c>
      <c r="U7" s="13" t="n">
        <v>350</v>
      </c>
      <c r="V7" s="13" t="n">
        <v>0</v>
      </c>
      <c r="W7" s="13" t="n">
        <f aca="false">U7+V7</f>
        <v>350</v>
      </c>
    </row>
    <row r="8" customFormat="false" ht="15" hidden="false" customHeight="false" outlineLevel="0" collapsed="false">
      <c r="A8" s="14" t="s">
        <v>2407</v>
      </c>
      <c r="B8" s="14" t="s">
        <v>2408</v>
      </c>
      <c r="C8" s="14" t="s">
        <v>1159</v>
      </c>
      <c r="D8" s="14" t="s">
        <v>193</v>
      </c>
      <c r="E8" s="15" t="n">
        <v>505000</v>
      </c>
      <c r="F8" s="15" t="n">
        <v>7715.42</v>
      </c>
      <c r="G8" s="15" t="n">
        <v>964.43</v>
      </c>
      <c r="H8" s="15" t="n">
        <v>964.43</v>
      </c>
      <c r="I8" s="15" t="n">
        <f aca="false">SUM(K8:T8)</f>
        <v>5786.6</v>
      </c>
      <c r="J8" s="15" t="n">
        <f aca="false">F8-(G8+H8+I8)</f>
        <v>-0.0399999999990541</v>
      </c>
      <c r="K8" s="15" t="n">
        <v>578.66</v>
      </c>
      <c r="L8" s="15" t="n">
        <v>578.66</v>
      </c>
      <c r="M8" s="15" t="n">
        <v>578.66</v>
      </c>
      <c r="N8" s="15" t="n">
        <v>578.66</v>
      </c>
      <c r="O8" s="15" t="n">
        <v>578.66</v>
      </c>
      <c r="P8" s="15" t="n">
        <v>578.66</v>
      </c>
      <c r="Q8" s="15" t="n">
        <v>578.66</v>
      </c>
      <c r="R8" s="15" t="n">
        <v>578.66</v>
      </c>
      <c r="S8" s="15" t="n">
        <v>578.66</v>
      </c>
      <c r="T8" s="15" t="n">
        <v>578.66</v>
      </c>
      <c r="U8" s="15" t="n">
        <v>350</v>
      </c>
      <c r="V8" s="15" t="n">
        <v>0</v>
      </c>
      <c r="W8" s="15" t="n">
        <f aca="false">U8+V8</f>
        <v>350</v>
      </c>
    </row>
    <row r="9" customFormat="false" ht="15" hidden="false" customHeight="false" outlineLevel="0" collapsed="false">
      <c r="A9" s="3" t="s">
        <v>2409</v>
      </c>
      <c r="B9" s="3" t="s">
        <v>2410</v>
      </c>
      <c r="C9" s="3" t="s">
        <v>1215</v>
      </c>
      <c r="D9" s="3" t="s">
        <v>163</v>
      </c>
      <c r="E9" s="13" t="n">
        <v>255000</v>
      </c>
      <c r="F9" s="13" t="n">
        <v>3056.79</v>
      </c>
      <c r="G9" s="13" t="n">
        <v>382.1</v>
      </c>
      <c r="H9" s="13" t="n">
        <v>382.1</v>
      </c>
      <c r="I9" s="13" t="n">
        <f aca="false">SUM(K9:T9)</f>
        <v>2292.6</v>
      </c>
      <c r="J9" s="13" t="n">
        <f aca="false">F9-(G9+H9+I9)</f>
        <v>-0.0100000000002183</v>
      </c>
      <c r="K9" s="13" t="n">
        <v>229.26</v>
      </c>
      <c r="L9" s="13" t="n">
        <v>229.26</v>
      </c>
      <c r="M9" s="13" t="n">
        <v>229.26</v>
      </c>
      <c r="N9" s="13" t="n">
        <v>229.26</v>
      </c>
      <c r="O9" s="13" t="n">
        <v>229.26</v>
      </c>
      <c r="P9" s="13" t="n">
        <v>229.26</v>
      </c>
      <c r="Q9" s="13" t="n">
        <v>229.26</v>
      </c>
      <c r="R9" s="13" t="n">
        <v>229.26</v>
      </c>
      <c r="S9" s="13" t="n">
        <v>229.26</v>
      </c>
      <c r="T9" s="13" t="n">
        <v>229.26</v>
      </c>
      <c r="U9" s="13" t="n">
        <v>350</v>
      </c>
      <c r="V9" s="13" t="n">
        <v>0</v>
      </c>
      <c r="W9" s="13" t="n">
        <f aca="false">U9+V9</f>
        <v>350</v>
      </c>
    </row>
    <row r="10" customFormat="false" ht="15" hidden="false" customHeight="false" outlineLevel="0" collapsed="false">
      <c r="A10" s="14" t="s">
        <v>2411</v>
      </c>
      <c r="B10" s="14" t="s">
        <v>2412</v>
      </c>
      <c r="C10" s="14" t="s">
        <v>2105</v>
      </c>
      <c r="D10" s="14" t="s">
        <v>81</v>
      </c>
      <c r="E10" s="15" t="n">
        <v>445000</v>
      </c>
      <c r="F10" s="15" t="n">
        <v>6694.15</v>
      </c>
      <c r="G10" s="15" t="n">
        <v>836.77</v>
      </c>
      <c r="H10" s="15" t="n">
        <v>836.77</v>
      </c>
      <c r="I10" s="15" t="n">
        <f aca="false">SUM(K10:T10)</f>
        <v>5020.6</v>
      </c>
      <c r="J10" s="15" t="n">
        <f aca="false">F10-(G10+H10+I10)</f>
        <v>0.00999999999930878</v>
      </c>
      <c r="K10" s="15" t="n">
        <v>502.06</v>
      </c>
      <c r="L10" s="15" t="n">
        <v>502.06</v>
      </c>
      <c r="M10" s="15" t="n">
        <v>502.06</v>
      </c>
      <c r="N10" s="15" t="n">
        <v>502.06</v>
      </c>
      <c r="O10" s="15" t="n">
        <v>502.06</v>
      </c>
      <c r="P10" s="15" t="n">
        <v>502.06</v>
      </c>
      <c r="Q10" s="15" t="n">
        <v>502.06</v>
      </c>
      <c r="R10" s="15" t="n">
        <v>502.06</v>
      </c>
      <c r="S10" s="15" t="n">
        <v>502.06</v>
      </c>
      <c r="T10" s="15" t="n">
        <v>502.06</v>
      </c>
      <c r="U10" s="15" t="n">
        <v>350</v>
      </c>
      <c r="V10" s="15" t="n">
        <v>0</v>
      </c>
      <c r="W10" s="15" t="n">
        <f aca="false">U10+V10</f>
        <v>350</v>
      </c>
    </row>
    <row r="11" customFormat="false" ht="15" hidden="false" customHeight="false" outlineLevel="0" collapsed="false">
      <c r="A11" s="3" t="s">
        <v>2413</v>
      </c>
      <c r="B11" s="3" t="s">
        <v>2414</v>
      </c>
      <c r="C11" s="3" t="s">
        <v>541</v>
      </c>
      <c r="D11" s="3" t="s">
        <v>157</v>
      </c>
      <c r="E11" s="13" t="n">
        <v>610000</v>
      </c>
      <c r="F11" s="13" t="n">
        <v>8822.58</v>
      </c>
      <c r="G11" s="13" t="n">
        <v>1102.82</v>
      </c>
      <c r="H11" s="13" t="n">
        <v>1102.82</v>
      </c>
      <c r="I11" s="13" t="n">
        <f aca="false">SUM(K11:T11)</f>
        <v>6616.9</v>
      </c>
      <c r="J11" s="13" t="n">
        <f aca="false">F11-(G11+H11+I11)</f>
        <v>0.0399999999990541</v>
      </c>
      <c r="K11" s="13" t="n">
        <v>661.69</v>
      </c>
      <c r="L11" s="13" t="n">
        <v>661.69</v>
      </c>
      <c r="M11" s="13" t="n">
        <v>661.69</v>
      </c>
      <c r="N11" s="13" t="n">
        <v>661.69</v>
      </c>
      <c r="O11" s="13" t="n">
        <v>661.69</v>
      </c>
      <c r="P11" s="13" t="n">
        <v>661.69</v>
      </c>
      <c r="Q11" s="13" t="n">
        <v>661.69</v>
      </c>
      <c r="R11" s="13" t="n">
        <v>661.69</v>
      </c>
      <c r="S11" s="13" t="n">
        <v>661.69</v>
      </c>
      <c r="T11" s="13" t="n">
        <v>661.69</v>
      </c>
      <c r="U11" s="13" t="n">
        <v>350</v>
      </c>
      <c r="V11" s="13" t="n">
        <v>0</v>
      </c>
      <c r="W11" s="13" t="n">
        <f aca="false">U11+V11</f>
        <v>350</v>
      </c>
    </row>
    <row r="12" customFormat="false" ht="15" hidden="false" customHeight="false" outlineLevel="0" collapsed="false">
      <c r="A12" s="14" t="s">
        <v>2415</v>
      </c>
      <c r="B12" s="14" t="s">
        <v>2416</v>
      </c>
      <c r="C12" s="14" t="s">
        <v>2417</v>
      </c>
      <c r="D12" s="14" t="s">
        <v>147</v>
      </c>
      <c r="E12" s="15" t="n">
        <v>205000</v>
      </c>
      <c r="F12" s="15" t="n">
        <v>3162.2</v>
      </c>
      <c r="G12" s="15" t="n">
        <v>395.27</v>
      </c>
      <c r="H12" s="15" t="n">
        <v>395.27</v>
      </c>
      <c r="I12" s="15" t="n">
        <f aca="false">SUM(K12:T12)</f>
        <v>2371.6</v>
      </c>
      <c r="J12" s="15" t="n">
        <f aca="false">F12-(G12+H12+I12)</f>
        <v>0.0599999999999454</v>
      </c>
      <c r="K12" s="15" t="n">
        <v>237.16</v>
      </c>
      <c r="L12" s="15" t="n">
        <v>237.16</v>
      </c>
      <c r="M12" s="15" t="n">
        <v>237.16</v>
      </c>
      <c r="N12" s="15" t="n">
        <v>237.16</v>
      </c>
      <c r="O12" s="15" t="n">
        <v>237.16</v>
      </c>
      <c r="P12" s="15" t="n">
        <v>237.16</v>
      </c>
      <c r="Q12" s="15" t="n">
        <v>237.16</v>
      </c>
      <c r="R12" s="15" t="n">
        <v>237.16</v>
      </c>
      <c r="S12" s="15" t="n">
        <v>237.16</v>
      </c>
      <c r="T12" s="15" t="n">
        <v>237.16</v>
      </c>
      <c r="U12" s="15" t="n">
        <v>350</v>
      </c>
      <c r="V12" s="15" t="n">
        <v>0</v>
      </c>
      <c r="W12" s="15" t="n">
        <f aca="false">U12+V12</f>
        <v>350</v>
      </c>
    </row>
    <row r="13" customFormat="false" ht="15" hidden="false" customHeight="false" outlineLevel="0" collapsed="false">
      <c r="A13" s="3" t="s">
        <v>2418</v>
      </c>
      <c r="B13" s="3" t="s">
        <v>2419</v>
      </c>
      <c r="C13" s="3" t="s">
        <v>1625</v>
      </c>
      <c r="D13" s="3" t="s">
        <v>85</v>
      </c>
      <c r="E13" s="13" t="n">
        <v>805000</v>
      </c>
      <c r="F13" s="13" t="n">
        <v>11396.93</v>
      </c>
      <c r="G13" s="13" t="n">
        <v>1424.62</v>
      </c>
      <c r="H13" s="13" t="n">
        <v>1424.62</v>
      </c>
      <c r="I13" s="13" t="n">
        <f aca="false">SUM(K13:T13)</f>
        <v>8547.7</v>
      </c>
      <c r="J13" s="13" t="n">
        <f aca="false">F13-(G13+H13+I13)</f>
        <v>-0.0100000000002183</v>
      </c>
      <c r="K13" s="13" t="n">
        <v>854.77</v>
      </c>
      <c r="L13" s="13" t="n">
        <v>854.77</v>
      </c>
      <c r="M13" s="13" t="n">
        <v>854.77</v>
      </c>
      <c r="N13" s="13" t="n">
        <v>854.77</v>
      </c>
      <c r="O13" s="13" t="n">
        <v>854.77</v>
      </c>
      <c r="P13" s="13" t="n">
        <v>854.77</v>
      </c>
      <c r="Q13" s="13" t="n">
        <v>854.77</v>
      </c>
      <c r="R13" s="13" t="n">
        <v>854.77</v>
      </c>
      <c r="S13" s="13" t="n">
        <v>854.77</v>
      </c>
      <c r="T13" s="13" t="n">
        <v>854.77</v>
      </c>
      <c r="U13" s="13" t="n">
        <v>350</v>
      </c>
      <c r="V13" s="13" t="n">
        <v>0</v>
      </c>
      <c r="W13" s="13" t="n">
        <f aca="false">U13+V13</f>
        <v>350</v>
      </c>
    </row>
    <row r="14" customFormat="false" ht="15" hidden="false" customHeight="false" outlineLevel="0" collapsed="false">
      <c r="A14" s="14" t="s">
        <v>2420</v>
      </c>
      <c r="B14" s="14" t="s">
        <v>2421</v>
      </c>
      <c r="C14" s="14" t="s">
        <v>681</v>
      </c>
      <c r="D14" s="14" t="s">
        <v>312</v>
      </c>
      <c r="E14" s="15" t="n">
        <v>660000</v>
      </c>
      <c r="F14" s="15" t="n">
        <v>10905.72</v>
      </c>
      <c r="G14" s="15" t="n">
        <v>1363.21</v>
      </c>
      <c r="H14" s="15" t="n">
        <v>1363.21</v>
      </c>
      <c r="I14" s="15" t="n">
        <f aca="false">SUM(K14:T14)</f>
        <v>8179.3</v>
      </c>
      <c r="J14" s="15" t="n">
        <f aca="false">F14-(G14+H14+I14)</f>
        <v>0</v>
      </c>
      <c r="K14" s="15" t="n">
        <v>817.93</v>
      </c>
      <c r="L14" s="15" t="n">
        <v>817.93</v>
      </c>
      <c r="M14" s="15" t="n">
        <v>817.93</v>
      </c>
      <c r="N14" s="15" t="n">
        <v>817.93</v>
      </c>
      <c r="O14" s="15" t="n">
        <v>817.93</v>
      </c>
      <c r="P14" s="15" t="n">
        <v>817.93</v>
      </c>
      <c r="Q14" s="15" t="n">
        <v>817.93</v>
      </c>
      <c r="R14" s="15" t="n">
        <v>817.93</v>
      </c>
      <c r="S14" s="15" t="n">
        <v>817.93</v>
      </c>
      <c r="T14" s="15" t="n">
        <v>817.93</v>
      </c>
      <c r="U14" s="15" t="n">
        <v>350</v>
      </c>
      <c r="V14" s="15" t="n">
        <v>0</v>
      </c>
      <c r="W14" s="15" t="n">
        <f aca="false">U14+V14</f>
        <v>350</v>
      </c>
    </row>
    <row r="15" customFormat="false" ht="15" hidden="false" customHeight="false" outlineLevel="0" collapsed="false">
      <c r="A15" s="3" t="s">
        <v>2422</v>
      </c>
      <c r="B15" s="3" t="s">
        <v>2421</v>
      </c>
      <c r="C15" s="3" t="s">
        <v>827</v>
      </c>
      <c r="D15" s="3" t="s">
        <v>102</v>
      </c>
      <c r="E15" s="13" t="n">
        <v>555000</v>
      </c>
      <c r="F15" s="13" t="n">
        <v>6500.81</v>
      </c>
      <c r="G15" s="13" t="n">
        <v>812.6</v>
      </c>
      <c r="H15" s="13" t="n">
        <v>812.6</v>
      </c>
      <c r="I15" s="13" t="n">
        <f aca="false">SUM(K15:T15)</f>
        <v>4875.6</v>
      </c>
      <c r="J15" s="13" t="n">
        <f aca="false">F15-(G15+H15+I15)</f>
        <v>0.0100000000002183</v>
      </c>
      <c r="K15" s="13" t="n">
        <v>487.56</v>
      </c>
      <c r="L15" s="13" t="n">
        <v>487.56</v>
      </c>
      <c r="M15" s="13" t="n">
        <v>487.56</v>
      </c>
      <c r="N15" s="13" t="n">
        <v>487.56</v>
      </c>
      <c r="O15" s="13" t="n">
        <v>487.56</v>
      </c>
      <c r="P15" s="13" t="n">
        <v>487.56</v>
      </c>
      <c r="Q15" s="13" t="n">
        <v>487.56</v>
      </c>
      <c r="R15" s="13" t="n">
        <v>487.56</v>
      </c>
      <c r="S15" s="13" t="n">
        <v>487.56</v>
      </c>
      <c r="T15" s="13" t="n">
        <v>487.56</v>
      </c>
      <c r="U15" s="13" t="n">
        <v>350</v>
      </c>
      <c r="V15" s="13" t="n">
        <v>0</v>
      </c>
      <c r="W15" s="13" t="n">
        <f aca="false">U15+V15</f>
        <v>350</v>
      </c>
    </row>
    <row r="16" customFormat="false" ht="15" hidden="false" customHeight="false" outlineLevel="0" collapsed="false">
      <c r="A16" s="14" t="s">
        <v>2423</v>
      </c>
      <c r="B16" s="14" t="s">
        <v>2410</v>
      </c>
      <c r="C16" s="14" t="s">
        <v>1849</v>
      </c>
      <c r="D16" s="14" t="s">
        <v>118</v>
      </c>
      <c r="E16" s="15" t="n">
        <v>420000</v>
      </c>
      <c r="F16" s="15" t="n">
        <v>9309.28</v>
      </c>
      <c r="G16" s="15" t="n">
        <v>1163.66</v>
      </c>
      <c r="H16" s="15" t="n">
        <v>1163.66</v>
      </c>
      <c r="I16" s="15" t="n">
        <f aca="false">SUM(K16:T16)</f>
        <v>6982</v>
      </c>
      <c r="J16" s="15" t="n">
        <f aca="false">F16-(G16+H16+I16)</f>
        <v>-0.0399999999990541</v>
      </c>
      <c r="K16" s="15" t="n">
        <v>698.2</v>
      </c>
      <c r="L16" s="15" t="n">
        <v>698.2</v>
      </c>
      <c r="M16" s="15" t="n">
        <v>698.2</v>
      </c>
      <c r="N16" s="15" t="n">
        <v>698.2</v>
      </c>
      <c r="O16" s="15" t="n">
        <v>698.2</v>
      </c>
      <c r="P16" s="15" t="n">
        <v>698.2</v>
      </c>
      <c r="Q16" s="15" t="n">
        <v>698.2</v>
      </c>
      <c r="R16" s="15" t="n">
        <v>698.2</v>
      </c>
      <c r="S16" s="15" t="n">
        <v>698.2</v>
      </c>
      <c r="T16" s="15" t="n">
        <v>698.2</v>
      </c>
      <c r="U16" s="15" t="n">
        <v>350</v>
      </c>
      <c r="V16" s="15" t="n">
        <v>0</v>
      </c>
      <c r="W16" s="15" t="n">
        <f aca="false">U16+V16</f>
        <v>350</v>
      </c>
    </row>
    <row r="17" customFormat="false" ht="15" hidden="false" customHeight="false" outlineLevel="0" collapsed="false">
      <c r="A17" s="3" t="s">
        <v>2424</v>
      </c>
      <c r="B17" s="3" t="s">
        <v>2425</v>
      </c>
      <c r="C17" s="3" t="s">
        <v>1150</v>
      </c>
      <c r="D17" s="3" t="s">
        <v>109</v>
      </c>
      <c r="E17" s="13" t="n">
        <v>315000</v>
      </c>
      <c r="F17" s="13" t="n">
        <v>4627.49</v>
      </c>
      <c r="G17" s="13" t="n">
        <v>578.44</v>
      </c>
      <c r="H17" s="13" t="n">
        <v>578.44</v>
      </c>
      <c r="I17" s="13" t="n">
        <f aca="false">SUM(K17:T17)</f>
        <v>3470.6</v>
      </c>
      <c r="J17" s="13" t="n">
        <f aca="false">F17-(G17+H17+I17)</f>
        <v>0.0100000000002183</v>
      </c>
      <c r="K17" s="13" t="n">
        <v>347.06</v>
      </c>
      <c r="L17" s="13" t="n">
        <v>347.06</v>
      </c>
      <c r="M17" s="13" t="n">
        <v>347.06</v>
      </c>
      <c r="N17" s="13" t="n">
        <v>347.06</v>
      </c>
      <c r="O17" s="13" t="n">
        <v>347.06</v>
      </c>
      <c r="P17" s="13" t="n">
        <v>347.06</v>
      </c>
      <c r="Q17" s="13" t="n">
        <v>347.06</v>
      </c>
      <c r="R17" s="13" t="n">
        <v>347.06</v>
      </c>
      <c r="S17" s="13" t="n">
        <v>347.06</v>
      </c>
      <c r="T17" s="13" t="n">
        <v>347.06</v>
      </c>
      <c r="U17" s="13" t="n">
        <v>350</v>
      </c>
      <c r="V17" s="13" t="n">
        <v>0</v>
      </c>
      <c r="W17" s="13" t="n">
        <f aca="false">U17+V17</f>
        <v>350</v>
      </c>
    </row>
    <row r="18" customFormat="false" ht="15" hidden="false" customHeight="false" outlineLevel="0" collapsed="false">
      <c r="A18" s="14" t="s">
        <v>2426</v>
      </c>
      <c r="B18" s="14" t="s">
        <v>2427</v>
      </c>
      <c r="C18" s="14" t="s">
        <v>616</v>
      </c>
      <c r="D18" s="14" t="s">
        <v>279</v>
      </c>
      <c r="E18" s="15" t="n">
        <v>490000</v>
      </c>
      <c r="F18" s="15" t="n">
        <v>8035.25</v>
      </c>
      <c r="G18" s="15" t="n">
        <v>1004.41</v>
      </c>
      <c r="H18" s="15" t="n">
        <v>1004.41</v>
      </c>
      <c r="I18" s="15" t="n">
        <f aca="false">SUM(K18:T18)</f>
        <v>6026.4</v>
      </c>
      <c r="J18" s="15" t="n">
        <f aca="false">F18-(G18+H18+I18)</f>
        <v>0.0299999999997453</v>
      </c>
      <c r="K18" s="15" t="n">
        <v>602.64</v>
      </c>
      <c r="L18" s="15" t="n">
        <v>602.64</v>
      </c>
      <c r="M18" s="15" t="n">
        <v>602.64</v>
      </c>
      <c r="N18" s="15" t="n">
        <v>602.64</v>
      </c>
      <c r="O18" s="15" t="n">
        <v>602.64</v>
      </c>
      <c r="P18" s="15" t="n">
        <v>602.64</v>
      </c>
      <c r="Q18" s="15" t="n">
        <v>602.64</v>
      </c>
      <c r="R18" s="15" t="n">
        <v>602.64</v>
      </c>
      <c r="S18" s="15" t="n">
        <v>602.64</v>
      </c>
      <c r="T18" s="15" t="n">
        <v>602.64</v>
      </c>
      <c r="U18" s="15" t="n">
        <v>350</v>
      </c>
      <c r="V18" s="15" t="n">
        <v>0</v>
      </c>
      <c r="W18" s="15" t="n">
        <f aca="false">U18+V18</f>
        <v>350</v>
      </c>
    </row>
    <row r="19" customFormat="false" ht="15" hidden="false" customHeight="false" outlineLevel="0" collapsed="false">
      <c r="A19" s="3" t="s">
        <v>2428</v>
      </c>
      <c r="B19" s="3" t="s">
        <v>2410</v>
      </c>
      <c r="C19" s="3" t="s">
        <v>2429</v>
      </c>
      <c r="D19" s="3" t="s">
        <v>112</v>
      </c>
      <c r="E19" s="13" t="n">
        <v>1115000</v>
      </c>
      <c r="F19" s="13" t="n">
        <v>9129.04</v>
      </c>
      <c r="G19" s="13" t="n">
        <v>1141.13</v>
      </c>
      <c r="H19" s="13" t="n">
        <v>1141.13</v>
      </c>
      <c r="I19" s="13" t="n">
        <f aca="false">SUM(K19:T19)</f>
        <v>6846.8</v>
      </c>
      <c r="J19" s="13" t="n">
        <f aca="false">F19-(G19+H19+I19)</f>
        <v>-0.0200000000004366</v>
      </c>
      <c r="K19" s="13" t="n">
        <v>684.68</v>
      </c>
      <c r="L19" s="13" t="n">
        <v>684.68</v>
      </c>
      <c r="M19" s="13" t="n">
        <v>684.68</v>
      </c>
      <c r="N19" s="13" t="n">
        <v>684.68</v>
      </c>
      <c r="O19" s="13" t="n">
        <v>684.68</v>
      </c>
      <c r="P19" s="13" t="n">
        <v>684.68</v>
      </c>
      <c r="Q19" s="13" t="n">
        <v>684.68</v>
      </c>
      <c r="R19" s="13" t="n">
        <v>684.68</v>
      </c>
      <c r="S19" s="13" t="n">
        <v>684.68</v>
      </c>
      <c r="T19" s="13" t="n">
        <v>684.68</v>
      </c>
      <c r="U19" s="13" t="n">
        <v>350</v>
      </c>
      <c r="V19" s="13" t="n">
        <v>250</v>
      </c>
      <c r="W19" s="13" t="n">
        <f aca="false">U19+V19</f>
        <v>600</v>
      </c>
    </row>
    <row r="20" customFormat="false" ht="15" hidden="false" customHeight="false" outlineLevel="0" collapsed="false">
      <c r="A20" s="14" t="s">
        <v>2430</v>
      </c>
      <c r="B20" s="14" t="s">
        <v>2431</v>
      </c>
      <c r="C20" s="14" t="s">
        <v>211</v>
      </c>
      <c r="D20" s="14" t="s">
        <v>118</v>
      </c>
      <c r="E20" s="15" t="n">
        <v>650000</v>
      </c>
      <c r="F20" s="15" t="n">
        <v>11901.61</v>
      </c>
      <c r="G20" s="15" t="n">
        <v>1487.7</v>
      </c>
      <c r="H20" s="15" t="n">
        <v>1487.7</v>
      </c>
      <c r="I20" s="15" t="n">
        <f aca="false">SUM(K20:T20)</f>
        <v>8926.2</v>
      </c>
      <c r="J20" s="15" t="n">
        <f aca="false">F20-(G20+H20+I20)</f>
        <v>0.0100000000002183</v>
      </c>
      <c r="K20" s="15" t="n">
        <v>892.62</v>
      </c>
      <c r="L20" s="15" t="n">
        <v>892.62</v>
      </c>
      <c r="M20" s="15" t="n">
        <v>892.62</v>
      </c>
      <c r="N20" s="15" t="n">
        <v>892.62</v>
      </c>
      <c r="O20" s="15" t="n">
        <v>892.62</v>
      </c>
      <c r="P20" s="15" t="n">
        <v>892.62</v>
      </c>
      <c r="Q20" s="15" t="n">
        <v>892.62</v>
      </c>
      <c r="R20" s="15" t="n">
        <v>892.62</v>
      </c>
      <c r="S20" s="15" t="n">
        <v>892.62</v>
      </c>
      <c r="T20" s="15" t="n">
        <v>892.62</v>
      </c>
      <c r="U20" s="15" t="n">
        <v>350</v>
      </c>
      <c r="V20" s="15" t="n">
        <v>0</v>
      </c>
      <c r="W20" s="15" t="n">
        <f aca="false">U20+V20</f>
        <v>350</v>
      </c>
    </row>
    <row r="21" customFormat="false" ht="15" hidden="false" customHeight="false" outlineLevel="0" collapsed="false">
      <c r="A21" s="3" t="s">
        <v>2432</v>
      </c>
      <c r="B21" s="3" t="s">
        <v>2433</v>
      </c>
      <c r="C21" s="3" t="s">
        <v>366</v>
      </c>
      <c r="D21" s="3" t="s">
        <v>93</v>
      </c>
      <c r="E21" s="13" t="n">
        <v>480000</v>
      </c>
      <c r="F21" s="13" t="n">
        <v>4621.22</v>
      </c>
      <c r="G21" s="13" t="n">
        <v>577.65</v>
      </c>
      <c r="H21" s="13" t="n">
        <v>577.65</v>
      </c>
      <c r="I21" s="13" t="n">
        <f aca="false">SUM(K21:T21)</f>
        <v>3465.9</v>
      </c>
      <c r="J21" s="13" t="n">
        <f aca="false">F21-(G21+H21+I21)</f>
        <v>0.0200000000004366</v>
      </c>
      <c r="K21" s="13" t="n">
        <v>346.59</v>
      </c>
      <c r="L21" s="13" t="n">
        <v>346.59</v>
      </c>
      <c r="M21" s="13" t="n">
        <v>346.59</v>
      </c>
      <c r="N21" s="13" t="n">
        <v>346.59</v>
      </c>
      <c r="O21" s="13" t="n">
        <v>346.59</v>
      </c>
      <c r="P21" s="13" t="n">
        <v>346.59</v>
      </c>
      <c r="Q21" s="13" t="n">
        <v>346.59</v>
      </c>
      <c r="R21" s="13" t="n">
        <v>346.59</v>
      </c>
      <c r="S21" s="13" t="n">
        <v>346.59</v>
      </c>
      <c r="T21" s="13" t="n">
        <v>346.59</v>
      </c>
      <c r="U21" s="13" t="n">
        <v>350</v>
      </c>
      <c r="V21" s="13" t="n">
        <v>0</v>
      </c>
      <c r="W21" s="13" t="n">
        <f aca="false">U21+V21</f>
        <v>350</v>
      </c>
    </row>
    <row r="22" customFormat="false" ht="15" hidden="false" customHeight="false" outlineLevel="0" collapsed="false">
      <c r="A22" s="14" t="s">
        <v>2434</v>
      </c>
      <c r="B22" s="14" t="s">
        <v>2435</v>
      </c>
      <c r="C22" s="14" t="s">
        <v>1396</v>
      </c>
      <c r="D22" s="14" t="s">
        <v>138</v>
      </c>
      <c r="E22" s="15" t="n">
        <v>1475000</v>
      </c>
      <c r="F22" s="15" t="n">
        <v>21263.93</v>
      </c>
      <c r="G22" s="15" t="n">
        <v>2657.99</v>
      </c>
      <c r="H22" s="15" t="n">
        <v>2657.99</v>
      </c>
      <c r="I22" s="15" t="n">
        <f aca="false">SUM(K22:T22)</f>
        <v>15947.9</v>
      </c>
      <c r="J22" s="15" t="n">
        <f aca="false">F22-(G22+H22+I22)</f>
        <v>0.0499999999992724</v>
      </c>
      <c r="K22" s="15" t="n">
        <v>1594.79</v>
      </c>
      <c r="L22" s="15" t="n">
        <v>1594.79</v>
      </c>
      <c r="M22" s="15" t="n">
        <v>1594.79</v>
      </c>
      <c r="N22" s="15" t="n">
        <v>1594.79</v>
      </c>
      <c r="O22" s="15" t="n">
        <v>1594.79</v>
      </c>
      <c r="P22" s="15" t="n">
        <v>1594.79</v>
      </c>
      <c r="Q22" s="15" t="n">
        <v>1594.79</v>
      </c>
      <c r="R22" s="15" t="n">
        <v>1594.79</v>
      </c>
      <c r="S22" s="15" t="n">
        <v>1594.79</v>
      </c>
      <c r="T22" s="15" t="n">
        <v>1594.79</v>
      </c>
      <c r="U22" s="15" t="n">
        <v>350</v>
      </c>
      <c r="V22" s="15" t="n">
        <v>250</v>
      </c>
      <c r="W22" s="15" t="n">
        <f aca="false">U22+V22</f>
        <v>600</v>
      </c>
    </row>
    <row r="23" customFormat="false" ht="15" hidden="false" customHeight="false" outlineLevel="0" collapsed="false">
      <c r="A23" s="3" t="s">
        <v>2436</v>
      </c>
      <c r="B23" s="3" t="s">
        <v>2425</v>
      </c>
      <c r="C23" s="3" t="s">
        <v>2437</v>
      </c>
      <c r="D23" s="3" t="s">
        <v>338</v>
      </c>
      <c r="E23" s="13" t="n">
        <v>1060000</v>
      </c>
      <c r="F23" s="13" t="n">
        <v>14005.55</v>
      </c>
      <c r="G23" s="13" t="n">
        <v>1750.69</v>
      </c>
      <c r="H23" s="13" t="n">
        <v>1750.69</v>
      </c>
      <c r="I23" s="13" t="n">
        <f aca="false">SUM(K23:T23)</f>
        <v>10504.2</v>
      </c>
      <c r="J23" s="13" t="n">
        <f aca="false">F23-(G23+H23+I23)</f>
        <v>-0.0300000000024738</v>
      </c>
      <c r="K23" s="13" t="n">
        <v>1050.42</v>
      </c>
      <c r="L23" s="13" t="n">
        <v>1050.42</v>
      </c>
      <c r="M23" s="13" t="n">
        <v>1050.42</v>
      </c>
      <c r="N23" s="13" t="n">
        <v>1050.42</v>
      </c>
      <c r="O23" s="13" t="n">
        <v>1050.42</v>
      </c>
      <c r="P23" s="13" t="n">
        <v>1050.42</v>
      </c>
      <c r="Q23" s="13" t="n">
        <v>1050.42</v>
      </c>
      <c r="R23" s="13" t="n">
        <v>1050.42</v>
      </c>
      <c r="S23" s="13" t="n">
        <v>1050.42</v>
      </c>
      <c r="T23" s="13" t="n">
        <v>1050.42</v>
      </c>
      <c r="U23" s="13" t="n">
        <v>350</v>
      </c>
      <c r="V23" s="13" t="n">
        <v>250</v>
      </c>
      <c r="W23" s="13" t="n">
        <f aca="false">U23+V23</f>
        <v>600</v>
      </c>
    </row>
    <row r="24" customFormat="false" ht="15" hidden="false" customHeight="false" outlineLevel="0" collapsed="false">
      <c r="A24" s="14" t="s">
        <v>2438</v>
      </c>
      <c r="B24" s="14" t="s">
        <v>2402</v>
      </c>
      <c r="C24" s="14" t="s">
        <v>1054</v>
      </c>
      <c r="D24" s="14" t="s">
        <v>163</v>
      </c>
      <c r="E24" s="15" t="n">
        <v>535000</v>
      </c>
      <c r="F24" s="15" t="n">
        <v>5558.16</v>
      </c>
      <c r="G24" s="15" t="n">
        <v>694.77</v>
      </c>
      <c r="H24" s="15" t="n">
        <v>694.77</v>
      </c>
      <c r="I24" s="15" t="n">
        <f aca="false">SUM(K24:T24)</f>
        <v>4168.6</v>
      </c>
      <c r="J24" s="15" t="n">
        <f aca="false">F24-(G24+H24+I24)</f>
        <v>0.0199999999995271</v>
      </c>
      <c r="K24" s="15" t="n">
        <v>416.86</v>
      </c>
      <c r="L24" s="15" t="n">
        <v>416.86</v>
      </c>
      <c r="M24" s="15" t="n">
        <v>416.86</v>
      </c>
      <c r="N24" s="15" t="n">
        <v>416.86</v>
      </c>
      <c r="O24" s="15" t="n">
        <v>416.86</v>
      </c>
      <c r="P24" s="15" t="n">
        <v>416.86</v>
      </c>
      <c r="Q24" s="15" t="n">
        <v>416.86</v>
      </c>
      <c r="R24" s="15" t="n">
        <v>416.86</v>
      </c>
      <c r="S24" s="15" t="n">
        <v>416.86</v>
      </c>
      <c r="T24" s="15" t="n">
        <v>416.86</v>
      </c>
      <c r="U24" s="15" t="n">
        <v>350</v>
      </c>
      <c r="V24" s="15" t="n">
        <v>0</v>
      </c>
      <c r="W24" s="15" t="n">
        <f aca="false">U24+V24</f>
        <v>350</v>
      </c>
    </row>
    <row r="25" customFormat="false" ht="15" hidden="false" customHeight="false" outlineLevel="0" collapsed="false">
      <c r="A25" s="3" t="s">
        <v>2439</v>
      </c>
      <c r="B25" s="3" t="s">
        <v>2431</v>
      </c>
      <c r="C25" s="3" t="s">
        <v>379</v>
      </c>
      <c r="D25" s="3" t="s">
        <v>153</v>
      </c>
      <c r="E25" s="13" t="n">
        <v>1950000</v>
      </c>
      <c r="F25" s="13" t="n">
        <v>37889.6</v>
      </c>
      <c r="G25" s="13" t="n">
        <v>4736.2</v>
      </c>
      <c r="H25" s="13" t="n">
        <v>4736.2</v>
      </c>
      <c r="I25" s="13" t="n">
        <f aca="false">SUM(K25:T25)</f>
        <v>28417.2</v>
      </c>
      <c r="J25" s="13" t="n">
        <f aca="false">F25-(G25+H25+I25)</f>
        <v>0</v>
      </c>
      <c r="K25" s="13" t="n">
        <v>2841.72</v>
      </c>
      <c r="L25" s="13" t="n">
        <v>2841.72</v>
      </c>
      <c r="M25" s="13" t="n">
        <v>2841.72</v>
      </c>
      <c r="N25" s="13" t="n">
        <v>2841.72</v>
      </c>
      <c r="O25" s="13" t="n">
        <v>2841.72</v>
      </c>
      <c r="P25" s="13" t="n">
        <v>2841.72</v>
      </c>
      <c r="Q25" s="13" t="n">
        <v>2841.72</v>
      </c>
      <c r="R25" s="13" t="n">
        <v>2841.72</v>
      </c>
      <c r="S25" s="13" t="n">
        <v>2841.72</v>
      </c>
      <c r="T25" s="13" t="n">
        <v>2841.72</v>
      </c>
      <c r="U25" s="13" t="n">
        <v>350</v>
      </c>
      <c r="V25" s="13" t="n">
        <v>250</v>
      </c>
      <c r="W25" s="13" t="n">
        <f aca="false">U25+V25</f>
        <v>600</v>
      </c>
    </row>
    <row r="26" customFormat="false" ht="15" hidden="false" customHeight="false" outlineLevel="0" collapsed="false">
      <c r="A26" s="14" t="s">
        <v>2440</v>
      </c>
      <c r="B26" s="14" t="s">
        <v>2441</v>
      </c>
      <c r="C26" s="14" t="s">
        <v>645</v>
      </c>
      <c r="D26" s="14" t="s">
        <v>189</v>
      </c>
      <c r="E26" s="15" t="n">
        <v>940000</v>
      </c>
      <c r="F26" s="15" t="n">
        <v>15392.45</v>
      </c>
      <c r="G26" s="15" t="n">
        <v>1924.06</v>
      </c>
      <c r="H26" s="15" t="n">
        <v>1924.06</v>
      </c>
      <c r="I26" s="15" t="n">
        <f aca="false">SUM(K26:T26)</f>
        <v>11544.3</v>
      </c>
      <c r="J26" s="15" t="n">
        <f aca="false">F26-(G26+H26+I26)</f>
        <v>0.0299999999988358</v>
      </c>
      <c r="K26" s="15" t="n">
        <v>1154.43</v>
      </c>
      <c r="L26" s="15" t="n">
        <v>1154.43</v>
      </c>
      <c r="M26" s="15" t="n">
        <v>1154.43</v>
      </c>
      <c r="N26" s="15" t="n">
        <v>1154.43</v>
      </c>
      <c r="O26" s="15" t="n">
        <v>1154.43</v>
      </c>
      <c r="P26" s="15" t="n">
        <v>1154.43</v>
      </c>
      <c r="Q26" s="15" t="n">
        <v>1154.43</v>
      </c>
      <c r="R26" s="15" t="n">
        <v>1154.43</v>
      </c>
      <c r="S26" s="15" t="n">
        <v>1154.43</v>
      </c>
      <c r="T26" s="15" t="n">
        <v>1154.43</v>
      </c>
      <c r="U26" s="15" t="n">
        <v>350</v>
      </c>
      <c r="V26" s="15" t="n">
        <v>0</v>
      </c>
      <c r="W26" s="15" t="n">
        <f aca="false">U26+V26</f>
        <v>350</v>
      </c>
    </row>
    <row r="27" customFormat="false" ht="15" hidden="false" customHeight="false" outlineLevel="0" collapsed="false">
      <c r="A27" s="3" t="s">
        <v>2442</v>
      </c>
      <c r="B27" s="3" t="s">
        <v>2443</v>
      </c>
      <c r="C27" s="3" t="s">
        <v>1289</v>
      </c>
      <c r="D27" s="3" t="s">
        <v>180</v>
      </c>
      <c r="E27" s="13" t="n">
        <v>260000</v>
      </c>
      <c r="F27" s="13" t="n">
        <v>3697.29</v>
      </c>
      <c r="G27" s="13" t="n">
        <v>462.16</v>
      </c>
      <c r="H27" s="13" t="n">
        <v>462.16</v>
      </c>
      <c r="I27" s="13" t="n">
        <f aca="false">SUM(K27:T27)</f>
        <v>2773</v>
      </c>
      <c r="J27" s="13" t="n">
        <f aca="false">F27-(G27+H27+I27)</f>
        <v>-0.0300000000006548</v>
      </c>
      <c r="K27" s="13" t="n">
        <v>277.3</v>
      </c>
      <c r="L27" s="13" t="n">
        <v>277.3</v>
      </c>
      <c r="M27" s="13" t="n">
        <v>277.3</v>
      </c>
      <c r="N27" s="13" t="n">
        <v>277.3</v>
      </c>
      <c r="O27" s="13" t="n">
        <v>277.3</v>
      </c>
      <c r="P27" s="13" t="n">
        <v>277.3</v>
      </c>
      <c r="Q27" s="13" t="n">
        <v>277.3</v>
      </c>
      <c r="R27" s="13" t="n">
        <v>277.3</v>
      </c>
      <c r="S27" s="13" t="n">
        <v>277.3</v>
      </c>
      <c r="T27" s="13" t="n">
        <v>277.3</v>
      </c>
      <c r="U27" s="13" t="n">
        <v>350</v>
      </c>
      <c r="V27" s="13" t="n">
        <v>0</v>
      </c>
      <c r="W27" s="13" t="n">
        <f aca="false">U27+V27</f>
        <v>350</v>
      </c>
    </row>
    <row r="28" customFormat="false" ht="15" hidden="false" customHeight="false" outlineLevel="0" collapsed="false">
      <c r="A28" s="14" t="s">
        <v>2444</v>
      </c>
      <c r="B28" s="14" t="s">
        <v>2445</v>
      </c>
      <c r="C28" s="14" t="s">
        <v>1146</v>
      </c>
      <c r="D28" s="14" t="s">
        <v>115</v>
      </c>
      <c r="E28" s="15" t="n">
        <v>715000</v>
      </c>
      <c r="F28" s="15" t="n">
        <v>9612.96</v>
      </c>
      <c r="G28" s="15" t="n">
        <v>1201.62</v>
      </c>
      <c r="H28" s="15" t="n">
        <v>1201.62</v>
      </c>
      <c r="I28" s="15" t="n">
        <f aca="false">SUM(K28:T28)</f>
        <v>7209.7</v>
      </c>
      <c r="J28" s="15" t="n">
        <f aca="false">F28-(G28+H28+I28)</f>
        <v>0.0199999999986176</v>
      </c>
      <c r="K28" s="15" t="n">
        <v>720.97</v>
      </c>
      <c r="L28" s="15" t="n">
        <v>720.97</v>
      </c>
      <c r="M28" s="15" t="n">
        <v>720.97</v>
      </c>
      <c r="N28" s="15" t="n">
        <v>720.97</v>
      </c>
      <c r="O28" s="15" t="n">
        <v>720.97</v>
      </c>
      <c r="P28" s="15" t="n">
        <v>720.97</v>
      </c>
      <c r="Q28" s="15" t="n">
        <v>720.97</v>
      </c>
      <c r="R28" s="15" t="n">
        <v>720.97</v>
      </c>
      <c r="S28" s="15" t="n">
        <v>720.97</v>
      </c>
      <c r="T28" s="15" t="n">
        <v>720.97</v>
      </c>
      <c r="U28" s="15" t="n">
        <v>350</v>
      </c>
      <c r="V28" s="15" t="n">
        <v>0</v>
      </c>
      <c r="W28" s="15" t="n">
        <f aca="false">U28+V28</f>
        <v>350</v>
      </c>
    </row>
    <row r="29" customFormat="false" ht="15" hidden="false" customHeight="false" outlineLevel="0" collapsed="false">
      <c r="A29" s="3" t="s">
        <v>2446</v>
      </c>
      <c r="B29" s="3" t="s">
        <v>2447</v>
      </c>
      <c r="C29" s="3" t="s">
        <v>1186</v>
      </c>
      <c r="D29" s="3" t="s">
        <v>406</v>
      </c>
      <c r="E29" s="13" t="n">
        <v>1120000</v>
      </c>
      <c r="F29" s="13" t="n">
        <v>8976.92</v>
      </c>
      <c r="G29" s="13" t="n">
        <v>1122.12</v>
      </c>
      <c r="H29" s="13" t="n">
        <v>1122.12</v>
      </c>
      <c r="I29" s="13" t="n">
        <f aca="false">SUM(K29:T29)</f>
        <v>6732.7</v>
      </c>
      <c r="J29" s="13" t="n">
        <f aca="false">F29-(G29+H29+I29)</f>
        <v>-0.0200000000004366</v>
      </c>
      <c r="K29" s="13" t="n">
        <v>673.27</v>
      </c>
      <c r="L29" s="13" t="n">
        <v>673.27</v>
      </c>
      <c r="M29" s="13" t="n">
        <v>673.27</v>
      </c>
      <c r="N29" s="13" t="n">
        <v>673.27</v>
      </c>
      <c r="O29" s="13" t="n">
        <v>673.27</v>
      </c>
      <c r="P29" s="13" t="n">
        <v>673.27</v>
      </c>
      <c r="Q29" s="13" t="n">
        <v>673.27</v>
      </c>
      <c r="R29" s="13" t="n">
        <v>673.27</v>
      </c>
      <c r="S29" s="13" t="n">
        <v>673.27</v>
      </c>
      <c r="T29" s="13" t="n">
        <v>673.27</v>
      </c>
      <c r="U29" s="13" t="n">
        <v>350</v>
      </c>
      <c r="V29" s="13" t="n">
        <v>250</v>
      </c>
      <c r="W29" s="13" t="n">
        <f aca="false">U29+V29</f>
        <v>600</v>
      </c>
    </row>
    <row r="30" customFormat="false" ht="15" hidden="false" customHeight="false" outlineLevel="0" collapsed="false">
      <c r="A30" s="14" t="s">
        <v>2448</v>
      </c>
      <c r="B30" s="14" t="s">
        <v>2416</v>
      </c>
      <c r="C30" s="14" t="s">
        <v>305</v>
      </c>
      <c r="D30" s="14" t="s">
        <v>89</v>
      </c>
      <c r="E30" s="15" t="n">
        <v>1055000</v>
      </c>
      <c r="F30" s="15" t="n">
        <v>17854.18</v>
      </c>
      <c r="G30" s="15" t="n">
        <v>2231.77</v>
      </c>
      <c r="H30" s="15" t="n">
        <v>2231.77</v>
      </c>
      <c r="I30" s="15" t="n">
        <f aca="false">SUM(K30:T30)</f>
        <v>13390.6</v>
      </c>
      <c r="J30" s="15" t="n">
        <f aca="false">F30-(G30+H30+I30)</f>
        <v>0.0400000000008731</v>
      </c>
      <c r="K30" s="15" t="n">
        <v>1339.06</v>
      </c>
      <c r="L30" s="15" t="n">
        <v>1339.06</v>
      </c>
      <c r="M30" s="15" t="n">
        <v>1339.06</v>
      </c>
      <c r="N30" s="15" t="n">
        <v>1339.06</v>
      </c>
      <c r="O30" s="15" t="n">
        <v>1339.06</v>
      </c>
      <c r="P30" s="15" t="n">
        <v>1339.06</v>
      </c>
      <c r="Q30" s="15" t="n">
        <v>1339.06</v>
      </c>
      <c r="R30" s="15" t="n">
        <v>1339.06</v>
      </c>
      <c r="S30" s="15" t="n">
        <v>1339.06</v>
      </c>
      <c r="T30" s="15" t="n">
        <v>1339.06</v>
      </c>
      <c r="U30" s="15" t="n">
        <v>350</v>
      </c>
      <c r="V30" s="15" t="n">
        <v>250</v>
      </c>
      <c r="W30" s="15" t="n">
        <f aca="false">U30+V30</f>
        <v>600</v>
      </c>
    </row>
    <row r="31" customFormat="false" ht="15" hidden="false" customHeight="false" outlineLevel="0" collapsed="false">
      <c r="A31" s="3" t="s">
        <v>2449</v>
      </c>
      <c r="B31" s="3" t="s">
        <v>2433</v>
      </c>
      <c r="C31" s="3" t="s">
        <v>489</v>
      </c>
      <c r="D31" s="3" t="s">
        <v>138</v>
      </c>
      <c r="E31" s="13" t="n">
        <v>640000</v>
      </c>
      <c r="F31" s="13" t="n">
        <v>10956.33</v>
      </c>
      <c r="G31" s="13" t="n">
        <v>1369.54</v>
      </c>
      <c r="H31" s="13" t="n">
        <v>1369.54</v>
      </c>
      <c r="I31" s="13" t="n">
        <f aca="false">SUM(K31:T31)</f>
        <v>8217.2</v>
      </c>
      <c r="J31" s="13" t="n">
        <f aca="false">F31-(G31+H31+I31)</f>
        <v>0.0499999999992724</v>
      </c>
      <c r="K31" s="13" t="n">
        <v>821.72</v>
      </c>
      <c r="L31" s="13" t="n">
        <v>821.72</v>
      </c>
      <c r="M31" s="13" t="n">
        <v>821.72</v>
      </c>
      <c r="N31" s="13" t="n">
        <v>821.72</v>
      </c>
      <c r="O31" s="13" t="n">
        <v>821.72</v>
      </c>
      <c r="P31" s="13" t="n">
        <v>821.72</v>
      </c>
      <c r="Q31" s="13" t="n">
        <v>821.72</v>
      </c>
      <c r="R31" s="13" t="n">
        <v>821.72</v>
      </c>
      <c r="S31" s="13" t="n">
        <v>821.72</v>
      </c>
      <c r="T31" s="13" t="n">
        <v>821.72</v>
      </c>
      <c r="U31" s="13" t="n">
        <v>350</v>
      </c>
      <c r="V31" s="13" t="n">
        <v>0</v>
      </c>
      <c r="W31" s="13" t="n">
        <f aca="false">U31+V31</f>
        <v>350</v>
      </c>
    </row>
    <row r="32" customFormat="false" ht="15" hidden="false" customHeight="false" outlineLevel="0" collapsed="false">
      <c r="A32" s="14" t="s">
        <v>2450</v>
      </c>
      <c r="B32" s="14" t="s">
        <v>2451</v>
      </c>
      <c r="C32" s="14" t="s">
        <v>305</v>
      </c>
      <c r="D32" s="14" t="s">
        <v>132</v>
      </c>
      <c r="E32" s="15" t="n">
        <v>385000</v>
      </c>
      <c r="F32" s="15" t="n">
        <v>2533.81</v>
      </c>
      <c r="G32" s="15" t="n">
        <v>316.73</v>
      </c>
      <c r="H32" s="15" t="n">
        <v>316.73</v>
      </c>
      <c r="I32" s="15" t="n">
        <f aca="false">SUM(K32:T32)</f>
        <v>1900.4</v>
      </c>
      <c r="J32" s="15" t="n">
        <f aca="false">F32-(G32+H32+I32)</f>
        <v>-0.0499999999997272</v>
      </c>
      <c r="K32" s="15" t="n">
        <v>190.04</v>
      </c>
      <c r="L32" s="15" t="n">
        <v>190.04</v>
      </c>
      <c r="M32" s="15" t="n">
        <v>190.04</v>
      </c>
      <c r="N32" s="15" t="n">
        <v>190.04</v>
      </c>
      <c r="O32" s="15" t="n">
        <v>190.04</v>
      </c>
      <c r="P32" s="15" t="n">
        <v>190.04</v>
      </c>
      <c r="Q32" s="15" t="n">
        <v>190.04</v>
      </c>
      <c r="R32" s="15" t="n">
        <v>190.04</v>
      </c>
      <c r="S32" s="15" t="n">
        <v>190.04</v>
      </c>
      <c r="T32" s="15" t="n">
        <v>190.04</v>
      </c>
      <c r="U32" s="15" t="n">
        <v>350</v>
      </c>
      <c r="V32" s="15" t="n">
        <v>0</v>
      </c>
      <c r="W32" s="15" t="n">
        <f aca="false">U32+V32</f>
        <v>350</v>
      </c>
    </row>
    <row r="33" customFormat="false" ht="15" hidden="false" customHeight="false" outlineLevel="0" collapsed="false">
      <c r="A33" s="3" t="s">
        <v>2452</v>
      </c>
      <c r="B33" s="3" t="s">
        <v>2404</v>
      </c>
      <c r="C33" s="3" t="s">
        <v>827</v>
      </c>
      <c r="D33" s="3" t="s">
        <v>125</v>
      </c>
      <c r="E33" s="13" t="n">
        <v>460000</v>
      </c>
      <c r="F33" s="13" t="n">
        <v>5189.84</v>
      </c>
      <c r="G33" s="13" t="n">
        <v>648.73</v>
      </c>
      <c r="H33" s="13" t="n">
        <v>648.73</v>
      </c>
      <c r="I33" s="13" t="n">
        <f aca="false">SUM(K33:T33)</f>
        <v>3892.4</v>
      </c>
      <c r="J33" s="13" t="n">
        <f aca="false">F33-(G33+H33+I33)</f>
        <v>-0.0199999999995271</v>
      </c>
      <c r="K33" s="13" t="n">
        <v>389.24</v>
      </c>
      <c r="L33" s="13" t="n">
        <v>389.24</v>
      </c>
      <c r="M33" s="13" t="n">
        <v>389.24</v>
      </c>
      <c r="N33" s="13" t="n">
        <v>389.24</v>
      </c>
      <c r="O33" s="13" t="n">
        <v>389.24</v>
      </c>
      <c r="P33" s="13" t="n">
        <v>389.24</v>
      </c>
      <c r="Q33" s="13" t="n">
        <v>389.24</v>
      </c>
      <c r="R33" s="13" t="n">
        <v>389.24</v>
      </c>
      <c r="S33" s="13" t="n">
        <v>389.24</v>
      </c>
      <c r="T33" s="13" t="n">
        <v>389.24</v>
      </c>
      <c r="U33" s="13" t="n">
        <v>350</v>
      </c>
      <c r="V33" s="13" t="n">
        <v>0</v>
      </c>
      <c r="W33" s="13" t="n">
        <f aca="false">U33+V33</f>
        <v>350</v>
      </c>
    </row>
    <row r="34" customFormat="false" ht="15" hidden="false" customHeight="false" outlineLevel="0" collapsed="false">
      <c r="A34" s="14" t="s">
        <v>2453</v>
      </c>
      <c r="B34" s="14" t="s">
        <v>2402</v>
      </c>
      <c r="C34" s="14" t="s">
        <v>813</v>
      </c>
      <c r="D34" s="14" t="s">
        <v>325</v>
      </c>
      <c r="E34" s="15" t="n">
        <v>645000</v>
      </c>
      <c r="F34" s="15" t="n">
        <v>9066</v>
      </c>
      <c r="G34" s="15" t="n">
        <v>1133.25</v>
      </c>
      <c r="H34" s="15" t="n">
        <v>1133.25</v>
      </c>
      <c r="I34" s="15" t="n">
        <f aca="false">SUM(K34:T34)</f>
        <v>6799.5</v>
      </c>
      <c r="J34" s="15" t="n">
        <f aca="false">F34-(G34+H34+I34)</f>
        <v>0</v>
      </c>
      <c r="K34" s="15" t="n">
        <v>679.95</v>
      </c>
      <c r="L34" s="15" t="n">
        <v>679.95</v>
      </c>
      <c r="M34" s="15" t="n">
        <v>679.95</v>
      </c>
      <c r="N34" s="15" t="n">
        <v>679.95</v>
      </c>
      <c r="O34" s="15" t="n">
        <v>679.95</v>
      </c>
      <c r="P34" s="15" t="n">
        <v>679.95</v>
      </c>
      <c r="Q34" s="15" t="n">
        <v>679.95</v>
      </c>
      <c r="R34" s="15" t="n">
        <v>679.95</v>
      </c>
      <c r="S34" s="15" t="n">
        <v>679.95</v>
      </c>
      <c r="T34" s="15" t="n">
        <v>679.95</v>
      </c>
      <c r="U34" s="15" t="n">
        <v>350</v>
      </c>
      <c r="V34" s="15" t="n">
        <v>0</v>
      </c>
      <c r="W34" s="15" t="n">
        <f aca="false">U34+V34</f>
        <v>350</v>
      </c>
    </row>
    <row r="35" customFormat="false" ht="15" hidden="false" customHeight="false" outlineLevel="0" collapsed="false">
      <c r="A35" s="3" t="s">
        <v>2454</v>
      </c>
      <c r="B35" s="3" t="s">
        <v>2412</v>
      </c>
      <c r="C35" s="3" t="s">
        <v>1184</v>
      </c>
      <c r="D35" s="3" t="s">
        <v>125</v>
      </c>
      <c r="E35" s="13" t="n">
        <v>1205000</v>
      </c>
      <c r="F35" s="13" t="n">
        <v>14501.47</v>
      </c>
      <c r="G35" s="13" t="n">
        <v>1812.68</v>
      </c>
      <c r="H35" s="13" t="n">
        <v>1812.68</v>
      </c>
      <c r="I35" s="13" t="n">
        <f aca="false">SUM(K35:T35)</f>
        <v>10876.1</v>
      </c>
      <c r="J35" s="13" t="n">
        <f aca="false">F35-(G35+H35+I35)</f>
        <v>0.00999999999839929</v>
      </c>
      <c r="K35" s="13" t="n">
        <v>1087.61</v>
      </c>
      <c r="L35" s="13" t="n">
        <v>1087.61</v>
      </c>
      <c r="M35" s="13" t="n">
        <v>1087.61</v>
      </c>
      <c r="N35" s="13" t="n">
        <v>1087.61</v>
      </c>
      <c r="O35" s="13" t="n">
        <v>1087.61</v>
      </c>
      <c r="P35" s="13" t="n">
        <v>1087.61</v>
      </c>
      <c r="Q35" s="13" t="n">
        <v>1087.61</v>
      </c>
      <c r="R35" s="13" t="n">
        <v>1087.61</v>
      </c>
      <c r="S35" s="13" t="n">
        <v>1087.61</v>
      </c>
      <c r="T35" s="13" t="n">
        <v>1087.61</v>
      </c>
      <c r="U35" s="13" t="n">
        <v>350</v>
      </c>
      <c r="V35" s="13" t="n">
        <v>250</v>
      </c>
      <c r="W35" s="13" t="n">
        <f aca="false">U35+V35</f>
        <v>600</v>
      </c>
    </row>
    <row r="36" customFormat="false" ht="15" hidden="false" customHeight="false" outlineLevel="0" collapsed="false">
      <c r="A36" s="14" t="s">
        <v>2455</v>
      </c>
      <c r="B36" s="14" t="s">
        <v>2456</v>
      </c>
      <c r="C36" s="14" t="s">
        <v>769</v>
      </c>
      <c r="D36" s="14" t="s">
        <v>77</v>
      </c>
      <c r="E36" s="15" t="n">
        <v>500000</v>
      </c>
      <c r="F36" s="15" t="n">
        <v>4278.64</v>
      </c>
      <c r="G36" s="15" t="n">
        <v>534.83</v>
      </c>
      <c r="H36" s="15" t="n">
        <v>534.83</v>
      </c>
      <c r="I36" s="15" t="n">
        <f aca="false">SUM(K36:T36)</f>
        <v>3209</v>
      </c>
      <c r="J36" s="15" t="n">
        <f aca="false">F36-(G36+H36+I36)</f>
        <v>-0.0199999999995271</v>
      </c>
      <c r="K36" s="15" t="n">
        <v>320.9</v>
      </c>
      <c r="L36" s="15" t="n">
        <v>320.9</v>
      </c>
      <c r="M36" s="15" t="n">
        <v>320.9</v>
      </c>
      <c r="N36" s="15" t="n">
        <v>320.9</v>
      </c>
      <c r="O36" s="15" t="n">
        <v>320.9</v>
      </c>
      <c r="P36" s="15" t="n">
        <v>320.9</v>
      </c>
      <c r="Q36" s="15" t="n">
        <v>320.9</v>
      </c>
      <c r="R36" s="15" t="n">
        <v>320.9</v>
      </c>
      <c r="S36" s="15" t="n">
        <v>320.9</v>
      </c>
      <c r="T36" s="15" t="n">
        <v>320.9</v>
      </c>
      <c r="U36" s="15" t="n">
        <v>350</v>
      </c>
      <c r="V36" s="15" t="n">
        <v>0</v>
      </c>
      <c r="W36" s="15" t="n">
        <f aca="false">U36+V36</f>
        <v>350</v>
      </c>
    </row>
    <row r="37" customFormat="false" ht="15" hidden="false" customHeight="false" outlineLevel="0" collapsed="false">
      <c r="A37" s="3" t="s">
        <v>2457</v>
      </c>
      <c r="B37" s="3" t="s">
        <v>2406</v>
      </c>
      <c r="C37" s="3" t="s">
        <v>368</v>
      </c>
      <c r="D37" s="3" t="s">
        <v>312</v>
      </c>
      <c r="E37" s="13" t="n">
        <v>635000</v>
      </c>
      <c r="F37" s="13" t="n">
        <v>7179.17</v>
      </c>
      <c r="G37" s="13" t="n">
        <v>897.4</v>
      </c>
      <c r="H37" s="13" t="n">
        <v>897.4</v>
      </c>
      <c r="I37" s="13" t="n">
        <f aca="false">SUM(K37:T37)</f>
        <v>5384.4</v>
      </c>
      <c r="J37" s="13" t="n">
        <f aca="false">F37-(G37+H37+I37)</f>
        <v>-0.0300000000015643</v>
      </c>
      <c r="K37" s="13" t="n">
        <v>538.44</v>
      </c>
      <c r="L37" s="13" t="n">
        <v>538.44</v>
      </c>
      <c r="M37" s="13" t="n">
        <v>538.44</v>
      </c>
      <c r="N37" s="13" t="n">
        <v>538.44</v>
      </c>
      <c r="O37" s="13" t="n">
        <v>538.44</v>
      </c>
      <c r="P37" s="13" t="n">
        <v>538.44</v>
      </c>
      <c r="Q37" s="13" t="n">
        <v>538.44</v>
      </c>
      <c r="R37" s="13" t="n">
        <v>538.44</v>
      </c>
      <c r="S37" s="13" t="n">
        <v>538.44</v>
      </c>
      <c r="T37" s="13" t="n">
        <v>538.44</v>
      </c>
      <c r="U37" s="13" t="n">
        <v>350</v>
      </c>
      <c r="V37" s="13" t="n">
        <v>0</v>
      </c>
      <c r="W37" s="13" t="n">
        <f aca="false">U37+V37</f>
        <v>350</v>
      </c>
    </row>
    <row r="38" customFormat="false" ht="15" hidden="false" customHeight="false" outlineLevel="0" collapsed="false">
      <c r="A38" s="14" t="s">
        <v>2458</v>
      </c>
      <c r="B38" s="14" t="s">
        <v>2406</v>
      </c>
      <c r="C38" s="14" t="s">
        <v>2276</v>
      </c>
      <c r="D38" s="14" t="s">
        <v>256</v>
      </c>
      <c r="E38" s="15" t="n">
        <v>255000</v>
      </c>
      <c r="F38" s="15" t="n">
        <v>3985.81</v>
      </c>
      <c r="G38" s="15" t="n">
        <v>498.23</v>
      </c>
      <c r="H38" s="15" t="n">
        <v>498.23</v>
      </c>
      <c r="I38" s="15" t="n">
        <f aca="false">SUM(K38:T38)</f>
        <v>2989.4</v>
      </c>
      <c r="J38" s="15" t="n">
        <f aca="false">F38-(G38+H38+I38)</f>
        <v>-0.0500000000001819</v>
      </c>
      <c r="K38" s="15" t="n">
        <v>298.94</v>
      </c>
      <c r="L38" s="15" t="n">
        <v>298.94</v>
      </c>
      <c r="M38" s="15" t="n">
        <v>298.94</v>
      </c>
      <c r="N38" s="15" t="n">
        <v>298.94</v>
      </c>
      <c r="O38" s="15" t="n">
        <v>298.94</v>
      </c>
      <c r="P38" s="15" t="n">
        <v>298.94</v>
      </c>
      <c r="Q38" s="15" t="n">
        <v>298.94</v>
      </c>
      <c r="R38" s="15" t="n">
        <v>298.94</v>
      </c>
      <c r="S38" s="15" t="n">
        <v>298.94</v>
      </c>
      <c r="T38" s="15" t="n">
        <v>298.94</v>
      </c>
      <c r="U38" s="15" t="n">
        <v>350</v>
      </c>
      <c r="V38" s="15" t="n">
        <v>0</v>
      </c>
      <c r="W38" s="15" t="n">
        <f aca="false">U38+V38</f>
        <v>350</v>
      </c>
    </row>
    <row r="39" customFormat="false" ht="15" hidden="false" customHeight="false" outlineLevel="0" collapsed="false">
      <c r="A39" s="3" t="s">
        <v>2459</v>
      </c>
      <c r="B39" s="3" t="s">
        <v>2412</v>
      </c>
      <c r="C39" s="3" t="s">
        <v>267</v>
      </c>
      <c r="D39" s="3" t="s">
        <v>189</v>
      </c>
      <c r="E39" s="13" t="n">
        <v>1170000</v>
      </c>
      <c r="F39" s="13" t="n">
        <v>7663.48</v>
      </c>
      <c r="G39" s="13" t="n">
        <v>957.93</v>
      </c>
      <c r="H39" s="13" t="n">
        <v>957.93</v>
      </c>
      <c r="I39" s="13" t="n">
        <f aca="false">SUM(K39:T39)</f>
        <v>5747.6</v>
      </c>
      <c r="J39" s="13" t="n">
        <f aca="false">F39-(G39+H39+I39)</f>
        <v>0.0199999999995271</v>
      </c>
      <c r="K39" s="13" t="n">
        <v>574.76</v>
      </c>
      <c r="L39" s="13" t="n">
        <v>574.76</v>
      </c>
      <c r="M39" s="13" t="n">
        <v>574.76</v>
      </c>
      <c r="N39" s="13" t="n">
        <v>574.76</v>
      </c>
      <c r="O39" s="13" t="n">
        <v>574.76</v>
      </c>
      <c r="P39" s="13" t="n">
        <v>574.76</v>
      </c>
      <c r="Q39" s="13" t="n">
        <v>574.76</v>
      </c>
      <c r="R39" s="13" t="n">
        <v>574.76</v>
      </c>
      <c r="S39" s="13" t="n">
        <v>574.76</v>
      </c>
      <c r="T39" s="13" t="n">
        <v>574.76</v>
      </c>
      <c r="U39" s="13" t="n">
        <v>350</v>
      </c>
      <c r="V39" s="13" t="n">
        <v>250</v>
      </c>
      <c r="W39" s="13" t="n">
        <f aca="false">U39+V39</f>
        <v>600</v>
      </c>
    </row>
    <row r="40" customFormat="false" ht="15" hidden="false" customHeight="false" outlineLevel="0" collapsed="false">
      <c r="A40" s="14" t="s">
        <v>2460</v>
      </c>
      <c r="B40" s="14" t="s">
        <v>2433</v>
      </c>
      <c r="C40" s="14" t="s">
        <v>1108</v>
      </c>
      <c r="D40" s="14" t="s">
        <v>157</v>
      </c>
      <c r="E40" s="15" t="n">
        <v>850000</v>
      </c>
      <c r="F40" s="15" t="n">
        <v>17967.79</v>
      </c>
      <c r="G40" s="15" t="n">
        <v>2245.97</v>
      </c>
      <c r="H40" s="15" t="n">
        <v>2245.97</v>
      </c>
      <c r="I40" s="15" t="n">
        <f aca="false">SUM(K40:T40)</f>
        <v>13475.8</v>
      </c>
      <c r="J40" s="15" t="n">
        <f aca="false">F40-(G40+H40+I40)</f>
        <v>0.0500000000029104</v>
      </c>
      <c r="K40" s="15" t="n">
        <v>1347.58</v>
      </c>
      <c r="L40" s="15" t="n">
        <v>1347.58</v>
      </c>
      <c r="M40" s="15" t="n">
        <v>1347.58</v>
      </c>
      <c r="N40" s="15" t="n">
        <v>1347.58</v>
      </c>
      <c r="O40" s="15" t="n">
        <v>1347.58</v>
      </c>
      <c r="P40" s="15" t="n">
        <v>1347.58</v>
      </c>
      <c r="Q40" s="15" t="n">
        <v>1347.58</v>
      </c>
      <c r="R40" s="15" t="n">
        <v>1347.58</v>
      </c>
      <c r="S40" s="15" t="n">
        <v>1347.58</v>
      </c>
      <c r="T40" s="15" t="n">
        <v>1347.58</v>
      </c>
      <c r="U40" s="15" t="n">
        <v>350</v>
      </c>
      <c r="V40" s="15" t="n">
        <v>0</v>
      </c>
      <c r="W40" s="15" t="n">
        <f aca="false">U40+V40</f>
        <v>350</v>
      </c>
    </row>
    <row r="41" customFormat="false" ht="15" hidden="false" customHeight="false" outlineLevel="0" collapsed="false">
      <c r="A41" s="3" t="s">
        <v>2461</v>
      </c>
      <c r="B41" s="3" t="s">
        <v>2421</v>
      </c>
      <c r="C41" s="3" t="s">
        <v>775</v>
      </c>
      <c r="D41" s="3" t="s">
        <v>85</v>
      </c>
      <c r="E41" s="13" t="n">
        <v>645000</v>
      </c>
      <c r="F41" s="13" t="n">
        <v>6040.97</v>
      </c>
      <c r="G41" s="13" t="n">
        <v>755.12</v>
      </c>
      <c r="H41" s="13" t="n">
        <v>755.12</v>
      </c>
      <c r="I41" s="13" t="n">
        <f aca="false">SUM(K41:T41)</f>
        <v>4530.7</v>
      </c>
      <c r="J41" s="13" t="n">
        <f aca="false">F41-(G41+H41+I41)</f>
        <v>0.0300000000006548</v>
      </c>
      <c r="K41" s="13" t="n">
        <v>453.07</v>
      </c>
      <c r="L41" s="13" t="n">
        <v>453.07</v>
      </c>
      <c r="M41" s="13" t="n">
        <v>453.07</v>
      </c>
      <c r="N41" s="13" t="n">
        <v>453.07</v>
      </c>
      <c r="O41" s="13" t="n">
        <v>453.07</v>
      </c>
      <c r="P41" s="13" t="n">
        <v>453.07</v>
      </c>
      <c r="Q41" s="13" t="n">
        <v>453.07</v>
      </c>
      <c r="R41" s="13" t="n">
        <v>453.07</v>
      </c>
      <c r="S41" s="13" t="n">
        <v>453.07</v>
      </c>
      <c r="T41" s="13" t="n">
        <v>453.07</v>
      </c>
      <c r="U41" s="13" t="n">
        <v>350</v>
      </c>
      <c r="V41" s="13" t="n">
        <v>0</v>
      </c>
      <c r="W41" s="13" t="n">
        <f aca="false">U41+V41</f>
        <v>350</v>
      </c>
    </row>
    <row r="42" customFormat="false" ht="15" hidden="false" customHeight="false" outlineLevel="0" collapsed="false">
      <c r="A42" s="14" t="s">
        <v>2462</v>
      </c>
      <c r="B42" s="14" t="s">
        <v>2441</v>
      </c>
      <c r="C42" s="14" t="s">
        <v>690</v>
      </c>
      <c r="D42" s="14" t="s">
        <v>328</v>
      </c>
      <c r="E42" s="15" t="n">
        <v>335000</v>
      </c>
      <c r="F42" s="15" t="n">
        <v>5118.16</v>
      </c>
      <c r="G42" s="15" t="n">
        <v>639.77</v>
      </c>
      <c r="H42" s="15" t="n">
        <v>639.77</v>
      </c>
      <c r="I42" s="15" t="n">
        <f aca="false">SUM(K42:T42)</f>
        <v>3838.6</v>
      </c>
      <c r="J42" s="15" t="n">
        <f aca="false">F42-(G42+H42+I42)</f>
        <v>0.0199999999995271</v>
      </c>
      <c r="K42" s="15" t="n">
        <v>383.86</v>
      </c>
      <c r="L42" s="15" t="n">
        <v>383.86</v>
      </c>
      <c r="M42" s="15" t="n">
        <v>383.86</v>
      </c>
      <c r="N42" s="15" t="n">
        <v>383.86</v>
      </c>
      <c r="O42" s="15" t="n">
        <v>383.86</v>
      </c>
      <c r="P42" s="15" t="n">
        <v>383.86</v>
      </c>
      <c r="Q42" s="15" t="n">
        <v>383.86</v>
      </c>
      <c r="R42" s="15" t="n">
        <v>383.86</v>
      </c>
      <c r="S42" s="15" t="n">
        <v>383.86</v>
      </c>
      <c r="T42" s="15" t="n">
        <v>383.86</v>
      </c>
      <c r="U42" s="15" t="n">
        <v>350</v>
      </c>
      <c r="V42" s="15" t="n">
        <v>0</v>
      </c>
      <c r="W42" s="15" t="n">
        <f aca="false">U42+V42</f>
        <v>350</v>
      </c>
    </row>
    <row r="43" customFormat="false" ht="15" hidden="false" customHeight="false" outlineLevel="0" collapsed="false">
      <c r="A43" s="3" t="s">
        <v>2463</v>
      </c>
      <c r="B43" s="3" t="s">
        <v>2464</v>
      </c>
      <c r="C43" s="3" t="s">
        <v>1189</v>
      </c>
      <c r="D43" s="3" t="s">
        <v>115</v>
      </c>
      <c r="E43" s="13" t="n">
        <v>425000</v>
      </c>
      <c r="F43" s="13" t="n">
        <v>6593.07</v>
      </c>
      <c r="G43" s="13" t="n">
        <v>824.13</v>
      </c>
      <c r="H43" s="13" t="n">
        <v>824.13</v>
      </c>
      <c r="I43" s="13" t="n">
        <f aca="false">SUM(K43:T43)</f>
        <v>4944.8</v>
      </c>
      <c r="J43" s="13" t="n">
        <f aca="false">F43-(G43+H43+I43)</f>
        <v>0.0100000000002183</v>
      </c>
      <c r="K43" s="13" t="n">
        <v>494.48</v>
      </c>
      <c r="L43" s="13" t="n">
        <v>494.48</v>
      </c>
      <c r="M43" s="13" t="n">
        <v>494.48</v>
      </c>
      <c r="N43" s="13" t="n">
        <v>494.48</v>
      </c>
      <c r="O43" s="13" t="n">
        <v>494.48</v>
      </c>
      <c r="P43" s="13" t="n">
        <v>494.48</v>
      </c>
      <c r="Q43" s="13" t="n">
        <v>494.48</v>
      </c>
      <c r="R43" s="13" t="n">
        <v>494.48</v>
      </c>
      <c r="S43" s="13" t="n">
        <v>494.48</v>
      </c>
      <c r="T43" s="13" t="n">
        <v>494.48</v>
      </c>
      <c r="U43" s="13" t="n">
        <v>350</v>
      </c>
      <c r="V43" s="13" t="n">
        <v>0</v>
      </c>
      <c r="W43" s="13" t="n">
        <f aca="false">U43+V43</f>
        <v>350</v>
      </c>
    </row>
    <row r="44" customFormat="false" ht="15" hidden="false" customHeight="false" outlineLevel="0" collapsed="false">
      <c r="A44" s="14" t="s">
        <v>2465</v>
      </c>
      <c r="B44" s="14" t="s">
        <v>2447</v>
      </c>
      <c r="C44" s="14" t="s">
        <v>898</v>
      </c>
      <c r="D44" s="14" t="s">
        <v>377</v>
      </c>
      <c r="E44" s="15" t="n">
        <v>535000</v>
      </c>
      <c r="F44" s="15" t="n">
        <v>7301.9</v>
      </c>
      <c r="G44" s="15" t="n">
        <v>912.74</v>
      </c>
      <c r="H44" s="15" t="n">
        <v>912.74</v>
      </c>
      <c r="I44" s="15" t="n">
        <f aca="false">SUM(K44:T44)</f>
        <v>5476.4</v>
      </c>
      <c r="J44" s="15" t="n">
        <f aca="false">F44-(G44+H44+I44)</f>
        <v>0.0199999999986176</v>
      </c>
      <c r="K44" s="15" t="n">
        <v>547.64</v>
      </c>
      <c r="L44" s="15" t="n">
        <v>547.64</v>
      </c>
      <c r="M44" s="15" t="n">
        <v>547.64</v>
      </c>
      <c r="N44" s="15" t="n">
        <v>547.64</v>
      </c>
      <c r="O44" s="15" t="n">
        <v>547.64</v>
      </c>
      <c r="P44" s="15" t="n">
        <v>547.64</v>
      </c>
      <c r="Q44" s="15" t="n">
        <v>547.64</v>
      </c>
      <c r="R44" s="15" t="n">
        <v>547.64</v>
      </c>
      <c r="S44" s="15" t="n">
        <v>547.64</v>
      </c>
      <c r="T44" s="15" t="n">
        <v>547.64</v>
      </c>
      <c r="U44" s="15" t="n">
        <v>350</v>
      </c>
      <c r="V44" s="15" t="n">
        <v>0</v>
      </c>
      <c r="W44" s="15" t="n">
        <f aca="false">U44+V44</f>
        <v>350</v>
      </c>
    </row>
    <row r="45" customFormat="false" ht="15" hidden="false" customHeight="false" outlineLevel="0" collapsed="false">
      <c r="A45" s="3" t="s">
        <v>2466</v>
      </c>
      <c r="B45" s="3" t="s">
        <v>2467</v>
      </c>
      <c r="C45" s="3" t="s">
        <v>2349</v>
      </c>
      <c r="D45" s="3" t="s">
        <v>328</v>
      </c>
      <c r="E45" s="13" t="n">
        <v>480000</v>
      </c>
      <c r="F45" s="13" t="n">
        <v>7333.47</v>
      </c>
      <c r="G45" s="13" t="n">
        <v>916.68</v>
      </c>
      <c r="H45" s="13" t="n">
        <v>916.68</v>
      </c>
      <c r="I45" s="13" t="n">
        <f aca="false">SUM(K45:T45)</f>
        <v>5500.1</v>
      </c>
      <c r="J45" s="13" t="n">
        <f aca="false">F45-(G45+H45+I45)</f>
        <v>0.0100000000002183</v>
      </c>
      <c r="K45" s="13" t="n">
        <v>550.01</v>
      </c>
      <c r="L45" s="13" t="n">
        <v>550.01</v>
      </c>
      <c r="M45" s="13" t="n">
        <v>550.01</v>
      </c>
      <c r="N45" s="13" t="n">
        <v>550.01</v>
      </c>
      <c r="O45" s="13" t="n">
        <v>550.01</v>
      </c>
      <c r="P45" s="13" t="n">
        <v>550.01</v>
      </c>
      <c r="Q45" s="13" t="n">
        <v>550.01</v>
      </c>
      <c r="R45" s="13" t="n">
        <v>550.01</v>
      </c>
      <c r="S45" s="13" t="n">
        <v>550.01</v>
      </c>
      <c r="T45" s="13" t="n">
        <v>550.01</v>
      </c>
      <c r="U45" s="13" t="n">
        <v>350</v>
      </c>
      <c r="V45" s="13" t="n">
        <v>0</v>
      </c>
      <c r="W45" s="13" t="n">
        <f aca="false">U45+V45</f>
        <v>350</v>
      </c>
    </row>
    <row r="46" customFormat="false" ht="15" hidden="false" customHeight="false" outlineLevel="0" collapsed="false">
      <c r="A46" s="14" t="s">
        <v>2468</v>
      </c>
      <c r="B46" s="14" t="s">
        <v>2456</v>
      </c>
      <c r="C46" s="14" t="s">
        <v>274</v>
      </c>
      <c r="D46" s="14" t="s">
        <v>246</v>
      </c>
      <c r="E46" s="15" t="n">
        <v>1950000</v>
      </c>
      <c r="F46" s="15" t="n">
        <v>12466.9</v>
      </c>
      <c r="G46" s="15" t="n">
        <v>1558.36</v>
      </c>
      <c r="H46" s="15" t="n">
        <v>1558.36</v>
      </c>
      <c r="I46" s="15" t="n">
        <f aca="false">SUM(K46:T46)</f>
        <v>9350.2</v>
      </c>
      <c r="J46" s="15" t="n">
        <f aca="false">F46-(G46+H46+I46)</f>
        <v>-0.0200000000004366</v>
      </c>
      <c r="K46" s="15" t="n">
        <v>935.02</v>
      </c>
      <c r="L46" s="15" t="n">
        <v>935.02</v>
      </c>
      <c r="M46" s="15" t="n">
        <v>935.02</v>
      </c>
      <c r="N46" s="15" t="n">
        <v>935.02</v>
      </c>
      <c r="O46" s="15" t="n">
        <v>935.02</v>
      </c>
      <c r="P46" s="15" t="n">
        <v>935.02</v>
      </c>
      <c r="Q46" s="15" t="n">
        <v>935.02</v>
      </c>
      <c r="R46" s="15" t="n">
        <v>935.02</v>
      </c>
      <c r="S46" s="15" t="n">
        <v>935.02</v>
      </c>
      <c r="T46" s="15" t="n">
        <v>935.02</v>
      </c>
      <c r="U46" s="15" t="n">
        <v>350</v>
      </c>
      <c r="V46" s="15" t="n">
        <v>250</v>
      </c>
      <c r="W46" s="15" t="n">
        <f aca="false">U46+V46</f>
        <v>600</v>
      </c>
    </row>
    <row r="47" customFormat="false" ht="15" hidden="false" customHeight="false" outlineLevel="0" collapsed="false">
      <c r="A47" s="3" t="s">
        <v>2469</v>
      </c>
      <c r="B47" s="3" t="s">
        <v>2412</v>
      </c>
      <c r="C47" s="3" t="s">
        <v>2470</v>
      </c>
      <c r="D47" s="3" t="s">
        <v>172</v>
      </c>
      <c r="E47" s="13" t="n">
        <v>240000</v>
      </c>
      <c r="F47" s="13" t="n">
        <v>3598.29</v>
      </c>
      <c r="G47" s="13" t="n">
        <v>449.79</v>
      </c>
      <c r="H47" s="13" t="n">
        <v>449.79</v>
      </c>
      <c r="I47" s="13" t="n">
        <f aca="false">SUM(K47:T47)</f>
        <v>2698.7</v>
      </c>
      <c r="J47" s="13" t="n">
        <f aca="false">F47-(G47+H47+I47)</f>
        <v>0.0100000000002183</v>
      </c>
      <c r="K47" s="13" t="n">
        <v>269.87</v>
      </c>
      <c r="L47" s="13" t="n">
        <v>269.87</v>
      </c>
      <c r="M47" s="13" t="n">
        <v>269.87</v>
      </c>
      <c r="N47" s="13" t="n">
        <v>269.87</v>
      </c>
      <c r="O47" s="13" t="n">
        <v>269.87</v>
      </c>
      <c r="P47" s="13" t="n">
        <v>269.87</v>
      </c>
      <c r="Q47" s="13" t="n">
        <v>269.87</v>
      </c>
      <c r="R47" s="13" t="n">
        <v>269.87</v>
      </c>
      <c r="S47" s="13" t="n">
        <v>269.87</v>
      </c>
      <c r="T47" s="13" t="n">
        <v>269.87</v>
      </c>
      <c r="U47" s="13" t="n">
        <v>350</v>
      </c>
      <c r="V47" s="13" t="n">
        <v>0</v>
      </c>
      <c r="W47" s="13" t="n">
        <f aca="false">U47+V47</f>
        <v>350</v>
      </c>
    </row>
    <row r="48" customFormat="false" ht="15" hidden="false" customHeight="false" outlineLevel="0" collapsed="false">
      <c r="A48" s="14" t="s">
        <v>2471</v>
      </c>
      <c r="B48" s="14" t="s">
        <v>2467</v>
      </c>
      <c r="C48" s="14" t="s">
        <v>1905</v>
      </c>
      <c r="D48" s="14" t="s">
        <v>85</v>
      </c>
      <c r="E48" s="15" t="n">
        <v>815000</v>
      </c>
      <c r="F48" s="15" t="n">
        <v>11538.5</v>
      </c>
      <c r="G48" s="15" t="n">
        <v>1442.31</v>
      </c>
      <c r="H48" s="15" t="n">
        <v>1442.31</v>
      </c>
      <c r="I48" s="15" t="n">
        <f aca="false">SUM(K48:T48)</f>
        <v>8653.9</v>
      </c>
      <c r="J48" s="15" t="n">
        <f aca="false">F48-(G48+H48+I48)</f>
        <v>-0.0200000000004366</v>
      </c>
      <c r="K48" s="15" t="n">
        <v>865.39</v>
      </c>
      <c r="L48" s="15" t="n">
        <v>865.39</v>
      </c>
      <c r="M48" s="15" t="n">
        <v>865.39</v>
      </c>
      <c r="N48" s="15" t="n">
        <v>865.39</v>
      </c>
      <c r="O48" s="15" t="n">
        <v>865.39</v>
      </c>
      <c r="P48" s="15" t="n">
        <v>865.39</v>
      </c>
      <c r="Q48" s="15" t="n">
        <v>865.39</v>
      </c>
      <c r="R48" s="15" t="n">
        <v>865.39</v>
      </c>
      <c r="S48" s="15" t="n">
        <v>865.39</v>
      </c>
      <c r="T48" s="15" t="n">
        <v>865.39</v>
      </c>
      <c r="U48" s="15" t="n">
        <v>350</v>
      </c>
      <c r="V48" s="15" t="n">
        <v>0</v>
      </c>
      <c r="W48" s="15" t="n">
        <f aca="false">U48+V48</f>
        <v>350</v>
      </c>
    </row>
    <row r="49" customFormat="false" ht="15" hidden="false" customHeight="false" outlineLevel="0" collapsed="false">
      <c r="A49" s="3" t="s">
        <v>2472</v>
      </c>
      <c r="B49" s="3" t="s">
        <v>2473</v>
      </c>
      <c r="C49" s="3" t="s">
        <v>1400</v>
      </c>
      <c r="D49" s="3" t="s">
        <v>185</v>
      </c>
      <c r="E49" s="13" t="n">
        <v>480000</v>
      </c>
      <c r="F49" s="13" t="n">
        <v>5697.55</v>
      </c>
      <c r="G49" s="13" t="n">
        <v>712.19</v>
      </c>
      <c r="H49" s="13" t="n">
        <v>712.19</v>
      </c>
      <c r="I49" s="13" t="n">
        <f aca="false">SUM(K49:T49)</f>
        <v>4273.2</v>
      </c>
      <c r="J49" s="13" t="n">
        <f aca="false">F49-(G49+H49+I49)</f>
        <v>-0.0299999999997453</v>
      </c>
      <c r="K49" s="13" t="n">
        <v>427.32</v>
      </c>
      <c r="L49" s="13" t="n">
        <v>427.32</v>
      </c>
      <c r="M49" s="13" t="n">
        <v>427.32</v>
      </c>
      <c r="N49" s="13" t="n">
        <v>427.32</v>
      </c>
      <c r="O49" s="13" t="n">
        <v>427.32</v>
      </c>
      <c r="P49" s="13" t="n">
        <v>427.32</v>
      </c>
      <c r="Q49" s="13" t="n">
        <v>427.32</v>
      </c>
      <c r="R49" s="13" t="n">
        <v>427.32</v>
      </c>
      <c r="S49" s="13" t="n">
        <v>427.32</v>
      </c>
      <c r="T49" s="13" t="n">
        <v>427.32</v>
      </c>
      <c r="U49" s="13" t="n">
        <v>350</v>
      </c>
      <c r="V49" s="13" t="n">
        <v>0</v>
      </c>
      <c r="W49" s="13" t="n">
        <f aca="false">U49+V49</f>
        <v>350</v>
      </c>
    </row>
    <row r="50" customFormat="false" ht="15" hidden="false" customHeight="false" outlineLevel="0" collapsed="false">
      <c r="A50" s="14" t="s">
        <v>2474</v>
      </c>
      <c r="B50" s="14" t="s">
        <v>2456</v>
      </c>
      <c r="C50" s="14" t="s">
        <v>580</v>
      </c>
      <c r="D50" s="14" t="s">
        <v>77</v>
      </c>
      <c r="E50" s="15" t="n">
        <v>325000</v>
      </c>
      <c r="F50" s="15" t="n">
        <v>3104.5</v>
      </c>
      <c r="G50" s="15" t="n">
        <v>388.06</v>
      </c>
      <c r="H50" s="15" t="n">
        <v>388.06</v>
      </c>
      <c r="I50" s="15" t="n">
        <f aca="false">SUM(K50:T50)</f>
        <v>2328.4</v>
      </c>
      <c r="J50" s="15" t="n">
        <f aca="false">F50-(G50+H50+I50)</f>
        <v>-0.0199999999999818</v>
      </c>
      <c r="K50" s="15" t="n">
        <v>232.84</v>
      </c>
      <c r="L50" s="15" t="n">
        <v>232.84</v>
      </c>
      <c r="M50" s="15" t="n">
        <v>232.84</v>
      </c>
      <c r="N50" s="15" t="n">
        <v>232.84</v>
      </c>
      <c r="O50" s="15" t="n">
        <v>232.84</v>
      </c>
      <c r="P50" s="15" t="n">
        <v>232.84</v>
      </c>
      <c r="Q50" s="15" t="n">
        <v>232.84</v>
      </c>
      <c r="R50" s="15" t="n">
        <v>232.84</v>
      </c>
      <c r="S50" s="15" t="n">
        <v>232.84</v>
      </c>
      <c r="T50" s="15" t="n">
        <v>232.84</v>
      </c>
      <c r="U50" s="15" t="n">
        <v>350</v>
      </c>
      <c r="V50" s="15" t="n">
        <v>0</v>
      </c>
      <c r="W50" s="15" t="n">
        <f aca="false">U50+V50</f>
        <v>350</v>
      </c>
    </row>
    <row r="51" customFormat="false" ht="15" hidden="false" customHeight="false" outlineLevel="0" collapsed="false">
      <c r="A51" s="3" t="s">
        <v>2475</v>
      </c>
      <c r="B51" s="3" t="s">
        <v>2408</v>
      </c>
      <c r="C51" s="3" t="s">
        <v>975</v>
      </c>
      <c r="D51" s="3" t="s">
        <v>430</v>
      </c>
      <c r="E51" s="13" t="n">
        <v>355000</v>
      </c>
      <c r="F51" s="13" t="n">
        <v>2643.43</v>
      </c>
      <c r="G51" s="13" t="n">
        <v>330.43</v>
      </c>
      <c r="H51" s="13" t="n">
        <v>330.43</v>
      </c>
      <c r="I51" s="13" t="n">
        <f aca="false">SUM(K51:T51)</f>
        <v>1982.6</v>
      </c>
      <c r="J51" s="13" t="n">
        <f aca="false">F51-(G51+H51+I51)</f>
        <v>-0.0300000000002001</v>
      </c>
      <c r="K51" s="13" t="n">
        <v>198.26</v>
      </c>
      <c r="L51" s="13" t="n">
        <v>198.26</v>
      </c>
      <c r="M51" s="13" t="n">
        <v>198.26</v>
      </c>
      <c r="N51" s="13" t="n">
        <v>198.26</v>
      </c>
      <c r="O51" s="13" t="n">
        <v>198.26</v>
      </c>
      <c r="P51" s="13" t="n">
        <v>198.26</v>
      </c>
      <c r="Q51" s="13" t="n">
        <v>198.26</v>
      </c>
      <c r="R51" s="13" t="n">
        <v>198.26</v>
      </c>
      <c r="S51" s="13" t="n">
        <v>198.26</v>
      </c>
      <c r="T51" s="13" t="n">
        <v>198.26</v>
      </c>
      <c r="U51" s="13" t="n">
        <v>350</v>
      </c>
      <c r="V51" s="13" t="n">
        <v>0</v>
      </c>
      <c r="W51" s="13" t="n">
        <f aca="false">U51+V51</f>
        <v>350</v>
      </c>
    </row>
    <row r="52" customFormat="false" ht="15" hidden="false" customHeight="false" outlineLevel="0" collapsed="false">
      <c r="A52" s="14" t="s">
        <v>2476</v>
      </c>
      <c r="B52" s="14" t="s">
        <v>2473</v>
      </c>
      <c r="C52" s="14" t="s">
        <v>1678</v>
      </c>
      <c r="D52" s="14" t="s">
        <v>85</v>
      </c>
      <c r="E52" s="15" t="n">
        <v>350000</v>
      </c>
      <c r="F52" s="15" t="n">
        <v>5717.52</v>
      </c>
      <c r="G52" s="15" t="n">
        <v>714.69</v>
      </c>
      <c r="H52" s="15" t="n">
        <v>714.69</v>
      </c>
      <c r="I52" s="15" t="n">
        <f aca="false">SUM(K52:T52)</f>
        <v>4288.1</v>
      </c>
      <c r="J52" s="15" t="n">
        <f aca="false">F52-(G52+H52+I52)</f>
        <v>0.0399999999999636</v>
      </c>
      <c r="K52" s="15" t="n">
        <v>428.81</v>
      </c>
      <c r="L52" s="15" t="n">
        <v>428.81</v>
      </c>
      <c r="M52" s="15" t="n">
        <v>428.81</v>
      </c>
      <c r="N52" s="15" t="n">
        <v>428.81</v>
      </c>
      <c r="O52" s="15" t="n">
        <v>428.81</v>
      </c>
      <c r="P52" s="15" t="n">
        <v>428.81</v>
      </c>
      <c r="Q52" s="15" t="n">
        <v>428.81</v>
      </c>
      <c r="R52" s="15" t="n">
        <v>428.81</v>
      </c>
      <c r="S52" s="15" t="n">
        <v>428.81</v>
      </c>
      <c r="T52" s="15" t="n">
        <v>428.81</v>
      </c>
      <c r="U52" s="15" t="n">
        <v>350</v>
      </c>
      <c r="V52" s="15" t="n">
        <v>0</v>
      </c>
      <c r="W52" s="15" t="n">
        <f aca="false">U52+V52</f>
        <v>350</v>
      </c>
    </row>
    <row r="53" customFormat="false" ht="15" hidden="false" customHeight="false" outlineLevel="0" collapsed="false">
      <c r="A53" s="3" t="s">
        <v>2477</v>
      </c>
      <c r="B53" s="3" t="s">
        <v>2435</v>
      </c>
      <c r="C53" s="3" t="s">
        <v>1822</v>
      </c>
      <c r="D53" s="3" t="s">
        <v>246</v>
      </c>
      <c r="E53" s="13" t="n">
        <v>535000</v>
      </c>
      <c r="F53" s="13" t="n">
        <v>6539.01</v>
      </c>
      <c r="G53" s="13" t="n">
        <v>817.38</v>
      </c>
      <c r="H53" s="13" t="n">
        <v>817.38</v>
      </c>
      <c r="I53" s="13" t="n">
        <f aca="false">SUM(K53:T53)</f>
        <v>4904.3</v>
      </c>
      <c r="J53" s="13" t="n">
        <f aca="false">F53-(G53+H53+I53)</f>
        <v>-0.0500000000001819</v>
      </c>
      <c r="K53" s="13" t="n">
        <v>490.43</v>
      </c>
      <c r="L53" s="13" t="n">
        <v>490.43</v>
      </c>
      <c r="M53" s="13" t="n">
        <v>490.43</v>
      </c>
      <c r="N53" s="13" t="n">
        <v>490.43</v>
      </c>
      <c r="O53" s="13" t="n">
        <v>490.43</v>
      </c>
      <c r="P53" s="13" t="n">
        <v>490.43</v>
      </c>
      <c r="Q53" s="13" t="n">
        <v>490.43</v>
      </c>
      <c r="R53" s="13" t="n">
        <v>490.43</v>
      </c>
      <c r="S53" s="13" t="n">
        <v>490.43</v>
      </c>
      <c r="T53" s="13" t="n">
        <v>490.43</v>
      </c>
      <c r="U53" s="13" t="n">
        <v>350</v>
      </c>
      <c r="V53" s="13" t="n">
        <v>0</v>
      </c>
      <c r="W53" s="13" t="n">
        <f aca="false">U53+V53</f>
        <v>350</v>
      </c>
    </row>
    <row r="54" customFormat="false" ht="15" hidden="false" customHeight="false" outlineLevel="0" collapsed="false">
      <c r="A54" s="14" t="s">
        <v>2478</v>
      </c>
      <c r="B54" s="14" t="s">
        <v>2408</v>
      </c>
      <c r="C54" s="14" t="s">
        <v>401</v>
      </c>
      <c r="D54" s="14" t="s">
        <v>85</v>
      </c>
      <c r="E54" s="15" t="n">
        <v>765000</v>
      </c>
      <c r="F54" s="15" t="n">
        <v>10830.62</v>
      </c>
      <c r="G54" s="15" t="n">
        <v>1353.83</v>
      </c>
      <c r="H54" s="15" t="n">
        <v>1353.83</v>
      </c>
      <c r="I54" s="15" t="n">
        <f aca="false">SUM(K54:T54)</f>
        <v>8123</v>
      </c>
      <c r="J54" s="15" t="n">
        <f aca="false">F54-(G54+H54+I54)</f>
        <v>-0.0399999999990541</v>
      </c>
      <c r="K54" s="15" t="n">
        <v>812.3</v>
      </c>
      <c r="L54" s="15" t="n">
        <v>812.3</v>
      </c>
      <c r="M54" s="15" t="n">
        <v>812.3</v>
      </c>
      <c r="N54" s="15" t="n">
        <v>812.3</v>
      </c>
      <c r="O54" s="15" t="n">
        <v>812.3</v>
      </c>
      <c r="P54" s="15" t="n">
        <v>812.3</v>
      </c>
      <c r="Q54" s="15" t="n">
        <v>812.3</v>
      </c>
      <c r="R54" s="15" t="n">
        <v>812.3</v>
      </c>
      <c r="S54" s="15" t="n">
        <v>812.3</v>
      </c>
      <c r="T54" s="15" t="n">
        <v>812.3</v>
      </c>
      <c r="U54" s="15" t="n">
        <v>350</v>
      </c>
      <c r="V54" s="15" t="n">
        <v>0</v>
      </c>
      <c r="W54" s="15" t="n">
        <f aca="false">U54+V54</f>
        <v>350</v>
      </c>
    </row>
    <row r="55" customFormat="false" ht="15" hidden="false" customHeight="false" outlineLevel="0" collapsed="false">
      <c r="A55" s="3" t="s">
        <v>2479</v>
      </c>
      <c r="B55" s="3" t="s">
        <v>2467</v>
      </c>
      <c r="C55" s="3" t="s">
        <v>1327</v>
      </c>
      <c r="D55" s="3" t="s">
        <v>112</v>
      </c>
      <c r="E55" s="13" t="n">
        <v>535000</v>
      </c>
      <c r="F55" s="13" t="n">
        <v>5176.71</v>
      </c>
      <c r="G55" s="13" t="n">
        <v>647.09</v>
      </c>
      <c r="H55" s="13" t="n">
        <v>647.09</v>
      </c>
      <c r="I55" s="13" t="n">
        <f aca="false">SUM(K55:T55)</f>
        <v>3882.5</v>
      </c>
      <c r="J55" s="13" t="n">
        <f aca="false">F55-(G55+H55+I55)</f>
        <v>0.0299999999997453</v>
      </c>
      <c r="K55" s="13" t="n">
        <v>388.25</v>
      </c>
      <c r="L55" s="13" t="n">
        <v>388.25</v>
      </c>
      <c r="M55" s="13" t="n">
        <v>388.25</v>
      </c>
      <c r="N55" s="13" t="n">
        <v>388.25</v>
      </c>
      <c r="O55" s="13" t="n">
        <v>388.25</v>
      </c>
      <c r="P55" s="13" t="n">
        <v>388.25</v>
      </c>
      <c r="Q55" s="13" t="n">
        <v>388.25</v>
      </c>
      <c r="R55" s="13" t="n">
        <v>388.25</v>
      </c>
      <c r="S55" s="13" t="n">
        <v>388.25</v>
      </c>
      <c r="T55" s="13" t="n">
        <v>388.25</v>
      </c>
      <c r="U55" s="13" t="n">
        <v>350</v>
      </c>
      <c r="V55" s="13" t="n">
        <v>0</v>
      </c>
      <c r="W55" s="13" t="n">
        <f aca="false">U55+V55</f>
        <v>350</v>
      </c>
    </row>
    <row r="56" customFormat="false" ht="15" hidden="false" customHeight="false" outlineLevel="0" collapsed="false">
      <c r="A56" s="14" t="s">
        <v>2480</v>
      </c>
      <c r="B56" s="14" t="s">
        <v>2412</v>
      </c>
      <c r="C56" s="14" t="s">
        <v>421</v>
      </c>
      <c r="D56" s="14" t="s">
        <v>163</v>
      </c>
      <c r="E56" s="15" t="n">
        <v>1090000</v>
      </c>
      <c r="F56" s="15" t="n">
        <v>9581.94</v>
      </c>
      <c r="G56" s="15" t="n">
        <v>1197.74</v>
      </c>
      <c r="H56" s="15" t="n">
        <v>1197.74</v>
      </c>
      <c r="I56" s="15" t="n">
        <f aca="false">SUM(K56:T56)</f>
        <v>7186.5</v>
      </c>
      <c r="J56" s="15" t="n">
        <f aca="false">F56-(G56+H56+I56)</f>
        <v>-0.0399999999990541</v>
      </c>
      <c r="K56" s="15" t="n">
        <v>718.65</v>
      </c>
      <c r="L56" s="15" t="n">
        <v>718.65</v>
      </c>
      <c r="M56" s="15" t="n">
        <v>718.65</v>
      </c>
      <c r="N56" s="15" t="n">
        <v>718.65</v>
      </c>
      <c r="O56" s="15" t="n">
        <v>718.65</v>
      </c>
      <c r="P56" s="15" t="n">
        <v>718.65</v>
      </c>
      <c r="Q56" s="15" t="n">
        <v>718.65</v>
      </c>
      <c r="R56" s="15" t="n">
        <v>718.65</v>
      </c>
      <c r="S56" s="15" t="n">
        <v>718.65</v>
      </c>
      <c r="T56" s="15" t="n">
        <v>718.65</v>
      </c>
      <c r="U56" s="15" t="n">
        <v>350</v>
      </c>
      <c r="V56" s="15" t="n">
        <v>250</v>
      </c>
      <c r="W56" s="15" t="n">
        <f aca="false">U56+V56</f>
        <v>600</v>
      </c>
    </row>
    <row r="57" customFormat="false" ht="15" hidden="false" customHeight="false" outlineLevel="0" collapsed="false">
      <c r="A57" s="3" t="s">
        <v>2481</v>
      </c>
      <c r="B57" s="3" t="s">
        <v>2406</v>
      </c>
      <c r="C57" s="3" t="s">
        <v>813</v>
      </c>
      <c r="D57" s="3" t="s">
        <v>246</v>
      </c>
      <c r="E57" s="13" t="n">
        <v>590000</v>
      </c>
      <c r="F57" s="13" t="n">
        <v>7211.25</v>
      </c>
      <c r="G57" s="13" t="n">
        <v>901.41</v>
      </c>
      <c r="H57" s="13" t="n">
        <v>901.41</v>
      </c>
      <c r="I57" s="13" t="n">
        <f aca="false">SUM(K57:T57)</f>
        <v>5408.4</v>
      </c>
      <c r="J57" s="13" t="n">
        <f aca="false">F57-(G57+H57+I57)</f>
        <v>0.0299999999997453</v>
      </c>
      <c r="K57" s="13" t="n">
        <v>540.84</v>
      </c>
      <c r="L57" s="13" t="n">
        <v>540.84</v>
      </c>
      <c r="M57" s="13" t="n">
        <v>540.84</v>
      </c>
      <c r="N57" s="13" t="n">
        <v>540.84</v>
      </c>
      <c r="O57" s="13" t="n">
        <v>540.84</v>
      </c>
      <c r="P57" s="13" t="n">
        <v>540.84</v>
      </c>
      <c r="Q57" s="13" t="n">
        <v>540.84</v>
      </c>
      <c r="R57" s="13" t="n">
        <v>540.84</v>
      </c>
      <c r="S57" s="13" t="n">
        <v>540.84</v>
      </c>
      <c r="T57" s="13" t="n">
        <v>540.84</v>
      </c>
      <c r="U57" s="13" t="n">
        <v>350</v>
      </c>
      <c r="V57" s="13" t="n">
        <v>0</v>
      </c>
      <c r="W57" s="13" t="n">
        <f aca="false">U57+V57</f>
        <v>350</v>
      </c>
    </row>
    <row r="58" customFormat="false" ht="15" hidden="false" customHeight="false" outlineLevel="0" collapsed="false">
      <c r="A58" s="14" t="s">
        <v>2482</v>
      </c>
      <c r="B58" s="14" t="s">
        <v>2414</v>
      </c>
      <c r="C58" s="14" t="s">
        <v>1377</v>
      </c>
      <c r="D58" s="14" t="s">
        <v>89</v>
      </c>
      <c r="E58" s="15" t="n">
        <v>915000</v>
      </c>
      <c r="F58" s="15" t="n">
        <v>12581.49</v>
      </c>
      <c r="G58" s="15" t="n">
        <v>1572.69</v>
      </c>
      <c r="H58" s="15" t="n">
        <v>1572.69</v>
      </c>
      <c r="I58" s="15" t="n">
        <f aca="false">SUM(K58:T58)</f>
        <v>9436.1</v>
      </c>
      <c r="J58" s="15" t="n">
        <f aca="false">F58-(G58+H58+I58)</f>
        <v>0.0100000000002183</v>
      </c>
      <c r="K58" s="15" t="n">
        <v>943.61</v>
      </c>
      <c r="L58" s="15" t="n">
        <v>943.61</v>
      </c>
      <c r="M58" s="15" t="n">
        <v>943.61</v>
      </c>
      <c r="N58" s="15" t="n">
        <v>943.61</v>
      </c>
      <c r="O58" s="15" t="n">
        <v>943.61</v>
      </c>
      <c r="P58" s="15" t="n">
        <v>943.61</v>
      </c>
      <c r="Q58" s="15" t="n">
        <v>943.61</v>
      </c>
      <c r="R58" s="15" t="n">
        <v>943.61</v>
      </c>
      <c r="S58" s="15" t="n">
        <v>943.61</v>
      </c>
      <c r="T58" s="15" t="n">
        <v>943.61</v>
      </c>
      <c r="U58" s="15" t="n">
        <v>350</v>
      </c>
      <c r="V58" s="15" t="n">
        <v>0</v>
      </c>
      <c r="W58" s="15" t="n">
        <f aca="false">U58+V58</f>
        <v>350</v>
      </c>
    </row>
    <row r="59" customFormat="false" ht="15" hidden="false" customHeight="false" outlineLevel="0" collapsed="false">
      <c r="A59" s="3" t="s">
        <v>2483</v>
      </c>
      <c r="B59" s="3" t="s">
        <v>2473</v>
      </c>
      <c r="C59" s="3" t="s">
        <v>538</v>
      </c>
      <c r="D59" s="3" t="s">
        <v>153</v>
      </c>
      <c r="E59" s="13" t="n">
        <v>1040000</v>
      </c>
      <c r="F59" s="13" t="n">
        <v>9598.7</v>
      </c>
      <c r="G59" s="13" t="n">
        <v>1199.84</v>
      </c>
      <c r="H59" s="13" t="n">
        <v>1199.84</v>
      </c>
      <c r="I59" s="13" t="n">
        <f aca="false">SUM(K59:T59)</f>
        <v>7199</v>
      </c>
      <c r="J59" s="13" t="n">
        <f aca="false">F59-(G59+H59+I59)</f>
        <v>0.0200000000022555</v>
      </c>
      <c r="K59" s="13" t="n">
        <v>719.9</v>
      </c>
      <c r="L59" s="13" t="n">
        <v>719.9</v>
      </c>
      <c r="M59" s="13" t="n">
        <v>719.9</v>
      </c>
      <c r="N59" s="13" t="n">
        <v>719.9</v>
      </c>
      <c r="O59" s="13" t="n">
        <v>719.9</v>
      </c>
      <c r="P59" s="13" t="n">
        <v>719.9</v>
      </c>
      <c r="Q59" s="13" t="n">
        <v>719.9</v>
      </c>
      <c r="R59" s="13" t="n">
        <v>719.9</v>
      </c>
      <c r="S59" s="13" t="n">
        <v>719.9</v>
      </c>
      <c r="T59" s="13" t="n">
        <v>719.9</v>
      </c>
      <c r="U59" s="13" t="n">
        <v>350</v>
      </c>
      <c r="V59" s="13" t="n">
        <v>250</v>
      </c>
      <c r="W59" s="13" t="n">
        <f aca="false">U59+V59</f>
        <v>600</v>
      </c>
    </row>
    <row r="60" customFormat="false" ht="15" hidden="false" customHeight="false" outlineLevel="0" collapsed="false">
      <c r="A60" s="14" t="s">
        <v>2484</v>
      </c>
      <c r="B60" s="14" t="s">
        <v>2431</v>
      </c>
      <c r="C60" s="14" t="s">
        <v>975</v>
      </c>
      <c r="D60" s="14" t="s">
        <v>911</v>
      </c>
      <c r="E60" s="15" t="n">
        <v>525000</v>
      </c>
      <c r="F60" s="15" t="n">
        <v>5775.11</v>
      </c>
      <c r="G60" s="15" t="n">
        <v>721.89</v>
      </c>
      <c r="H60" s="15" t="n">
        <v>721.89</v>
      </c>
      <c r="I60" s="15" t="n">
        <f aca="false">SUM(K60:T60)</f>
        <v>4331.3</v>
      </c>
      <c r="J60" s="15" t="n">
        <f aca="false">F60-(G60+H60+I60)</f>
        <v>0.0299999999997453</v>
      </c>
      <c r="K60" s="15" t="n">
        <v>433.13</v>
      </c>
      <c r="L60" s="15" t="n">
        <v>433.13</v>
      </c>
      <c r="M60" s="15" t="n">
        <v>433.13</v>
      </c>
      <c r="N60" s="15" t="n">
        <v>433.13</v>
      </c>
      <c r="O60" s="15" t="n">
        <v>433.13</v>
      </c>
      <c r="P60" s="15" t="n">
        <v>433.13</v>
      </c>
      <c r="Q60" s="15" t="n">
        <v>433.13</v>
      </c>
      <c r="R60" s="15" t="n">
        <v>433.13</v>
      </c>
      <c r="S60" s="15" t="n">
        <v>433.13</v>
      </c>
      <c r="T60" s="15" t="n">
        <v>433.13</v>
      </c>
      <c r="U60" s="15" t="n">
        <v>350</v>
      </c>
      <c r="V60" s="15" t="n">
        <v>0</v>
      </c>
      <c r="W60" s="15" t="n">
        <f aca="false">U60+V60</f>
        <v>350</v>
      </c>
    </row>
    <row r="61" customFormat="false" ht="15" hidden="false" customHeight="false" outlineLevel="0" collapsed="false">
      <c r="A61" s="3" t="s">
        <v>2485</v>
      </c>
      <c r="B61" s="3" t="s">
        <v>2486</v>
      </c>
      <c r="C61" s="3" t="s">
        <v>1951</v>
      </c>
      <c r="D61" s="3" t="s">
        <v>328</v>
      </c>
      <c r="E61" s="13" t="n">
        <v>670000</v>
      </c>
      <c r="F61" s="13" t="n">
        <v>10645.76</v>
      </c>
      <c r="G61" s="13" t="n">
        <v>1330.72</v>
      </c>
      <c r="H61" s="13" t="n">
        <v>1330.72</v>
      </c>
      <c r="I61" s="13" t="n">
        <f aca="false">SUM(K61:T61)</f>
        <v>7984.3</v>
      </c>
      <c r="J61" s="13" t="n">
        <f aca="false">F61-(G61+H61+I61)</f>
        <v>0.0200000000004366</v>
      </c>
      <c r="K61" s="13" t="n">
        <v>798.43</v>
      </c>
      <c r="L61" s="13" t="n">
        <v>798.43</v>
      </c>
      <c r="M61" s="13" t="n">
        <v>798.43</v>
      </c>
      <c r="N61" s="13" t="n">
        <v>798.43</v>
      </c>
      <c r="O61" s="13" t="n">
        <v>798.43</v>
      </c>
      <c r="P61" s="13" t="n">
        <v>798.43</v>
      </c>
      <c r="Q61" s="13" t="n">
        <v>798.43</v>
      </c>
      <c r="R61" s="13" t="n">
        <v>798.43</v>
      </c>
      <c r="S61" s="13" t="n">
        <v>798.43</v>
      </c>
      <c r="T61" s="13" t="n">
        <v>798.43</v>
      </c>
      <c r="U61" s="13" t="n">
        <v>350</v>
      </c>
      <c r="V61" s="13" t="n">
        <v>0</v>
      </c>
      <c r="W61" s="13" t="n">
        <f aca="false">U61+V61</f>
        <v>350</v>
      </c>
    </row>
    <row r="62" customFormat="false" ht="15" hidden="false" customHeight="false" outlineLevel="0" collapsed="false">
      <c r="A62" s="14" t="s">
        <v>2487</v>
      </c>
      <c r="B62" s="14" t="s">
        <v>2431</v>
      </c>
      <c r="C62" s="14" t="s">
        <v>419</v>
      </c>
      <c r="D62" s="14" t="s">
        <v>208</v>
      </c>
      <c r="E62" s="15" t="n">
        <v>425000</v>
      </c>
      <c r="F62" s="15" t="n">
        <v>4155.63</v>
      </c>
      <c r="G62" s="15" t="n">
        <v>519.45</v>
      </c>
      <c r="H62" s="15" t="n">
        <v>519.45</v>
      </c>
      <c r="I62" s="15" t="n">
        <f aca="false">SUM(K62:T62)</f>
        <v>3116.7</v>
      </c>
      <c r="J62" s="15" t="n">
        <f aca="false">F62-(G62+H62+I62)</f>
        <v>0.0299999999997453</v>
      </c>
      <c r="K62" s="15" t="n">
        <v>311.67</v>
      </c>
      <c r="L62" s="15" t="n">
        <v>311.67</v>
      </c>
      <c r="M62" s="15" t="n">
        <v>311.67</v>
      </c>
      <c r="N62" s="15" t="n">
        <v>311.67</v>
      </c>
      <c r="O62" s="15" t="n">
        <v>311.67</v>
      </c>
      <c r="P62" s="15" t="n">
        <v>311.67</v>
      </c>
      <c r="Q62" s="15" t="n">
        <v>311.67</v>
      </c>
      <c r="R62" s="15" t="n">
        <v>311.67</v>
      </c>
      <c r="S62" s="15" t="n">
        <v>311.67</v>
      </c>
      <c r="T62" s="15" t="n">
        <v>311.67</v>
      </c>
      <c r="U62" s="15" t="n">
        <v>350</v>
      </c>
      <c r="V62" s="15" t="n">
        <v>0</v>
      </c>
      <c r="W62" s="15" t="n">
        <f aca="false">U62+V62</f>
        <v>350</v>
      </c>
    </row>
    <row r="63" customFormat="false" ht="15" hidden="false" customHeight="false" outlineLevel="0" collapsed="false">
      <c r="A63" s="3" t="s">
        <v>2488</v>
      </c>
      <c r="B63" s="3" t="s">
        <v>2410</v>
      </c>
      <c r="C63" s="3" t="s">
        <v>2489</v>
      </c>
      <c r="D63" s="3" t="s">
        <v>193</v>
      </c>
      <c r="E63" s="13" t="n">
        <v>300000</v>
      </c>
      <c r="F63" s="13" t="n">
        <v>4407.13</v>
      </c>
      <c r="G63" s="13" t="n">
        <v>550.89</v>
      </c>
      <c r="H63" s="13" t="n">
        <v>550.89</v>
      </c>
      <c r="I63" s="13" t="n">
        <f aca="false">SUM(K63:T63)</f>
        <v>3305.3</v>
      </c>
      <c r="J63" s="13" t="n">
        <f aca="false">F63-(G63+H63+I63)</f>
        <v>0.0500000000010914</v>
      </c>
      <c r="K63" s="13" t="n">
        <v>330.53</v>
      </c>
      <c r="L63" s="13" t="n">
        <v>330.53</v>
      </c>
      <c r="M63" s="13" t="n">
        <v>330.53</v>
      </c>
      <c r="N63" s="13" t="n">
        <v>330.53</v>
      </c>
      <c r="O63" s="13" t="n">
        <v>330.53</v>
      </c>
      <c r="P63" s="13" t="n">
        <v>330.53</v>
      </c>
      <c r="Q63" s="13" t="n">
        <v>330.53</v>
      </c>
      <c r="R63" s="13" t="n">
        <v>330.53</v>
      </c>
      <c r="S63" s="13" t="n">
        <v>330.53</v>
      </c>
      <c r="T63" s="13" t="n">
        <v>330.53</v>
      </c>
      <c r="U63" s="13" t="n">
        <v>350</v>
      </c>
      <c r="V63" s="13" t="n">
        <v>0</v>
      </c>
      <c r="W63" s="13" t="n">
        <f aca="false">U63+V63</f>
        <v>350</v>
      </c>
    </row>
    <row r="64" customFormat="false" ht="15" hidden="false" customHeight="false" outlineLevel="0" collapsed="false">
      <c r="A64" s="14" t="s">
        <v>2490</v>
      </c>
      <c r="B64" s="14" t="s">
        <v>2419</v>
      </c>
      <c r="C64" s="14" t="s">
        <v>68</v>
      </c>
      <c r="D64" s="14" t="s">
        <v>112</v>
      </c>
      <c r="E64" s="15" t="n">
        <v>1380000</v>
      </c>
      <c r="F64" s="15" t="n">
        <v>16434.5</v>
      </c>
      <c r="G64" s="15" t="n">
        <v>2054.31</v>
      </c>
      <c r="H64" s="15" t="n">
        <v>2054.31</v>
      </c>
      <c r="I64" s="15" t="n">
        <f aca="false">SUM(K64:T64)</f>
        <v>12325.9</v>
      </c>
      <c r="J64" s="15" t="n">
        <f aca="false">F64-(G64+H64+I64)</f>
        <v>-0.0200000000004366</v>
      </c>
      <c r="K64" s="15" t="n">
        <v>1232.59</v>
      </c>
      <c r="L64" s="15" t="n">
        <v>1232.59</v>
      </c>
      <c r="M64" s="15" t="n">
        <v>1232.59</v>
      </c>
      <c r="N64" s="15" t="n">
        <v>1232.59</v>
      </c>
      <c r="O64" s="15" t="n">
        <v>1232.59</v>
      </c>
      <c r="P64" s="15" t="n">
        <v>1232.59</v>
      </c>
      <c r="Q64" s="15" t="n">
        <v>1232.59</v>
      </c>
      <c r="R64" s="15" t="n">
        <v>1232.59</v>
      </c>
      <c r="S64" s="15" t="n">
        <v>1232.59</v>
      </c>
      <c r="T64" s="15" t="n">
        <v>1232.59</v>
      </c>
      <c r="U64" s="15" t="n">
        <v>350</v>
      </c>
      <c r="V64" s="15" t="n">
        <v>250</v>
      </c>
      <c r="W64" s="15" t="n">
        <f aca="false">U64+V64</f>
        <v>600</v>
      </c>
    </row>
    <row r="65" customFormat="false" ht="15" hidden="false" customHeight="false" outlineLevel="0" collapsed="false">
      <c r="A65" s="3" t="s">
        <v>2491</v>
      </c>
      <c r="B65" s="3" t="s">
        <v>2404</v>
      </c>
      <c r="C65" s="3" t="s">
        <v>364</v>
      </c>
      <c r="D65" s="3" t="s">
        <v>69</v>
      </c>
      <c r="E65" s="13" t="n">
        <v>1075000</v>
      </c>
      <c r="F65" s="13" t="n">
        <v>13071.75</v>
      </c>
      <c r="G65" s="13" t="n">
        <v>1633.97</v>
      </c>
      <c r="H65" s="13" t="n">
        <v>1633.97</v>
      </c>
      <c r="I65" s="13" t="n">
        <f aca="false">SUM(K65:T65)</f>
        <v>9803.8</v>
      </c>
      <c r="J65" s="13" t="n">
        <f aca="false">F65-(G65+H65+I65)</f>
        <v>0.0100000000002183</v>
      </c>
      <c r="K65" s="13" t="n">
        <v>980.38</v>
      </c>
      <c r="L65" s="13" t="n">
        <v>980.38</v>
      </c>
      <c r="M65" s="13" t="n">
        <v>980.38</v>
      </c>
      <c r="N65" s="13" t="n">
        <v>980.38</v>
      </c>
      <c r="O65" s="13" t="n">
        <v>980.38</v>
      </c>
      <c r="P65" s="13" t="n">
        <v>980.38</v>
      </c>
      <c r="Q65" s="13" t="n">
        <v>980.38</v>
      </c>
      <c r="R65" s="13" t="n">
        <v>980.38</v>
      </c>
      <c r="S65" s="13" t="n">
        <v>980.38</v>
      </c>
      <c r="T65" s="13" t="n">
        <v>980.38</v>
      </c>
      <c r="U65" s="13" t="n">
        <v>350</v>
      </c>
      <c r="V65" s="13" t="n">
        <v>250</v>
      </c>
      <c r="W65" s="13" t="n">
        <f aca="false">U65+V65</f>
        <v>600</v>
      </c>
    </row>
    <row r="66" customFormat="false" ht="15" hidden="false" customHeight="false" outlineLevel="0" collapsed="false">
      <c r="A66" s="14" t="s">
        <v>2492</v>
      </c>
      <c r="B66" s="14" t="s">
        <v>2416</v>
      </c>
      <c r="C66" s="14" t="s">
        <v>533</v>
      </c>
      <c r="D66" s="14" t="s">
        <v>246</v>
      </c>
      <c r="E66" s="15" t="n">
        <v>885000</v>
      </c>
      <c r="F66" s="15" t="n">
        <v>10816.87</v>
      </c>
      <c r="G66" s="15" t="n">
        <v>1352.11</v>
      </c>
      <c r="H66" s="15" t="n">
        <v>1352.11</v>
      </c>
      <c r="I66" s="15" t="n">
        <f aca="false">SUM(K66:T66)</f>
        <v>8112.7</v>
      </c>
      <c r="J66" s="15" t="n">
        <f aca="false">F66-(G66+H66+I66)</f>
        <v>-0.0499999999992724</v>
      </c>
      <c r="K66" s="15" t="n">
        <v>811.27</v>
      </c>
      <c r="L66" s="15" t="n">
        <v>811.27</v>
      </c>
      <c r="M66" s="15" t="n">
        <v>811.27</v>
      </c>
      <c r="N66" s="15" t="n">
        <v>811.27</v>
      </c>
      <c r="O66" s="15" t="n">
        <v>811.27</v>
      </c>
      <c r="P66" s="15" t="n">
        <v>811.27</v>
      </c>
      <c r="Q66" s="15" t="n">
        <v>811.27</v>
      </c>
      <c r="R66" s="15" t="n">
        <v>811.27</v>
      </c>
      <c r="S66" s="15" t="n">
        <v>811.27</v>
      </c>
      <c r="T66" s="15" t="n">
        <v>811.27</v>
      </c>
      <c r="U66" s="15" t="n">
        <v>350</v>
      </c>
      <c r="V66" s="15" t="n">
        <v>0</v>
      </c>
      <c r="W66" s="15" t="n">
        <f aca="false">U66+V66</f>
        <v>350</v>
      </c>
    </row>
    <row r="67" customFormat="false" ht="15" hidden="false" customHeight="false" outlineLevel="0" collapsed="false">
      <c r="A67" s="3" t="s">
        <v>2493</v>
      </c>
      <c r="B67" s="3" t="s">
        <v>2451</v>
      </c>
      <c r="C67" s="3" t="s">
        <v>559</v>
      </c>
      <c r="D67" s="3" t="s">
        <v>246</v>
      </c>
      <c r="E67" s="13" t="n">
        <v>340000</v>
      </c>
      <c r="F67" s="13" t="n">
        <v>4794.96</v>
      </c>
      <c r="G67" s="13" t="n">
        <v>599.37</v>
      </c>
      <c r="H67" s="13" t="n">
        <v>599.37</v>
      </c>
      <c r="I67" s="13" t="n">
        <f aca="false">SUM(K67:T67)</f>
        <v>3596.2</v>
      </c>
      <c r="J67" s="13" t="n">
        <f aca="false">F67-(G67+H67+I67)</f>
        <v>0.0200000000004366</v>
      </c>
      <c r="K67" s="13" t="n">
        <v>359.62</v>
      </c>
      <c r="L67" s="13" t="n">
        <v>359.62</v>
      </c>
      <c r="M67" s="13" t="n">
        <v>359.62</v>
      </c>
      <c r="N67" s="13" t="n">
        <v>359.62</v>
      </c>
      <c r="O67" s="13" t="n">
        <v>359.62</v>
      </c>
      <c r="P67" s="13" t="n">
        <v>359.62</v>
      </c>
      <c r="Q67" s="13" t="n">
        <v>359.62</v>
      </c>
      <c r="R67" s="13" t="n">
        <v>359.62</v>
      </c>
      <c r="S67" s="13" t="n">
        <v>359.62</v>
      </c>
      <c r="T67" s="13" t="n">
        <v>359.62</v>
      </c>
      <c r="U67" s="13" t="n">
        <v>350</v>
      </c>
      <c r="V67" s="13" t="n">
        <v>0</v>
      </c>
      <c r="W67" s="13" t="n">
        <f aca="false">U67+V67</f>
        <v>350</v>
      </c>
    </row>
    <row r="68" customFormat="false" ht="15" hidden="false" customHeight="false" outlineLevel="0" collapsed="false">
      <c r="A68" s="14" t="s">
        <v>2494</v>
      </c>
      <c r="B68" s="14" t="s">
        <v>2495</v>
      </c>
      <c r="C68" s="14" t="s">
        <v>239</v>
      </c>
      <c r="D68" s="14" t="s">
        <v>89</v>
      </c>
      <c r="E68" s="15" t="n">
        <v>680000</v>
      </c>
      <c r="F68" s="15" t="n">
        <v>13665.64</v>
      </c>
      <c r="G68" s="15" t="n">
        <v>1708.2</v>
      </c>
      <c r="H68" s="15" t="n">
        <v>1708.2</v>
      </c>
      <c r="I68" s="15" t="n">
        <f aca="false">SUM(K68:T68)</f>
        <v>10249.2</v>
      </c>
      <c r="J68" s="15" t="n">
        <f aca="false">F68-(G68+H68+I68)</f>
        <v>0.0399999999990541</v>
      </c>
      <c r="K68" s="15" t="n">
        <v>1024.92</v>
      </c>
      <c r="L68" s="15" t="n">
        <v>1024.92</v>
      </c>
      <c r="M68" s="15" t="n">
        <v>1024.92</v>
      </c>
      <c r="N68" s="15" t="n">
        <v>1024.92</v>
      </c>
      <c r="O68" s="15" t="n">
        <v>1024.92</v>
      </c>
      <c r="P68" s="15" t="n">
        <v>1024.92</v>
      </c>
      <c r="Q68" s="15" t="n">
        <v>1024.92</v>
      </c>
      <c r="R68" s="15" t="n">
        <v>1024.92</v>
      </c>
      <c r="S68" s="15" t="n">
        <v>1024.92</v>
      </c>
      <c r="T68" s="15" t="n">
        <v>1024.92</v>
      </c>
      <c r="U68" s="15" t="n">
        <v>350</v>
      </c>
      <c r="V68" s="15" t="n">
        <v>0</v>
      </c>
      <c r="W68" s="15" t="n">
        <f aca="false">U68+V68</f>
        <v>350</v>
      </c>
    </row>
    <row r="69" customFormat="false" ht="15" hidden="false" customHeight="false" outlineLevel="0" collapsed="false">
      <c r="A69" s="3" t="s">
        <v>2496</v>
      </c>
      <c r="B69" s="3" t="s">
        <v>2402</v>
      </c>
      <c r="C69" s="3" t="s">
        <v>1603</v>
      </c>
      <c r="D69" s="3" t="s">
        <v>102</v>
      </c>
      <c r="E69" s="13" t="n">
        <v>1040000</v>
      </c>
      <c r="F69" s="13" t="n">
        <v>14992.88</v>
      </c>
      <c r="G69" s="13" t="n">
        <v>1874.11</v>
      </c>
      <c r="H69" s="13" t="n">
        <v>1874.11</v>
      </c>
      <c r="I69" s="13" t="n">
        <f aca="false">SUM(K69:T69)</f>
        <v>11244.7</v>
      </c>
      <c r="J69" s="13" t="n">
        <f aca="false">F69-(G69+H69+I69)</f>
        <v>-0.0399999999990541</v>
      </c>
      <c r="K69" s="13" t="n">
        <v>1124.47</v>
      </c>
      <c r="L69" s="13" t="n">
        <v>1124.47</v>
      </c>
      <c r="M69" s="13" t="n">
        <v>1124.47</v>
      </c>
      <c r="N69" s="13" t="n">
        <v>1124.47</v>
      </c>
      <c r="O69" s="13" t="n">
        <v>1124.47</v>
      </c>
      <c r="P69" s="13" t="n">
        <v>1124.47</v>
      </c>
      <c r="Q69" s="13" t="n">
        <v>1124.47</v>
      </c>
      <c r="R69" s="13" t="n">
        <v>1124.47</v>
      </c>
      <c r="S69" s="13" t="n">
        <v>1124.47</v>
      </c>
      <c r="T69" s="13" t="n">
        <v>1124.47</v>
      </c>
      <c r="U69" s="13" t="n">
        <v>350</v>
      </c>
      <c r="V69" s="13" t="n">
        <v>250</v>
      </c>
      <c r="W69" s="13" t="n">
        <f aca="false">U69+V69</f>
        <v>600</v>
      </c>
    </row>
    <row r="70" customFormat="false" ht="15" hidden="false" customHeight="false" outlineLevel="0" collapsed="false">
      <c r="A70" s="14" t="s">
        <v>2497</v>
      </c>
      <c r="B70" s="14" t="s">
        <v>2425</v>
      </c>
      <c r="C70" s="14" t="s">
        <v>2032</v>
      </c>
      <c r="D70" s="14" t="s">
        <v>325</v>
      </c>
      <c r="E70" s="15" t="n">
        <v>1785000</v>
      </c>
      <c r="F70" s="15" t="n">
        <v>21229.7</v>
      </c>
      <c r="G70" s="15" t="n">
        <v>2653.71</v>
      </c>
      <c r="H70" s="15" t="n">
        <v>2653.71</v>
      </c>
      <c r="I70" s="15" t="n">
        <f aca="false">SUM(K70:T70)</f>
        <v>15922.3</v>
      </c>
      <c r="J70" s="15" t="n">
        <f aca="false">F70-(G70+H70+I70)</f>
        <v>-0.0200000000004366</v>
      </c>
      <c r="K70" s="15" t="n">
        <v>1592.23</v>
      </c>
      <c r="L70" s="15" t="n">
        <v>1592.23</v>
      </c>
      <c r="M70" s="15" t="n">
        <v>1592.23</v>
      </c>
      <c r="N70" s="15" t="n">
        <v>1592.23</v>
      </c>
      <c r="O70" s="15" t="n">
        <v>1592.23</v>
      </c>
      <c r="P70" s="15" t="n">
        <v>1592.23</v>
      </c>
      <c r="Q70" s="15" t="n">
        <v>1592.23</v>
      </c>
      <c r="R70" s="15" t="n">
        <v>1592.23</v>
      </c>
      <c r="S70" s="15" t="n">
        <v>1592.23</v>
      </c>
      <c r="T70" s="15" t="n">
        <v>1592.23</v>
      </c>
      <c r="U70" s="15" t="n">
        <v>350</v>
      </c>
      <c r="V70" s="15" t="n">
        <v>250</v>
      </c>
      <c r="W70" s="15" t="n">
        <f aca="false">U70+V70</f>
        <v>600</v>
      </c>
    </row>
    <row r="71" customFormat="false" ht="15" hidden="false" customHeight="false" outlineLevel="0" collapsed="false">
      <c r="A71" s="3" t="s">
        <v>2498</v>
      </c>
      <c r="B71" s="3" t="s">
        <v>2451</v>
      </c>
      <c r="C71" s="3" t="s">
        <v>987</v>
      </c>
      <c r="D71" s="3" t="s">
        <v>118</v>
      </c>
      <c r="E71" s="13" t="n">
        <v>1855000</v>
      </c>
      <c r="F71" s="13" t="n">
        <v>28602.42</v>
      </c>
      <c r="G71" s="13" t="n">
        <v>3575.3</v>
      </c>
      <c r="H71" s="13" t="n">
        <v>3575.3</v>
      </c>
      <c r="I71" s="13" t="n">
        <f aca="false">SUM(K71:T71)</f>
        <v>21451.8</v>
      </c>
      <c r="J71" s="13" t="n">
        <f aca="false">F71-(G71+H71+I71)</f>
        <v>0.0199999999967986</v>
      </c>
      <c r="K71" s="13" t="n">
        <v>2145.18</v>
      </c>
      <c r="L71" s="13" t="n">
        <v>2145.18</v>
      </c>
      <c r="M71" s="13" t="n">
        <v>2145.18</v>
      </c>
      <c r="N71" s="13" t="n">
        <v>2145.18</v>
      </c>
      <c r="O71" s="13" t="n">
        <v>2145.18</v>
      </c>
      <c r="P71" s="13" t="n">
        <v>2145.18</v>
      </c>
      <c r="Q71" s="13" t="n">
        <v>2145.18</v>
      </c>
      <c r="R71" s="13" t="n">
        <v>2145.18</v>
      </c>
      <c r="S71" s="13" t="n">
        <v>2145.18</v>
      </c>
      <c r="T71" s="13" t="n">
        <v>2145.18</v>
      </c>
      <c r="U71" s="13" t="n">
        <v>350</v>
      </c>
      <c r="V71" s="13" t="n">
        <v>250</v>
      </c>
      <c r="W71" s="13" t="n">
        <f aca="false">U71+V71</f>
        <v>600</v>
      </c>
    </row>
    <row r="72" customFormat="false" ht="15" hidden="false" customHeight="false" outlineLevel="0" collapsed="false">
      <c r="A72" s="14" t="s">
        <v>2499</v>
      </c>
      <c r="B72" s="14" t="s">
        <v>2467</v>
      </c>
      <c r="C72" s="14" t="s">
        <v>677</v>
      </c>
      <c r="D72" s="14" t="s">
        <v>121</v>
      </c>
      <c r="E72" s="15" t="n">
        <v>1655000</v>
      </c>
      <c r="F72" s="15" t="n">
        <v>25311.13</v>
      </c>
      <c r="G72" s="15" t="n">
        <v>3163.89</v>
      </c>
      <c r="H72" s="15" t="n">
        <v>3163.89</v>
      </c>
      <c r="I72" s="15" t="n">
        <f aca="false">SUM(K72:T72)</f>
        <v>18983.3</v>
      </c>
      <c r="J72" s="15" t="n">
        <f aca="false">F72-(G72+H72+I72)</f>
        <v>0.0499999999992724</v>
      </c>
      <c r="K72" s="15" t="n">
        <v>1898.33</v>
      </c>
      <c r="L72" s="15" t="n">
        <v>1898.33</v>
      </c>
      <c r="M72" s="15" t="n">
        <v>1898.33</v>
      </c>
      <c r="N72" s="15" t="n">
        <v>1898.33</v>
      </c>
      <c r="O72" s="15" t="n">
        <v>1898.33</v>
      </c>
      <c r="P72" s="15" t="n">
        <v>1898.33</v>
      </c>
      <c r="Q72" s="15" t="n">
        <v>1898.33</v>
      </c>
      <c r="R72" s="15" t="n">
        <v>1898.33</v>
      </c>
      <c r="S72" s="15" t="n">
        <v>1898.33</v>
      </c>
      <c r="T72" s="15" t="n">
        <v>1898.33</v>
      </c>
      <c r="U72" s="15" t="n">
        <v>350</v>
      </c>
      <c r="V72" s="15" t="n">
        <v>250</v>
      </c>
      <c r="W72" s="15" t="n">
        <f aca="false">U72+V72</f>
        <v>600</v>
      </c>
    </row>
    <row r="73" customFormat="false" ht="15" hidden="false" customHeight="false" outlineLevel="0" collapsed="false">
      <c r="A73" s="3" t="s">
        <v>2500</v>
      </c>
      <c r="B73" s="3" t="s">
        <v>2419</v>
      </c>
      <c r="C73" s="3" t="s">
        <v>755</v>
      </c>
      <c r="D73" s="3" t="s">
        <v>89</v>
      </c>
      <c r="E73" s="13" t="n">
        <v>1185000</v>
      </c>
      <c r="F73" s="13" t="n">
        <v>13787.28</v>
      </c>
      <c r="G73" s="13" t="n">
        <v>1723.41</v>
      </c>
      <c r="H73" s="13" t="n">
        <v>1723.41</v>
      </c>
      <c r="I73" s="13" t="n">
        <f aca="false">SUM(K73:T73)</f>
        <v>10340.5</v>
      </c>
      <c r="J73" s="13" t="n">
        <f aca="false">F73-(G73+H73+I73)</f>
        <v>-0.0399999999972351</v>
      </c>
      <c r="K73" s="13" t="n">
        <v>1034.05</v>
      </c>
      <c r="L73" s="13" t="n">
        <v>1034.05</v>
      </c>
      <c r="M73" s="13" t="n">
        <v>1034.05</v>
      </c>
      <c r="N73" s="13" t="n">
        <v>1034.05</v>
      </c>
      <c r="O73" s="13" t="n">
        <v>1034.05</v>
      </c>
      <c r="P73" s="13" t="n">
        <v>1034.05</v>
      </c>
      <c r="Q73" s="13" t="n">
        <v>1034.05</v>
      </c>
      <c r="R73" s="13" t="n">
        <v>1034.05</v>
      </c>
      <c r="S73" s="13" t="n">
        <v>1034.05</v>
      </c>
      <c r="T73" s="13" t="n">
        <v>1034.05</v>
      </c>
      <c r="U73" s="13" t="n">
        <v>350</v>
      </c>
      <c r="V73" s="13" t="n">
        <v>250</v>
      </c>
      <c r="W73" s="13" t="n">
        <f aca="false">U73+V73</f>
        <v>600</v>
      </c>
    </row>
    <row r="74" customFormat="false" ht="15" hidden="false" customHeight="false" outlineLevel="0" collapsed="false">
      <c r="A74" s="14" t="s">
        <v>2501</v>
      </c>
      <c r="B74" s="14" t="s">
        <v>2404</v>
      </c>
      <c r="C74" s="14" t="s">
        <v>376</v>
      </c>
      <c r="D74" s="14" t="s">
        <v>377</v>
      </c>
      <c r="E74" s="15" t="n">
        <v>405000</v>
      </c>
      <c r="F74" s="15" t="n">
        <v>6378.01</v>
      </c>
      <c r="G74" s="15" t="n">
        <v>797.25</v>
      </c>
      <c r="H74" s="15" t="n">
        <v>797.25</v>
      </c>
      <c r="I74" s="15" t="n">
        <f aca="false">SUM(K74:T74)</f>
        <v>4783.5</v>
      </c>
      <c r="J74" s="15" t="n">
        <f aca="false">F74-(G74+H74+I74)</f>
        <v>0.00999999999930878</v>
      </c>
      <c r="K74" s="15" t="n">
        <v>478.35</v>
      </c>
      <c r="L74" s="15" t="n">
        <v>478.35</v>
      </c>
      <c r="M74" s="15" t="n">
        <v>478.35</v>
      </c>
      <c r="N74" s="15" t="n">
        <v>478.35</v>
      </c>
      <c r="O74" s="15" t="n">
        <v>478.35</v>
      </c>
      <c r="P74" s="15" t="n">
        <v>478.35</v>
      </c>
      <c r="Q74" s="15" t="n">
        <v>478.35</v>
      </c>
      <c r="R74" s="15" t="n">
        <v>478.35</v>
      </c>
      <c r="S74" s="15" t="n">
        <v>478.35</v>
      </c>
      <c r="T74" s="15" t="n">
        <v>478.35</v>
      </c>
      <c r="U74" s="15" t="n">
        <v>350</v>
      </c>
      <c r="V74" s="15" t="n">
        <v>0</v>
      </c>
      <c r="W74" s="15" t="n">
        <f aca="false">U74+V74</f>
        <v>350</v>
      </c>
    </row>
    <row r="75" customFormat="false" ht="15" hidden="false" customHeight="false" outlineLevel="0" collapsed="false">
      <c r="A75" s="3" t="s">
        <v>2502</v>
      </c>
      <c r="B75" s="3" t="s">
        <v>2431</v>
      </c>
      <c r="C75" s="3" t="s">
        <v>2437</v>
      </c>
      <c r="D75" s="3" t="s">
        <v>138</v>
      </c>
      <c r="E75" s="13" t="n">
        <v>1070000</v>
      </c>
      <c r="F75" s="13" t="n">
        <v>10604.94</v>
      </c>
      <c r="G75" s="13" t="n">
        <v>1325.62</v>
      </c>
      <c r="H75" s="13" t="n">
        <v>1325.62</v>
      </c>
      <c r="I75" s="13" t="n">
        <f aca="false">SUM(K75:T75)</f>
        <v>7953.7</v>
      </c>
      <c r="J75" s="13" t="n">
        <f aca="false">F75-(G75+H75+I75)</f>
        <v>0</v>
      </c>
      <c r="K75" s="13" t="n">
        <v>795.37</v>
      </c>
      <c r="L75" s="13" t="n">
        <v>795.37</v>
      </c>
      <c r="M75" s="13" t="n">
        <v>795.37</v>
      </c>
      <c r="N75" s="13" t="n">
        <v>795.37</v>
      </c>
      <c r="O75" s="13" t="n">
        <v>795.37</v>
      </c>
      <c r="P75" s="13" t="n">
        <v>795.37</v>
      </c>
      <c r="Q75" s="13" t="n">
        <v>795.37</v>
      </c>
      <c r="R75" s="13" t="n">
        <v>795.37</v>
      </c>
      <c r="S75" s="13" t="n">
        <v>795.37</v>
      </c>
      <c r="T75" s="13" t="n">
        <v>795.37</v>
      </c>
      <c r="U75" s="13" t="n">
        <v>350</v>
      </c>
      <c r="V75" s="13" t="n">
        <v>250</v>
      </c>
      <c r="W75" s="13" t="n">
        <f aca="false">U75+V75</f>
        <v>600</v>
      </c>
    </row>
    <row r="76" customFormat="false" ht="15" hidden="false" customHeight="false" outlineLevel="0" collapsed="false">
      <c r="A76" s="14" t="s">
        <v>2503</v>
      </c>
      <c r="B76" s="14" t="s">
        <v>2464</v>
      </c>
      <c r="C76" s="14" t="s">
        <v>758</v>
      </c>
      <c r="D76" s="14" t="s">
        <v>222</v>
      </c>
      <c r="E76" s="15" t="n">
        <v>560000</v>
      </c>
      <c r="F76" s="15" t="n">
        <v>3667.99</v>
      </c>
      <c r="G76" s="15" t="n">
        <v>458.5</v>
      </c>
      <c r="H76" s="15" t="n">
        <v>458.5</v>
      </c>
      <c r="I76" s="15" t="n">
        <f aca="false">SUM(K76:T76)</f>
        <v>2751</v>
      </c>
      <c r="J76" s="15" t="n">
        <f aca="false">F76-(G76+H76+I76)</f>
        <v>-0.0100000000002183</v>
      </c>
      <c r="K76" s="15" t="n">
        <v>275.1</v>
      </c>
      <c r="L76" s="15" t="n">
        <v>275.1</v>
      </c>
      <c r="M76" s="15" t="n">
        <v>275.1</v>
      </c>
      <c r="N76" s="15" t="n">
        <v>275.1</v>
      </c>
      <c r="O76" s="15" t="n">
        <v>275.1</v>
      </c>
      <c r="P76" s="15" t="n">
        <v>275.1</v>
      </c>
      <c r="Q76" s="15" t="n">
        <v>275.1</v>
      </c>
      <c r="R76" s="15" t="n">
        <v>275.1</v>
      </c>
      <c r="S76" s="15" t="n">
        <v>275.1</v>
      </c>
      <c r="T76" s="15" t="n">
        <v>275.1</v>
      </c>
      <c r="U76" s="15" t="n">
        <v>350</v>
      </c>
      <c r="V76" s="15" t="n">
        <v>0</v>
      </c>
      <c r="W76" s="15" t="n">
        <f aca="false">U76+V76</f>
        <v>350</v>
      </c>
    </row>
    <row r="77" customFormat="false" ht="15" hidden="false" customHeight="false" outlineLevel="0" collapsed="false">
      <c r="A77" s="3" t="s">
        <v>2504</v>
      </c>
      <c r="B77" s="3" t="s">
        <v>2406</v>
      </c>
      <c r="C77" s="3" t="s">
        <v>1329</v>
      </c>
      <c r="D77" s="3" t="s">
        <v>138</v>
      </c>
      <c r="E77" s="13" t="n">
        <v>715000</v>
      </c>
      <c r="F77" s="13" t="n">
        <v>8374.93</v>
      </c>
      <c r="G77" s="13" t="n">
        <v>1046.87</v>
      </c>
      <c r="H77" s="13" t="n">
        <v>1046.87</v>
      </c>
      <c r="I77" s="13" t="n">
        <f aca="false">SUM(K77:T77)</f>
        <v>6281.2</v>
      </c>
      <c r="J77" s="13" t="n">
        <f aca="false">F77-(G77+H77+I77)</f>
        <v>-0.00999999999839929</v>
      </c>
      <c r="K77" s="13" t="n">
        <v>628.12</v>
      </c>
      <c r="L77" s="13" t="n">
        <v>628.12</v>
      </c>
      <c r="M77" s="13" t="n">
        <v>628.12</v>
      </c>
      <c r="N77" s="13" t="n">
        <v>628.12</v>
      </c>
      <c r="O77" s="13" t="n">
        <v>628.12</v>
      </c>
      <c r="P77" s="13" t="n">
        <v>628.12</v>
      </c>
      <c r="Q77" s="13" t="n">
        <v>628.12</v>
      </c>
      <c r="R77" s="13" t="n">
        <v>628.12</v>
      </c>
      <c r="S77" s="13" t="n">
        <v>628.12</v>
      </c>
      <c r="T77" s="13" t="n">
        <v>628.12</v>
      </c>
      <c r="U77" s="13" t="n">
        <v>350</v>
      </c>
      <c r="V77" s="13" t="n">
        <v>0</v>
      </c>
      <c r="W77" s="13" t="n">
        <f aca="false">U77+V77</f>
        <v>350</v>
      </c>
    </row>
    <row r="78" customFormat="false" ht="15" hidden="false" customHeight="false" outlineLevel="0" collapsed="false">
      <c r="A78" s="14" t="s">
        <v>2505</v>
      </c>
      <c r="B78" s="14" t="s">
        <v>2447</v>
      </c>
      <c r="C78" s="14" t="s">
        <v>368</v>
      </c>
      <c r="D78" s="14" t="s">
        <v>406</v>
      </c>
      <c r="E78" s="15" t="n">
        <v>895000</v>
      </c>
      <c r="F78" s="15" t="n">
        <v>5608.39</v>
      </c>
      <c r="G78" s="15" t="n">
        <v>701.05</v>
      </c>
      <c r="H78" s="15" t="n">
        <v>701.05</v>
      </c>
      <c r="I78" s="15" t="n">
        <f aca="false">SUM(K78:T78)</f>
        <v>4206.3</v>
      </c>
      <c r="J78" s="15" t="n">
        <f aca="false">F78-(G78+H78+I78)</f>
        <v>-0.00999999999930878</v>
      </c>
      <c r="K78" s="15" t="n">
        <v>420.63</v>
      </c>
      <c r="L78" s="15" t="n">
        <v>420.63</v>
      </c>
      <c r="M78" s="15" t="n">
        <v>420.63</v>
      </c>
      <c r="N78" s="15" t="n">
        <v>420.63</v>
      </c>
      <c r="O78" s="15" t="n">
        <v>420.63</v>
      </c>
      <c r="P78" s="15" t="n">
        <v>420.63</v>
      </c>
      <c r="Q78" s="15" t="n">
        <v>420.63</v>
      </c>
      <c r="R78" s="15" t="n">
        <v>420.63</v>
      </c>
      <c r="S78" s="15" t="n">
        <v>420.63</v>
      </c>
      <c r="T78" s="15" t="n">
        <v>420.63</v>
      </c>
      <c r="U78" s="15" t="n">
        <v>350</v>
      </c>
      <c r="V78" s="15" t="n">
        <v>0</v>
      </c>
      <c r="W78" s="15" t="n">
        <f aca="false">U78+V78</f>
        <v>350</v>
      </c>
    </row>
    <row r="79" customFormat="false" ht="15" hidden="false" customHeight="false" outlineLevel="0" collapsed="false">
      <c r="A79" s="3" t="s">
        <v>2506</v>
      </c>
      <c r="B79" s="3" t="s">
        <v>2473</v>
      </c>
      <c r="C79" s="3" t="s">
        <v>1998</v>
      </c>
      <c r="D79" s="3" t="s">
        <v>157</v>
      </c>
      <c r="E79" s="13" t="n">
        <v>690000</v>
      </c>
      <c r="F79" s="13" t="n">
        <v>9979.64</v>
      </c>
      <c r="G79" s="13" t="n">
        <v>1247.45</v>
      </c>
      <c r="H79" s="13" t="n">
        <v>1247.45</v>
      </c>
      <c r="I79" s="13" t="n">
        <f aca="false">SUM(K79:T79)</f>
        <v>7484.7</v>
      </c>
      <c r="J79" s="13" t="n">
        <f aca="false">F79-(G79+H79+I79)</f>
        <v>0.0399999999990541</v>
      </c>
      <c r="K79" s="13" t="n">
        <v>748.47</v>
      </c>
      <c r="L79" s="13" t="n">
        <v>748.47</v>
      </c>
      <c r="M79" s="13" t="n">
        <v>748.47</v>
      </c>
      <c r="N79" s="13" t="n">
        <v>748.47</v>
      </c>
      <c r="O79" s="13" t="n">
        <v>748.47</v>
      </c>
      <c r="P79" s="13" t="n">
        <v>748.47</v>
      </c>
      <c r="Q79" s="13" t="n">
        <v>748.47</v>
      </c>
      <c r="R79" s="13" t="n">
        <v>748.47</v>
      </c>
      <c r="S79" s="13" t="n">
        <v>748.47</v>
      </c>
      <c r="T79" s="13" t="n">
        <v>748.47</v>
      </c>
      <c r="U79" s="13" t="n">
        <v>350</v>
      </c>
      <c r="V79" s="13" t="n">
        <v>0</v>
      </c>
      <c r="W79" s="13" t="n">
        <f aca="false">U79+V79</f>
        <v>350</v>
      </c>
    </row>
    <row r="80" customFormat="false" ht="15" hidden="false" customHeight="false" outlineLevel="0" collapsed="false">
      <c r="A80" s="14" t="s">
        <v>2507</v>
      </c>
      <c r="B80" s="14" t="s">
        <v>2443</v>
      </c>
      <c r="C80" s="14" t="s">
        <v>531</v>
      </c>
      <c r="D80" s="14" t="s">
        <v>85</v>
      </c>
      <c r="E80" s="15" t="n">
        <v>285000</v>
      </c>
      <c r="F80" s="15" t="n">
        <v>4655.7</v>
      </c>
      <c r="G80" s="15" t="n">
        <v>581.96</v>
      </c>
      <c r="H80" s="15" t="n">
        <v>581.96</v>
      </c>
      <c r="I80" s="15" t="n">
        <f aca="false">SUM(K80:T80)</f>
        <v>3491.8</v>
      </c>
      <c r="J80" s="15" t="n">
        <f aca="false">F80-(G80+H80+I80)</f>
        <v>-0.0199999999995271</v>
      </c>
      <c r="K80" s="15" t="n">
        <v>349.18</v>
      </c>
      <c r="L80" s="15" t="n">
        <v>349.18</v>
      </c>
      <c r="M80" s="15" t="n">
        <v>349.18</v>
      </c>
      <c r="N80" s="15" t="n">
        <v>349.18</v>
      </c>
      <c r="O80" s="15" t="n">
        <v>349.18</v>
      </c>
      <c r="P80" s="15" t="n">
        <v>349.18</v>
      </c>
      <c r="Q80" s="15" t="n">
        <v>349.18</v>
      </c>
      <c r="R80" s="15" t="n">
        <v>349.18</v>
      </c>
      <c r="S80" s="15" t="n">
        <v>349.18</v>
      </c>
      <c r="T80" s="15" t="n">
        <v>349.18</v>
      </c>
      <c r="U80" s="15" t="n">
        <v>350</v>
      </c>
      <c r="V80" s="15" t="n">
        <v>0</v>
      </c>
      <c r="W80" s="15" t="n">
        <f aca="false">U80+V80</f>
        <v>350</v>
      </c>
    </row>
    <row r="81" customFormat="false" ht="15" hidden="false" customHeight="false" outlineLevel="0" collapsed="false">
      <c r="A81" s="3" t="s">
        <v>2508</v>
      </c>
      <c r="B81" s="3" t="s">
        <v>2435</v>
      </c>
      <c r="C81" s="3" t="s">
        <v>1136</v>
      </c>
      <c r="D81" s="3" t="s">
        <v>256</v>
      </c>
      <c r="E81" s="13" t="n">
        <v>385000</v>
      </c>
      <c r="F81" s="13" t="n">
        <v>6017.79</v>
      </c>
      <c r="G81" s="13" t="n">
        <v>752.22</v>
      </c>
      <c r="H81" s="13" t="n">
        <v>752.22</v>
      </c>
      <c r="I81" s="13" t="n">
        <f aca="false">SUM(K81:T81)</f>
        <v>4513.3</v>
      </c>
      <c r="J81" s="13" t="n">
        <f aca="false">F81-(G81+H81+I81)</f>
        <v>0.0500000000001819</v>
      </c>
      <c r="K81" s="13" t="n">
        <v>451.33</v>
      </c>
      <c r="L81" s="13" t="n">
        <v>451.33</v>
      </c>
      <c r="M81" s="13" t="n">
        <v>451.33</v>
      </c>
      <c r="N81" s="13" t="n">
        <v>451.33</v>
      </c>
      <c r="O81" s="13" t="n">
        <v>451.33</v>
      </c>
      <c r="P81" s="13" t="n">
        <v>451.33</v>
      </c>
      <c r="Q81" s="13" t="n">
        <v>451.33</v>
      </c>
      <c r="R81" s="13" t="n">
        <v>451.33</v>
      </c>
      <c r="S81" s="13" t="n">
        <v>451.33</v>
      </c>
      <c r="T81" s="13" t="n">
        <v>451.33</v>
      </c>
      <c r="U81" s="13" t="n">
        <v>350</v>
      </c>
      <c r="V81" s="13" t="n">
        <v>0</v>
      </c>
      <c r="W81" s="13" t="n">
        <f aca="false">U81+V81</f>
        <v>350</v>
      </c>
    </row>
    <row r="82" customFormat="false" ht="15" hidden="false" customHeight="false" outlineLevel="0" collapsed="false">
      <c r="A82" s="14" t="s">
        <v>2509</v>
      </c>
      <c r="B82" s="14" t="s">
        <v>2404</v>
      </c>
      <c r="C82" s="14" t="s">
        <v>2338</v>
      </c>
      <c r="D82" s="14" t="s">
        <v>115</v>
      </c>
      <c r="E82" s="15" t="n">
        <v>760000</v>
      </c>
      <c r="F82" s="15" t="n">
        <v>6759.58</v>
      </c>
      <c r="G82" s="15" t="n">
        <v>844.95</v>
      </c>
      <c r="H82" s="15" t="n">
        <v>844.95</v>
      </c>
      <c r="I82" s="15" t="n">
        <f aca="false">SUM(K82:T82)</f>
        <v>5069.7</v>
      </c>
      <c r="J82" s="15" t="n">
        <f aca="false">F82-(G82+H82+I82)</f>
        <v>-0.0200000000004366</v>
      </c>
      <c r="K82" s="15" t="n">
        <v>506.97</v>
      </c>
      <c r="L82" s="15" t="n">
        <v>506.97</v>
      </c>
      <c r="M82" s="15" t="n">
        <v>506.97</v>
      </c>
      <c r="N82" s="15" t="n">
        <v>506.97</v>
      </c>
      <c r="O82" s="15" t="n">
        <v>506.97</v>
      </c>
      <c r="P82" s="15" t="n">
        <v>506.97</v>
      </c>
      <c r="Q82" s="15" t="n">
        <v>506.97</v>
      </c>
      <c r="R82" s="15" t="n">
        <v>506.97</v>
      </c>
      <c r="S82" s="15" t="n">
        <v>506.97</v>
      </c>
      <c r="T82" s="15" t="n">
        <v>506.97</v>
      </c>
      <c r="U82" s="15" t="n">
        <v>350</v>
      </c>
      <c r="V82" s="15" t="n">
        <v>0</v>
      </c>
      <c r="W82" s="15" t="n">
        <f aca="false">U82+V82</f>
        <v>350</v>
      </c>
    </row>
    <row r="83" customFormat="false" ht="15" hidden="false" customHeight="false" outlineLevel="0" collapsed="false">
      <c r="A83" s="3" t="s">
        <v>2510</v>
      </c>
      <c r="B83" s="3" t="s">
        <v>2511</v>
      </c>
      <c r="C83" s="3" t="s">
        <v>1271</v>
      </c>
      <c r="D83" s="3" t="s">
        <v>102</v>
      </c>
      <c r="E83" s="13" t="n">
        <v>705000</v>
      </c>
      <c r="F83" s="13" t="n">
        <v>8257.79</v>
      </c>
      <c r="G83" s="13" t="n">
        <v>1032.22</v>
      </c>
      <c r="H83" s="13" t="n">
        <v>1032.22</v>
      </c>
      <c r="I83" s="13" t="n">
        <f aca="false">SUM(K83:T83)</f>
        <v>6193.3</v>
      </c>
      <c r="J83" s="13" t="n">
        <f aca="false">F83-(G83+H83+I83)</f>
        <v>0.0500000000010914</v>
      </c>
      <c r="K83" s="13" t="n">
        <v>619.33</v>
      </c>
      <c r="L83" s="13" t="n">
        <v>619.33</v>
      </c>
      <c r="M83" s="13" t="n">
        <v>619.33</v>
      </c>
      <c r="N83" s="13" t="n">
        <v>619.33</v>
      </c>
      <c r="O83" s="13" t="n">
        <v>619.33</v>
      </c>
      <c r="P83" s="13" t="n">
        <v>619.33</v>
      </c>
      <c r="Q83" s="13" t="n">
        <v>619.33</v>
      </c>
      <c r="R83" s="13" t="n">
        <v>619.33</v>
      </c>
      <c r="S83" s="13" t="n">
        <v>619.33</v>
      </c>
      <c r="T83" s="13" t="n">
        <v>619.33</v>
      </c>
      <c r="U83" s="13" t="n">
        <v>350</v>
      </c>
      <c r="V83" s="13" t="n">
        <v>0</v>
      </c>
      <c r="W83" s="13" t="n">
        <f aca="false">U83+V83</f>
        <v>350</v>
      </c>
    </row>
    <row r="84" customFormat="false" ht="15" hidden="false" customHeight="false" outlineLevel="0" collapsed="false">
      <c r="A84" s="14" t="s">
        <v>2512</v>
      </c>
      <c r="B84" s="14" t="s">
        <v>2511</v>
      </c>
      <c r="C84" s="14" t="s">
        <v>511</v>
      </c>
      <c r="D84" s="14" t="s">
        <v>911</v>
      </c>
      <c r="E84" s="15" t="n">
        <v>505000</v>
      </c>
      <c r="F84" s="15" t="n">
        <v>8119</v>
      </c>
      <c r="G84" s="15" t="n">
        <v>1014.88</v>
      </c>
      <c r="H84" s="15" t="n">
        <v>1014.88</v>
      </c>
      <c r="I84" s="15" t="n">
        <f aca="false">SUM(K84:T84)</f>
        <v>6089.2</v>
      </c>
      <c r="J84" s="15" t="n">
        <f aca="false">F84-(G84+H84+I84)</f>
        <v>0.0399999999999636</v>
      </c>
      <c r="K84" s="15" t="n">
        <v>608.92</v>
      </c>
      <c r="L84" s="15" t="n">
        <v>608.92</v>
      </c>
      <c r="M84" s="15" t="n">
        <v>608.92</v>
      </c>
      <c r="N84" s="15" t="n">
        <v>608.92</v>
      </c>
      <c r="O84" s="15" t="n">
        <v>608.92</v>
      </c>
      <c r="P84" s="15" t="n">
        <v>608.92</v>
      </c>
      <c r="Q84" s="15" t="n">
        <v>608.92</v>
      </c>
      <c r="R84" s="15" t="n">
        <v>608.92</v>
      </c>
      <c r="S84" s="15" t="n">
        <v>608.92</v>
      </c>
      <c r="T84" s="15" t="n">
        <v>608.92</v>
      </c>
      <c r="U84" s="15" t="n">
        <v>350</v>
      </c>
      <c r="V84" s="15" t="n">
        <v>0</v>
      </c>
      <c r="W84" s="15" t="n">
        <f aca="false">U84+V84</f>
        <v>350</v>
      </c>
    </row>
    <row r="85" customFormat="false" ht="15" hidden="false" customHeight="false" outlineLevel="0" collapsed="false">
      <c r="A85" s="3" t="s">
        <v>2513</v>
      </c>
      <c r="B85" s="3" t="s">
        <v>2467</v>
      </c>
      <c r="C85" s="3" t="s">
        <v>1377</v>
      </c>
      <c r="D85" s="3" t="s">
        <v>85</v>
      </c>
      <c r="E85" s="13" t="n">
        <v>905000</v>
      </c>
      <c r="F85" s="13" t="n">
        <v>18726.25</v>
      </c>
      <c r="G85" s="13" t="n">
        <v>2340.78</v>
      </c>
      <c r="H85" s="13" t="n">
        <v>2340.78</v>
      </c>
      <c r="I85" s="13" t="n">
        <f aca="false">SUM(K85:T85)</f>
        <v>14044.7</v>
      </c>
      <c r="J85" s="13" t="n">
        <f aca="false">F85-(G85+H85+I85)</f>
        <v>-0.00999999999839929</v>
      </c>
      <c r="K85" s="13" t="n">
        <v>1404.47</v>
      </c>
      <c r="L85" s="13" t="n">
        <v>1404.47</v>
      </c>
      <c r="M85" s="13" t="n">
        <v>1404.47</v>
      </c>
      <c r="N85" s="13" t="n">
        <v>1404.47</v>
      </c>
      <c r="O85" s="13" t="n">
        <v>1404.47</v>
      </c>
      <c r="P85" s="13" t="n">
        <v>1404.47</v>
      </c>
      <c r="Q85" s="13" t="n">
        <v>1404.47</v>
      </c>
      <c r="R85" s="13" t="n">
        <v>1404.47</v>
      </c>
      <c r="S85" s="13" t="n">
        <v>1404.47</v>
      </c>
      <c r="T85" s="13" t="n">
        <v>1404.47</v>
      </c>
      <c r="U85" s="13" t="n">
        <v>350</v>
      </c>
      <c r="V85" s="13" t="n">
        <v>0</v>
      </c>
      <c r="W85" s="13" t="n">
        <f aca="false">U85+V85</f>
        <v>350</v>
      </c>
    </row>
    <row r="86" customFormat="false" ht="15" hidden="false" customHeight="false" outlineLevel="0" collapsed="false">
      <c r="A86" s="14" t="s">
        <v>2514</v>
      </c>
      <c r="B86" s="14" t="s">
        <v>2412</v>
      </c>
      <c r="C86" s="14" t="s">
        <v>1273</v>
      </c>
      <c r="D86" s="14" t="s">
        <v>911</v>
      </c>
      <c r="E86" s="15" t="n">
        <v>1950000</v>
      </c>
      <c r="F86" s="15" t="n">
        <v>12540.23</v>
      </c>
      <c r="G86" s="15" t="n">
        <v>1567.53</v>
      </c>
      <c r="H86" s="15" t="n">
        <v>1567.53</v>
      </c>
      <c r="I86" s="15" t="n">
        <f aca="false">SUM(K86:T86)</f>
        <v>9405.2</v>
      </c>
      <c r="J86" s="15" t="n">
        <f aca="false">F86-(G86+H86+I86)</f>
        <v>-0.0300000000006548</v>
      </c>
      <c r="K86" s="15" t="n">
        <v>940.52</v>
      </c>
      <c r="L86" s="15" t="n">
        <v>940.52</v>
      </c>
      <c r="M86" s="15" t="n">
        <v>940.52</v>
      </c>
      <c r="N86" s="15" t="n">
        <v>940.52</v>
      </c>
      <c r="O86" s="15" t="n">
        <v>940.52</v>
      </c>
      <c r="P86" s="15" t="n">
        <v>940.52</v>
      </c>
      <c r="Q86" s="15" t="n">
        <v>940.52</v>
      </c>
      <c r="R86" s="15" t="n">
        <v>940.52</v>
      </c>
      <c r="S86" s="15" t="n">
        <v>940.52</v>
      </c>
      <c r="T86" s="15" t="n">
        <v>940.52</v>
      </c>
      <c r="U86" s="15" t="n">
        <v>350</v>
      </c>
      <c r="V86" s="15" t="n">
        <v>250</v>
      </c>
      <c r="W86" s="15" t="n">
        <f aca="false">U86+V86</f>
        <v>600</v>
      </c>
    </row>
    <row r="87" customFormat="false" ht="15" hidden="false" customHeight="false" outlineLevel="0" collapsed="false">
      <c r="A87" s="3" t="s">
        <v>2515</v>
      </c>
      <c r="B87" s="3" t="s">
        <v>2408</v>
      </c>
      <c r="C87" s="3" t="s">
        <v>500</v>
      </c>
      <c r="D87" s="3" t="s">
        <v>189</v>
      </c>
      <c r="E87" s="13" t="n">
        <v>380000</v>
      </c>
      <c r="F87" s="13" t="n">
        <v>7532.48</v>
      </c>
      <c r="G87" s="13" t="n">
        <v>941.56</v>
      </c>
      <c r="H87" s="13" t="n">
        <v>941.56</v>
      </c>
      <c r="I87" s="13" t="n">
        <f aca="false">SUM(K87:T87)</f>
        <v>5649.4</v>
      </c>
      <c r="J87" s="13" t="n">
        <f aca="false">F87-(G87+H87+I87)</f>
        <v>-0.0400000000017826</v>
      </c>
      <c r="K87" s="13" t="n">
        <v>564.94</v>
      </c>
      <c r="L87" s="13" t="n">
        <v>564.94</v>
      </c>
      <c r="M87" s="13" t="n">
        <v>564.94</v>
      </c>
      <c r="N87" s="13" t="n">
        <v>564.94</v>
      </c>
      <c r="O87" s="13" t="n">
        <v>564.94</v>
      </c>
      <c r="P87" s="13" t="n">
        <v>564.94</v>
      </c>
      <c r="Q87" s="13" t="n">
        <v>564.94</v>
      </c>
      <c r="R87" s="13" t="n">
        <v>564.94</v>
      </c>
      <c r="S87" s="13" t="n">
        <v>564.94</v>
      </c>
      <c r="T87" s="13" t="n">
        <v>564.94</v>
      </c>
      <c r="U87" s="13" t="n">
        <v>350</v>
      </c>
      <c r="V87" s="13" t="n">
        <v>0</v>
      </c>
      <c r="W87" s="13" t="n">
        <f aca="false">U87+V87</f>
        <v>350</v>
      </c>
    </row>
    <row r="88" customFormat="false" ht="15" hidden="false" customHeight="false" outlineLevel="0" collapsed="false">
      <c r="A88" s="14" t="s">
        <v>2516</v>
      </c>
      <c r="B88" s="14" t="s">
        <v>2467</v>
      </c>
      <c r="C88" s="14" t="s">
        <v>229</v>
      </c>
      <c r="D88" s="14" t="s">
        <v>73</v>
      </c>
      <c r="E88" s="15" t="n">
        <v>950000</v>
      </c>
      <c r="F88" s="15" t="n">
        <v>11321.04</v>
      </c>
      <c r="G88" s="15" t="n">
        <v>1415.13</v>
      </c>
      <c r="H88" s="15" t="n">
        <v>1415.13</v>
      </c>
      <c r="I88" s="15" t="n">
        <f aca="false">SUM(K88:T88)</f>
        <v>8490.8</v>
      </c>
      <c r="J88" s="15" t="n">
        <f aca="false">F88-(G88+H88+I88)</f>
        <v>-0.0200000000004366</v>
      </c>
      <c r="K88" s="15" t="n">
        <v>849.08</v>
      </c>
      <c r="L88" s="15" t="n">
        <v>849.08</v>
      </c>
      <c r="M88" s="15" t="n">
        <v>849.08</v>
      </c>
      <c r="N88" s="15" t="n">
        <v>849.08</v>
      </c>
      <c r="O88" s="15" t="n">
        <v>849.08</v>
      </c>
      <c r="P88" s="15" t="n">
        <v>849.08</v>
      </c>
      <c r="Q88" s="15" t="n">
        <v>849.08</v>
      </c>
      <c r="R88" s="15" t="n">
        <v>849.08</v>
      </c>
      <c r="S88" s="15" t="n">
        <v>849.08</v>
      </c>
      <c r="T88" s="15" t="n">
        <v>849.08</v>
      </c>
      <c r="U88" s="15" t="n">
        <v>350</v>
      </c>
      <c r="V88" s="15" t="n">
        <v>0</v>
      </c>
      <c r="W88" s="15" t="n">
        <f aca="false">U88+V88</f>
        <v>350</v>
      </c>
    </row>
    <row r="89" customFormat="false" ht="15" hidden="false" customHeight="false" outlineLevel="0" collapsed="false">
      <c r="A89" s="3" t="s">
        <v>2517</v>
      </c>
      <c r="B89" s="3" t="s">
        <v>2495</v>
      </c>
      <c r="C89" s="3" t="s">
        <v>585</v>
      </c>
      <c r="D89" s="3" t="s">
        <v>328</v>
      </c>
      <c r="E89" s="13" t="n">
        <v>485000</v>
      </c>
      <c r="F89" s="13" t="n">
        <v>7409.86</v>
      </c>
      <c r="G89" s="13" t="n">
        <v>926.23</v>
      </c>
      <c r="H89" s="13" t="n">
        <v>926.23</v>
      </c>
      <c r="I89" s="13" t="n">
        <f aca="false">SUM(K89:T89)</f>
        <v>5557.4</v>
      </c>
      <c r="J89" s="13" t="n">
        <f aca="false">F89-(G89+H89+I89)</f>
        <v>0</v>
      </c>
      <c r="K89" s="13" t="n">
        <v>555.74</v>
      </c>
      <c r="L89" s="13" t="n">
        <v>555.74</v>
      </c>
      <c r="M89" s="13" t="n">
        <v>555.74</v>
      </c>
      <c r="N89" s="13" t="n">
        <v>555.74</v>
      </c>
      <c r="O89" s="13" t="n">
        <v>555.74</v>
      </c>
      <c r="P89" s="13" t="n">
        <v>555.74</v>
      </c>
      <c r="Q89" s="13" t="n">
        <v>555.74</v>
      </c>
      <c r="R89" s="13" t="n">
        <v>555.74</v>
      </c>
      <c r="S89" s="13" t="n">
        <v>555.74</v>
      </c>
      <c r="T89" s="13" t="n">
        <v>555.74</v>
      </c>
      <c r="U89" s="13" t="n">
        <v>350</v>
      </c>
      <c r="V89" s="13" t="n">
        <v>0</v>
      </c>
      <c r="W89" s="13" t="n">
        <f aca="false">U89+V89</f>
        <v>350</v>
      </c>
    </row>
    <row r="90" customFormat="false" ht="15" hidden="false" customHeight="false" outlineLevel="0" collapsed="false">
      <c r="A90" s="14" t="s">
        <v>2518</v>
      </c>
      <c r="B90" s="14" t="s">
        <v>2495</v>
      </c>
      <c r="C90" s="14" t="s">
        <v>253</v>
      </c>
      <c r="D90" s="14" t="s">
        <v>328</v>
      </c>
      <c r="E90" s="15" t="n">
        <v>640000</v>
      </c>
      <c r="F90" s="15" t="n">
        <v>8474.23</v>
      </c>
      <c r="G90" s="15" t="n">
        <v>1059.28</v>
      </c>
      <c r="H90" s="15" t="n">
        <v>1059.28</v>
      </c>
      <c r="I90" s="15" t="n">
        <f aca="false">SUM(K90:T90)</f>
        <v>6355.7</v>
      </c>
      <c r="J90" s="15" t="n">
        <f aca="false">F90-(G90+H90+I90)</f>
        <v>-0.0300000000006548</v>
      </c>
      <c r="K90" s="15" t="n">
        <v>635.57</v>
      </c>
      <c r="L90" s="15" t="n">
        <v>635.57</v>
      </c>
      <c r="M90" s="15" t="n">
        <v>635.57</v>
      </c>
      <c r="N90" s="15" t="n">
        <v>635.57</v>
      </c>
      <c r="O90" s="15" t="n">
        <v>635.57</v>
      </c>
      <c r="P90" s="15" t="n">
        <v>635.57</v>
      </c>
      <c r="Q90" s="15" t="n">
        <v>635.57</v>
      </c>
      <c r="R90" s="15" t="n">
        <v>635.57</v>
      </c>
      <c r="S90" s="15" t="n">
        <v>635.57</v>
      </c>
      <c r="T90" s="15" t="n">
        <v>635.57</v>
      </c>
      <c r="U90" s="15" t="n">
        <v>350</v>
      </c>
      <c r="V90" s="15" t="n">
        <v>0</v>
      </c>
      <c r="W90" s="15" t="n">
        <f aca="false">U90+V90</f>
        <v>350</v>
      </c>
    </row>
    <row r="91" customFormat="false" ht="15" hidden="false" customHeight="false" outlineLevel="0" collapsed="false">
      <c r="A91" s="3" t="s">
        <v>2519</v>
      </c>
      <c r="B91" s="3" t="s">
        <v>2511</v>
      </c>
      <c r="C91" s="3" t="s">
        <v>250</v>
      </c>
      <c r="D91" s="3" t="s">
        <v>153</v>
      </c>
      <c r="E91" s="13" t="n">
        <v>890000</v>
      </c>
      <c r="F91" s="13" t="n">
        <v>14050.73</v>
      </c>
      <c r="G91" s="13" t="n">
        <v>1756.34</v>
      </c>
      <c r="H91" s="13" t="n">
        <v>1756.34</v>
      </c>
      <c r="I91" s="13" t="n">
        <f aca="false">SUM(K91:T91)</f>
        <v>10538</v>
      </c>
      <c r="J91" s="13" t="n">
        <f aca="false">F91-(G91+H91+I91)</f>
        <v>0.0500000000010914</v>
      </c>
      <c r="K91" s="13" t="n">
        <v>1053.8</v>
      </c>
      <c r="L91" s="13" t="n">
        <v>1053.8</v>
      </c>
      <c r="M91" s="13" t="n">
        <v>1053.8</v>
      </c>
      <c r="N91" s="13" t="n">
        <v>1053.8</v>
      </c>
      <c r="O91" s="13" t="n">
        <v>1053.8</v>
      </c>
      <c r="P91" s="13" t="n">
        <v>1053.8</v>
      </c>
      <c r="Q91" s="13" t="n">
        <v>1053.8</v>
      </c>
      <c r="R91" s="13" t="n">
        <v>1053.8</v>
      </c>
      <c r="S91" s="13" t="n">
        <v>1053.8</v>
      </c>
      <c r="T91" s="13" t="n">
        <v>1053.8</v>
      </c>
      <c r="U91" s="13" t="n">
        <v>350</v>
      </c>
      <c r="V91" s="13" t="n">
        <v>0</v>
      </c>
      <c r="W91" s="13" t="n">
        <f aca="false">U91+V91</f>
        <v>350</v>
      </c>
    </row>
    <row r="92" customFormat="false" ht="15" hidden="false" customHeight="false" outlineLevel="0" collapsed="false">
      <c r="A92" s="14" t="s">
        <v>2520</v>
      </c>
      <c r="B92" s="14" t="s">
        <v>2467</v>
      </c>
      <c r="C92" s="14" t="s">
        <v>777</v>
      </c>
      <c r="D92" s="14" t="s">
        <v>382</v>
      </c>
      <c r="E92" s="15" t="n">
        <v>710000</v>
      </c>
      <c r="F92" s="15" t="n">
        <v>8099.41</v>
      </c>
      <c r="G92" s="15" t="n">
        <v>1012.43</v>
      </c>
      <c r="H92" s="15" t="n">
        <v>1012.43</v>
      </c>
      <c r="I92" s="15" t="n">
        <f aca="false">SUM(K92:T92)</f>
        <v>6074.6</v>
      </c>
      <c r="J92" s="15" t="n">
        <f aca="false">F92-(G92+H92+I92)</f>
        <v>-0.0500000000001819</v>
      </c>
      <c r="K92" s="15" t="n">
        <v>607.46</v>
      </c>
      <c r="L92" s="15" t="n">
        <v>607.46</v>
      </c>
      <c r="M92" s="15" t="n">
        <v>607.46</v>
      </c>
      <c r="N92" s="15" t="n">
        <v>607.46</v>
      </c>
      <c r="O92" s="15" t="n">
        <v>607.46</v>
      </c>
      <c r="P92" s="15" t="n">
        <v>607.46</v>
      </c>
      <c r="Q92" s="15" t="n">
        <v>607.46</v>
      </c>
      <c r="R92" s="15" t="n">
        <v>607.46</v>
      </c>
      <c r="S92" s="15" t="n">
        <v>607.46</v>
      </c>
      <c r="T92" s="15" t="n">
        <v>607.46</v>
      </c>
      <c r="U92" s="15" t="n">
        <v>350</v>
      </c>
      <c r="V92" s="15" t="n">
        <v>0</v>
      </c>
      <c r="W92" s="15" t="n">
        <f aca="false">U92+V92</f>
        <v>350</v>
      </c>
    </row>
    <row r="93" customFormat="false" ht="15" hidden="false" customHeight="false" outlineLevel="0" collapsed="false">
      <c r="A93" s="3" t="s">
        <v>2521</v>
      </c>
      <c r="B93" s="3" t="s">
        <v>2406</v>
      </c>
      <c r="C93" s="3" t="s">
        <v>998</v>
      </c>
      <c r="D93" s="3" t="s">
        <v>180</v>
      </c>
      <c r="E93" s="13" t="n">
        <v>875000</v>
      </c>
      <c r="F93" s="13" t="n">
        <v>10783.77</v>
      </c>
      <c r="G93" s="13" t="n">
        <v>1347.97</v>
      </c>
      <c r="H93" s="13" t="n">
        <v>1347.97</v>
      </c>
      <c r="I93" s="13" t="n">
        <f aca="false">SUM(K93:T93)</f>
        <v>8087.8</v>
      </c>
      <c r="J93" s="13" t="n">
        <f aca="false">F93-(G93+H93+I93)</f>
        <v>0.0300000000006548</v>
      </c>
      <c r="K93" s="13" t="n">
        <v>808.78</v>
      </c>
      <c r="L93" s="13" t="n">
        <v>808.78</v>
      </c>
      <c r="M93" s="13" t="n">
        <v>808.78</v>
      </c>
      <c r="N93" s="13" t="n">
        <v>808.78</v>
      </c>
      <c r="O93" s="13" t="n">
        <v>808.78</v>
      </c>
      <c r="P93" s="13" t="n">
        <v>808.78</v>
      </c>
      <c r="Q93" s="13" t="n">
        <v>808.78</v>
      </c>
      <c r="R93" s="13" t="n">
        <v>808.78</v>
      </c>
      <c r="S93" s="13" t="n">
        <v>808.78</v>
      </c>
      <c r="T93" s="13" t="n">
        <v>808.78</v>
      </c>
      <c r="U93" s="13" t="n">
        <v>350</v>
      </c>
      <c r="V93" s="13" t="n">
        <v>0</v>
      </c>
      <c r="W93" s="13" t="n">
        <f aca="false">U93+V93</f>
        <v>350</v>
      </c>
    </row>
    <row r="94" customFormat="false" ht="15" hidden="false" customHeight="false" outlineLevel="0" collapsed="false">
      <c r="A94" s="14" t="s">
        <v>2522</v>
      </c>
      <c r="B94" s="14" t="s">
        <v>2402</v>
      </c>
      <c r="C94" s="14" t="s">
        <v>805</v>
      </c>
      <c r="D94" s="14" t="s">
        <v>180</v>
      </c>
      <c r="E94" s="15" t="n">
        <v>1015000</v>
      </c>
      <c r="F94" s="15" t="n">
        <v>7313.05</v>
      </c>
      <c r="G94" s="15" t="n">
        <v>914.13</v>
      </c>
      <c r="H94" s="15" t="n">
        <v>914.13</v>
      </c>
      <c r="I94" s="15" t="n">
        <f aca="false">SUM(K94:T94)</f>
        <v>5484.8</v>
      </c>
      <c r="J94" s="15" t="n">
        <f aca="false">F94-(G94+H94+I94)</f>
        <v>-0.00999999999930878</v>
      </c>
      <c r="K94" s="15" t="n">
        <v>548.48</v>
      </c>
      <c r="L94" s="15" t="n">
        <v>548.48</v>
      </c>
      <c r="M94" s="15" t="n">
        <v>548.48</v>
      </c>
      <c r="N94" s="15" t="n">
        <v>548.48</v>
      </c>
      <c r="O94" s="15" t="n">
        <v>548.48</v>
      </c>
      <c r="P94" s="15" t="n">
        <v>548.48</v>
      </c>
      <c r="Q94" s="15" t="n">
        <v>548.48</v>
      </c>
      <c r="R94" s="15" t="n">
        <v>548.48</v>
      </c>
      <c r="S94" s="15" t="n">
        <v>548.48</v>
      </c>
      <c r="T94" s="15" t="n">
        <v>548.48</v>
      </c>
      <c r="U94" s="15" t="n">
        <v>350</v>
      </c>
      <c r="V94" s="15" t="n">
        <v>250</v>
      </c>
      <c r="W94" s="15" t="n">
        <f aca="false">U94+V94</f>
        <v>600</v>
      </c>
    </row>
    <row r="95" customFormat="false" ht="15" hidden="false" customHeight="false" outlineLevel="0" collapsed="false">
      <c r="A95" s="3" t="s">
        <v>2523</v>
      </c>
      <c r="B95" s="3" t="s">
        <v>2473</v>
      </c>
      <c r="C95" s="3" t="s">
        <v>572</v>
      </c>
      <c r="D95" s="3" t="s">
        <v>279</v>
      </c>
      <c r="E95" s="13" t="n">
        <v>805000</v>
      </c>
      <c r="F95" s="13" t="n">
        <v>7461.3</v>
      </c>
      <c r="G95" s="13" t="n">
        <v>932.66</v>
      </c>
      <c r="H95" s="13" t="n">
        <v>932.66</v>
      </c>
      <c r="I95" s="13" t="n">
        <f aca="false">SUM(K95:T95)</f>
        <v>5596</v>
      </c>
      <c r="J95" s="13" t="n">
        <f aca="false">F95-(G95+H95+I95)</f>
        <v>-0.0200000000004366</v>
      </c>
      <c r="K95" s="13" t="n">
        <v>559.6</v>
      </c>
      <c r="L95" s="13" t="n">
        <v>559.6</v>
      </c>
      <c r="M95" s="13" t="n">
        <v>559.6</v>
      </c>
      <c r="N95" s="13" t="n">
        <v>559.6</v>
      </c>
      <c r="O95" s="13" t="n">
        <v>559.6</v>
      </c>
      <c r="P95" s="13" t="n">
        <v>559.6</v>
      </c>
      <c r="Q95" s="13" t="n">
        <v>559.6</v>
      </c>
      <c r="R95" s="13" t="n">
        <v>559.6</v>
      </c>
      <c r="S95" s="13" t="n">
        <v>559.6</v>
      </c>
      <c r="T95" s="13" t="n">
        <v>559.6</v>
      </c>
      <c r="U95" s="13" t="n">
        <v>350</v>
      </c>
      <c r="V95" s="13" t="n">
        <v>0</v>
      </c>
      <c r="W95" s="13" t="n">
        <f aca="false">U95+V95</f>
        <v>350</v>
      </c>
    </row>
    <row r="96" customFormat="false" ht="15" hidden="false" customHeight="false" outlineLevel="0" collapsed="false">
      <c r="A96" s="14" t="s">
        <v>2524</v>
      </c>
      <c r="B96" s="14" t="s">
        <v>2456</v>
      </c>
      <c r="C96" s="14" t="s">
        <v>310</v>
      </c>
      <c r="D96" s="14" t="s">
        <v>163</v>
      </c>
      <c r="E96" s="15" t="n">
        <v>805000</v>
      </c>
      <c r="F96" s="15" t="n">
        <v>8363.21</v>
      </c>
      <c r="G96" s="15" t="n">
        <v>1045.4</v>
      </c>
      <c r="H96" s="15" t="n">
        <v>1045.4</v>
      </c>
      <c r="I96" s="15" t="n">
        <f aca="false">SUM(K96:T96)</f>
        <v>6272.4</v>
      </c>
      <c r="J96" s="15" t="n">
        <f aca="false">F96-(G96+H96+I96)</f>
        <v>0.00999999999839929</v>
      </c>
      <c r="K96" s="15" t="n">
        <v>627.24</v>
      </c>
      <c r="L96" s="15" t="n">
        <v>627.24</v>
      </c>
      <c r="M96" s="15" t="n">
        <v>627.24</v>
      </c>
      <c r="N96" s="15" t="n">
        <v>627.24</v>
      </c>
      <c r="O96" s="15" t="n">
        <v>627.24</v>
      </c>
      <c r="P96" s="15" t="n">
        <v>627.24</v>
      </c>
      <c r="Q96" s="15" t="n">
        <v>627.24</v>
      </c>
      <c r="R96" s="15" t="n">
        <v>627.24</v>
      </c>
      <c r="S96" s="15" t="n">
        <v>627.24</v>
      </c>
      <c r="T96" s="15" t="n">
        <v>627.24</v>
      </c>
      <c r="U96" s="15" t="n">
        <v>350</v>
      </c>
      <c r="V96" s="15" t="n">
        <v>0</v>
      </c>
      <c r="W96" s="15" t="n">
        <f aca="false">U96+V96</f>
        <v>350</v>
      </c>
    </row>
    <row r="97" customFormat="false" ht="15" hidden="false" customHeight="false" outlineLevel="0" collapsed="false">
      <c r="A97" s="3" t="s">
        <v>2525</v>
      </c>
      <c r="B97" s="3" t="s">
        <v>2447</v>
      </c>
      <c r="C97" s="3" t="s">
        <v>314</v>
      </c>
      <c r="D97" s="3" t="s">
        <v>138</v>
      </c>
      <c r="E97" s="13" t="n">
        <v>850000</v>
      </c>
      <c r="F97" s="13" t="n">
        <v>9956.21</v>
      </c>
      <c r="G97" s="13" t="n">
        <v>1244.53</v>
      </c>
      <c r="H97" s="13" t="n">
        <v>1244.53</v>
      </c>
      <c r="I97" s="13" t="n">
        <f aca="false">SUM(K97:T97)</f>
        <v>7467.2</v>
      </c>
      <c r="J97" s="13" t="n">
        <f aca="false">F97-(G97+H97+I97)</f>
        <v>-0.0500000000010914</v>
      </c>
      <c r="K97" s="13" t="n">
        <v>746.72</v>
      </c>
      <c r="L97" s="13" t="n">
        <v>746.72</v>
      </c>
      <c r="M97" s="13" t="n">
        <v>746.72</v>
      </c>
      <c r="N97" s="13" t="n">
        <v>746.72</v>
      </c>
      <c r="O97" s="13" t="n">
        <v>746.72</v>
      </c>
      <c r="P97" s="13" t="n">
        <v>746.72</v>
      </c>
      <c r="Q97" s="13" t="n">
        <v>746.72</v>
      </c>
      <c r="R97" s="13" t="n">
        <v>746.72</v>
      </c>
      <c r="S97" s="13" t="n">
        <v>746.72</v>
      </c>
      <c r="T97" s="13" t="n">
        <v>746.72</v>
      </c>
      <c r="U97" s="13" t="n">
        <v>350</v>
      </c>
      <c r="V97" s="13" t="n">
        <v>0</v>
      </c>
      <c r="W97" s="13" t="n">
        <f aca="false">U97+V97</f>
        <v>350</v>
      </c>
    </row>
    <row r="98" customFormat="false" ht="15" hidden="false" customHeight="false" outlineLevel="0" collapsed="false">
      <c r="A98" s="14" t="s">
        <v>2526</v>
      </c>
      <c r="B98" s="14" t="s">
        <v>2441</v>
      </c>
      <c r="C98" s="14" t="s">
        <v>92</v>
      </c>
      <c r="D98" s="14" t="s">
        <v>138</v>
      </c>
      <c r="E98" s="15" t="n">
        <v>340000</v>
      </c>
      <c r="F98" s="15" t="n">
        <v>4595.17</v>
      </c>
      <c r="G98" s="15" t="n">
        <v>574.4</v>
      </c>
      <c r="H98" s="15" t="n">
        <v>574.4</v>
      </c>
      <c r="I98" s="15" t="n">
        <f aca="false">SUM(K98:T98)</f>
        <v>3446.4</v>
      </c>
      <c r="J98" s="15" t="n">
        <f aca="false">F98-(G98+H98+I98)</f>
        <v>-0.0299999999997453</v>
      </c>
      <c r="K98" s="15" t="n">
        <v>344.64</v>
      </c>
      <c r="L98" s="15" t="n">
        <v>344.64</v>
      </c>
      <c r="M98" s="15" t="n">
        <v>344.64</v>
      </c>
      <c r="N98" s="15" t="n">
        <v>344.64</v>
      </c>
      <c r="O98" s="15" t="n">
        <v>344.64</v>
      </c>
      <c r="P98" s="15" t="n">
        <v>344.64</v>
      </c>
      <c r="Q98" s="15" t="n">
        <v>344.64</v>
      </c>
      <c r="R98" s="15" t="n">
        <v>344.64</v>
      </c>
      <c r="S98" s="15" t="n">
        <v>344.64</v>
      </c>
      <c r="T98" s="15" t="n">
        <v>344.64</v>
      </c>
      <c r="U98" s="15" t="n">
        <v>350</v>
      </c>
      <c r="V98" s="15" t="n">
        <v>0</v>
      </c>
      <c r="W98" s="15" t="n">
        <f aca="false">U98+V98</f>
        <v>350</v>
      </c>
    </row>
    <row r="99" customFormat="false" ht="15" hidden="false" customHeight="false" outlineLevel="0" collapsed="false">
      <c r="A99" s="3" t="s">
        <v>2527</v>
      </c>
      <c r="B99" s="3" t="s">
        <v>2495</v>
      </c>
      <c r="C99" s="3" t="s">
        <v>436</v>
      </c>
      <c r="D99" s="3" t="s">
        <v>911</v>
      </c>
      <c r="E99" s="13" t="n">
        <v>1210000</v>
      </c>
      <c r="F99" s="13" t="n">
        <v>16381.85</v>
      </c>
      <c r="G99" s="13" t="n">
        <v>2047.73</v>
      </c>
      <c r="H99" s="13" t="n">
        <v>2047.73</v>
      </c>
      <c r="I99" s="13" t="n">
        <f aca="false">SUM(K99:T99)</f>
        <v>12286.4</v>
      </c>
      <c r="J99" s="13" t="n">
        <f aca="false">F99-(G99+H99+I99)</f>
        <v>-0.0100000000002183</v>
      </c>
      <c r="K99" s="13" t="n">
        <v>1228.64</v>
      </c>
      <c r="L99" s="13" t="n">
        <v>1228.64</v>
      </c>
      <c r="M99" s="13" t="n">
        <v>1228.64</v>
      </c>
      <c r="N99" s="13" t="n">
        <v>1228.64</v>
      </c>
      <c r="O99" s="13" t="n">
        <v>1228.64</v>
      </c>
      <c r="P99" s="13" t="n">
        <v>1228.64</v>
      </c>
      <c r="Q99" s="13" t="n">
        <v>1228.64</v>
      </c>
      <c r="R99" s="13" t="n">
        <v>1228.64</v>
      </c>
      <c r="S99" s="13" t="n">
        <v>1228.64</v>
      </c>
      <c r="T99" s="13" t="n">
        <v>1228.64</v>
      </c>
      <c r="U99" s="13" t="n">
        <v>350</v>
      </c>
      <c r="V99" s="13" t="n">
        <v>250</v>
      </c>
      <c r="W99" s="13" t="n">
        <f aca="false">U99+V99</f>
        <v>600</v>
      </c>
    </row>
    <row r="100" customFormat="false" ht="15" hidden="false" customHeight="false" outlineLevel="0" collapsed="false">
      <c r="A100" s="14" t="s">
        <v>2528</v>
      </c>
      <c r="B100" s="14" t="s">
        <v>2495</v>
      </c>
      <c r="C100" s="14" t="s">
        <v>387</v>
      </c>
      <c r="D100" s="14" t="s">
        <v>118</v>
      </c>
      <c r="E100" s="15" t="n">
        <v>305000</v>
      </c>
      <c r="F100" s="15" t="n">
        <v>4408.9</v>
      </c>
      <c r="G100" s="15" t="n">
        <v>551.11</v>
      </c>
      <c r="H100" s="15" t="n">
        <v>551.11</v>
      </c>
      <c r="I100" s="15" t="n">
        <f aca="false">SUM(K100:T100)</f>
        <v>3306.7</v>
      </c>
      <c r="J100" s="15" t="n">
        <f aca="false">F100-(G100+H100+I100)</f>
        <v>-0.0200000000004366</v>
      </c>
      <c r="K100" s="15" t="n">
        <v>330.67</v>
      </c>
      <c r="L100" s="15" t="n">
        <v>330.67</v>
      </c>
      <c r="M100" s="15" t="n">
        <v>330.67</v>
      </c>
      <c r="N100" s="15" t="n">
        <v>330.67</v>
      </c>
      <c r="O100" s="15" t="n">
        <v>330.67</v>
      </c>
      <c r="P100" s="15" t="n">
        <v>330.67</v>
      </c>
      <c r="Q100" s="15" t="n">
        <v>330.67</v>
      </c>
      <c r="R100" s="15" t="n">
        <v>330.67</v>
      </c>
      <c r="S100" s="15" t="n">
        <v>330.67</v>
      </c>
      <c r="T100" s="15" t="n">
        <v>330.67</v>
      </c>
      <c r="U100" s="15" t="n">
        <v>350</v>
      </c>
      <c r="V100" s="15" t="n">
        <v>0</v>
      </c>
      <c r="W100" s="15" t="n">
        <f aca="false">U100+V100</f>
        <v>350</v>
      </c>
    </row>
    <row r="101" customFormat="false" ht="15" hidden="false" customHeight="false" outlineLevel="0" collapsed="false">
      <c r="A101" s="3" t="s">
        <v>2529</v>
      </c>
      <c r="B101" s="3" t="s">
        <v>2530</v>
      </c>
      <c r="C101" s="3" t="s">
        <v>1329</v>
      </c>
      <c r="D101" s="3" t="s">
        <v>189</v>
      </c>
      <c r="E101" s="13" t="n">
        <v>195000</v>
      </c>
      <c r="F101" s="13" t="n">
        <v>3092.28</v>
      </c>
      <c r="G101" s="13" t="n">
        <v>386.54</v>
      </c>
      <c r="H101" s="13" t="n">
        <v>386.54</v>
      </c>
      <c r="I101" s="13" t="n">
        <f aca="false">SUM(K101:T101)</f>
        <v>2319.2</v>
      </c>
      <c r="J101" s="13" t="n">
        <f aca="false">F101-(G101+H101+I101)</f>
        <v>0</v>
      </c>
      <c r="K101" s="13" t="n">
        <v>231.92</v>
      </c>
      <c r="L101" s="13" t="n">
        <v>231.92</v>
      </c>
      <c r="M101" s="13" t="n">
        <v>231.92</v>
      </c>
      <c r="N101" s="13" t="n">
        <v>231.92</v>
      </c>
      <c r="O101" s="13" t="n">
        <v>231.92</v>
      </c>
      <c r="P101" s="13" t="n">
        <v>231.92</v>
      </c>
      <c r="Q101" s="13" t="n">
        <v>231.92</v>
      </c>
      <c r="R101" s="13" t="n">
        <v>231.92</v>
      </c>
      <c r="S101" s="13" t="n">
        <v>231.92</v>
      </c>
      <c r="T101" s="13" t="n">
        <v>231.92</v>
      </c>
      <c r="U101" s="13" t="n">
        <v>350</v>
      </c>
      <c r="V101" s="13" t="n">
        <v>0</v>
      </c>
      <c r="W101" s="13" t="n">
        <f aca="false">U101+V101</f>
        <v>350</v>
      </c>
    </row>
    <row r="102" customFormat="false" ht="15" hidden="false" customHeight="false" outlineLevel="0" collapsed="false">
      <c r="A102" s="14" t="s">
        <v>2531</v>
      </c>
      <c r="B102" s="14" t="s">
        <v>2441</v>
      </c>
      <c r="C102" s="14" t="s">
        <v>1136</v>
      </c>
      <c r="D102" s="14" t="s">
        <v>222</v>
      </c>
      <c r="E102" s="15" t="n">
        <v>310000</v>
      </c>
      <c r="F102" s="15" t="n">
        <v>4007.55</v>
      </c>
      <c r="G102" s="15" t="n">
        <v>500.94</v>
      </c>
      <c r="H102" s="15" t="n">
        <v>500.94</v>
      </c>
      <c r="I102" s="15" t="n">
        <f aca="false">SUM(K102:T102)</f>
        <v>3005.7</v>
      </c>
      <c r="J102" s="15" t="n">
        <f aca="false">F102-(G102+H102+I102)</f>
        <v>-0.0300000000002001</v>
      </c>
      <c r="K102" s="15" t="n">
        <v>300.57</v>
      </c>
      <c r="L102" s="15" t="n">
        <v>300.57</v>
      </c>
      <c r="M102" s="15" t="n">
        <v>300.57</v>
      </c>
      <c r="N102" s="15" t="n">
        <v>300.57</v>
      </c>
      <c r="O102" s="15" t="n">
        <v>300.57</v>
      </c>
      <c r="P102" s="15" t="n">
        <v>300.57</v>
      </c>
      <c r="Q102" s="15" t="n">
        <v>300.57</v>
      </c>
      <c r="R102" s="15" t="n">
        <v>300.57</v>
      </c>
      <c r="S102" s="15" t="n">
        <v>300.57</v>
      </c>
      <c r="T102" s="15" t="n">
        <v>300.57</v>
      </c>
      <c r="U102" s="15" t="n">
        <v>350</v>
      </c>
      <c r="V102" s="15" t="n">
        <v>0</v>
      </c>
      <c r="W102" s="15" t="n">
        <f aca="false">U102+V102</f>
        <v>350</v>
      </c>
    </row>
    <row r="103" customFormat="false" ht="15" hidden="false" customHeight="false" outlineLevel="0" collapsed="false">
      <c r="A103" s="3" t="s">
        <v>2532</v>
      </c>
      <c r="B103" s="3" t="s">
        <v>2486</v>
      </c>
      <c r="C103" s="3" t="s">
        <v>192</v>
      </c>
      <c r="D103" s="3" t="s">
        <v>138</v>
      </c>
      <c r="E103" s="13" t="n">
        <v>1025000</v>
      </c>
      <c r="F103" s="13" t="n">
        <v>10158.93</v>
      </c>
      <c r="G103" s="13" t="n">
        <v>1269.87</v>
      </c>
      <c r="H103" s="13" t="n">
        <v>1269.87</v>
      </c>
      <c r="I103" s="13" t="n">
        <f aca="false">SUM(K103:T103)</f>
        <v>7619.2</v>
      </c>
      <c r="J103" s="13" t="n">
        <f aca="false">F103-(G103+H103+I103)</f>
        <v>-0.00999999999839929</v>
      </c>
      <c r="K103" s="13" t="n">
        <v>761.92</v>
      </c>
      <c r="L103" s="13" t="n">
        <v>761.92</v>
      </c>
      <c r="M103" s="13" t="n">
        <v>761.92</v>
      </c>
      <c r="N103" s="13" t="n">
        <v>761.92</v>
      </c>
      <c r="O103" s="13" t="n">
        <v>761.92</v>
      </c>
      <c r="P103" s="13" t="n">
        <v>761.92</v>
      </c>
      <c r="Q103" s="13" t="n">
        <v>761.92</v>
      </c>
      <c r="R103" s="13" t="n">
        <v>761.92</v>
      </c>
      <c r="S103" s="13" t="n">
        <v>761.92</v>
      </c>
      <c r="T103" s="13" t="n">
        <v>761.92</v>
      </c>
      <c r="U103" s="13" t="n">
        <v>350</v>
      </c>
      <c r="V103" s="13" t="n">
        <v>250</v>
      </c>
      <c r="W103" s="13" t="n">
        <f aca="false">U103+V103</f>
        <v>600</v>
      </c>
    </row>
    <row r="104" customFormat="false" ht="15" hidden="false" customHeight="false" outlineLevel="0" collapsed="false">
      <c r="A104" s="14" t="s">
        <v>2533</v>
      </c>
      <c r="B104" s="14" t="s">
        <v>2435</v>
      </c>
      <c r="C104" s="14" t="s">
        <v>300</v>
      </c>
      <c r="D104" s="14" t="s">
        <v>89</v>
      </c>
      <c r="E104" s="15" t="n">
        <v>720000</v>
      </c>
      <c r="F104" s="15" t="n">
        <v>9900.18</v>
      </c>
      <c r="G104" s="15" t="n">
        <v>1237.52</v>
      </c>
      <c r="H104" s="15" t="n">
        <v>1237.52</v>
      </c>
      <c r="I104" s="15" t="n">
        <f aca="false">SUM(K104:T104)</f>
        <v>7425.1</v>
      </c>
      <c r="J104" s="15" t="n">
        <f aca="false">F104-(G104+H104+I104)</f>
        <v>0.0400000000008731</v>
      </c>
      <c r="K104" s="15" t="n">
        <v>742.51</v>
      </c>
      <c r="L104" s="15" t="n">
        <v>742.51</v>
      </c>
      <c r="M104" s="15" t="n">
        <v>742.51</v>
      </c>
      <c r="N104" s="15" t="n">
        <v>742.51</v>
      </c>
      <c r="O104" s="15" t="n">
        <v>742.51</v>
      </c>
      <c r="P104" s="15" t="n">
        <v>742.51</v>
      </c>
      <c r="Q104" s="15" t="n">
        <v>742.51</v>
      </c>
      <c r="R104" s="15" t="n">
        <v>742.51</v>
      </c>
      <c r="S104" s="15" t="n">
        <v>742.51</v>
      </c>
      <c r="T104" s="15" t="n">
        <v>742.51</v>
      </c>
      <c r="U104" s="15" t="n">
        <v>350</v>
      </c>
      <c r="V104" s="15" t="n">
        <v>0</v>
      </c>
      <c r="W104" s="15" t="n">
        <f aca="false">U104+V104</f>
        <v>350</v>
      </c>
    </row>
    <row r="105" customFormat="false" ht="15" hidden="false" customHeight="false" outlineLevel="0" collapsed="false">
      <c r="A105" s="3" t="s">
        <v>2534</v>
      </c>
      <c r="B105" s="3" t="s">
        <v>2419</v>
      </c>
      <c r="C105" s="3" t="s">
        <v>366</v>
      </c>
      <c r="D105" s="3" t="s">
        <v>382</v>
      </c>
      <c r="E105" s="13" t="n">
        <v>350000</v>
      </c>
      <c r="F105" s="13" t="n">
        <v>4606.92</v>
      </c>
      <c r="G105" s="13" t="n">
        <v>575.87</v>
      </c>
      <c r="H105" s="13" t="n">
        <v>575.87</v>
      </c>
      <c r="I105" s="13" t="n">
        <f aca="false">SUM(K105:T105)</f>
        <v>3455.2</v>
      </c>
      <c r="J105" s="13" t="n">
        <f aca="false">F105-(G105+H105+I105)</f>
        <v>-0.0199999999995271</v>
      </c>
      <c r="K105" s="13" t="n">
        <v>345.52</v>
      </c>
      <c r="L105" s="13" t="n">
        <v>345.52</v>
      </c>
      <c r="M105" s="13" t="n">
        <v>345.52</v>
      </c>
      <c r="N105" s="13" t="n">
        <v>345.52</v>
      </c>
      <c r="O105" s="13" t="n">
        <v>345.52</v>
      </c>
      <c r="P105" s="13" t="n">
        <v>345.52</v>
      </c>
      <c r="Q105" s="13" t="n">
        <v>345.52</v>
      </c>
      <c r="R105" s="13" t="n">
        <v>345.52</v>
      </c>
      <c r="S105" s="13" t="n">
        <v>345.52</v>
      </c>
      <c r="T105" s="13" t="n">
        <v>345.52</v>
      </c>
      <c r="U105" s="13" t="n">
        <v>350</v>
      </c>
      <c r="V105" s="13" t="n">
        <v>0</v>
      </c>
      <c r="W105" s="13" t="n">
        <f aca="false">U105+V105</f>
        <v>350</v>
      </c>
    </row>
    <row r="106" customFormat="false" ht="15" hidden="false" customHeight="false" outlineLevel="0" collapsed="false">
      <c r="A106" s="14" t="s">
        <v>2535</v>
      </c>
      <c r="B106" s="14" t="s">
        <v>2451</v>
      </c>
      <c r="C106" s="14" t="s">
        <v>2536</v>
      </c>
      <c r="D106" s="14" t="s">
        <v>89</v>
      </c>
      <c r="E106" s="15" t="n">
        <v>390000</v>
      </c>
      <c r="F106" s="15" t="n">
        <v>3960.07</v>
      </c>
      <c r="G106" s="15" t="n">
        <v>495.01</v>
      </c>
      <c r="H106" s="15" t="n">
        <v>495.01</v>
      </c>
      <c r="I106" s="15" t="n">
        <f aca="false">SUM(K106:T106)</f>
        <v>2970.1</v>
      </c>
      <c r="J106" s="15" t="n">
        <f aca="false">F106-(G106+H106+I106)</f>
        <v>-0.0500000000001819</v>
      </c>
      <c r="K106" s="15" t="n">
        <v>297.01</v>
      </c>
      <c r="L106" s="15" t="n">
        <v>297.01</v>
      </c>
      <c r="M106" s="15" t="n">
        <v>297.01</v>
      </c>
      <c r="N106" s="15" t="n">
        <v>297.01</v>
      </c>
      <c r="O106" s="15" t="n">
        <v>297.01</v>
      </c>
      <c r="P106" s="15" t="n">
        <v>297.01</v>
      </c>
      <c r="Q106" s="15" t="n">
        <v>297.01</v>
      </c>
      <c r="R106" s="15" t="n">
        <v>297.01</v>
      </c>
      <c r="S106" s="15" t="n">
        <v>297.01</v>
      </c>
      <c r="T106" s="15" t="n">
        <v>297.01</v>
      </c>
      <c r="U106" s="15" t="n">
        <v>350</v>
      </c>
      <c r="V106" s="15" t="n">
        <v>0</v>
      </c>
      <c r="W106" s="15" t="n">
        <f aca="false">U106+V106</f>
        <v>350</v>
      </c>
    </row>
    <row r="107" customFormat="false" ht="15" hidden="false" customHeight="false" outlineLevel="0" collapsed="false">
      <c r="A107" s="3" t="s">
        <v>2537</v>
      </c>
      <c r="B107" s="3" t="s">
        <v>2435</v>
      </c>
      <c r="C107" s="3" t="s">
        <v>179</v>
      </c>
      <c r="D107" s="3" t="s">
        <v>93</v>
      </c>
      <c r="E107" s="13" t="n">
        <v>1500000</v>
      </c>
      <c r="F107" s="13" t="n">
        <v>16547.32</v>
      </c>
      <c r="G107" s="13" t="n">
        <v>2068.41</v>
      </c>
      <c r="H107" s="13" t="n">
        <v>2068.41</v>
      </c>
      <c r="I107" s="13" t="n">
        <f aca="false">SUM(K107:T107)</f>
        <v>12410.5</v>
      </c>
      <c r="J107" s="13" t="n">
        <f aca="false">F107-(G107+H107+I107)</f>
        <v>0</v>
      </c>
      <c r="K107" s="13" t="n">
        <v>1241.05</v>
      </c>
      <c r="L107" s="13" t="n">
        <v>1241.05</v>
      </c>
      <c r="M107" s="13" t="n">
        <v>1241.05</v>
      </c>
      <c r="N107" s="13" t="n">
        <v>1241.05</v>
      </c>
      <c r="O107" s="13" t="n">
        <v>1241.05</v>
      </c>
      <c r="P107" s="13" t="n">
        <v>1241.05</v>
      </c>
      <c r="Q107" s="13" t="n">
        <v>1241.05</v>
      </c>
      <c r="R107" s="13" t="n">
        <v>1241.05</v>
      </c>
      <c r="S107" s="13" t="n">
        <v>1241.05</v>
      </c>
      <c r="T107" s="13" t="n">
        <v>1241.05</v>
      </c>
      <c r="U107" s="13" t="n">
        <v>350</v>
      </c>
      <c r="V107" s="13" t="n">
        <v>250</v>
      </c>
      <c r="W107" s="13" t="n">
        <f aca="false">U107+V107</f>
        <v>600</v>
      </c>
    </row>
    <row r="108" customFormat="false" ht="15" hidden="false" customHeight="false" outlineLevel="0" collapsed="false">
      <c r="A108" s="14" t="s">
        <v>2538</v>
      </c>
      <c r="B108" s="14" t="s">
        <v>2441</v>
      </c>
      <c r="C108" s="14" t="s">
        <v>1067</v>
      </c>
      <c r="D108" s="14" t="s">
        <v>312</v>
      </c>
      <c r="E108" s="15" t="n">
        <v>560000</v>
      </c>
      <c r="F108" s="15" t="n">
        <v>4188.35</v>
      </c>
      <c r="G108" s="15" t="n">
        <v>523.54</v>
      </c>
      <c r="H108" s="15" t="n">
        <v>523.54</v>
      </c>
      <c r="I108" s="15" t="n">
        <f aca="false">SUM(K108:T108)</f>
        <v>3141.3</v>
      </c>
      <c r="J108" s="15" t="n">
        <f aca="false">F108-(G108+H108+I108)</f>
        <v>-0.0299999999997453</v>
      </c>
      <c r="K108" s="15" t="n">
        <v>314.13</v>
      </c>
      <c r="L108" s="15" t="n">
        <v>314.13</v>
      </c>
      <c r="M108" s="15" t="n">
        <v>314.13</v>
      </c>
      <c r="N108" s="15" t="n">
        <v>314.13</v>
      </c>
      <c r="O108" s="15" t="n">
        <v>314.13</v>
      </c>
      <c r="P108" s="15" t="n">
        <v>314.13</v>
      </c>
      <c r="Q108" s="15" t="n">
        <v>314.13</v>
      </c>
      <c r="R108" s="15" t="n">
        <v>314.13</v>
      </c>
      <c r="S108" s="15" t="n">
        <v>314.13</v>
      </c>
      <c r="T108" s="15" t="n">
        <v>314.13</v>
      </c>
      <c r="U108" s="15" t="n">
        <v>350</v>
      </c>
      <c r="V108" s="15" t="n">
        <v>0</v>
      </c>
      <c r="W108" s="15" t="n">
        <f aca="false">U108+V108</f>
        <v>350</v>
      </c>
    </row>
    <row r="109" customFormat="false" ht="15" hidden="false" customHeight="false" outlineLevel="0" collapsed="false">
      <c r="A109" s="3" t="s">
        <v>2539</v>
      </c>
      <c r="B109" s="3" t="s">
        <v>2406</v>
      </c>
      <c r="C109" s="3" t="s">
        <v>793</v>
      </c>
      <c r="D109" s="3" t="s">
        <v>69</v>
      </c>
      <c r="E109" s="13" t="n">
        <v>445000</v>
      </c>
      <c r="F109" s="13" t="n">
        <v>5072.9</v>
      </c>
      <c r="G109" s="13" t="n">
        <v>634.11</v>
      </c>
      <c r="H109" s="13" t="n">
        <v>634.11</v>
      </c>
      <c r="I109" s="13" t="n">
        <f aca="false">SUM(K109:T109)</f>
        <v>3804.7</v>
      </c>
      <c r="J109" s="13" t="n">
        <f aca="false">F109-(G109+H109+I109)</f>
        <v>-0.0200000000013461</v>
      </c>
      <c r="K109" s="13" t="n">
        <v>380.47</v>
      </c>
      <c r="L109" s="13" t="n">
        <v>380.47</v>
      </c>
      <c r="M109" s="13" t="n">
        <v>380.47</v>
      </c>
      <c r="N109" s="13" t="n">
        <v>380.47</v>
      </c>
      <c r="O109" s="13" t="n">
        <v>380.47</v>
      </c>
      <c r="P109" s="13" t="n">
        <v>380.47</v>
      </c>
      <c r="Q109" s="13" t="n">
        <v>380.47</v>
      </c>
      <c r="R109" s="13" t="n">
        <v>380.47</v>
      </c>
      <c r="S109" s="13" t="n">
        <v>380.47</v>
      </c>
      <c r="T109" s="13" t="n">
        <v>380.47</v>
      </c>
      <c r="U109" s="13" t="n">
        <v>350</v>
      </c>
      <c r="V109" s="13" t="n">
        <v>0</v>
      </c>
      <c r="W109" s="13" t="n">
        <f aca="false">U109+V109</f>
        <v>350</v>
      </c>
    </row>
    <row r="110" customFormat="false" ht="15" hidden="false" customHeight="false" outlineLevel="0" collapsed="false">
      <c r="A110" s="14" t="s">
        <v>2540</v>
      </c>
      <c r="B110" s="14" t="s">
        <v>2464</v>
      </c>
      <c r="C110" s="14" t="s">
        <v>206</v>
      </c>
      <c r="D110" s="14" t="s">
        <v>312</v>
      </c>
      <c r="E110" s="15" t="n">
        <v>1045000</v>
      </c>
      <c r="F110" s="15" t="n">
        <v>14540.96</v>
      </c>
      <c r="G110" s="15" t="n">
        <v>1817.62</v>
      </c>
      <c r="H110" s="15" t="n">
        <v>1817.62</v>
      </c>
      <c r="I110" s="15" t="n">
        <f aca="false">SUM(K110:T110)</f>
        <v>10905.7</v>
      </c>
      <c r="J110" s="15" t="n">
        <f aca="false">F110-(G110+H110+I110)</f>
        <v>0.0200000000004366</v>
      </c>
      <c r="K110" s="15" t="n">
        <v>1090.57</v>
      </c>
      <c r="L110" s="15" t="n">
        <v>1090.57</v>
      </c>
      <c r="M110" s="15" t="n">
        <v>1090.57</v>
      </c>
      <c r="N110" s="15" t="n">
        <v>1090.57</v>
      </c>
      <c r="O110" s="15" t="n">
        <v>1090.57</v>
      </c>
      <c r="P110" s="15" t="n">
        <v>1090.57</v>
      </c>
      <c r="Q110" s="15" t="n">
        <v>1090.57</v>
      </c>
      <c r="R110" s="15" t="n">
        <v>1090.57</v>
      </c>
      <c r="S110" s="15" t="n">
        <v>1090.57</v>
      </c>
      <c r="T110" s="15" t="n">
        <v>1090.57</v>
      </c>
      <c r="U110" s="15" t="n">
        <v>350</v>
      </c>
      <c r="V110" s="15" t="n">
        <v>250</v>
      </c>
      <c r="W110" s="15" t="n">
        <f aca="false">U110+V110</f>
        <v>600</v>
      </c>
    </row>
    <row r="111" customFormat="false" ht="15" hidden="false" customHeight="false" outlineLevel="0" collapsed="false">
      <c r="A111" s="3" t="s">
        <v>2541</v>
      </c>
      <c r="B111" s="3" t="s">
        <v>2435</v>
      </c>
      <c r="C111" s="3" t="s">
        <v>690</v>
      </c>
      <c r="D111" s="3" t="s">
        <v>279</v>
      </c>
      <c r="E111" s="13" t="n">
        <v>585000</v>
      </c>
      <c r="F111" s="13" t="n">
        <v>7924.73</v>
      </c>
      <c r="G111" s="13" t="n">
        <v>990.59</v>
      </c>
      <c r="H111" s="13" t="n">
        <v>990.59</v>
      </c>
      <c r="I111" s="13" t="n">
        <f aca="false">SUM(K111:T111)</f>
        <v>5943.5</v>
      </c>
      <c r="J111" s="13" t="n">
        <f aca="false">F111-(G111+H111+I111)</f>
        <v>0.0499999999983629</v>
      </c>
      <c r="K111" s="13" t="n">
        <v>594.35</v>
      </c>
      <c r="L111" s="13" t="n">
        <v>594.35</v>
      </c>
      <c r="M111" s="13" t="n">
        <v>594.35</v>
      </c>
      <c r="N111" s="13" t="n">
        <v>594.35</v>
      </c>
      <c r="O111" s="13" t="n">
        <v>594.35</v>
      </c>
      <c r="P111" s="13" t="n">
        <v>594.35</v>
      </c>
      <c r="Q111" s="13" t="n">
        <v>594.35</v>
      </c>
      <c r="R111" s="13" t="n">
        <v>594.35</v>
      </c>
      <c r="S111" s="13" t="n">
        <v>594.35</v>
      </c>
      <c r="T111" s="13" t="n">
        <v>594.35</v>
      </c>
      <c r="U111" s="13" t="n">
        <v>350</v>
      </c>
      <c r="V111" s="13" t="n">
        <v>0</v>
      </c>
      <c r="W111" s="13" t="n">
        <f aca="false">U111+V111</f>
        <v>350</v>
      </c>
    </row>
    <row r="112" customFormat="false" ht="15" hidden="false" customHeight="false" outlineLevel="0" collapsed="false">
      <c r="A112" s="14" t="s">
        <v>2542</v>
      </c>
      <c r="B112" s="14" t="s">
        <v>2408</v>
      </c>
      <c r="C112" s="14" t="s">
        <v>370</v>
      </c>
      <c r="D112" s="14" t="s">
        <v>233</v>
      </c>
      <c r="E112" s="15" t="n">
        <v>455000</v>
      </c>
      <c r="F112" s="15" t="n">
        <v>5240.38</v>
      </c>
      <c r="G112" s="15" t="n">
        <v>655.05</v>
      </c>
      <c r="H112" s="15" t="n">
        <v>655.05</v>
      </c>
      <c r="I112" s="15" t="n">
        <f aca="false">SUM(K112:T112)</f>
        <v>3930.3</v>
      </c>
      <c r="J112" s="15" t="n">
        <f aca="false">F112-(G112+H112+I112)</f>
        <v>-0.0199999999995271</v>
      </c>
      <c r="K112" s="15" t="n">
        <v>393.03</v>
      </c>
      <c r="L112" s="15" t="n">
        <v>393.03</v>
      </c>
      <c r="M112" s="15" t="n">
        <v>393.03</v>
      </c>
      <c r="N112" s="15" t="n">
        <v>393.03</v>
      </c>
      <c r="O112" s="15" t="n">
        <v>393.03</v>
      </c>
      <c r="P112" s="15" t="n">
        <v>393.03</v>
      </c>
      <c r="Q112" s="15" t="n">
        <v>393.03</v>
      </c>
      <c r="R112" s="15" t="n">
        <v>393.03</v>
      </c>
      <c r="S112" s="15" t="n">
        <v>393.03</v>
      </c>
      <c r="T112" s="15" t="n">
        <v>393.03</v>
      </c>
      <c r="U112" s="15" t="n">
        <v>350</v>
      </c>
      <c r="V112" s="15" t="n">
        <v>0</v>
      </c>
      <c r="W112" s="15" t="n">
        <f aca="false">U112+V112</f>
        <v>350</v>
      </c>
    </row>
    <row r="113" customFormat="false" ht="15" hidden="false" customHeight="false" outlineLevel="0" collapsed="false">
      <c r="A113" s="3" t="s">
        <v>2543</v>
      </c>
      <c r="B113" s="3" t="s">
        <v>2431</v>
      </c>
      <c r="C113" s="3" t="s">
        <v>551</v>
      </c>
      <c r="D113" s="3" t="s">
        <v>230</v>
      </c>
      <c r="E113" s="13" t="n">
        <v>545000</v>
      </c>
      <c r="F113" s="13" t="n">
        <v>6605.73</v>
      </c>
      <c r="G113" s="13" t="n">
        <v>825.72</v>
      </c>
      <c r="H113" s="13" t="n">
        <v>825.72</v>
      </c>
      <c r="I113" s="13" t="n">
        <f aca="false">SUM(K113:T113)</f>
        <v>4954.3</v>
      </c>
      <c r="J113" s="13" t="n">
        <f aca="false">F113-(G113+H113+I113)</f>
        <v>-0.0100000000002183</v>
      </c>
      <c r="K113" s="13" t="n">
        <v>495.43</v>
      </c>
      <c r="L113" s="13" t="n">
        <v>495.43</v>
      </c>
      <c r="M113" s="13" t="n">
        <v>495.43</v>
      </c>
      <c r="N113" s="13" t="n">
        <v>495.43</v>
      </c>
      <c r="O113" s="13" t="n">
        <v>495.43</v>
      </c>
      <c r="P113" s="13" t="n">
        <v>495.43</v>
      </c>
      <c r="Q113" s="13" t="n">
        <v>495.43</v>
      </c>
      <c r="R113" s="13" t="n">
        <v>495.43</v>
      </c>
      <c r="S113" s="13" t="n">
        <v>495.43</v>
      </c>
      <c r="T113" s="13" t="n">
        <v>495.43</v>
      </c>
      <c r="U113" s="13" t="n">
        <v>350</v>
      </c>
      <c r="V113" s="13" t="n">
        <v>0</v>
      </c>
      <c r="W113" s="13" t="n">
        <f aca="false">U113+V113</f>
        <v>350</v>
      </c>
    </row>
    <row r="114" customFormat="false" ht="15" hidden="false" customHeight="false" outlineLevel="0" collapsed="false">
      <c r="A114" s="14" t="s">
        <v>2544</v>
      </c>
      <c r="B114" s="14" t="s">
        <v>2425</v>
      </c>
      <c r="C114" s="14" t="s">
        <v>434</v>
      </c>
      <c r="D114" s="14" t="s">
        <v>246</v>
      </c>
      <c r="E114" s="15" t="n">
        <v>355000</v>
      </c>
      <c r="F114" s="15" t="n">
        <v>5006.5</v>
      </c>
      <c r="G114" s="15" t="n">
        <v>625.81</v>
      </c>
      <c r="H114" s="15" t="n">
        <v>625.81</v>
      </c>
      <c r="I114" s="15" t="n">
        <f aca="false">SUM(K114:T114)</f>
        <v>3754.9</v>
      </c>
      <c r="J114" s="15" t="n">
        <f aca="false">F114-(G114+H114+I114)</f>
        <v>-0.0199999999995271</v>
      </c>
      <c r="K114" s="15" t="n">
        <v>375.49</v>
      </c>
      <c r="L114" s="15" t="n">
        <v>375.49</v>
      </c>
      <c r="M114" s="15" t="n">
        <v>375.49</v>
      </c>
      <c r="N114" s="15" t="n">
        <v>375.49</v>
      </c>
      <c r="O114" s="15" t="n">
        <v>375.49</v>
      </c>
      <c r="P114" s="15" t="n">
        <v>375.49</v>
      </c>
      <c r="Q114" s="15" t="n">
        <v>375.49</v>
      </c>
      <c r="R114" s="15" t="n">
        <v>375.49</v>
      </c>
      <c r="S114" s="15" t="n">
        <v>375.49</v>
      </c>
      <c r="T114" s="15" t="n">
        <v>375.49</v>
      </c>
      <c r="U114" s="15" t="n">
        <v>350</v>
      </c>
      <c r="V114" s="15" t="n">
        <v>0</v>
      </c>
      <c r="W114" s="15" t="n">
        <f aca="false">U114+V114</f>
        <v>350</v>
      </c>
    </row>
    <row r="115" customFormat="false" ht="15" hidden="false" customHeight="false" outlineLevel="0" collapsed="false">
      <c r="A115" s="3" t="s">
        <v>2545</v>
      </c>
      <c r="B115" s="3" t="s">
        <v>2419</v>
      </c>
      <c r="C115" s="3" t="s">
        <v>843</v>
      </c>
      <c r="D115" s="3" t="s">
        <v>406</v>
      </c>
      <c r="E115" s="13" t="n">
        <v>610000</v>
      </c>
      <c r="F115" s="13" t="n">
        <v>5778.16</v>
      </c>
      <c r="G115" s="13" t="n">
        <v>722.27</v>
      </c>
      <c r="H115" s="13" t="n">
        <v>722.27</v>
      </c>
      <c r="I115" s="13" t="n">
        <f aca="false">SUM(K115:T115)</f>
        <v>4333.6</v>
      </c>
      <c r="J115" s="13" t="n">
        <f aca="false">F115-(G115+H115+I115)</f>
        <v>0.0199999999995271</v>
      </c>
      <c r="K115" s="13" t="n">
        <v>433.36</v>
      </c>
      <c r="L115" s="13" t="n">
        <v>433.36</v>
      </c>
      <c r="M115" s="13" t="n">
        <v>433.36</v>
      </c>
      <c r="N115" s="13" t="n">
        <v>433.36</v>
      </c>
      <c r="O115" s="13" t="n">
        <v>433.36</v>
      </c>
      <c r="P115" s="13" t="n">
        <v>433.36</v>
      </c>
      <c r="Q115" s="13" t="n">
        <v>433.36</v>
      </c>
      <c r="R115" s="13" t="n">
        <v>433.36</v>
      </c>
      <c r="S115" s="13" t="n">
        <v>433.36</v>
      </c>
      <c r="T115" s="13" t="n">
        <v>433.36</v>
      </c>
      <c r="U115" s="13" t="n">
        <v>350</v>
      </c>
      <c r="V115" s="13" t="n">
        <v>0</v>
      </c>
      <c r="W115" s="13" t="n">
        <f aca="false">U115+V115</f>
        <v>350</v>
      </c>
    </row>
    <row r="116" customFormat="false" ht="15" hidden="false" customHeight="false" outlineLevel="0" collapsed="false">
      <c r="A116" s="14" t="s">
        <v>2546</v>
      </c>
      <c r="B116" s="14" t="s">
        <v>2435</v>
      </c>
      <c r="C116" s="14" t="s">
        <v>641</v>
      </c>
      <c r="D116" s="14" t="s">
        <v>69</v>
      </c>
      <c r="E116" s="15" t="n">
        <v>1305000</v>
      </c>
      <c r="F116" s="15" t="n">
        <v>15868.5</v>
      </c>
      <c r="G116" s="15" t="n">
        <v>1983.56</v>
      </c>
      <c r="H116" s="15" t="n">
        <v>1983.56</v>
      </c>
      <c r="I116" s="15" t="n">
        <f aca="false">SUM(K116:T116)</f>
        <v>11901.4</v>
      </c>
      <c r="J116" s="15" t="n">
        <f aca="false">F116-(G116+H116+I116)</f>
        <v>-0.0200000000004366</v>
      </c>
      <c r="K116" s="15" t="n">
        <v>1190.14</v>
      </c>
      <c r="L116" s="15" t="n">
        <v>1190.14</v>
      </c>
      <c r="M116" s="15" t="n">
        <v>1190.14</v>
      </c>
      <c r="N116" s="15" t="n">
        <v>1190.14</v>
      </c>
      <c r="O116" s="15" t="n">
        <v>1190.14</v>
      </c>
      <c r="P116" s="15" t="n">
        <v>1190.14</v>
      </c>
      <c r="Q116" s="15" t="n">
        <v>1190.14</v>
      </c>
      <c r="R116" s="15" t="n">
        <v>1190.14</v>
      </c>
      <c r="S116" s="15" t="n">
        <v>1190.14</v>
      </c>
      <c r="T116" s="15" t="n">
        <v>1190.14</v>
      </c>
      <c r="U116" s="15" t="n">
        <v>350</v>
      </c>
      <c r="V116" s="15" t="n">
        <v>250</v>
      </c>
      <c r="W116" s="15" t="n">
        <f aca="false">U116+V116</f>
        <v>600</v>
      </c>
    </row>
    <row r="117" customFormat="false" ht="15" hidden="false" customHeight="false" outlineLevel="0" collapsed="false">
      <c r="A117" s="3" t="s">
        <v>2547</v>
      </c>
      <c r="B117" s="3" t="s">
        <v>2548</v>
      </c>
      <c r="C117" s="3" t="s">
        <v>1381</v>
      </c>
      <c r="D117" s="3" t="s">
        <v>121</v>
      </c>
      <c r="E117" s="13" t="n">
        <v>520000</v>
      </c>
      <c r="F117" s="13" t="n">
        <v>9443.88</v>
      </c>
      <c r="G117" s="13" t="n">
        <v>1180.48</v>
      </c>
      <c r="H117" s="13" t="n">
        <v>1180.48</v>
      </c>
      <c r="I117" s="13" t="n">
        <f aca="false">SUM(K117:T117)</f>
        <v>7082.9</v>
      </c>
      <c r="J117" s="13" t="n">
        <f aca="false">F117-(G117+H117+I117)</f>
        <v>0.0199999999986176</v>
      </c>
      <c r="K117" s="13" t="n">
        <v>708.29</v>
      </c>
      <c r="L117" s="13" t="n">
        <v>708.29</v>
      </c>
      <c r="M117" s="13" t="n">
        <v>708.29</v>
      </c>
      <c r="N117" s="13" t="n">
        <v>708.29</v>
      </c>
      <c r="O117" s="13" t="n">
        <v>708.29</v>
      </c>
      <c r="P117" s="13" t="n">
        <v>708.29</v>
      </c>
      <c r="Q117" s="13" t="n">
        <v>708.29</v>
      </c>
      <c r="R117" s="13" t="n">
        <v>708.29</v>
      </c>
      <c r="S117" s="13" t="n">
        <v>708.29</v>
      </c>
      <c r="T117" s="13" t="n">
        <v>708.29</v>
      </c>
      <c r="U117" s="13" t="n">
        <v>350</v>
      </c>
      <c r="V117" s="13" t="n">
        <v>0</v>
      </c>
      <c r="W117" s="13" t="n">
        <f aca="false">U117+V117</f>
        <v>350</v>
      </c>
    </row>
    <row r="118" customFormat="false" ht="15" hidden="false" customHeight="false" outlineLevel="0" collapsed="false">
      <c r="A118" s="14" t="s">
        <v>2549</v>
      </c>
      <c r="B118" s="14" t="s">
        <v>2421</v>
      </c>
      <c r="C118" s="14" t="s">
        <v>688</v>
      </c>
      <c r="D118" s="14" t="s">
        <v>185</v>
      </c>
      <c r="E118" s="15" t="n">
        <v>350000</v>
      </c>
      <c r="F118" s="15" t="n">
        <v>4154.46</v>
      </c>
      <c r="G118" s="15" t="n">
        <v>519.31</v>
      </c>
      <c r="H118" s="15" t="n">
        <v>519.31</v>
      </c>
      <c r="I118" s="15" t="n">
        <f aca="false">SUM(K118:T118)</f>
        <v>3115.8</v>
      </c>
      <c r="J118" s="15" t="n">
        <f aca="false">F118-(G118+H118+I118)</f>
        <v>0.0399999999999636</v>
      </c>
      <c r="K118" s="15" t="n">
        <v>311.58</v>
      </c>
      <c r="L118" s="15" t="n">
        <v>311.58</v>
      </c>
      <c r="M118" s="15" t="n">
        <v>311.58</v>
      </c>
      <c r="N118" s="15" t="n">
        <v>311.58</v>
      </c>
      <c r="O118" s="15" t="n">
        <v>311.58</v>
      </c>
      <c r="P118" s="15" t="n">
        <v>311.58</v>
      </c>
      <c r="Q118" s="15" t="n">
        <v>311.58</v>
      </c>
      <c r="R118" s="15" t="n">
        <v>311.58</v>
      </c>
      <c r="S118" s="15" t="n">
        <v>311.58</v>
      </c>
      <c r="T118" s="15" t="n">
        <v>311.58</v>
      </c>
      <c r="U118" s="15" t="n">
        <v>350</v>
      </c>
      <c r="V118" s="15" t="n">
        <v>0</v>
      </c>
      <c r="W118" s="15" t="n">
        <f aca="false">U118+V118</f>
        <v>350</v>
      </c>
    </row>
    <row r="119" customFormat="false" ht="15" hidden="false" customHeight="false" outlineLevel="0" collapsed="false">
      <c r="A119" s="3" t="s">
        <v>2550</v>
      </c>
      <c r="B119" s="3" t="s">
        <v>2530</v>
      </c>
      <c r="C119" s="3" t="s">
        <v>882</v>
      </c>
      <c r="D119" s="3" t="s">
        <v>89</v>
      </c>
      <c r="E119" s="13" t="n">
        <v>410000</v>
      </c>
      <c r="F119" s="13" t="n">
        <v>6504.93</v>
      </c>
      <c r="G119" s="13" t="n">
        <v>813.12</v>
      </c>
      <c r="H119" s="13" t="n">
        <v>813.12</v>
      </c>
      <c r="I119" s="13" t="n">
        <f aca="false">SUM(K119:T119)</f>
        <v>4878.7</v>
      </c>
      <c r="J119" s="13" t="n">
        <f aca="false">F119-(G119+H119+I119)</f>
        <v>-0.00999999999930878</v>
      </c>
      <c r="K119" s="13" t="n">
        <v>487.87</v>
      </c>
      <c r="L119" s="13" t="n">
        <v>487.87</v>
      </c>
      <c r="M119" s="13" t="n">
        <v>487.87</v>
      </c>
      <c r="N119" s="13" t="n">
        <v>487.87</v>
      </c>
      <c r="O119" s="13" t="n">
        <v>487.87</v>
      </c>
      <c r="P119" s="13" t="n">
        <v>487.87</v>
      </c>
      <c r="Q119" s="13" t="n">
        <v>487.87</v>
      </c>
      <c r="R119" s="13" t="n">
        <v>487.87</v>
      </c>
      <c r="S119" s="13" t="n">
        <v>487.87</v>
      </c>
      <c r="T119" s="13" t="n">
        <v>487.87</v>
      </c>
      <c r="U119" s="13" t="n">
        <v>350</v>
      </c>
      <c r="V119" s="13" t="n">
        <v>0</v>
      </c>
      <c r="W119" s="13" t="n">
        <f aca="false">U119+V119</f>
        <v>350</v>
      </c>
    </row>
    <row r="120" customFormat="false" ht="15" hidden="false" customHeight="false" outlineLevel="0" collapsed="false">
      <c r="A120" s="14" t="s">
        <v>2551</v>
      </c>
      <c r="B120" s="14" t="s">
        <v>2443</v>
      </c>
      <c r="C120" s="14" t="s">
        <v>681</v>
      </c>
      <c r="D120" s="14" t="s">
        <v>147</v>
      </c>
      <c r="E120" s="15" t="n">
        <v>255000</v>
      </c>
      <c r="F120" s="15" t="n">
        <v>3206.63</v>
      </c>
      <c r="G120" s="15" t="n">
        <v>400.83</v>
      </c>
      <c r="H120" s="15" t="n">
        <v>400.83</v>
      </c>
      <c r="I120" s="15" t="n">
        <f aca="false">SUM(K120:T120)</f>
        <v>2405</v>
      </c>
      <c r="J120" s="15" t="n">
        <f aca="false">F120-(G120+H120+I120)</f>
        <v>-0.0299999999997453</v>
      </c>
      <c r="K120" s="15" t="n">
        <v>240.5</v>
      </c>
      <c r="L120" s="15" t="n">
        <v>240.5</v>
      </c>
      <c r="M120" s="15" t="n">
        <v>240.5</v>
      </c>
      <c r="N120" s="15" t="n">
        <v>240.5</v>
      </c>
      <c r="O120" s="15" t="n">
        <v>240.5</v>
      </c>
      <c r="P120" s="15" t="n">
        <v>240.5</v>
      </c>
      <c r="Q120" s="15" t="n">
        <v>240.5</v>
      </c>
      <c r="R120" s="15" t="n">
        <v>240.5</v>
      </c>
      <c r="S120" s="15" t="n">
        <v>240.5</v>
      </c>
      <c r="T120" s="15" t="n">
        <v>240.5</v>
      </c>
      <c r="U120" s="15" t="n">
        <v>350</v>
      </c>
      <c r="V120" s="15" t="n">
        <v>0</v>
      </c>
      <c r="W120" s="15" t="n">
        <f aca="false">U120+V120</f>
        <v>350</v>
      </c>
    </row>
    <row r="121" customFormat="false" ht="15" hidden="false" customHeight="false" outlineLevel="0" collapsed="false">
      <c r="A121" s="3" t="s">
        <v>2552</v>
      </c>
      <c r="B121" s="3" t="s">
        <v>2412</v>
      </c>
      <c r="C121" s="3" t="s">
        <v>2326</v>
      </c>
      <c r="D121" s="3" t="s">
        <v>189</v>
      </c>
      <c r="E121" s="13" t="n">
        <v>485000</v>
      </c>
      <c r="F121" s="13" t="n">
        <v>6269.88</v>
      </c>
      <c r="G121" s="13" t="n">
        <v>783.74</v>
      </c>
      <c r="H121" s="13" t="n">
        <v>783.74</v>
      </c>
      <c r="I121" s="13" t="n">
        <f aca="false">SUM(K121:T121)</f>
        <v>4702.4</v>
      </c>
      <c r="J121" s="13" t="n">
        <f aca="false">F121-(G121+H121+I121)</f>
        <v>0</v>
      </c>
      <c r="K121" s="13" t="n">
        <v>470.24</v>
      </c>
      <c r="L121" s="13" t="n">
        <v>470.24</v>
      </c>
      <c r="M121" s="13" t="n">
        <v>470.24</v>
      </c>
      <c r="N121" s="13" t="n">
        <v>470.24</v>
      </c>
      <c r="O121" s="13" t="n">
        <v>470.24</v>
      </c>
      <c r="P121" s="13" t="n">
        <v>470.24</v>
      </c>
      <c r="Q121" s="13" t="n">
        <v>470.24</v>
      </c>
      <c r="R121" s="13" t="n">
        <v>470.24</v>
      </c>
      <c r="S121" s="13" t="n">
        <v>470.24</v>
      </c>
      <c r="T121" s="13" t="n">
        <v>470.24</v>
      </c>
      <c r="U121" s="13" t="n">
        <v>350</v>
      </c>
      <c r="V121" s="13" t="n">
        <v>0</v>
      </c>
      <c r="W121" s="13" t="n">
        <f aca="false">U121+V121</f>
        <v>350</v>
      </c>
    </row>
    <row r="122" customFormat="false" ht="15" hidden="false" customHeight="false" outlineLevel="0" collapsed="false">
      <c r="A122" s="14" t="s">
        <v>2553</v>
      </c>
      <c r="B122" s="14" t="s">
        <v>2443</v>
      </c>
      <c r="C122" s="14" t="s">
        <v>491</v>
      </c>
      <c r="D122" s="14" t="s">
        <v>233</v>
      </c>
      <c r="E122" s="15" t="n">
        <v>1950000</v>
      </c>
      <c r="F122" s="15" t="n">
        <v>16469.75</v>
      </c>
      <c r="G122" s="15" t="n">
        <v>2058.72</v>
      </c>
      <c r="H122" s="15" t="n">
        <v>2058.72</v>
      </c>
      <c r="I122" s="15" t="n">
        <f aca="false">SUM(K122:T122)</f>
        <v>12352.3</v>
      </c>
      <c r="J122" s="15" t="n">
        <f aca="false">F122-(G122+H122+I122)</f>
        <v>0.0100000000020373</v>
      </c>
      <c r="K122" s="15" t="n">
        <v>1235.23</v>
      </c>
      <c r="L122" s="15" t="n">
        <v>1235.23</v>
      </c>
      <c r="M122" s="15" t="n">
        <v>1235.23</v>
      </c>
      <c r="N122" s="15" t="n">
        <v>1235.23</v>
      </c>
      <c r="O122" s="15" t="n">
        <v>1235.23</v>
      </c>
      <c r="P122" s="15" t="n">
        <v>1235.23</v>
      </c>
      <c r="Q122" s="15" t="n">
        <v>1235.23</v>
      </c>
      <c r="R122" s="15" t="n">
        <v>1235.23</v>
      </c>
      <c r="S122" s="15" t="n">
        <v>1235.23</v>
      </c>
      <c r="T122" s="15" t="n">
        <v>1235.23</v>
      </c>
      <c r="U122" s="15" t="n">
        <v>350</v>
      </c>
      <c r="V122" s="15" t="n">
        <v>250</v>
      </c>
      <c r="W122" s="15" t="n">
        <f aca="false">U122+V122</f>
        <v>600</v>
      </c>
    </row>
    <row r="123" customFormat="false" ht="15" hidden="false" customHeight="false" outlineLevel="0" collapsed="false">
      <c r="A123" s="3" t="s">
        <v>2554</v>
      </c>
      <c r="B123" s="3" t="s">
        <v>2447</v>
      </c>
      <c r="C123" s="3" t="s">
        <v>1004</v>
      </c>
      <c r="D123" s="3" t="s">
        <v>352</v>
      </c>
      <c r="E123" s="13" t="n">
        <v>1120000</v>
      </c>
      <c r="F123" s="13" t="n">
        <v>7536.05</v>
      </c>
      <c r="G123" s="13" t="n">
        <v>942.01</v>
      </c>
      <c r="H123" s="13" t="n">
        <v>942.01</v>
      </c>
      <c r="I123" s="13" t="n">
        <f aca="false">SUM(K123:T123)</f>
        <v>5652</v>
      </c>
      <c r="J123" s="13" t="n">
        <f aca="false">F123-(G123+H123+I123)</f>
        <v>0.0299999999997453</v>
      </c>
      <c r="K123" s="13" t="n">
        <v>565.2</v>
      </c>
      <c r="L123" s="13" t="n">
        <v>565.2</v>
      </c>
      <c r="M123" s="13" t="n">
        <v>565.2</v>
      </c>
      <c r="N123" s="13" t="n">
        <v>565.2</v>
      </c>
      <c r="O123" s="13" t="n">
        <v>565.2</v>
      </c>
      <c r="P123" s="13" t="n">
        <v>565.2</v>
      </c>
      <c r="Q123" s="13" t="n">
        <v>565.2</v>
      </c>
      <c r="R123" s="13" t="n">
        <v>565.2</v>
      </c>
      <c r="S123" s="13" t="n">
        <v>565.2</v>
      </c>
      <c r="T123" s="13" t="n">
        <v>565.2</v>
      </c>
      <c r="U123" s="13" t="n">
        <v>350</v>
      </c>
      <c r="V123" s="13" t="n">
        <v>250</v>
      </c>
      <c r="W123" s="13" t="n">
        <f aca="false">U123+V123</f>
        <v>600</v>
      </c>
    </row>
    <row r="124" customFormat="false" ht="15" hidden="false" customHeight="false" outlineLevel="0" collapsed="false">
      <c r="A124" s="14" t="s">
        <v>2555</v>
      </c>
      <c r="B124" s="14" t="s">
        <v>2412</v>
      </c>
      <c r="C124" s="14" t="s">
        <v>1184</v>
      </c>
      <c r="D124" s="14" t="s">
        <v>312</v>
      </c>
      <c r="E124" s="15" t="n">
        <v>350000</v>
      </c>
      <c r="F124" s="15" t="n">
        <v>2922.11</v>
      </c>
      <c r="G124" s="15" t="n">
        <v>365.26</v>
      </c>
      <c r="H124" s="15" t="n">
        <v>365.26</v>
      </c>
      <c r="I124" s="15" t="n">
        <f aca="false">SUM(K124:T124)</f>
        <v>2191.6</v>
      </c>
      <c r="J124" s="15" t="n">
        <f aca="false">F124-(G124+H124+I124)</f>
        <v>-0.00999999999976353</v>
      </c>
      <c r="K124" s="15" t="n">
        <v>219.16</v>
      </c>
      <c r="L124" s="15" t="n">
        <v>219.16</v>
      </c>
      <c r="M124" s="15" t="n">
        <v>219.16</v>
      </c>
      <c r="N124" s="15" t="n">
        <v>219.16</v>
      </c>
      <c r="O124" s="15" t="n">
        <v>219.16</v>
      </c>
      <c r="P124" s="15" t="n">
        <v>219.16</v>
      </c>
      <c r="Q124" s="15" t="n">
        <v>219.16</v>
      </c>
      <c r="R124" s="15" t="n">
        <v>219.16</v>
      </c>
      <c r="S124" s="15" t="n">
        <v>219.16</v>
      </c>
      <c r="T124" s="15" t="n">
        <v>219.16</v>
      </c>
      <c r="U124" s="15" t="n">
        <v>350</v>
      </c>
      <c r="V124" s="15" t="n">
        <v>0</v>
      </c>
      <c r="W124" s="15" t="n">
        <f aca="false">U124+V124</f>
        <v>350</v>
      </c>
    </row>
    <row r="125" customFormat="false" ht="15" hidden="false" customHeight="false" outlineLevel="0" collapsed="false">
      <c r="A125" s="3" t="s">
        <v>2556</v>
      </c>
      <c r="B125" s="3" t="s">
        <v>2447</v>
      </c>
      <c r="C125" s="3" t="s">
        <v>188</v>
      </c>
      <c r="D125" s="3" t="s">
        <v>132</v>
      </c>
      <c r="E125" s="13" t="n">
        <v>460000</v>
      </c>
      <c r="F125" s="13" t="n">
        <v>5406.08</v>
      </c>
      <c r="G125" s="13" t="n">
        <v>675.76</v>
      </c>
      <c r="H125" s="13" t="n">
        <v>675.76</v>
      </c>
      <c r="I125" s="13" t="n">
        <f aca="false">SUM(K125:T125)</f>
        <v>4054.6</v>
      </c>
      <c r="J125" s="13" t="n">
        <f aca="false">F125-(G125+H125+I125)</f>
        <v>-0.0399999999999636</v>
      </c>
      <c r="K125" s="13" t="n">
        <v>405.46</v>
      </c>
      <c r="L125" s="13" t="n">
        <v>405.46</v>
      </c>
      <c r="M125" s="13" t="n">
        <v>405.46</v>
      </c>
      <c r="N125" s="13" t="n">
        <v>405.46</v>
      </c>
      <c r="O125" s="13" t="n">
        <v>405.46</v>
      </c>
      <c r="P125" s="13" t="n">
        <v>405.46</v>
      </c>
      <c r="Q125" s="13" t="n">
        <v>405.46</v>
      </c>
      <c r="R125" s="13" t="n">
        <v>405.46</v>
      </c>
      <c r="S125" s="13" t="n">
        <v>405.46</v>
      </c>
      <c r="T125" s="13" t="n">
        <v>405.46</v>
      </c>
      <c r="U125" s="13" t="n">
        <v>350</v>
      </c>
      <c r="V125" s="13" t="n">
        <v>0</v>
      </c>
      <c r="W125" s="13" t="n">
        <f aca="false">U125+V125</f>
        <v>350</v>
      </c>
    </row>
    <row r="126" customFormat="false" ht="15" hidden="false" customHeight="false" outlineLevel="0" collapsed="false">
      <c r="A126" s="14" t="s">
        <v>2557</v>
      </c>
      <c r="B126" s="14" t="s">
        <v>2427</v>
      </c>
      <c r="C126" s="14" t="s">
        <v>303</v>
      </c>
      <c r="D126" s="14" t="s">
        <v>163</v>
      </c>
      <c r="E126" s="15" t="n">
        <v>330000</v>
      </c>
      <c r="F126" s="15" t="n">
        <v>3955.85</v>
      </c>
      <c r="G126" s="15" t="n">
        <v>494.48</v>
      </c>
      <c r="H126" s="15" t="n">
        <v>494.48</v>
      </c>
      <c r="I126" s="15" t="n">
        <f aca="false">SUM(K126:T126)</f>
        <v>2966.9</v>
      </c>
      <c r="J126" s="15" t="n">
        <f aca="false">F126-(G126+H126+I126)</f>
        <v>-0.0100000000002183</v>
      </c>
      <c r="K126" s="15" t="n">
        <v>296.69</v>
      </c>
      <c r="L126" s="15" t="n">
        <v>296.69</v>
      </c>
      <c r="M126" s="15" t="n">
        <v>296.69</v>
      </c>
      <c r="N126" s="15" t="n">
        <v>296.69</v>
      </c>
      <c r="O126" s="15" t="n">
        <v>296.69</v>
      </c>
      <c r="P126" s="15" t="n">
        <v>296.69</v>
      </c>
      <c r="Q126" s="15" t="n">
        <v>296.69</v>
      </c>
      <c r="R126" s="15" t="n">
        <v>296.69</v>
      </c>
      <c r="S126" s="15" t="n">
        <v>296.69</v>
      </c>
      <c r="T126" s="15" t="n">
        <v>296.69</v>
      </c>
      <c r="U126" s="15" t="n">
        <v>350</v>
      </c>
      <c r="V126" s="15" t="n">
        <v>0</v>
      </c>
      <c r="W126" s="15" t="n">
        <f aca="false">U126+V126</f>
        <v>350</v>
      </c>
    </row>
    <row r="127" customFormat="false" ht="15" hidden="false" customHeight="false" outlineLevel="0" collapsed="false">
      <c r="A127" s="3" t="s">
        <v>2558</v>
      </c>
      <c r="B127" s="3" t="s">
        <v>2445</v>
      </c>
      <c r="C127" s="3" t="s">
        <v>620</v>
      </c>
      <c r="D127" s="3" t="s">
        <v>279</v>
      </c>
      <c r="E127" s="13" t="n">
        <v>470000</v>
      </c>
      <c r="F127" s="13" t="n">
        <v>3216.95</v>
      </c>
      <c r="G127" s="13" t="n">
        <v>402.12</v>
      </c>
      <c r="H127" s="13" t="n">
        <v>402.12</v>
      </c>
      <c r="I127" s="13" t="n">
        <f aca="false">SUM(K127:T127)</f>
        <v>2412.7</v>
      </c>
      <c r="J127" s="13" t="n">
        <f aca="false">F127-(G127+H127+I127)</f>
        <v>0.00999999999930878</v>
      </c>
      <c r="K127" s="13" t="n">
        <v>241.27</v>
      </c>
      <c r="L127" s="13" t="n">
        <v>241.27</v>
      </c>
      <c r="M127" s="13" t="n">
        <v>241.27</v>
      </c>
      <c r="N127" s="13" t="n">
        <v>241.27</v>
      </c>
      <c r="O127" s="13" t="n">
        <v>241.27</v>
      </c>
      <c r="P127" s="13" t="n">
        <v>241.27</v>
      </c>
      <c r="Q127" s="13" t="n">
        <v>241.27</v>
      </c>
      <c r="R127" s="13" t="n">
        <v>241.27</v>
      </c>
      <c r="S127" s="13" t="n">
        <v>241.27</v>
      </c>
      <c r="T127" s="13" t="n">
        <v>241.27</v>
      </c>
      <c r="U127" s="13" t="n">
        <v>350</v>
      </c>
      <c r="V127" s="13" t="n">
        <v>0</v>
      </c>
      <c r="W127" s="13" t="n">
        <f aca="false">U127+V127</f>
        <v>350</v>
      </c>
    </row>
    <row r="128" customFormat="false" ht="15" hidden="false" customHeight="false" outlineLevel="0" collapsed="false">
      <c r="A128" s="14" t="s">
        <v>2559</v>
      </c>
      <c r="B128" s="14" t="s">
        <v>2431</v>
      </c>
      <c r="C128" s="14" t="s">
        <v>2399</v>
      </c>
      <c r="D128" s="14" t="s">
        <v>138</v>
      </c>
      <c r="E128" s="15" t="n">
        <v>710000</v>
      </c>
      <c r="F128" s="15" t="n">
        <v>8316.36</v>
      </c>
      <c r="G128" s="15" t="n">
        <v>1039.55</v>
      </c>
      <c r="H128" s="15" t="n">
        <v>1039.55</v>
      </c>
      <c r="I128" s="15" t="n">
        <f aca="false">SUM(K128:T128)</f>
        <v>6237.3</v>
      </c>
      <c r="J128" s="15" t="n">
        <f aca="false">F128-(G128+H128+I128)</f>
        <v>-0.0399999999990541</v>
      </c>
      <c r="K128" s="15" t="n">
        <v>623.73</v>
      </c>
      <c r="L128" s="15" t="n">
        <v>623.73</v>
      </c>
      <c r="M128" s="15" t="n">
        <v>623.73</v>
      </c>
      <c r="N128" s="15" t="n">
        <v>623.73</v>
      </c>
      <c r="O128" s="15" t="n">
        <v>623.73</v>
      </c>
      <c r="P128" s="15" t="n">
        <v>623.73</v>
      </c>
      <c r="Q128" s="15" t="n">
        <v>623.73</v>
      </c>
      <c r="R128" s="15" t="n">
        <v>623.73</v>
      </c>
      <c r="S128" s="15" t="n">
        <v>623.73</v>
      </c>
      <c r="T128" s="15" t="n">
        <v>623.73</v>
      </c>
      <c r="U128" s="15" t="n">
        <v>350</v>
      </c>
      <c r="V128" s="15" t="n">
        <v>0</v>
      </c>
      <c r="W128" s="15" t="n">
        <f aca="false">U128+V128</f>
        <v>350</v>
      </c>
    </row>
    <row r="129" customFormat="false" ht="15" hidden="false" customHeight="false" outlineLevel="0" collapsed="false">
      <c r="A129" s="3" t="s">
        <v>2560</v>
      </c>
      <c r="B129" s="3" t="s">
        <v>2412</v>
      </c>
      <c r="C129" s="3" t="s">
        <v>272</v>
      </c>
      <c r="D129" s="3" t="s">
        <v>279</v>
      </c>
      <c r="E129" s="13" t="n">
        <v>195000</v>
      </c>
      <c r="F129" s="13" t="n">
        <v>2558.16</v>
      </c>
      <c r="G129" s="13" t="n">
        <v>319.77</v>
      </c>
      <c r="H129" s="13" t="n">
        <v>319.77</v>
      </c>
      <c r="I129" s="13" t="n">
        <f aca="false">SUM(K129:T129)</f>
        <v>1918.6</v>
      </c>
      <c r="J129" s="13" t="n">
        <f aca="false">F129-(G129+H129+I129)</f>
        <v>0.0199999999995271</v>
      </c>
      <c r="K129" s="13" t="n">
        <v>191.86</v>
      </c>
      <c r="L129" s="13" t="n">
        <v>191.86</v>
      </c>
      <c r="M129" s="13" t="n">
        <v>191.86</v>
      </c>
      <c r="N129" s="13" t="n">
        <v>191.86</v>
      </c>
      <c r="O129" s="13" t="n">
        <v>191.86</v>
      </c>
      <c r="P129" s="13" t="n">
        <v>191.86</v>
      </c>
      <c r="Q129" s="13" t="n">
        <v>191.86</v>
      </c>
      <c r="R129" s="13" t="n">
        <v>191.86</v>
      </c>
      <c r="S129" s="13" t="n">
        <v>191.86</v>
      </c>
      <c r="T129" s="13" t="n">
        <v>191.86</v>
      </c>
      <c r="U129" s="13" t="n">
        <v>350</v>
      </c>
      <c r="V129" s="13" t="n">
        <v>0</v>
      </c>
      <c r="W129" s="13" t="n">
        <f aca="false">U129+V129</f>
        <v>350</v>
      </c>
    </row>
    <row r="130" customFormat="false" ht="15" hidden="false" customHeight="false" outlineLevel="0" collapsed="false">
      <c r="A130" s="14" t="s">
        <v>2561</v>
      </c>
      <c r="B130" s="14" t="s">
        <v>2421</v>
      </c>
      <c r="C130" s="14" t="s">
        <v>1621</v>
      </c>
      <c r="D130" s="14" t="s">
        <v>298</v>
      </c>
      <c r="E130" s="15" t="n">
        <v>230000</v>
      </c>
      <c r="F130" s="15" t="n">
        <v>4177.82</v>
      </c>
      <c r="G130" s="15" t="n">
        <v>522.23</v>
      </c>
      <c r="H130" s="15" t="n">
        <v>522.23</v>
      </c>
      <c r="I130" s="15" t="n">
        <f aca="false">SUM(K130:T130)</f>
        <v>3133.4</v>
      </c>
      <c r="J130" s="15" t="n">
        <f aca="false">F130-(G130+H130+I130)</f>
        <v>-0.0400000000008731</v>
      </c>
      <c r="K130" s="15" t="n">
        <v>313.34</v>
      </c>
      <c r="L130" s="15" t="n">
        <v>313.34</v>
      </c>
      <c r="M130" s="15" t="n">
        <v>313.34</v>
      </c>
      <c r="N130" s="15" t="n">
        <v>313.34</v>
      </c>
      <c r="O130" s="15" t="n">
        <v>313.34</v>
      </c>
      <c r="P130" s="15" t="n">
        <v>313.34</v>
      </c>
      <c r="Q130" s="15" t="n">
        <v>313.34</v>
      </c>
      <c r="R130" s="15" t="n">
        <v>313.34</v>
      </c>
      <c r="S130" s="15" t="n">
        <v>313.34</v>
      </c>
      <c r="T130" s="15" t="n">
        <v>313.34</v>
      </c>
      <c r="U130" s="15" t="n">
        <v>350</v>
      </c>
      <c r="V130" s="15" t="n">
        <v>0</v>
      </c>
      <c r="W130" s="15" t="n">
        <f aca="false">U130+V130</f>
        <v>350</v>
      </c>
    </row>
    <row r="131" customFormat="false" ht="15" hidden="false" customHeight="false" outlineLevel="0" collapsed="false">
      <c r="A131" s="3" t="s">
        <v>2562</v>
      </c>
      <c r="B131" s="3" t="s">
        <v>2548</v>
      </c>
      <c r="C131" s="3" t="s">
        <v>245</v>
      </c>
      <c r="D131" s="3" t="s">
        <v>328</v>
      </c>
      <c r="E131" s="13" t="n">
        <v>555000</v>
      </c>
      <c r="F131" s="13" t="n">
        <v>7348.75</v>
      </c>
      <c r="G131" s="13" t="n">
        <v>918.59</v>
      </c>
      <c r="H131" s="13" t="n">
        <v>918.59</v>
      </c>
      <c r="I131" s="13" t="n">
        <f aca="false">SUM(K131:T131)</f>
        <v>5511.6</v>
      </c>
      <c r="J131" s="13" t="n">
        <f aca="false">F131-(G131+H131+I131)</f>
        <v>-0.0299999999997453</v>
      </c>
      <c r="K131" s="13" t="n">
        <v>551.16</v>
      </c>
      <c r="L131" s="13" t="n">
        <v>551.16</v>
      </c>
      <c r="M131" s="13" t="n">
        <v>551.16</v>
      </c>
      <c r="N131" s="13" t="n">
        <v>551.16</v>
      </c>
      <c r="O131" s="13" t="n">
        <v>551.16</v>
      </c>
      <c r="P131" s="13" t="n">
        <v>551.16</v>
      </c>
      <c r="Q131" s="13" t="n">
        <v>551.16</v>
      </c>
      <c r="R131" s="13" t="n">
        <v>551.16</v>
      </c>
      <c r="S131" s="13" t="n">
        <v>551.16</v>
      </c>
      <c r="T131" s="13" t="n">
        <v>551.16</v>
      </c>
      <c r="U131" s="13" t="n">
        <v>350</v>
      </c>
      <c r="V131" s="13" t="n">
        <v>0</v>
      </c>
      <c r="W131" s="13" t="n">
        <f aca="false">U131+V131</f>
        <v>350</v>
      </c>
    </row>
    <row r="132" customFormat="false" ht="15" hidden="false" customHeight="false" outlineLevel="0" collapsed="false">
      <c r="A132" s="14" t="s">
        <v>2563</v>
      </c>
      <c r="B132" s="14" t="s">
        <v>2402</v>
      </c>
      <c r="C132" s="14" t="s">
        <v>423</v>
      </c>
      <c r="D132" s="14" t="s">
        <v>163</v>
      </c>
      <c r="E132" s="15" t="n">
        <v>470000</v>
      </c>
      <c r="F132" s="15" t="n">
        <v>5634.08</v>
      </c>
      <c r="G132" s="15" t="n">
        <v>704.26</v>
      </c>
      <c r="H132" s="15" t="n">
        <v>704.26</v>
      </c>
      <c r="I132" s="15" t="n">
        <f aca="false">SUM(K132:T132)</f>
        <v>4225.6</v>
      </c>
      <c r="J132" s="15" t="n">
        <f aca="false">F132-(G132+H132+I132)</f>
        <v>-0.0400000000008731</v>
      </c>
      <c r="K132" s="15" t="n">
        <v>422.56</v>
      </c>
      <c r="L132" s="15" t="n">
        <v>422.56</v>
      </c>
      <c r="M132" s="15" t="n">
        <v>422.56</v>
      </c>
      <c r="N132" s="15" t="n">
        <v>422.56</v>
      </c>
      <c r="O132" s="15" t="n">
        <v>422.56</v>
      </c>
      <c r="P132" s="15" t="n">
        <v>422.56</v>
      </c>
      <c r="Q132" s="15" t="n">
        <v>422.56</v>
      </c>
      <c r="R132" s="15" t="n">
        <v>422.56</v>
      </c>
      <c r="S132" s="15" t="n">
        <v>422.56</v>
      </c>
      <c r="T132" s="15" t="n">
        <v>422.56</v>
      </c>
      <c r="U132" s="15" t="n">
        <v>350</v>
      </c>
      <c r="V132" s="15" t="n">
        <v>0</v>
      </c>
      <c r="W132" s="15" t="n">
        <f aca="false">U132+V132</f>
        <v>350</v>
      </c>
    </row>
    <row r="133" customFormat="false" ht="15" hidden="false" customHeight="false" outlineLevel="0" collapsed="false">
      <c r="A133" s="3" t="s">
        <v>2564</v>
      </c>
      <c r="B133" s="3" t="s">
        <v>2511</v>
      </c>
      <c r="C133" s="3" t="s">
        <v>2130</v>
      </c>
      <c r="D133" s="3" t="s">
        <v>93</v>
      </c>
      <c r="E133" s="13" t="n">
        <v>415000</v>
      </c>
      <c r="F133" s="13" t="n">
        <v>3496</v>
      </c>
      <c r="G133" s="13" t="n">
        <v>437</v>
      </c>
      <c r="H133" s="13" t="n">
        <v>437</v>
      </c>
      <c r="I133" s="13" t="n">
        <f aca="false">SUM(K133:T133)</f>
        <v>2622</v>
      </c>
      <c r="J133" s="13" t="n">
        <f aca="false">F133-(G133+H133+I133)</f>
        <v>0</v>
      </c>
      <c r="K133" s="13" t="n">
        <v>262.2</v>
      </c>
      <c r="L133" s="13" t="n">
        <v>262.2</v>
      </c>
      <c r="M133" s="13" t="n">
        <v>262.2</v>
      </c>
      <c r="N133" s="13" t="n">
        <v>262.2</v>
      </c>
      <c r="O133" s="13" t="n">
        <v>262.2</v>
      </c>
      <c r="P133" s="13" t="n">
        <v>262.2</v>
      </c>
      <c r="Q133" s="13" t="n">
        <v>262.2</v>
      </c>
      <c r="R133" s="13" t="n">
        <v>262.2</v>
      </c>
      <c r="S133" s="13" t="n">
        <v>262.2</v>
      </c>
      <c r="T133" s="13" t="n">
        <v>262.2</v>
      </c>
      <c r="U133" s="13" t="n">
        <v>350</v>
      </c>
      <c r="V133" s="13" t="n">
        <v>0</v>
      </c>
      <c r="W133" s="13" t="n">
        <f aca="false">U133+V133</f>
        <v>350</v>
      </c>
    </row>
    <row r="134" customFormat="false" ht="15" hidden="false" customHeight="false" outlineLevel="0" collapsed="false">
      <c r="A134" s="14" t="s">
        <v>2565</v>
      </c>
      <c r="B134" s="14" t="s">
        <v>2410</v>
      </c>
      <c r="C134" s="14" t="s">
        <v>305</v>
      </c>
      <c r="D134" s="14" t="s">
        <v>93</v>
      </c>
      <c r="E134" s="15" t="n">
        <v>515000</v>
      </c>
      <c r="F134" s="15" t="n">
        <v>4441.71</v>
      </c>
      <c r="G134" s="15" t="n">
        <v>555.21</v>
      </c>
      <c r="H134" s="15" t="n">
        <v>555.21</v>
      </c>
      <c r="I134" s="15" t="n">
        <f aca="false">SUM(K134:T134)</f>
        <v>3331.3</v>
      </c>
      <c r="J134" s="15" t="n">
        <f aca="false">F134-(G134+H134+I134)</f>
        <v>-0.0100000000002183</v>
      </c>
      <c r="K134" s="15" t="n">
        <v>333.13</v>
      </c>
      <c r="L134" s="15" t="n">
        <v>333.13</v>
      </c>
      <c r="M134" s="15" t="n">
        <v>333.13</v>
      </c>
      <c r="N134" s="15" t="n">
        <v>333.13</v>
      </c>
      <c r="O134" s="15" t="n">
        <v>333.13</v>
      </c>
      <c r="P134" s="15" t="n">
        <v>333.13</v>
      </c>
      <c r="Q134" s="15" t="n">
        <v>333.13</v>
      </c>
      <c r="R134" s="15" t="n">
        <v>333.13</v>
      </c>
      <c r="S134" s="15" t="n">
        <v>333.13</v>
      </c>
      <c r="T134" s="15" t="n">
        <v>333.13</v>
      </c>
      <c r="U134" s="15" t="n">
        <v>350</v>
      </c>
      <c r="V134" s="15" t="n">
        <v>0</v>
      </c>
      <c r="W134" s="15" t="n">
        <f aca="false">U134+V134</f>
        <v>350</v>
      </c>
    </row>
    <row r="135" customFormat="false" ht="15" hidden="false" customHeight="false" outlineLevel="0" collapsed="false">
      <c r="A135" s="3" t="s">
        <v>2566</v>
      </c>
      <c r="B135" s="3" t="s">
        <v>2421</v>
      </c>
      <c r="C135" s="3" t="s">
        <v>2349</v>
      </c>
      <c r="D135" s="3" t="s">
        <v>222</v>
      </c>
      <c r="E135" s="13" t="n">
        <v>715000</v>
      </c>
      <c r="F135" s="13" t="n">
        <v>8010.8</v>
      </c>
      <c r="G135" s="13" t="n">
        <v>1001.35</v>
      </c>
      <c r="H135" s="13" t="n">
        <v>1001.35</v>
      </c>
      <c r="I135" s="13" t="n">
        <f aca="false">SUM(K135:T135)</f>
        <v>6008.1</v>
      </c>
      <c r="J135" s="13" t="n">
        <f aca="false">F135-(G135+H135+I135)</f>
        <v>0</v>
      </c>
      <c r="K135" s="13" t="n">
        <v>600.81</v>
      </c>
      <c r="L135" s="13" t="n">
        <v>600.81</v>
      </c>
      <c r="M135" s="13" t="n">
        <v>600.81</v>
      </c>
      <c r="N135" s="13" t="n">
        <v>600.81</v>
      </c>
      <c r="O135" s="13" t="n">
        <v>600.81</v>
      </c>
      <c r="P135" s="13" t="n">
        <v>600.81</v>
      </c>
      <c r="Q135" s="13" t="n">
        <v>600.81</v>
      </c>
      <c r="R135" s="13" t="n">
        <v>600.81</v>
      </c>
      <c r="S135" s="13" t="n">
        <v>600.81</v>
      </c>
      <c r="T135" s="13" t="n">
        <v>600.81</v>
      </c>
      <c r="U135" s="13" t="n">
        <v>350</v>
      </c>
      <c r="V135" s="13" t="n">
        <v>0</v>
      </c>
      <c r="W135" s="13" t="n">
        <f aca="false">U135+V135</f>
        <v>350</v>
      </c>
    </row>
    <row r="136" customFormat="false" ht="15" hidden="false" customHeight="false" outlineLevel="0" collapsed="false">
      <c r="A136" s="14" t="s">
        <v>2567</v>
      </c>
      <c r="B136" s="14" t="s">
        <v>2404</v>
      </c>
      <c r="C136" s="14" t="s">
        <v>281</v>
      </c>
      <c r="D136" s="14" t="s">
        <v>189</v>
      </c>
      <c r="E136" s="15" t="n">
        <v>520000</v>
      </c>
      <c r="F136" s="15" t="n">
        <v>8514.98</v>
      </c>
      <c r="G136" s="15" t="n">
        <v>1064.37</v>
      </c>
      <c r="H136" s="15" t="n">
        <v>1064.37</v>
      </c>
      <c r="I136" s="15" t="n">
        <f aca="false">SUM(K136:T136)</f>
        <v>6386.2</v>
      </c>
      <c r="J136" s="15" t="n">
        <f aca="false">F136-(G136+H136+I136)</f>
        <v>0.0400000000008731</v>
      </c>
      <c r="K136" s="15" t="n">
        <v>638.62</v>
      </c>
      <c r="L136" s="15" t="n">
        <v>638.62</v>
      </c>
      <c r="M136" s="15" t="n">
        <v>638.62</v>
      </c>
      <c r="N136" s="15" t="n">
        <v>638.62</v>
      </c>
      <c r="O136" s="15" t="n">
        <v>638.62</v>
      </c>
      <c r="P136" s="15" t="n">
        <v>638.62</v>
      </c>
      <c r="Q136" s="15" t="n">
        <v>638.62</v>
      </c>
      <c r="R136" s="15" t="n">
        <v>638.62</v>
      </c>
      <c r="S136" s="15" t="n">
        <v>638.62</v>
      </c>
      <c r="T136" s="15" t="n">
        <v>638.62</v>
      </c>
      <c r="U136" s="15" t="n">
        <v>350</v>
      </c>
      <c r="V136" s="15" t="n">
        <v>0</v>
      </c>
      <c r="W136" s="15" t="n">
        <f aca="false">U136+V136</f>
        <v>350</v>
      </c>
    </row>
    <row r="137" customFormat="false" ht="15" hidden="false" customHeight="false" outlineLevel="0" collapsed="false">
      <c r="A137" s="3" t="s">
        <v>2568</v>
      </c>
      <c r="B137" s="3" t="s">
        <v>2511</v>
      </c>
      <c r="C137" s="3" t="s">
        <v>196</v>
      </c>
      <c r="D137" s="3" t="s">
        <v>189</v>
      </c>
      <c r="E137" s="13" t="n">
        <v>300000</v>
      </c>
      <c r="F137" s="13" t="n">
        <v>3878.28</v>
      </c>
      <c r="G137" s="13" t="n">
        <v>484.79</v>
      </c>
      <c r="H137" s="13" t="n">
        <v>484.79</v>
      </c>
      <c r="I137" s="13" t="n">
        <f aca="false">SUM(K137:T137)</f>
        <v>2908.7</v>
      </c>
      <c r="J137" s="13" t="n">
        <f aca="false">F137-(G137+H137+I137)</f>
        <v>0</v>
      </c>
      <c r="K137" s="13" t="n">
        <v>290.87</v>
      </c>
      <c r="L137" s="13" t="n">
        <v>290.87</v>
      </c>
      <c r="M137" s="13" t="n">
        <v>290.87</v>
      </c>
      <c r="N137" s="13" t="n">
        <v>290.87</v>
      </c>
      <c r="O137" s="13" t="n">
        <v>290.87</v>
      </c>
      <c r="P137" s="13" t="n">
        <v>290.87</v>
      </c>
      <c r="Q137" s="13" t="n">
        <v>290.87</v>
      </c>
      <c r="R137" s="13" t="n">
        <v>290.87</v>
      </c>
      <c r="S137" s="13" t="n">
        <v>290.87</v>
      </c>
      <c r="T137" s="13" t="n">
        <v>290.87</v>
      </c>
      <c r="U137" s="13" t="n">
        <v>350</v>
      </c>
      <c r="V137" s="13" t="n">
        <v>0</v>
      </c>
      <c r="W137" s="13" t="n">
        <f aca="false">U137+V137</f>
        <v>350</v>
      </c>
    </row>
    <row r="138" customFormat="false" ht="15" hidden="false" customHeight="false" outlineLevel="0" collapsed="false">
      <c r="A138" s="14" t="s">
        <v>2569</v>
      </c>
      <c r="B138" s="14" t="s">
        <v>2456</v>
      </c>
      <c r="C138" s="14" t="s">
        <v>393</v>
      </c>
      <c r="D138" s="14" t="s">
        <v>222</v>
      </c>
      <c r="E138" s="15" t="n">
        <v>295000</v>
      </c>
      <c r="F138" s="15" t="n">
        <v>2440.73</v>
      </c>
      <c r="G138" s="15" t="n">
        <v>305.09</v>
      </c>
      <c r="H138" s="15" t="n">
        <v>305.09</v>
      </c>
      <c r="I138" s="15" t="n">
        <f aca="false">SUM(K138:T138)</f>
        <v>1830.5</v>
      </c>
      <c r="J138" s="15" t="n">
        <f aca="false">F138-(G138+H138+I138)</f>
        <v>0.0500000000001819</v>
      </c>
      <c r="K138" s="15" t="n">
        <v>183.05</v>
      </c>
      <c r="L138" s="15" t="n">
        <v>183.05</v>
      </c>
      <c r="M138" s="15" t="n">
        <v>183.05</v>
      </c>
      <c r="N138" s="15" t="n">
        <v>183.05</v>
      </c>
      <c r="O138" s="15" t="n">
        <v>183.05</v>
      </c>
      <c r="P138" s="15" t="n">
        <v>183.05</v>
      </c>
      <c r="Q138" s="15" t="n">
        <v>183.05</v>
      </c>
      <c r="R138" s="15" t="n">
        <v>183.05</v>
      </c>
      <c r="S138" s="15" t="n">
        <v>183.05</v>
      </c>
      <c r="T138" s="15" t="n">
        <v>183.05</v>
      </c>
      <c r="U138" s="15" t="n">
        <v>350</v>
      </c>
      <c r="V138" s="15" t="n">
        <v>0</v>
      </c>
      <c r="W138" s="15" t="n">
        <f aca="false">U138+V138</f>
        <v>350</v>
      </c>
    </row>
    <row r="139" customFormat="false" ht="15" hidden="false" customHeight="false" outlineLevel="0" collapsed="false">
      <c r="A139" s="3" t="s">
        <v>2570</v>
      </c>
      <c r="B139" s="3" t="s">
        <v>2419</v>
      </c>
      <c r="C139" s="3" t="s">
        <v>1125</v>
      </c>
      <c r="D139" s="3" t="s">
        <v>138</v>
      </c>
      <c r="E139" s="13" t="n">
        <v>265000</v>
      </c>
      <c r="F139" s="13" t="n">
        <v>3581.53</v>
      </c>
      <c r="G139" s="13" t="n">
        <v>447.69</v>
      </c>
      <c r="H139" s="13" t="n">
        <v>447.69</v>
      </c>
      <c r="I139" s="13" t="n">
        <f aca="false">SUM(K139:T139)</f>
        <v>2686.1</v>
      </c>
      <c r="J139" s="13" t="n">
        <f aca="false">F139-(G139+H139+I139)</f>
        <v>0.0499999999997272</v>
      </c>
      <c r="K139" s="13" t="n">
        <v>268.61</v>
      </c>
      <c r="L139" s="13" t="n">
        <v>268.61</v>
      </c>
      <c r="M139" s="13" t="n">
        <v>268.61</v>
      </c>
      <c r="N139" s="13" t="n">
        <v>268.61</v>
      </c>
      <c r="O139" s="13" t="n">
        <v>268.61</v>
      </c>
      <c r="P139" s="13" t="n">
        <v>268.61</v>
      </c>
      <c r="Q139" s="13" t="n">
        <v>268.61</v>
      </c>
      <c r="R139" s="13" t="n">
        <v>268.61</v>
      </c>
      <c r="S139" s="13" t="n">
        <v>268.61</v>
      </c>
      <c r="T139" s="13" t="n">
        <v>268.61</v>
      </c>
      <c r="U139" s="13" t="n">
        <v>350</v>
      </c>
      <c r="V139" s="13" t="n">
        <v>0</v>
      </c>
      <c r="W139" s="13" t="n">
        <f aca="false">U139+V139</f>
        <v>350</v>
      </c>
    </row>
    <row r="140" customFormat="false" ht="15" hidden="false" customHeight="false" outlineLevel="0" collapsed="false">
      <c r="A140" s="14" t="s">
        <v>2571</v>
      </c>
      <c r="B140" s="14" t="s">
        <v>2548</v>
      </c>
      <c r="C140" s="14" t="s">
        <v>1719</v>
      </c>
      <c r="D140" s="14" t="s">
        <v>109</v>
      </c>
      <c r="E140" s="15" t="n">
        <v>540000</v>
      </c>
      <c r="F140" s="15" t="n">
        <v>6875.13</v>
      </c>
      <c r="G140" s="15" t="n">
        <v>859.39</v>
      </c>
      <c r="H140" s="15" t="n">
        <v>859.39</v>
      </c>
      <c r="I140" s="15" t="n">
        <f aca="false">SUM(K140:T140)</f>
        <v>5156.3</v>
      </c>
      <c r="J140" s="15" t="n">
        <f aca="false">F140-(G140+H140+I140)</f>
        <v>0.0500000000001819</v>
      </c>
      <c r="K140" s="15" t="n">
        <v>515.63</v>
      </c>
      <c r="L140" s="15" t="n">
        <v>515.63</v>
      </c>
      <c r="M140" s="15" t="n">
        <v>515.63</v>
      </c>
      <c r="N140" s="15" t="n">
        <v>515.63</v>
      </c>
      <c r="O140" s="15" t="n">
        <v>515.63</v>
      </c>
      <c r="P140" s="15" t="n">
        <v>515.63</v>
      </c>
      <c r="Q140" s="15" t="n">
        <v>515.63</v>
      </c>
      <c r="R140" s="15" t="n">
        <v>515.63</v>
      </c>
      <c r="S140" s="15" t="n">
        <v>515.63</v>
      </c>
      <c r="T140" s="15" t="n">
        <v>515.63</v>
      </c>
      <c r="U140" s="15" t="n">
        <v>350</v>
      </c>
      <c r="V140" s="15" t="n">
        <v>0</v>
      </c>
      <c r="W140" s="15" t="n">
        <f aca="false">U140+V140</f>
        <v>350</v>
      </c>
    </row>
    <row r="141" customFormat="false" ht="15" hidden="false" customHeight="false" outlineLevel="0" collapsed="false">
      <c r="A141" s="3" t="s">
        <v>2572</v>
      </c>
      <c r="B141" s="3" t="s">
        <v>2573</v>
      </c>
      <c r="C141" s="3" t="s">
        <v>1619</v>
      </c>
      <c r="D141" s="3" t="s">
        <v>138</v>
      </c>
      <c r="E141" s="13" t="n">
        <v>720000</v>
      </c>
      <c r="F141" s="13" t="n">
        <v>12325.87</v>
      </c>
      <c r="G141" s="13" t="n">
        <v>1540.73</v>
      </c>
      <c r="H141" s="13" t="n">
        <v>1540.73</v>
      </c>
      <c r="I141" s="13" t="n">
        <f aca="false">SUM(K141:T141)</f>
        <v>9244.4</v>
      </c>
      <c r="J141" s="13" t="n">
        <f aca="false">F141-(G141+H141+I141)</f>
        <v>0.0100000000002183</v>
      </c>
      <c r="K141" s="13" t="n">
        <v>924.44</v>
      </c>
      <c r="L141" s="13" t="n">
        <v>924.44</v>
      </c>
      <c r="M141" s="13" t="n">
        <v>924.44</v>
      </c>
      <c r="N141" s="13" t="n">
        <v>924.44</v>
      </c>
      <c r="O141" s="13" t="n">
        <v>924.44</v>
      </c>
      <c r="P141" s="13" t="n">
        <v>924.44</v>
      </c>
      <c r="Q141" s="13" t="n">
        <v>924.44</v>
      </c>
      <c r="R141" s="13" t="n">
        <v>924.44</v>
      </c>
      <c r="S141" s="13" t="n">
        <v>924.44</v>
      </c>
      <c r="T141" s="13" t="n">
        <v>924.44</v>
      </c>
      <c r="U141" s="13" t="n">
        <v>350</v>
      </c>
      <c r="V141" s="13" t="n">
        <v>0</v>
      </c>
      <c r="W141" s="13" t="n">
        <f aca="false">U141+V141</f>
        <v>350</v>
      </c>
    </row>
    <row r="142" customFormat="false" ht="15" hidden="false" customHeight="false" outlineLevel="0" collapsed="false">
      <c r="A142" s="14" t="s">
        <v>2574</v>
      </c>
      <c r="B142" s="14" t="s">
        <v>2464</v>
      </c>
      <c r="C142" s="14" t="s">
        <v>171</v>
      </c>
      <c r="D142" s="14" t="s">
        <v>208</v>
      </c>
      <c r="E142" s="15" t="n">
        <v>925000</v>
      </c>
      <c r="F142" s="15" t="n">
        <v>12247.92</v>
      </c>
      <c r="G142" s="15" t="n">
        <v>1530.99</v>
      </c>
      <c r="H142" s="15" t="n">
        <v>1530.99</v>
      </c>
      <c r="I142" s="15" t="n">
        <f aca="false">SUM(K142:T142)</f>
        <v>9185.9</v>
      </c>
      <c r="J142" s="15" t="n">
        <f aca="false">F142-(G142+H142+I142)</f>
        <v>0.0400000000008731</v>
      </c>
      <c r="K142" s="15" t="n">
        <v>918.59</v>
      </c>
      <c r="L142" s="15" t="n">
        <v>918.59</v>
      </c>
      <c r="M142" s="15" t="n">
        <v>918.59</v>
      </c>
      <c r="N142" s="15" t="n">
        <v>918.59</v>
      </c>
      <c r="O142" s="15" t="n">
        <v>918.59</v>
      </c>
      <c r="P142" s="15" t="n">
        <v>918.59</v>
      </c>
      <c r="Q142" s="15" t="n">
        <v>918.59</v>
      </c>
      <c r="R142" s="15" t="n">
        <v>918.59</v>
      </c>
      <c r="S142" s="15" t="n">
        <v>918.59</v>
      </c>
      <c r="T142" s="15" t="n">
        <v>918.59</v>
      </c>
      <c r="U142" s="15" t="n">
        <v>350</v>
      </c>
      <c r="V142" s="15" t="n">
        <v>0</v>
      </c>
      <c r="W142" s="15" t="n">
        <f aca="false">U142+V142</f>
        <v>350</v>
      </c>
    </row>
    <row r="143" customFormat="false" ht="15" hidden="false" customHeight="false" outlineLevel="0" collapsed="false">
      <c r="A143" s="3" t="s">
        <v>2575</v>
      </c>
      <c r="B143" s="3" t="s">
        <v>2416</v>
      </c>
      <c r="C143" s="3" t="s">
        <v>679</v>
      </c>
      <c r="D143" s="3" t="s">
        <v>89</v>
      </c>
      <c r="E143" s="13" t="n">
        <v>895000</v>
      </c>
      <c r="F143" s="13" t="n">
        <v>12306.48</v>
      </c>
      <c r="G143" s="13" t="n">
        <v>1538.31</v>
      </c>
      <c r="H143" s="13" t="n">
        <v>1538.31</v>
      </c>
      <c r="I143" s="13" t="n">
        <f aca="false">SUM(K143:T143)</f>
        <v>9229.9</v>
      </c>
      <c r="J143" s="13" t="n">
        <f aca="false">F143-(G143+H143+I143)</f>
        <v>-0.0400000000008731</v>
      </c>
      <c r="K143" s="13" t="n">
        <v>922.99</v>
      </c>
      <c r="L143" s="13" t="n">
        <v>922.99</v>
      </c>
      <c r="M143" s="13" t="n">
        <v>922.99</v>
      </c>
      <c r="N143" s="13" t="n">
        <v>922.99</v>
      </c>
      <c r="O143" s="13" t="n">
        <v>922.99</v>
      </c>
      <c r="P143" s="13" t="n">
        <v>922.99</v>
      </c>
      <c r="Q143" s="13" t="n">
        <v>922.99</v>
      </c>
      <c r="R143" s="13" t="n">
        <v>922.99</v>
      </c>
      <c r="S143" s="13" t="n">
        <v>922.99</v>
      </c>
      <c r="T143" s="13" t="n">
        <v>922.99</v>
      </c>
      <c r="U143" s="13" t="n">
        <v>350</v>
      </c>
      <c r="V143" s="13" t="n">
        <v>0</v>
      </c>
      <c r="W143" s="13" t="n">
        <f aca="false">U143+V143</f>
        <v>350</v>
      </c>
    </row>
    <row r="144" customFormat="false" ht="15" hidden="false" customHeight="false" outlineLevel="0" collapsed="false">
      <c r="A144" s="14" t="s">
        <v>2576</v>
      </c>
      <c r="B144" s="14" t="s">
        <v>2427</v>
      </c>
      <c r="C144" s="14" t="s">
        <v>1010</v>
      </c>
      <c r="D144" s="14" t="s">
        <v>911</v>
      </c>
      <c r="E144" s="15" t="n">
        <v>525000</v>
      </c>
      <c r="F144" s="15" t="n">
        <v>3376.22</v>
      </c>
      <c r="G144" s="15" t="n">
        <v>422.03</v>
      </c>
      <c r="H144" s="15" t="n">
        <v>422.03</v>
      </c>
      <c r="I144" s="15" t="n">
        <f aca="false">SUM(K144:T144)</f>
        <v>2532.2</v>
      </c>
      <c r="J144" s="15" t="n">
        <f aca="false">F144-(G144+H144+I144)</f>
        <v>-0.0399999999999636</v>
      </c>
      <c r="K144" s="15" t="n">
        <v>253.22</v>
      </c>
      <c r="L144" s="15" t="n">
        <v>253.22</v>
      </c>
      <c r="M144" s="15" t="n">
        <v>253.22</v>
      </c>
      <c r="N144" s="15" t="n">
        <v>253.22</v>
      </c>
      <c r="O144" s="15" t="n">
        <v>253.22</v>
      </c>
      <c r="P144" s="15" t="n">
        <v>253.22</v>
      </c>
      <c r="Q144" s="15" t="n">
        <v>253.22</v>
      </c>
      <c r="R144" s="15" t="n">
        <v>253.22</v>
      </c>
      <c r="S144" s="15" t="n">
        <v>253.22</v>
      </c>
      <c r="T144" s="15" t="n">
        <v>253.22</v>
      </c>
      <c r="U144" s="15" t="n">
        <v>350</v>
      </c>
      <c r="V144" s="15" t="n">
        <v>0</v>
      </c>
      <c r="W144" s="15" t="n">
        <f aca="false">U144+V144</f>
        <v>350</v>
      </c>
    </row>
    <row r="145" customFormat="false" ht="15" hidden="false" customHeight="false" outlineLevel="0" collapsed="false">
      <c r="A145" s="3" t="s">
        <v>2577</v>
      </c>
      <c r="B145" s="3" t="s">
        <v>2467</v>
      </c>
      <c r="C145" s="3" t="s">
        <v>1719</v>
      </c>
      <c r="D145" s="3" t="s">
        <v>430</v>
      </c>
      <c r="E145" s="13" t="n">
        <v>560000</v>
      </c>
      <c r="F145" s="13" t="n">
        <v>6776.12</v>
      </c>
      <c r="G145" s="13" t="n">
        <v>847.01</v>
      </c>
      <c r="H145" s="13" t="n">
        <v>847.01</v>
      </c>
      <c r="I145" s="13" t="n">
        <f aca="false">SUM(K145:T145)</f>
        <v>5082.1</v>
      </c>
      <c r="J145" s="13" t="n">
        <f aca="false">F145-(G145+H145+I145)</f>
        <v>0</v>
      </c>
      <c r="K145" s="13" t="n">
        <v>508.21</v>
      </c>
      <c r="L145" s="13" t="n">
        <v>508.21</v>
      </c>
      <c r="M145" s="13" t="n">
        <v>508.21</v>
      </c>
      <c r="N145" s="13" t="n">
        <v>508.21</v>
      </c>
      <c r="O145" s="13" t="n">
        <v>508.21</v>
      </c>
      <c r="P145" s="13" t="n">
        <v>508.21</v>
      </c>
      <c r="Q145" s="13" t="n">
        <v>508.21</v>
      </c>
      <c r="R145" s="13" t="n">
        <v>508.21</v>
      </c>
      <c r="S145" s="13" t="n">
        <v>508.21</v>
      </c>
      <c r="T145" s="13" t="n">
        <v>508.21</v>
      </c>
      <c r="U145" s="13" t="n">
        <v>350</v>
      </c>
      <c r="V145" s="13" t="n">
        <v>0</v>
      </c>
      <c r="W145" s="13" t="n">
        <f aca="false">U145+V145</f>
        <v>350</v>
      </c>
    </row>
    <row r="146" customFormat="false" ht="15" hidden="false" customHeight="false" outlineLevel="0" collapsed="false">
      <c r="A146" s="14" t="s">
        <v>2578</v>
      </c>
      <c r="B146" s="14" t="s">
        <v>2406</v>
      </c>
      <c r="C146" s="14" t="s">
        <v>1271</v>
      </c>
      <c r="D146" s="14" t="s">
        <v>328</v>
      </c>
      <c r="E146" s="15" t="n">
        <v>730000</v>
      </c>
      <c r="F146" s="15" t="n">
        <v>6394.38</v>
      </c>
      <c r="G146" s="15" t="n">
        <v>799.3</v>
      </c>
      <c r="H146" s="15" t="n">
        <v>799.3</v>
      </c>
      <c r="I146" s="15" t="n">
        <f aca="false">SUM(K146:T146)</f>
        <v>4795.8</v>
      </c>
      <c r="J146" s="15" t="n">
        <f aca="false">F146-(G146+H146+I146)</f>
        <v>-0.0199999999995271</v>
      </c>
      <c r="K146" s="15" t="n">
        <v>479.58</v>
      </c>
      <c r="L146" s="15" t="n">
        <v>479.58</v>
      </c>
      <c r="M146" s="15" t="n">
        <v>479.58</v>
      </c>
      <c r="N146" s="15" t="n">
        <v>479.58</v>
      </c>
      <c r="O146" s="15" t="n">
        <v>479.58</v>
      </c>
      <c r="P146" s="15" t="n">
        <v>479.58</v>
      </c>
      <c r="Q146" s="15" t="n">
        <v>479.58</v>
      </c>
      <c r="R146" s="15" t="n">
        <v>479.58</v>
      </c>
      <c r="S146" s="15" t="n">
        <v>479.58</v>
      </c>
      <c r="T146" s="15" t="n">
        <v>479.58</v>
      </c>
      <c r="U146" s="15" t="n">
        <v>350</v>
      </c>
      <c r="V146" s="15" t="n">
        <v>0</v>
      </c>
      <c r="W146" s="15" t="n">
        <f aca="false">U146+V146</f>
        <v>350</v>
      </c>
    </row>
    <row r="147" customFormat="false" ht="15" hidden="false" customHeight="false" outlineLevel="0" collapsed="false">
      <c r="A147" s="3" t="s">
        <v>2579</v>
      </c>
      <c r="B147" s="3" t="s">
        <v>2473</v>
      </c>
      <c r="C147" s="3" t="s">
        <v>296</v>
      </c>
      <c r="D147" s="3" t="s">
        <v>166</v>
      </c>
      <c r="E147" s="13" t="n">
        <v>730000</v>
      </c>
      <c r="F147" s="13" t="n">
        <v>14670.47</v>
      </c>
      <c r="G147" s="13" t="n">
        <v>1833.81</v>
      </c>
      <c r="H147" s="13" t="n">
        <v>1833.81</v>
      </c>
      <c r="I147" s="13" t="n">
        <f aca="false">SUM(K147:T147)</f>
        <v>11002.9</v>
      </c>
      <c r="J147" s="13" t="n">
        <f aca="false">F147-(G147+H147+I147)</f>
        <v>-0.0500000000010914</v>
      </c>
      <c r="K147" s="13" t="n">
        <v>1100.29</v>
      </c>
      <c r="L147" s="13" t="n">
        <v>1100.29</v>
      </c>
      <c r="M147" s="13" t="n">
        <v>1100.29</v>
      </c>
      <c r="N147" s="13" t="n">
        <v>1100.29</v>
      </c>
      <c r="O147" s="13" t="n">
        <v>1100.29</v>
      </c>
      <c r="P147" s="13" t="n">
        <v>1100.29</v>
      </c>
      <c r="Q147" s="13" t="n">
        <v>1100.29</v>
      </c>
      <c r="R147" s="13" t="n">
        <v>1100.29</v>
      </c>
      <c r="S147" s="13" t="n">
        <v>1100.29</v>
      </c>
      <c r="T147" s="13" t="n">
        <v>1100.29</v>
      </c>
      <c r="U147" s="13" t="n">
        <v>350</v>
      </c>
      <c r="V147" s="13" t="n">
        <v>0</v>
      </c>
      <c r="W147" s="13" t="n">
        <f aca="false">U147+V147</f>
        <v>350</v>
      </c>
    </row>
    <row r="148" customFormat="false" ht="15" hidden="false" customHeight="false" outlineLevel="0" collapsed="false">
      <c r="A148" s="14" t="s">
        <v>2580</v>
      </c>
      <c r="B148" s="14" t="s">
        <v>2495</v>
      </c>
      <c r="C148" s="14" t="s">
        <v>417</v>
      </c>
      <c r="D148" s="14" t="s">
        <v>102</v>
      </c>
      <c r="E148" s="15" t="n">
        <v>245000</v>
      </c>
      <c r="F148" s="15" t="n">
        <v>4061.77</v>
      </c>
      <c r="G148" s="15" t="n">
        <v>507.72</v>
      </c>
      <c r="H148" s="15" t="n">
        <v>507.72</v>
      </c>
      <c r="I148" s="15" t="n">
        <f aca="false">SUM(K148:T148)</f>
        <v>3046.3</v>
      </c>
      <c r="J148" s="15" t="n">
        <f aca="false">F148-(G148+H148+I148)</f>
        <v>0.0299999999997453</v>
      </c>
      <c r="K148" s="15" t="n">
        <v>304.63</v>
      </c>
      <c r="L148" s="15" t="n">
        <v>304.63</v>
      </c>
      <c r="M148" s="15" t="n">
        <v>304.63</v>
      </c>
      <c r="N148" s="15" t="n">
        <v>304.63</v>
      </c>
      <c r="O148" s="15" t="n">
        <v>304.63</v>
      </c>
      <c r="P148" s="15" t="n">
        <v>304.63</v>
      </c>
      <c r="Q148" s="15" t="n">
        <v>304.63</v>
      </c>
      <c r="R148" s="15" t="n">
        <v>304.63</v>
      </c>
      <c r="S148" s="15" t="n">
        <v>304.63</v>
      </c>
      <c r="T148" s="15" t="n">
        <v>304.63</v>
      </c>
      <c r="U148" s="15" t="n">
        <v>350</v>
      </c>
      <c r="V148" s="15" t="n">
        <v>0</v>
      </c>
      <c r="W148" s="15" t="n">
        <f aca="false">U148+V148</f>
        <v>350</v>
      </c>
    </row>
    <row r="149" customFormat="false" ht="15" hidden="false" customHeight="false" outlineLevel="0" collapsed="false">
      <c r="A149" s="3" t="s">
        <v>2581</v>
      </c>
      <c r="B149" s="3" t="s">
        <v>2447</v>
      </c>
      <c r="C149" s="3" t="s">
        <v>1232</v>
      </c>
      <c r="D149" s="3" t="s">
        <v>89</v>
      </c>
      <c r="E149" s="13" t="n">
        <v>330000</v>
      </c>
      <c r="F149" s="13" t="n">
        <v>5235.68</v>
      </c>
      <c r="G149" s="13" t="n">
        <v>654.46</v>
      </c>
      <c r="H149" s="13" t="n">
        <v>654.46</v>
      </c>
      <c r="I149" s="13" t="n">
        <f aca="false">SUM(K149:T149)</f>
        <v>3926.8</v>
      </c>
      <c r="J149" s="13" t="n">
        <f aca="false">F149-(G149+H149+I149)</f>
        <v>-0.0399999999990541</v>
      </c>
      <c r="K149" s="13" t="n">
        <v>392.68</v>
      </c>
      <c r="L149" s="13" t="n">
        <v>392.68</v>
      </c>
      <c r="M149" s="13" t="n">
        <v>392.68</v>
      </c>
      <c r="N149" s="13" t="n">
        <v>392.68</v>
      </c>
      <c r="O149" s="13" t="n">
        <v>392.68</v>
      </c>
      <c r="P149" s="13" t="n">
        <v>392.68</v>
      </c>
      <c r="Q149" s="13" t="n">
        <v>392.68</v>
      </c>
      <c r="R149" s="13" t="n">
        <v>392.68</v>
      </c>
      <c r="S149" s="13" t="n">
        <v>392.68</v>
      </c>
      <c r="T149" s="13" t="n">
        <v>392.68</v>
      </c>
      <c r="U149" s="13" t="n">
        <v>350</v>
      </c>
      <c r="V149" s="13" t="n">
        <v>0</v>
      </c>
      <c r="W149" s="13" t="n">
        <f aca="false">U149+V149</f>
        <v>350</v>
      </c>
    </row>
    <row r="150" customFormat="false" ht="15" hidden="false" customHeight="false" outlineLevel="0" collapsed="false">
      <c r="A150" s="14" t="s">
        <v>2582</v>
      </c>
      <c r="B150" s="14" t="s">
        <v>2416</v>
      </c>
      <c r="C150" s="14" t="s">
        <v>788</v>
      </c>
      <c r="D150" s="14" t="s">
        <v>251</v>
      </c>
      <c r="E150" s="15" t="n">
        <v>1040000</v>
      </c>
      <c r="F150" s="15" t="n">
        <v>14601.76</v>
      </c>
      <c r="G150" s="15" t="n">
        <v>1825.22</v>
      </c>
      <c r="H150" s="15" t="n">
        <v>1825.22</v>
      </c>
      <c r="I150" s="15" t="n">
        <f aca="false">SUM(K150:T150)</f>
        <v>10951.3</v>
      </c>
      <c r="J150" s="15" t="n">
        <f aca="false">F150-(G150+H150+I150)</f>
        <v>0.0199999999967986</v>
      </c>
      <c r="K150" s="15" t="n">
        <v>1095.13</v>
      </c>
      <c r="L150" s="15" t="n">
        <v>1095.13</v>
      </c>
      <c r="M150" s="15" t="n">
        <v>1095.13</v>
      </c>
      <c r="N150" s="15" t="n">
        <v>1095.13</v>
      </c>
      <c r="O150" s="15" t="n">
        <v>1095.13</v>
      </c>
      <c r="P150" s="15" t="n">
        <v>1095.13</v>
      </c>
      <c r="Q150" s="15" t="n">
        <v>1095.13</v>
      </c>
      <c r="R150" s="15" t="n">
        <v>1095.13</v>
      </c>
      <c r="S150" s="15" t="n">
        <v>1095.13</v>
      </c>
      <c r="T150" s="15" t="n">
        <v>1095.13</v>
      </c>
      <c r="U150" s="15" t="n">
        <v>350</v>
      </c>
      <c r="V150" s="15" t="n">
        <v>250</v>
      </c>
      <c r="W150" s="15" t="n">
        <f aca="false">U150+V150</f>
        <v>600</v>
      </c>
    </row>
    <row r="151" customFormat="false" ht="15" hidden="false" customHeight="false" outlineLevel="0" collapsed="false">
      <c r="A151" s="3" t="s">
        <v>2583</v>
      </c>
      <c r="B151" s="3" t="s">
        <v>2445</v>
      </c>
      <c r="C151" s="3" t="s">
        <v>1432</v>
      </c>
      <c r="D151" s="3" t="s">
        <v>279</v>
      </c>
      <c r="E151" s="13" t="n">
        <v>360000</v>
      </c>
      <c r="F151" s="13" t="n">
        <v>3850.07</v>
      </c>
      <c r="G151" s="13" t="n">
        <v>481.26</v>
      </c>
      <c r="H151" s="13" t="n">
        <v>481.26</v>
      </c>
      <c r="I151" s="13" t="n">
        <f aca="false">SUM(K151:T151)</f>
        <v>2887.6</v>
      </c>
      <c r="J151" s="13" t="n">
        <f aca="false">F151-(G151+H151+I151)</f>
        <v>-0.0500000000001819</v>
      </c>
      <c r="K151" s="13" t="n">
        <v>288.76</v>
      </c>
      <c r="L151" s="13" t="n">
        <v>288.76</v>
      </c>
      <c r="M151" s="13" t="n">
        <v>288.76</v>
      </c>
      <c r="N151" s="13" t="n">
        <v>288.76</v>
      </c>
      <c r="O151" s="13" t="n">
        <v>288.76</v>
      </c>
      <c r="P151" s="13" t="n">
        <v>288.76</v>
      </c>
      <c r="Q151" s="13" t="n">
        <v>288.76</v>
      </c>
      <c r="R151" s="13" t="n">
        <v>288.76</v>
      </c>
      <c r="S151" s="13" t="n">
        <v>288.76</v>
      </c>
      <c r="T151" s="13" t="n">
        <v>288.76</v>
      </c>
      <c r="U151" s="13" t="n">
        <v>350</v>
      </c>
      <c r="V151" s="13" t="n">
        <v>0</v>
      </c>
      <c r="W151" s="13" t="n">
        <f aca="false">U151+V151</f>
        <v>350</v>
      </c>
    </row>
    <row r="152" customFormat="false" ht="15" hidden="false" customHeight="false" outlineLevel="0" collapsed="false">
      <c r="A152" s="14" t="s">
        <v>2584</v>
      </c>
      <c r="B152" s="14" t="s">
        <v>2406</v>
      </c>
      <c r="C152" s="14" t="s">
        <v>2184</v>
      </c>
      <c r="D152" s="14" t="s">
        <v>99</v>
      </c>
      <c r="E152" s="15" t="n">
        <v>305000</v>
      </c>
      <c r="F152" s="15" t="n">
        <v>7474.82</v>
      </c>
      <c r="G152" s="15" t="n">
        <v>934.35</v>
      </c>
      <c r="H152" s="15" t="n">
        <v>934.35</v>
      </c>
      <c r="I152" s="15" t="n">
        <f aca="false">SUM(K152:T152)</f>
        <v>5606.1</v>
      </c>
      <c r="J152" s="15" t="n">
        <f aca="false">F152-(G152+H152+I152)</f>
        <v>0.0200000000004366</v>
      </c>
      <c r="K152" s="15" t="n">
        <v>560.61</v>
      </c>
      <c r="L152" s="15" t="n">
        <v>560.61</v>
      </c>
      <c r="M152" s="15" t="n">
        <v>560.61</v>
      </c>
      <c r="N152" s="15" t="n">
        <v>560.61</v>
      </c>
      <c r="O152" s="15" t="n">
        <v>560.61</v>
      </c>
      <c r="P152" s="15" t="n">
        <v>560.61</v>
      </c>
      <c r="Q152" s="15" t="n">
        <v>560.61</v>
      </c>
      <c r="R152" s="15" t="n">
        <v>560.61</v>
      </c>
      <c r="S152" s="15" t="n">
        <v>560.61</v>
      </c>
      <c r="T152" s="15" t="n">
        <v>560.61</v>
      </c>
      <c r="U152" s="15" t="n">
        <v>350</v>
      </c>
      <c r="V152" s="15" t="n">
        <v>0</v>
      </c>
      <c r="W152" s="15" t="n">
        <f aca="false">U152+V152</f>
        <v>350</v>
      </c>
    </row>
    <row r="153" customFormat="false" ht="15" hidden="false" customHeight="false" outlineLevel="0" collapsed="false">
      <c r="A153" s="3" t="s">
        <v>2585</v>
      </c>
      <c r="B153" s="3" t="s">
        <v>2445</v>
      </c>
      <c r="C153" s="3" t="s">
        <v>727</v>
      </c>
      <c r="D153" s="3" t="s">
        <v>352</v>
      </c>
      <c r="E153" s="13" t="n">
        <v>1120000</v>
      </c>
      <c r="F153" s="13" t="n">
        <v>10907.44</v>
      </c>
      <c r="G153" s="13" t="n">
        <v>1363.43</v>
      </c>
      <c r="H153" s="13" t="n">
        <v>1363.43</v>
      </c>
      <c r="I153" s="13" t="n">
        <f aca="false">SUM(K153:T153)</f>
        <v>8180.6</v>
      </c>
      <c r="J153" s="13" t="n">
        <f aca="false">F153-(G153+H153+I153)</f>
        <v>-0.0199999999986176</v>
      </c>
      <c r="K153" s="13" t="n">
        <v>818.06</v>
      </c>
      <c r="L153" s="13" t="n">
        <v>818.06</v>
      </c>
      <c r="M153" s="13" t="n">
        <v>818.06</v>
      </c>
      <c r="N153" s="13" t="n">
        <v>818.06</v>
      </c>
      <c r="O153" s="13" t="n">
        <v>818.06</v>
      </c>
      <c r="P153" s="13" t="n">
        <v>818.06</v>
      </c>
      <c r="Q153" s="13" t="n">
        <v>818.06</v>
      </c>
      <c r="R153" s="13" t="n">
        <v>818.06</v>
      </c>
      <c r="S153" s="13" t="n">
        <v>818.06</v>
      </c>
      <c r="T153" s="13" t="n">
        <v>818.06</v>
      </c>
      <c r="U153" s="13" t="n">
        <v>350</v>
      </c>
      <c r="V153" s="13" t="n">
        <v>250</v>
      </c>
      <c r="W153" s="13" t="n">
        <f aca="false">U153+V153</f>
        <v>600</v>
      </c>
    </row>
    <row r="154" customFormat="false" ht="15" hidden="false" customHeight="false" outlineLevel="0" collapsed="false">
      <c r="A154" s="14" t="s">
        <v>2586</v>
      </c>
      <c r="B154" s="14" t="s">
        <v>2427</v>
      </c>
      <c r="C154" s="14" t="s">
        <v>2114</v>
      </c>
      <c r="D154" s="14" t="s">
        <v>256</v>
      </c>
      <c r="E154" s="15" t="n">
        <v>895000</v>
      </c>
      <c r="F154" s="15" t="n">
        <v>12124.16</v>
      </c>
      <c r="G154" s="15" t="n">
        <v>1515.52</v>
      </c>
      <c r="H154" s="15" t="n">
        <v>1515.52</v>
      </c>
      <c r="I154" s="15" t="n">
        <f aca="false">SUM(K154:T154)</f>
        <v>9093.1</v>
      </c>
      <c r="J154" s="15" t="n">
        <f aca="false">F154-(G154+H154+I154)</f>
        <v>0.0200000000004366</v>
      </c>
      <c r="K154" s="15" t="n">
        <v>909.31</v>
      </c>
      <c r="L154" s="15" t="n">
        <v>909.31</v>
      </c>
      <c r="M154" s="15" t="n">
        <v>909.31</v>
      </c>
      <c r="N154" s="15" t="n">
        <v>909.31</v>
      </c>
      <c r="O154" s="15" t="n">
        <v>909.31</v>
      </c>
      <c r="P154" s="15" t="n">
        <v>909.31</v>
      </c>
      <c r="Q154" s="15" t="n">
        <v>909.31</v>
      </c>
      <c r="R154" s="15" t="n">
        <v>909.31</v>
      </c>
      <c r="S154" s="15" t="n">
        <v>909.31</v>
      </c>
      <c r="T154" s="15" t="n">
        <v>909.31</v>
      </c>
      <c r="U154" s="15" t="n">
        <v>350</v>
      </c>
      <c r="V154" s="15" t="n">
        <v>0</v>
      </c>
      <c r="W154" s="15" t="n">
        <f aca="false">U154+V154</f>
        <v>350</v>
      </c>
    </row>
    <row r="155" customFormat="false" ht="15" hidden="false" customHeight="false" outlineLevel="0" collapsed="false">
      <c r="A155" s="3" t="s">
        <v>2587</v>
      </c>
      <c r="B155" s="3" t="s">
        <v>2511</v>
      </c>
      <c r="C155" s="3" t="s">
        <v>1210</v>
      </c>
      <c r="D155" s="3" t="s">
        <v>153</v>
      </c>
      <c r="E155" s="13" t="n">
        <v>175000</v>
      </c>
      <c r="F155" s="13" t="n">
        <v>3910.4</v>
      </c>
      <c r="G155" s="13" t="n">
        <v>488.8</v>
      </c>
      <c r="H155" s="13" t="n">
        <v>488.8</v>
      </c>
      <c r="I155" s="13" t="n">
        <f aca="false">SUM(K155:T155)</f>
        <v>2932.8</v>
      </c>
      <c r="J155" s="13" t="n">
        <f aca="false">F155-(G155+H155+I155)</f>
        <v>0</v>
      </c>
      <c r="K155" s="13" t="n">
        <v>293.28</v>
      </c>
      <c r="L155" s="13" t="n">
        <v>293.28</v>
      </c>
      <c r="M155" s="13" t="n">
        <v>293.28</v>
      </c>
      <c r="N155" s="13" t="n">
        <v>293.28</v>
      </c>
      <c r="O155" s="13" t="n">
        <v>293.28</v>
      </c>
      <c r="P155" s="13" t="n">
        <v>293.28</v>
      </c>
      <c r="Q155" s="13" t="n">
        <v>293.28</v>
      </c>
      <c r="R155" s="13" t="n">
        <v>293.28</v>
      </c>
      <c r="S155" s="13" t="n">
        <v>293.28</v>
      </c>
      <c r="T155" s="13" t="n">
        <v>293.28</v>
      </c>
      <c r="U155" s="13" t="n">
        <v>350</v>
      </c>
      <c r="V155" s="13" t="n">
        <v>0</v>
      </c>
      <c r="W155" s="13" t="n">
        <f aca="false">U155+V155</f>
        <v>350</v>
      </c>
    </row>
    <row r="156" customFormat="false" ht="15" hidden="false" customHeight="false" outlineLevel="0" collapsed="false">
      <c r="A156" s="14" t="s">
        <v>2588</v>
      </c>
      <c r="B156" s="14" t="s">
        <v>2445</v>
      </c>
      <c r="C156" s="14" t="s">
        <v>221</v>
      </c>
      <c r="D156" s="14" t="s">
        <v>153</v>
      </c>
      <c r="E156" s="15" t="n">
        <v>1635000</v>
      </c>
      <c r="F156" s="15" t="n">
        <v>21841.17</v>
      </c>
      <c r="G156" s="15" t="n">
        <v>2730.15</v>
      </c>
      <c r="H156" s="15" t="n">
        <v>2730.15</v>
      </c>
      <c r="I156" s="15" t="n">
        <f aca="false">SUM(K156:T156)</f>
        <v>16380.9</v>
      </c>
      <c r="J156" s="15" t="n">
        <f aca="false">F156-(G156+H156+I156)</f>
        <v>-0.0300000000024738</v>
      </c>
      <c r="K156" s="15" t="n">
        <v>1638.09</v>
      </c>
      <c r="L156" s="15" t="n">
        <v>1638.09</v>
      </c>
      <c r="M156" s="15" t="n">
        <v>1638.09</v>
      </c>
      <c r="N156" s="15" t="n">
        <v>1638.09</v>
      </c>
      <c r="O156" s="15" t="n">
        <v>1638.09</v>
      </c>
      <c r="P156" s="15" t="n">
        <v>1638.09</v>
      </c>
      <c r="Q156" s="15" t="n">
        <v>1638.09</v>
      </c>
      <c r="R156" s="15" t="n">
        <v>1638.09</v>
      </c>
      <c r="S156" s="15" t="n">
        <v>1638.09</v>
      </c>
      <c r="T156" s="15" t="n">
        <v>1638.09</v>
      </c>
      <c r="U156" s="15" t="n">
        <v>350</v>
      </c>
      <c r="V156" s="15" t="n">
        <v>250</v>
      </c>
      <c r="W156" s="15" t="n">
        <f aca="false">U156+V156</f>
        <v>600</v>
      </c>
    </row>
    <row r="157" customFormat="false" ht="15" hidden="false" customHeight="false" outlineLevel="0" collapsed="false">
      <c r="A157" s="3" t="s">
        <v>2589</v>
      </c>
      <c r="B157" s="3" t="s">
        <v>2445</v>
      </c>
      <c r="C157" s="3" t="s">
        <v>179</v>
      </c>
      <c r="D157" s="3" t="s">
        <v>279</v>
      </c>
      <c r="E157" s="13" t="n">
        <v>430000</v>
      </c>
      <c r="F157" s="13" t="n">
        <v>7051.34</v>
      </c>
      <c r="G157" s="13" t="n">
        <v>881.42</v>
      </c>
      <c r="H157" s="13" t="n">
        <v>881.42</v>
      </c>
      <c r="I157" s="13" t="n">
        <f aca="false">SUM(K157:T157)</f>
        <v>5288.5</v>
      </c>
      <c r="J157" s="13" t="n">
        <f aca="false">F157-(G157+H157+I157)</f>
        <v>0</v>
      </c>
      <c r="K157" s="13" t="n">
        <v>528.85</v>
      </c>
      <c r="L157" s="13" t="n">
        <v>528.85</v>
      </c>
      <c r="M157" s="13" t="n">
        <v>528.85</v>
      </c>
      <c r="N157" s="13" t="n">
        <v>528.85</v>
      </c>
      <c r="O157" s="13" t="n">
        <v>528.85</v>
      </c>
      <c r="P157" s="13" t="n">
        <v>528.85</v>
      </c>
      <c r="Q157" s="13" t="n">
        <v>528.85</v>
      </c>
      <c r="R157" s="13" t="n">
        <v>528.85</v>
      </c>
      <c r="S157" s="13" t="n">
        <v>528.85</v>
      </c>
      <c r="T157" s="13" t="n">
        <v>528.85</v>
      </c>
      <c r="U157" s="13" t="n">
        <v>350</v>
      </c>
      <c r="V157" s="13" t="n">
        <v>0</v>
      </c>
      <c r="W157" s="13" t="n">
        <f aca="false">U157+V157</f>
        <v>350</v>
      </c>
    </row>
    <row r="158" customFormat="false" ht="15" hidden="false" customHeight="false" outlineLevel="0" collapsed="false">
      <c r="A158" s="14" t="s">
        <v>2590</v>
      </c>
      <c r="B158" s="14" t="s">
        <v>2414</v>
      </c>
      <c r="C158" s="14" t="s">
        <v>281</v>
      </c>
      <c r="D158" s="14" t="s">
        <v>163</v>
      </c>
      <c r="E158" s="15" t="n">
        <v>1205000</v>
      </c>
      <c r="F158" s="15" t="n">
        <v>15407.81</v>
      </c>
      <c r="G158" s="15" t="n">
        <v>1925.98</v>
      </c>
      <c r="H158" s="15" t="n">
        <v>1925.98</v>
      </c>
      <c r="I158" s="15" t="n">
        <f aca="false">SUM(K158:T158)</f>
        <v>11555.9</v>
      </c>
      <c r="J158" s="15" t="n">
        <f aca="false">F158-(G158+H158+I158)</f>
        <v>-0.0500000000010914</v>
      </c>
      <c r="K158" s="15" t="n">
        <v>1155.59</v>
      </c>
      <c r="L158" s="15" t="n">
        <v>1155.59</v>
      </c>
      <c r="M158" s="15" t="n">
        <v>1155.59</v>
      </c>
      <c r="N158" s="15" t="n">
        <v>1155.59</v>
      </c>
      <c r="O158" s="15" t="n">
        <v>1155.59</v>
      </c>
      <c r="P158" s="15" t="n">
        <v>1155.59</v>
      </c>
      <c r="Q158" s="15" t="n">
        <v>1155.59</v>
      </c>
      <c r="R158" s="15" t="n">
        <v>1155.59</v>
      </c>
      <c r="S158" s="15" t="n">
        <v>1155.59</v>
      </c>
      <c r="T158" s="15" t="n">
        <v>1155.59</v>
      </c>
      <c r="U158" s="15" t="n">
        <v>350</v>
      </c>
      <c r="V158" s="15" t="n">
        <v>250</v>
      </c>
      <c r="W158" s="15" t="n">
        <f aca="false">U158+V158</f>
        <v>600</v>
      </c>
    </row>
    <row r="159" customFormat="false" ht="15" hidden="false" customHeight="false" outlineLevel="0" collapsed="false">
      <c r="A159" s="3" t="s">
        <v>2591</v>
      </c>
      <c r="B159" s="3" t="s">
        <v>2406</v>
      </c>
      <c r="C159" s="3" t="s">
        <v>1271</v>
      </c>
      <c r="D159" s="3" t="s">
        <v>325</v>
      </c>
      <c r="E159" s="13" t="n">
        <v>875000</v>
      </c>
      <c r="F159" s="13" t="n">
        <v>12298.84</v>
      </c>
      <c r="G159" s="13" t="n">
        <v>1537.36</v>
      </c>
      <c r="H159" s="13" t="n">
        <v>1537.36</v>
      </c>
      <c r="I159" s="13" t="n">
        <f aca="false">SUM(K159:T159)</f>
        <v>9224.1</v>
      </c>
      <c r="J159" s="13" t="n">
        <f aca="false">F159-(G159+H159+I159)</f>
        <v>0.0200000000004366</v>
      </c>
      <c r="K159" s="13" t="n">
        <v>922.41</v>
      </c>
      <c r="L159" s="13" t="n">
        <v>922.41</v>
      </c>
      <c r="M159" s="13" t="n">
        <v>922.41</v>
      </c>
      <c r="N159" s="13" t="n">
        <v>922.41</v>
      </c>
      <c r="O159" s="13" t="n">
        <v>922.41</v>
      </c>
      <c r="P159" s="13" t="n">
        <v>922.41</v>
      </c>
      <c r="Q159" s="13" t="n">
        <v>922.41</v>
      </c>
      <c r="R159" s="13" t="n">
        <v>922.41</v>
      </c>
      <c r="S159" s="13" t="n">
        <v>922.41</v>
      </c>
      <c r="T159" s="13" t="n">
        <v>922.41</v>
      </c>
      <c r="U159" s="13" t="n">
        <v>350</v>
      </c>
      <c r="V159" s="13" t="n">
        <v>0</v>
      </c>
      <c r="W159" s="13" t="n">
        <f aca="false">U159+V159</f>
        <v>350</v>
      </c>
    </row>
    <row r="160" customFormat="false" ht="15" hidden="false" customHeight="false" outlineLevel="0" collapsed="false">
      <c r="A160" s="14" t="s">
        <v>2592</v>
      </c>
      <c r="B160" s="14" t="s">
        <v>2441</v>
      </c>
      <c r="C160" s="14" t="s">
        <v>681</v>
      </c>
      <c r="D160" s="14" t="s">
        <v>246</v>
      </c>
      <c r="E160" s="15" t="n">
        <v>620000</v>
      </c>
      <c r="F160" s="15" t="n">
        <v>7577.92</v>
      </c>
      <c r="G160" s="15" t="n">
        <v>947.24</v>
      </c>
      <c r="H160" s="15" t="n">
        <v>947.24</v>
      </c>
      <c r="I160" s="15" t="n">
        <f aca="false">SUM(K160:T160)</f>
        <v>5683.4</v>
      </c>
      <c r="J160" s="15" t="n">
        <f aca="false">F160-(G160+H160+I160)</f>
        <v>0.0399999999990541</v>
      </c>
      <c r="K160" s="15" t="n">
        <v>568.34</v>
      </c>
      <c r="L160" s="15" t="n">
        <v>568.34</v>
      </c>
      <c r="M160" s="15" t="n">
        <v>568.34</v>
      </c>
      <c r="N160" s="15" t="n">
        <v>568.34</v>
      </c>
      <c r="O160" s="15" t="n">
        <v>568.34</v>
      </c>
      <c r="P160" s="15" t="n">
        <v>568.34</v>
      </c>
      <c r="Q160" s="15" t="n">
        <v>568.34</v>
      </c>
      <c r="R160" s="15" t="n">
        <v>568.34</v>
      </c>
      <c r="S160" s="15" t="n">
        <v>568.34</v>
      </c>
      <c r="T160" s="15" t="n">
        <v>568.34</v>
      </c>
      <c r="U160" s="15" t="n">
        <v>350</v>
      </c>
      <c r="V160" s="15" t="n">
        <v>0</v>
      </c>
      <c r="W160" s="15" t="n">
        <f aca="false">U160+V160</f>
        <v>350</v>
      </c>
    </row>
    <row r="161" customFormat="false" ht="15" hidden="false" customHeight="false" outlineLevel="0" collapsed="false">
      <c r="A161" s="3" t="s">
        <v>2593</v>
      </c>
      <c r="B161" s="3" t="s">
        <v>2406</v>
      </c>
      <c r="C161" s="3" t="s">
        <v>1239</v>
      </c>
      <c r="D161" s="3" t="s">
        <v>180</v>
      </c>
      <c r="E161" s="13" t="n">
        <v>1120000</v>
      </c>
      <c r="F161" s="13" t="n">
        <v>14440.29</v>
      </c>
      <c r="G161" s="13" t="n">
        <v>1805.04</v>
      </c>
      <c r="H161" s="13" t="n">
        <v>1805.04</v>
      </c>
      <c r="I161" s="13" t="n">
        <f aca="false">SUM(K161:T161)</f>
        <v>10830.2</v>
      </c>
      <c r="J161" s="13" t="n">
        <f aca="false">F161-(G161+H161+I161)</f>
        <v>0.0100000000002183</v>
      </c>
      <c r="K161" s="13" t="n">
        <v>1083.02</v>
      </c>
      <c r="L161" s="13" t="n">
        <v>1083.02</v>
      </c>
      <c r="M161" s="13" t="n">
        <v>1083.02</v>
      </c>
      <c r="N161" s="13" t="n">
        <v>1083.02</v>
      </c>
      <c r="O161" s="13" t="n">
        <v>1083.02</v>
      </c>
      <c r="P161" s="13" t="n">
        <v>1083.02</v>
      </c>
      <c r="Q161" s="13" t="n">
        <v>1083.02</v>
      </c>
      <c r="R161" s="13" t="n">
        <v>1083.02</v>
      </c>
      <c r="S161" s="13" t="n">
        <v>1083.02</v>
      </c>
      <c r="T161" s="13" t="n">
        <v>1083.02</v>
      </c>
      <c r="U161" s="13" t="n">
        <v>350</v>
      </c>
      <c r="V161" s="13" t="n">
        <v>250</v>
      </c>
      <c r="W161" s="13" t="n">
        <f aca="false">U161+V161</f>
        <v>600</v>
      </c>
    </row>
    <row r="162" customFormat="false" ht="15" hidden="false" customHeight="false" outlineLevel="0" collapsed="false">
      <c r="A162" s="14" t="s">
        <v>2594</v>
      </c>
      <c r="B162" s="14" t="s">
        <v>2445</v>
      </c>
      <c r="C162" s="14" t="s">
        <v>1738</v>
      </c>
      <c r="D162" s="14" t="s">
        <v>163</v>
      </c>
      <c r="E162" s="15" t="n">
        <v>1345000</v>
      </c>
      <c r="F162" s="15" t="n">
        <v>11823.58</v>
      </c>
      <c r="G162" s="15" t="n">
        <v>1477.95</v>
      </c>
      <c r="H162" s="15" t="n">
        <v>1477.95</v>
      </c>
      <c r="I162" s="15" t="n">
        <f aca="false">SUM(K162:T162)</f>
        <v>8867.7</v>
      </c>
      <c r="J162" s="15" t="n">
        <f aca="false">F162-(G162+H162+I162)</f>
        <v>-0.0200000000004366</v>
      </c>
      <c r="K162" s="15" t="n">
        <v>886.77</v>
      </c>
      <c r="L162" s="15" t="n">
        <v>886.77</v>
      </c>
      <c r="M162" s="15" t="n">
        <v>886.77</v>
      </c>
      <c r="N162" s="15" t="n">
        <v>886.77</v>
      </c>
      <c r="O162" s="15" t="n">
        <v>886.77</v>
      </c>
      <c r="P162" s="15" t="n">
        <v>886.77</v>
      </c>
      <c r="Q162" s="15" t="n">
        <v>886.77</v>
      </c>
      <c r="R162" s="15" t="n">
        <v>886.77</v>
      </c>
      <c r="S162" s="15" t="n">
        <v>886.77</v>
      </c>
      <c r="T162" s="15" t="n">
        <v>886.77</v>
      </c>
      <c r="U162" s="15" t="n">
        <v>350</v>
      </c>
      <c r="V162" s="15" t="n">
        <v>250</v>
      </c>
      <c r="W162" s="15" t="n">
        <f aca="false">U162+V162</f>
        <v>600</v>
      </c>
    </row>
    <row r="163" customFormat="false" ht="15" hidden="false" customHeight="false" outlineLevel="0" collapsed="false">
      <c r="A163" s="3" t="s">
        <v>2595</v>
      </c>
      <c r="B163" s="3" t="s">
        <v>2425</v>
      </c>
      <c r="C163" s="3" t="s">
        <v>616</v>
      </c>
      <c r="D163" s="3" t="s">
        <v>298</v>
      </c>
      <c r="E163" s="13" t="n">
        <v>645000</v>
      </c>
      <c r="F163" s="13" t="n">
        <v>4839.25</v>
      </c>
      <c r="G163" s="13" t="n">
        <v>604.91</v>
      </c>
      <c r="H163" s="13" t="n">
        <v>604.91</v>
      </c>
      <c r="I163" s="13" t="n">
        <f aca="false">SUM(K163:T163)</f>
        <v>3629.4</v>
      </c>
      <c r="J163" s="13" t="n">
        <f aca="false">F163-(G163+H163+I163)</f>
        <v>0.0299999999997453</v>
      </c>
      <c r="K163" s="13" t="n">
        <v>362.94</v>
      </c>
      <c r="L163" s="13" t="n">
        <v>362.94</v>
      </c>
      <c r="M163" s="13" t="n">
        <v>362.94</v>
      </c>
      <c r="N163" s="13" t="n">
        <v>362.94</v>
      </c>
      <c r="O163" s="13" t="n">
        <v>362.94</v>
      </c>
      <c r="P163" s="13" t="n">
        <v>362.94</v>
      </c>
      <c r="Q163" s="13" t="n">
        <v>362.94</v>
      </c>
      <c r="R163" s="13" t="n">
        <v>362.94</v>
      </c>
      <c r="S163" s="13" t="n">
        <v>362.94</v>
      </c>
      <c r="T163" s="13" t="n">
        <v>362.94</v>
      </c>
      <c r="U163" s="13" t="n">
        <v>350</v>
      </c>
      <c r="V163" s="13" t="n">
        <v>0</v>
      </c>
      <c r="W163" s="13" t="n">
        <f aca="false">U163+V163</f>
        <v>350</v>
      </c>
    </row>
    <row r="164" customFormat="false" ht="15" hidden="false" customHeight="false" outlineLevel="0" collapsed="false">
      <c r="A164" s="14" t="s">
        <v>2596</v>
      </c>
      <c r="B164" s="14" t="s">
        <v>2412</v>
      </c>
      <c r="C164" s="14" t="s">
        <v>421</v>
      </c>
      <c r="D164" s="14" t="s">
        <v>279</v>
      </c>
      <c r="E164" s="15" t="n">
        <v>665000</v>
      </c>
      <c r="F164" s="15" t="n">
        <v>4077.51</v>
      </c>
      <c r="G164" s="15" t="n">
        <v>509.69</v>
      </c>
      <c r="H164" s="15" t="n">
        <v>509.69</v>
      </c>
      <c r="I164" s="15" t="n">
        <f aca="false">SUM(K164:T164)</f>
        <v>3058.1</v>
      </c>
      <c r="J164" s="15" t="n">
        <f aca="false">F164-(G164+H164+I164)</f>
        <v>0.0300000000002001</v>
      </c>
      <c r="K164" s="15" t="n">
        <v>305.81</v>
      </c>
      <c r="L164" s="15" t="n">
        <v>305.81</v>
      </c>
      <c r="M164" s="15" t="n">
        <v>305.81</v>
      </c>
      <c r="N164" s="15" t="n">
        <v>305.81</v>
      </c>
      <c r="O164" s="15" t="n">
        <v>305.81</v>
      </c>
      <c r="P164" s="15" t="n">
        <v>305.81</v>
      </c>
      <c r="Q164" s="15" t="n">
        <v>305.81</v>
      </c>
      <c r="R164" s="15" t="n">
        <v>305.81</v>
      </c>
      <c r="S164" s="15" t="n">
        <v>305.81</v>
      </c>
      <c r="T164" s="15" t="n">
        <v>305.81</v>
      </c>
      <c r="U164" s="15" t="n">
        <v>350</v>
      </c>
      <c r="V164" s="15" t="n">
        <v>0</v>
      </c>
      <c r="W164" s="15" t="n">
        <f aca="false">U164+V164</f>
        <v>350</v>
      </c>
    </row>
    <row r="165" customFormat="false" ht="15" hidden="false" customHeight="false" outlineLevel="0" collapsed="false">
      <c r="A165" s="3" t="s">
        <v>2597</v>
      </c>
      <c r="B165" s="3" t="s">
        <v>2443</v>
      </c>
      <c r="C165" s="3" t="s">
        <v>710</v>
      </c>
      <c r="D165" s="3" t="s">
        <v>77</v>
      </c>
      <c r="E165" s="13" t="n">
        <v>300000</v>
      </c>
      <c r="F165" s="13" t="n">
        <v>4477.65</v>
      </c>
      <c r="G165" s="13" t="n">
        <v>559.71</v>
      </c>
      <c r="H165" s="13" t="n">
        <v>559.71</v>
      </c>
      <c r="I165" s="13" t="n">
        <f aca="false">SUM(K165:T165)</f>
        <v>3358.2</v>
      </c>
      <c r="J165" s="13" t="n">
        <f aca="false">F165-(G165+H165+I165)</f>
        <v>0.0299999999988358</v>
      </c>
      <c r="K165" s="13" t="n">
        <v>335.82</v>
      </c>
      <c r="L165" s="13" t="n">
        <v>335.82</v>
      </c>
      <c r="M165" s="13" t="n">
        <v>335.82</v>
      </c>
      <c r="N165" s="13" t="n">
        <v>335.82</v>
      </c>
      <c r="O165" s="13" t="n">
        <v>335.82</v>
      </c>
      <c r="P165" s="13" t="n">
        <v>335.82</v>
      </c>
      <c r="Q165" s="13" t="n">
        <v>335.82</v>
      </c>
      <c r="R165" s="13" t="n">
        <v>335.82</v>
      </c>
      <c r="S165" s="13" t="n">
        <v>335.82</v>
      </c>
      <c r="T165" s="13" t="n">
        <v>335.82</v>
      </c>
      <c r="U165" s="13" t="n">
        <v>350</v>
      </c>
      <c r="V165" s="13" t="n">
        <v>0</v>
      </c>
      <c r="W165" s="13" t="n">
        <f aca="false">U165+V165</f>
        <v>350</v>
      </c>
    </row>
    <row r="166" customFormat="false" ht="15" hidden="false" customHeight="false" outlineLevel="0" collapsed="false">
      <c r="A166" s="14" t="s">
        <v>2598</v>
      </c>
      <c r="B166" s="14" t="s">
        <v>2486</v>
      </c>
      <c r="C166" s="14" t="s">
        <v>495</v>
      </c>
      <c r="D166" s="14" t="s">
        <v>193</v>
      </c>
      <c r="E166" s="15" t="n">
        <v>385000</v>
      </c>
      <c r="F166" s="15" t="n">
        <v>5655.82</v>
      </c>
      <c r="G166" s="15" t="n">
        <v>706.98</v>
      </c>
      <c r="H166" s="15" t="n">
        <v>706.98</v>
      </c>
      <c r="I166" s="15" t="n">
        <f aca="false">SUM(K166:T166)</f>
        <v>4241.9</v>
      </c>
      <c r="J166" s="15" t="n">
        <f aca="false">F166-(G166+H166+I166)</f>
        <v>-0.0399999999999636</v>
      </c>
      <c r="K166" s="15" t="n">
        <v>424.19</v>
      </c>
      <c r="L166" s="15" t="n">
        <v>424.19</v>
      </c>
      <c r="M166" s="15" t="n">
        <v>424.19</v>
      </c>
      <c r="N166" s="15" t="n">
        <v>424.19</v>
      </c>
      <c r="O166" s="15" t="n">
        <v>424.19</v>
      </c>
      <c r="P166" s="15" t="n">
        <v>424.19</v>
      </c>
      <c r="Q166" s="15" t="n">
        <v>424.19</v>
      </c>
      <c r="R166" s="15" t="n">
        <v>424.19</v>
      </c>
      <c r="S166" s="15" t="n">
        <v>424.19</v>
      </c>
      <c r="T166" s="15" t="n">
        <v>424.19</v>
      </c>
      <c r="U166" s="15" t="n">
        <v>350</v>
      </c>
      <c r="V166" s="15" t="n">
        <v>0</v>
      </c>
      <c r="W166" s="15" t="n">
        <f aca="false">U166+V166</f>
        <v>350</v>
      </c>
    </row>
    <row r="167" customFormat="false" ht="15" hidden="false" customHeight="false" outlineLevel="0" collapsed="false">
      <c r="A167" s="3" t="s">
        <v>2599</v>
      </c>
      <c r="B167" s="3" t="s">
        <v>2473</v>
      </c>
      <c r="C167" s="3" t="s">
        <v>580</v>
      </c>
      <c r="D167" s="3" t="s">
        <v>85</v>
      </c>
      <c r="E167" s="13" t="n">
        <v>205000</v>
      </c>
      <c r="F167" s="13" t="n">
        <v>4107.9</v>
      </c>
      <c r="G167" s="13" t="n">
        <v>513.49</v>
      </c>
      <c r="H167" s="13" t="n">
        <v>513.49</v>
      </c>
      <c r="I167" s="13" t="n">
        <f aca="false">SUM(K167:T167)</f>
        <v>3080.9</v>
      </c>
      <c r="J167" s="13" t="n">
        <f aca="false">F167-(G167+H167+I167)</f>
        <v>0.0199999999995271</v>
      </c>
      <c r="K167" s="13" t="n">
        <v>308.09</v>
      </c>
      <c r="L167" s="13" t="n">
        <v>308.09</v>
      </c>
      <c r="M167" s="13" t="n">
        <v>308.09</v>
      </c>
      <c r="N167" s="13" t="n">
        <v>308.09</v>
      </c>
      <c r="O167" s="13" t="n">
        <v>308.09</v>
      </c>
      <c r="P167" s="13" t="n">
        <v>308.09</v>
      </c>
      <c r="Q167" s="13" t="n">
        <v>308.09</v>
      </c>
      <c r="R167" s="13" t="n">
        <v>308.09</v>
      </c>
      <c r="S167" s="13" t="n">
        <v>308.09</v>
      </c>
      <c r="T167" s="13" t="n">
        <v>308.09</v>
      </c>
      <c r="U167" s="13" t="n">
        <v>350</v>
      </c>
      <c r="V167" s="13" t="n">
        <v>0</v>
      </c>
      <c r="W167" s="13" t="n">
        <f aca="false">U167+V167</f>
        <v>350</v>
      </c>
    </row>
    <row r="168" customFormat="false" ht="15" hidden="false" customHeight="false" outlineLevel="0" collapsed="false">
      <c r="A168" s="14" t="s">
        <v>2600</v>
      </c>
      <c r="B168" s="14" t="s">
        <v>2421</v>
      </c>
      <c r="C168" s="14" t="s">
        <v>456</v>
      </c>
      <c r="D168" s="14" t="s">
        <v>153</v>
      </c>
      <c r="E168" s="15" t="n">
        <v>640000</v>
      </c>
      <c r="F168" s="15" t="n">
        <v>14767.23</v>
      </c>
      <c r="G168" s="15" t="n">
        <v>1845.9</v>
      </c>
      <c r="H168" s="15" t="n">
        <v>1845.9</v>
      </c>
      <c r="I168" s="15" t="n">
        <f aca="false">SUM(K168:T168)</f>
        <v>11075.4</v>
      </c>
      <c r="J168" s="15" t="n">
        <f aca="false">F168-(G168+H168+I168)</f>
        <v>0.0299999999988358</v>
      </c>
      <c r="K168" s="15" t="n">
        <v>1107.54</v>
      </c>
      <c r="L168" s="15" t="n">
        <v>1107.54</v>
      </c>
      <c r="M168" s="15" t="n">
        <v>1107.54</v>
      </c>
      <c r="N168" s="15" t="n">
        <v>1107.54</v>
      </c>
      <c r="O168" s="15" t="n">
        <v>1107.54</v>
      </c>
      <c r="P168" s="15" t="n">
        <v>1107.54</v>
      </c>
      <c r="Q168" s="15" t="n">
        <v>1107.54</v>
      </c>
      <c r="R168" s="15" t="n">
        <v>1107.54</v>
      </c>
      <c r="S168" s="15" t="n">
        <v>1107.54</v>
      </c>
      <c r="T168" s="15" t="n">
        <v>1107.54</v>
      </c>
      <c r="U168" s="15" t="n">
        <v>350</v>
      </c>
      <c r="V168" s="15" t="n">
        <v>0</v>
      </c>
      <c r="W168" s="15" t="n">
        <f aca="false">U168+V168</f>
        <v>350</v>
      </c>
    </row>
    <row r="169" customFormat="false" ht="15" hidden="false" customHeight="false" outlineLevel="0" collapsed="false">
      <c r="A169" s="3" t="s">
        <v>2601</v>
      </c>
      <c r="B169" s="3" t="s">
        <v>2451</v>
      </c>
      <c r="C169" s="3" t="s">
        <v>414</v>
      </c>
      <c r="D169" s="3" t="s">
        <v>157</v>
      </c>
      <c r="E169" s="13" t="n">
        <v>215000</v>
      </c>
      <c r="F169" s="13" t="n">
        <v>2726.88</v>
      </c>
      <c r="G169" s="13" t="n">
        <v>340.86</v>
      </c>
      <c r="H169" s="13" t="n">
        <v>340.86</v>
      </c>
      <c r="I169" s="13" t="n">
        <f aca="false">SUM(K169:T169)</f>
        <v>2045.2</v>
      </c>
      <c r="J169" s="13" t="n">
        <f aca="false">F169-(G169+H169+I169)</f>
        <v>-0.0399999999999636</v>
      </c>
      <c r="K169" s="13" t="n">
        <v>204.52</v>
      </c>
      <c r="L169" s="13" t="n">
        <v>204.52</v>
      </c>
      <c r="M169" s="13" t="n">
        <v>204.52</v>
      </c>
      <c r="N169" s="13" t="n">
        <v>204.52</v>
      </c>
      <c r="O169" s="13" t="n">
        <v>204.52</v>
      </c>
      <c r="P169" s="13" t="n">
        <v>204.52</v>
      </c>
      <c r="Q169" s="13" t="n">
        <v>204.52</v>
      </c>
      <c r="R169" s="13" t="n">
        <v>204.52</v>
      </c>
      <c r="S169" s="13" t="n">
        <v>204.52</v>
      </c>
      <c r="T169" s="13" t="n">
        <v>204.52</v>
      </c>
      <c r="U169" s="13" t="n">
        <v>350</v>
      </c>
      <c r="V169" s="13" t="n">
        <v>0</v>
      </c>
      <c r="W169" s="13" t="n">
        <f aca="false">U169+V169</f>
        <v>350</v>
      </c>
    </row>
    <row r="170" customFormat="false" ht="15" hidden="false" customHeight="false" outlineLevel="0" collapsed="false">
      <c r="A170" s="14" t="s">
        <v>2602</v>
      </c>
      <c r="B170" s="14" t="s">
        <v>2467</v>
      </c>
      <c r="C170" s="14" t="s">
        <v>1004</v>
      </c>
      <c r="D170" s="14" t="s">
        <v>279</v>
      </c>
      <c r="E170" s="15" t="n">
        <v>1010000</v>
      </c>
      <c r="F170" s="15" t="n">
        <v>4896.72</v>
      </c>
      <c r="G170" s="15" t="n">
        <v>612.09</v>
      </c>
      <c r="H170" s="15" t="n">
        <v>612.09</v>
      </c>
      <c r="I170" s="15" t="n">
        <f aca="false">SUM(K170:T170)</f>
        <v>3672.5</v>
      </c>
      <c r="J170" s="15" t="n">
        <f aca="false">F170-(G170+H170+I170)</f>
        <v>0.0399999999999636</v>
      </c>
      <c r="K170" s="15" t="n">
        <v>367.25</v>
      </c>
      <c r="L170" s="15" t="n">
        <v>367.25</v>
      </c>
      <c r="M170" s="15" t="n">
        <v>367.25</v>
      </c>
      <c r="N170" s="15" t="n">
        <v>367.25</v>
      </c>
      <c r="O170" s="15" t="n">
        <v>367.25</v>
      </c>
      <c r="P170" s="15" t="n">
        <v>367.25</v>
      </c>
      <c r="Q170" s="15" t="n">
        <v>367.25</v>
      </c>
      <c r="R170" s="15" t="n">
        <v>367.25</v>
      </c>
      <c r="S170" s="15" t="n">
        <v>367.25</v>
      </c>
      <c r="T170" s="15" t="n">
        <v>367.25</v>
      </c>
      <c r="U170" s="15" t="n">
        <v>350</v>
      </c>
      <c r="V170" s="15" t="n">
        <v>250</v>
      </c>
      <c r="W170" s="15" t="n">
        <f aca="false">U170+V170</f>
        <v>600</v>
      </c>
    </row>
    <row r="171" customFormat="false" ht="15" hidden="false" customHeight="false" outlineLevel="0" collapsed="false">
      <c r="A171" s="3" t="s">
        <v>2603</v>
      </c>
      <c r="B171" s="3" t="s">
        <v>2421</v>
      </c>
      <c r="C171" s="3" t="s">
        <v>2604</v>
      </c>
      <c r="D171" s="3" t="s">
        <v>256</v>
      </c>
      <c r="E171" s="13" t="n">
        <v>1045000</v>
      </c>
      <c r="F171" s="13" t="n">
        <v>14809.51</v>
      </c>
      <c r="G171" s="13" t="n">
        <v>1851.19</v>
      </c>
      <c r="H171" s="13" t="n">
        <v>1851.19</v>
      </c>
      <c r="I171" s="13" t="n">
        <f aca="false">SUM(K171:T171)</f>
        <v>11107.1</v>
      </c>
      <c r="J171" s="13" t="n">
        <f aca="false">F171-(G171+H171+I171)</f>
        <v>0.0300000000006548</v>
      </c>
      <c r="K171" s="13" t="n">
        <v>1110.71</v>
      </c>
      <c r="L171" s="13" t="n">
        <v>1110.71</v>
      </c>
      <c r="M171" s="13" t="n">
        <v>1110.71</v>
      </c>
      <c r="N171" s="13" t="n">
        <v>1110.71</v>
      </c>
      <c r="O171" s="13" t="n">
        <v>1110.71</v>
      </c>
      <c r="P171" s="13" t="n">
        <v>1110.71</v>
      </c>
      <c r="Q171" s="13" t="n">
        <v>1110.71</v>
      </c>
      <c r="R171" s="13" t="n">
        <v>1110.71</v>
      </c>
      <c r="S171" s="13" t="n">
        <v>1110.71</v>
      </c>
      <c r="T171" s="13" t="n">
        <v>1110.71</v>
      </c>
      <c r="U171" s="13" t="n">
        <v>350</v>
      </c>
      <c r="V171" s="13" t="n">
        <v>250</v>
      </c>
      <c r="W171" s="13" t="n">
        <f aca="false">U171+V171</f>
        <v>600</v>
      </c>
    </row>
    <row r="172" customFormat="false" ht="15" hidden="false" customHeight="false" outlineLevel="0" collapsed="false">
      <c r="A172" s="14" t="s">
        <v>2605</v>
      </c>
      <c r="B172" s="14" t="s">
        <v>2414</v>
      </c>
      <c r="C172" s="14" t="s">
        <v>1682</v>
      </c>
      <c r="D172" s="14" t="s">
        <v>312</v>
      </c>
      <c r="E172" s="15" t="n">
        <v>860000</v>
      </c>
      <c r="F172" s="15" t="n">
        <v>9722.96</v>
      </c>
      <c r="G172" s="15" t="n">
        <v>1215.37</v>
      </c>
      <c r="H172" s="15" t="n">
        <v>1215.37</v>
      </c>
      <c r="I172" s="15" t="n">
        <f aca="false">SUM(K172:T172)</f>
        <v>7292.2</v>
      </c>
      <c r="J172" s="15" t="n">
        <f aca="false">F172-(G172+H172+I172)</f>
        <v>0.0199999999986176</v>
      </c>
      <c r="K172" s="15" t="n">
        <v>729.22</v>
      </c>
      <c r="L172" s="15" t="n">
        <v>729.22</v>
      </c>
      <c r="M172" s="15" t="n">
        <v>729.22</v>
      </c>
      <c r="N172" s="15" t="n">
        <v>729.22</v>
      </c>
      <c r="O172" s="15" t="n">
        <v>729.22</v>
      </c>
      <c r="P172" s="15" t="n">
        <v>729.22</v>
      </c>
      <c r="Q172" s="15" t="n">
        <v>729.22</v>
      </c>
      <c r="R172" s="15" t="n">
        <v>729.22</v>
      </c>
      <c r="S172" s="15" t="n">
        <v>729.22</v>
      </c>
      <c r="T172" s="15" t="n">
        <v>729.22</v>
      </c>
      <c r="U172" s="15" t="n">
        <v>350</v>
      </c>
      <c r="V172" s="15" t="n">
        <v>0</v>
      </c>
      <c r="W172" s="15" t="n">
        <f aca="false">U172+V172</f>
        <v>350</v>
      </c>
    </row>
    <row r="173" customFormat="false" ht="15" hidden="false" customHeight="false" outlineLevel="0" collapsed="false">
      <c r="A173" s="3" t="s">
        <v>2606</v>
      </c>
      <c r="B173" s="3" t="s">
        <v>2445</v>
      </c>
      <c r="C173" s="3" t="s">
        <v>2376</v>
      </c>
      <c r="D173" s="3" t="s">
        <v>312</v>
      </c>
      <c r="E173" s="13" t="n">
        <v>1440000</v>
      </c>
      <c r="F173" s="13" t="n">
        <v>20037.3</v>
      </c>
      <c r="G173" s="13" t="n">
        <v>2504.66</v>
      </c>
      <c r="H173" s="13" t="n">
        <v>2504.66</v>
      </c>
      <c r="I173" s="13" t="n">
        <f aca="false">SUM(K173:T173)</f>
        <v>15028</v>
      </c>
      <c r="J173" s="13" t="n">
        <f aca="false">F173-(G173+H173+I173)</f>
        <v>-0.0200000000004366</v>
      </c>
      <c r="K173" s="13" t="n">
        <v>1502.8</v>
      </c>
      <c r="L173" s="13" t="n">
        <v>1502.8</v>
      </c>
      <c r="M173" s="13" t="n">
        <v>1502.8</v>
      </c>
      <c r="N173" s="13" t="n">
        <v>1502.8</v>
      </c>
      <c r="O173" s="13" t="n">
        <v>1502.8</v>
      </c>
      <c r="P173" s="13" t="n">
        <v>1502.8</v>
      </c>
      <c r="Q173" s="13" t="n">
        <v>1502.8</v>
      </c>
      <c r="R173" s="13" t="n">
        <v>1502.8</v>
      </c>
      <c r="S173" s="13" t="n">
        <v>1502.8</v>
      </c>
      <c r="T173" s="13" t="n">
        <v>1502.8</v>
      </c>
      <c r="U173" s="13" t="n">
        <v>350</v>
      </c>
      <c r="V173" s="13" t="n">
        <v>250</v>
      </c>
      <c r="W173" s="13" t="n">
        <f aca="false">U173+V173</f>
        <v>600</v>
      </c>
    </row>
    <row r="174" customFormat="false" ht="15" hidden="false" customHeight="false" outlineLevel="0" collapsed="false">
      <c r="A174" s="14" t="s">
        <v>2607</v>
      </c>
      <c r="B174" s="14" t="s">
        <v>2486</v>
      </c>
      <c r="C174" s="14" t="s">
        <v>2536</v>
      </c>
      <c r="D174" s="14" t="s">
        <v>102</v>
      </c>
      <c r="E174" s="15" t="n">
        <v>375000</v>
      </c>
      <c r="F174" s="15" t="n">
        <v>7771.25</v>
      </c>
      <c r="G174" s="15" t="n">
        <v>971.41</v>
      </c>
      <c r="H174" s="15" t="n">
        <v>971.41</v>
      </c>
      <c r="I174" s="15" t="n">
        <f aca="false">SUM(K174:T174)</f>
        <v>5828.4</v>
      </c>
      <c r="J174" s="15" t="n">
        <f aca="false">F174-(G174+H174+I174)</f>
        <v>0.0299999999997453</v>
      </c>
      <c r="K174" s="15" t="n">
        <v>582.84</v>
      </c>
      <c r="L174" s="15" t="n">
        <v>582.84</v>
      </c>
      <c r="M174" s="15" t="n">
        <v>582.84</v>
      </c>
      <c r="N174" s="15" t="n">
        <v>582.84</v>
      </c>
      <c r="O174" s="15" t="n">
        <v>582.84</v>
      </c>
      <c r="P174" s="15" t="n">
        <v>582.84</v>
      </c>
      <c r="Q174" s="15" t="n">
        <v>582.84</v>
      </c>
      <c r="R174" s="15" t="n">
        <v>582.84</v>
      </c>
      <c r="S174" s="15" t="n">
        <v>582.84</v>
      </c>
      <c r="T174" s="15" t="n">
        <v>582.84</v>
      </c>
      <c r="U174" s="15" t="n">
        <v>350</v>
      </c>
      <c r="V174" s="15" t="n">
        <v>0</v>
      </c>
      <c r="W174" s="15" t="n">
        <f aca="false">U174+V174</f>
        <v>350</v>
      </c>
    </row>
    <row r="175" customFormat="false" ht="15" hidden="false" customHeight="false" outlineLevel="0" collapsed="false">
      <c r="A175" s="3" t="s">
        <v>2608</v>
      </c>
      <c r="B175" s="3" t="s">
        <v>2456</v>
      </c>
      <c r="C175" s="3" t="s">
        <v>2609</v>
      </c>
      <c r="D175" s="3" t="s">
        <v>99</v>
      </c>
      <c r="E175" s="13" t="n">
        <v>505000</v>
      </c>
      <c r="F175" s="13" t="n">
        <v>6995.32</v>
      </c>
      <c r="G175" s="13" t="n">
        <v>874.41</v>
      </c>
      <c r="H175" s="13" t="n">
        <v>874.41</v>
      </c>
      <c r="I175" s="13" t="n">
        <f aca="false">SUM(K175:T175)</f>
        <v>5246.5</v>
      </c>
      <c r="J175" s="13" t="n">
        <f aca="false">F175-(G175+H175+I175)</f>
        <v>0</v>
      </c>
      <c r="K175" s="13" t="n">
        <v>524.65</v>
      </c>
      <c r="L175" s="13" t="n">
        <v>524.65</v>
      </c>
      <c r="M175" s="13" t="n">
        <v>524.65</v>
      </c>
      <c r="N175" s="13" t="n">
        <v>524.65</v>
      </c>
      <c r="O175" s="13" t="n">
        <v>524.65</v>
      </c>
      <c r="P175" s="13" t="n">
        <v>524.65</v>
      </c>
      <c r="Q175" s="13" t="n">
        <v>524.65</v>
      </c>
      <c r="R175" s="13" t="n">
        <v>524.65</v>
      </c>
      <c r="S175" s="13" t="n">
        <v>524.65</v>
      </c>
      <c r="T175" s="13" t="n">
        <v>524.65</v>
      </c>
      <c r="U175" s="13" t="n">
        <v>350</v>
      </c>
      <c r="V175" s="13" t="n">
        <v>0</v>
      </c>
      <c r="W175" s="13" t="n">
        <f aca="false">U175+V175</f>
        <v>350</v>
      </c>
    </row>
    <row r="176" customFormat="false" ht="15" hidden="false" customHeight="false" outlineLevel="0" collapsed="false">
      <c r="A176" s="14" t="s">
        <v>2610</v>
      </c>
      <c r="B176" s="14" t="s">
        <v>2404</v>
      </c>
      <c r="C176" s="14" t="s">
        <v>2114</v>
      </c>
      <c r="D176" s="14" t="s">
        <v>147</v>
      </c>
      <c r="E176" s="15" t="n">
        <v>445000</v>
      </c>
      <c r="F176" s="15" t="n">
        <v>5595.88</v>
      </c>
      <c r="G176" s="15" t="n">
        <v>699.49</v>
      </c>
      <c r="H176" s="15" t="n">
        <v>699.49</v>
      </c>
      <c r="I176" s="15" t="n">
        <f aca="false">SUM(K176:T176)</f>
        <v>4196.9</v>
      </c>
      <c r="J176" s="15" t="n">
        <f aca="false">F176-(G176+H176+I176)</f>
        <v>0</v>
      </c>
      <c r="K176" s="15" t="n">
        <v>419.69</v>
      </c>
      <c r="L176" s="15" t="n">
        <v>419.69</v>
      </c>
      <c r="M176" s="15" t="n">
        <v>419.69</v>
      </c>
      <c r="N176" s="15" t="n">
        <v>419.69</v>
      </c>
      <c r="O176" s="15" t="n">
        <v>419.69</v>
      </c>
      <c r="P176" s="15" t="n">
        <v>419.69</v>
      </c>
      <c r="Q176" s="15" t="n">
        <v>419.69</v>
      </c>
      <c r="R176" s="15" t="n">
        <v>419.69</v>
      </c>
      <c r="S176" s="15" t="n">
        <v>419.69</v>
      </c>
      <c r="T176" s="15" t="n">
        <v>419.69</v>
      </c>
      <c r="U176" s="15" t="n">
        <v>350</v>
      </c>
      <c r="V176" s="15" t="n">
        <v>0</v>
      </c>
      <c r="W176" s="15" t="n">
        <f aca="false">U176+V176</f>
        <v>350</v>
      </c>
    </row>
    <row r="177" customFormat="false" ht="15" hidden="false" customHeight="false" outlineLevel="0" collapsed="false">
      <c r="A177" s="3" t="s">
        <v>2611</v>
      </c>
      <c r="B177" s="3" t="s">
        <v>2530</v>
      </c>
      <c r="C177" s="3" t="s">
        <v>1492</v>
      </c>
      <c r="D177" s="3" t="s">
        <v>193</v>
      </c>
      <c r="E177" s="13" t="n">
        <v>625000</v>
      </c>
      <c r="F177" s="13" t="n">
        <v>7957.33</v>
      </c>
      <c r="G177" s="13" t="n">
        <v>994.67</v>
      </c>
      <c r="H177" s="13" t="n">
        <v>994.67</v>
      </c>
      <c r="I177" s="13" t="n">
        <f aca="false">SUM(K177:T177)</f>
        <v>5968</v>
      </c>
      <c r="J177" s="13" t="n">
        <f aca="false">F177-(G177+H177+I177)</f>
        <v>-0.0100000000002183</v>
      </c>
      <c r="K177" s="13" t="n">
        <v>596.8</v>
      </c>
      <c r="L177" s="13" t="n">
        <v>596.8</v>
      </c>
      <c r="M177" s="13" t="n">
        <v>596.8</v>
      </c>
      <c r="N177" s="13" t="n">
        <v>596.8</v>
      </c>
      <c r="O177" s="13" t="n">
        <v>596.8</v>
      </c>
      <c r="P177" s="13" t="n">
        <v>596.8</v>
      </c>
      <c r="Q177" s="13" t="n">
        <v>596.8</v>
      </c>
      <c r="R177" s="13" t="n">
        <v>596.8</v>
      </c>
      <c r="S177" s="13" t="n">
        <v>596.8</v>
      </c>
      <c r="T177" s="13" t="n">
        <v>596.8</v>
      </c>
      <c r="U177" s="13" t="n">
        <v>350</v>
      </c>
      <c r="V177" s="13" t="n">
        <v>0</v>
      </c>
      <c r="W177" s="13" t="n">
        <f aca="false">U177+V177</f>
        <v>350</v>
      </c>
    </row>
    <row r="178" customFormat="false" ht="15" hidden="false" customHeight="false" outlineLevel="0" collapsed="false">
      <c r="A178" s="14" t="s">
        <v>2612</v>
      </c>
      <c r="B178" s="14" t="s">
        <v>2421</v>
      </c>
      <c r="C178" s="14" t="s">
        <v>1325</v>
      </c>
      <c r="D178" s="14" t="s">
        <v>93</v>
      </c>
      <c r="E178" s="15" t="n">
        <v>1200000</v>
      </c>
      <c r="F178" s="15" t="n">
        <v>16366.8</v>
      </c>
      <c r="G178" s="15" t="n">
        <v>2045.85</v>
      </c>
      <c r="H178" s="15" t="n">
        <v>2045.85</v>
      </c>
      <c r="I178" s="15" t="n">
        <f aca="false">SUM(K178:T178)</f>
        <v>12275.1</v>
      </c>
      <c r="J178" s="15" t="n">
        <f aca="false">F178-(G178+H178+I178)</f>
        <v>0</v>
      </c>
      <c r="K178" s="15" t="n">
        <v>1227.51</v>
      </c>
      <c r="L178" s="15" t="n">
        <v>1227.51</v>
      </c>
      <c r="M178" s="15" t="n">
        <v>1227.51</v>
      </c>
      <c r="N178" s="15" t="n">
        <v>1227.51</v>
      </c>
      <c r="O178" s="15" t="n">
        <v>1227.51</v>
      </c>
      <c r="P178" s="15" t="n">
        <v>1227.51</v>
      </c>
      <c r="Q178" s="15" t="n">
        <v>1227.51</v>
      </c>
      <c r="R178" s="15" t="n">
        <v>1227.51</v>
      </c>
      <c r="S178" s="15" t="n">
        <v>1227.51</v>
      </c>
      <c r="T178" s="15" t="n">
        <v>1227.51</v>
      </c>
      <c r="U178" s="15" t="n">
        <v>350</v>
      </c>
      <c r="V178" s="15" t="n">
        <v>250</v>
      </c>
      <c r="W178" s="15" t="n">
        <f aca="false">U178+V178</f>
        <v>600</v>
      </c>
    </row>
    <row r="179" customFormat="false" ht="15" hidden="false" customHeight="false" outlineLevel="0" collapsed="false">
      <c r="A179" s="3" t="s">
        <v>2613</v>
      </c>
      <c r="B179" s="3" t="s">
        <v>2421</v>
      </c>
      <c r="C179" s="3" t="s">
        <v>587</v>
      </c>
      <c r="D179" s="3" t="s">
        <v>448</v>
      </c>
      <c r="E179" s="13" t="n">
        <v>465000</v>
      </c>
      <c r="F179" s="13" t="n">
        <v>6796.81</v>
      </c>
      <c r="G179" s="13" t="n">
        <v>849.6</v>
      </c>
      <c r="H179" s="13" t="n">
        <v>849.6</v>
      </c>
      <c r="I179" s="13" t="n">
        <f aca="false">SUM(K179:T179)</f>
        <v>5097.6</v>
      </c>
      <c r="J179" s="13" t="n">
        <f aca="false">F179-(G179+H179+I179)</f>
        <v>0.0100000000002183</v>
      </c>
      <c r="K179" s="13" t="n">
        <v>509.76</v>
      </c>
      <c r="L179" s="13" t="n">
        <v>509.76</v>
      </c>
      <c r="M179" s="13" t="n">
        <v>509.76</v>
      </c>
      <c r="N179" s="13" t="n">
        <v>509.76</v>
      </c>
      <c r="O179" s="13" t="n">
        <v>509.76</v>
      </c>
      <c r="P179" s="13" t="n">
        <v>509.76</v>
      </c>
      <c r="Q179" s="13" t="n">
        <v>509.76</v>
      </c>
      <c r="R179" s="13" t="n">
        <v>509.76</v>
      </c>
      <c r="S179" s="13" t="n">
        <v>509.76</v>
      </c>
      <c r="T179" s="13" t="n">
        <v>509.76</v>
      </c>
      <c r="U179" s="13" t="n">
        <v>350</v>
      </c>
      <c r="V179" s="13" t="n">
        <v>0</v>
      </c>
      <c r="W179" s="13" t="n">
        <f aca="false">U179+V179</f>
        <v>350</v>
      </c>
    </row>
    <row r="180" customFormat="false" ht="15" hidden="false" customHeight="false" outlineLevel="0" collapsed="false">
      <c r="A180" s="14" t="s">
        <v>2614</v>
      </c>
      <c r="B180" s="14" t="s">
        <v>2486</v>
      </c>
      <c r="C180" s="14" t="s">
        <v>243</v>
      </c>
      <c r="D180" s="14" t="s">
        <v>180</v>
      </c>
      <c r="E180" s="15" t="n">
        <v>1445000</v>
      </c>
      <c r="F180" s="15" t="n">
        <v>21918.31</v>
      </c>
      <c r="G180" s="15" t="n">
        <v>2739.79</v>
      </c>
      <c r="H180" s="15" t="n">
        <v>2739.79</v>
      </c>
      <c r="I180" s="15" t="n">
        <f aca="false">SUM(K180:T180)</f>
        <v>16438.7</v>
      </c>
      <c r="J180" s="15" t="n">
        <f aca="false">F180-(G180+H180+I180)</f>
        <v>0.0300000000024738</v>
      </c>
      <c r="K180" s="15" t="n">
        <v>1643.87</v>
      </c>
      <c r="L180" s="15" t="n">
        <v>1643.87</v>
      </c>
      <c r="M180" s="15" t="n">
        <v>1643.87</v>
      </c>
      <c r="N180" s="15" t="n">
        <v>1643.87</v>
      </c>
      <c r="O180" s="15" t="n">
        <v>1643.87</v>
      </c>
      <c r="P180" s="15" t="n">
        <v>1643.87</v>
      </c>
      <c r="Q180" s="15" t="n">
        <v>1643.87</v>
      </c>
      <c r="R180" s="15" t="n">
        <v>1643.87</v>
      </c>
      <c r="S180" s="15" t="n">
        <v>1643.87</v>
      </c>
      <c r="T180" s="15" t="n">
        <v>1643.87</v>
      </c>
      <c r="U180" s="15" t="n">
        <v>350</v>
      </c>
      <c r="V180" s="15" t="n">
        <v>250</v>
      </c>
      <c r="W180" s="15" t="n">
        <f aca="false">U180+V180</f>
        <v>600</v>
      </c>
    </row>
    <row r="181" customFormat="false" ht="15" hidden="false" customHeight="false" outlineLevel="0" collapsed="false">
      <c r="A181" s="3" t="s">
        <v>2615</v>
      </c>
      <c r="B181" s="3" t="s">
        <v>2447</v>
      </c>
      <c r="C181" s="3" t="s">
        <v>1791</v>
      </c>
      <c r="D181" s="3" t="s">
        <v>328</v>
      </c>
      <c r="E181" s="13" t="n">
        <v>645000</v>
      </c>
      <c r="F181" s="13" t="n">
        <v>8540.44</v>
      </c>
      <c r="G181" s="13" t="n">
        <v>1067.56</v>
      </c>
      <c r="H181" s="13" t="n">
        <v>1067.56</v>
      </c>
      <c r="I181" s="13" t="n">
        <f aca="false">SUM(K181:T181)</f>
        <v>6405.3</v>
      </c>
      <c r="J181" s="13" t="n">
        <f aca="false">F181-(G181+H181+I181)</f>
        <v>0.0200000000022555</v>
      </c>
      <c r="K181" s="13" t="n">
        <v>640.53</v>
      </c>
      <c r="L181" s="13" t="n">
        <v>640.53</v>
      </c>
      <c r="M181" s="13" t="n">
        <v>640.53</v>
      </c>
      <c r="N181" s="13" t="n">
        <v>640.53</v>
      </c>
      <c r="O181" s="13" t="n">
        <v>640.53</v>
      </c>
      <c r="P181" s="13" t="n">
        <v>640.53</v>
      </c>
      <c r="Q181" s="13" t="n">
        <v>640.53</v>
      </c>
      <c r="R181" s="13" t="n">
        <v>640.53</v>
      </c>
      <c r="S181" s="13" t="n">
        <v>640.53</v>
      </c>
      <c r="T181" s="13" t="n">
        <v>640.53</v>
      </c>
      <c r="U181" s="13" t="n">
        <v>350</v>
      </c>
      <c r="V181" s="13" t="n">
        <v>0</v>
      </c>
      <c r="W181" s="13" t="n">
        <f aca="false">U181+V181</f>
        <v>350</v>
      </c>
    </row>
    <row r="182" customFormat="false" ht="15" hidden="false" customHeight="false" outlineLevel="0" collapsed="false">
      <c r="A182" s="14" t="s">
        <v>2616</v>
      </c>
      <c r="B182" s="14" t="s">
        <v>2443</v>
      </c>
      <c r="C182" s="14" t="s">
        <v>2536</v>
      </c>
      <c r="D182" s="14" t="s">
        <v>325</v>
      </c>
      <c r="E182" s="15" t="n">
        <v>410000</v>
      </c>
      <c r="F182" s="15" t="n">
        <v>6649.48</v>
      </c>
      <c r="G182" s="15" t="n">
        <v>831.18</v>
      </c>
      <c r="H182" s="15" t="n">
        <v>831.18</v>
      </c>
      <c r="I182" s="15" t="n">
        <f aca="false">SUM(K182:T182)</f>
        <v>4987.1</v>
      </c>
      <c r="J182" s="15" t="n">
        <f aca="false">F182-(G182+H182+I182)</f>
        <v>0.0200000000004366</v>
      </c>
      <c r="K182" s="15" t="n">
        <v>498.71</v>
      </c>
      <c r="L182" s="15" t="n">
        <v>498.71</v>
      </c>
      <c r="M182" s="15" t="n">
        <v>498.71</v>
      </c>
      <c r="N182" s="15" t="n">
        <v>498.71</v>
      </c>
      <c r="O182" s="15" t="n">
        <v>498.71</v>
      </c>
      <c r="P182" s="15" t="n">
        <v>498.71</v>
      </c>
      <c r="Q182" s="15" t="n">
        <v>498.71</v>
      </c>
      <c r="R182" s="15" t="n">
        <v>498.71</v>
      </c>
      <c r="S182" s="15" t="n">
        <v>498.71</v>
      </c>
      <c r="T182" s="15" t="n">
        <v>498.71</v>
      </c>
      <c r="U182" s="15" t="n">
        <v>350</v>
      </c>
      <c r="V182" s="15" t="n">
        <v>0</v>
      </c>
      <c r="W182" s="15" t="n">
        <f aca="false">U182+V182</f>
        <v>350</v>
      </c>
    </row>
    <row r="183" customFormat="false" ht="15" hidden="false" customHeight="false" outlineLevel="0" collapsed="false">
      <c r="A183" s="3" t="s">
        <v>2617</v>
      </c>
      <c r="B183" s="3" t="s">
        <v>2431</v>
      </c>
      <c r="C183" s="3" t="s">
        <v>1603</v>
      </c>
      <c r="D183" s="3" t="s">
        <v>406</v>
      </c>
      <c r="E183" s="13" t="n">
        <v>810000</v>
      </c>
      <c r="F183" s="13" t="n">
        <v>7672.64</v>
      </c>
      <c r="G183" s="13" t="n">
        <v>959.08</v>
      </c>
      <c r="H183" s="13" t="n">
        <v>959.08</v>
      </c>
      <c r="I183" s="13" t="n">
        <f aca="false">SUM(K183:T183)</f>
        <v>5754.5</v>
      </c>
      <c r="J183" s="13" t="n">
        <f aca="false">F183-(G183+H183+I183)</f>
        <v>-0.0199999999995271</v>
      </c>
      <c r="K183" s="13" t="n">
        <v>575.45</v>
      </c>
      <c r="L183" s="13" t="n">
        <v>575.45</v>
      </c>
      <c r="M183" s="13" t="n">
        <v>575.45</v>
      </c>
      <c r="N183" s="13" t="n">
        <v>575.45</v>
      </c>
      <c r="O183" s="13" t="n">
        <v>575.45</v>
      </c>
      <c r="P183" s="13" t="n">
        <v>575.45</v>
      </c>
      <c r="Q183" s="13" t="n">
        <v>575.45</v>
      </c>
      <c r="R183" s="13" t="n">
        <v>575.45</v>
      </c>
      <c r="S183" s="13" t="n">
        <v>575.45</v>
      </c>
      <c r="T183" s="13" t="n">
        <v>575.45</v>
      </c>
      <c r="U183" s="13" t="n">
        <v>350</v>
      </c>
      <c r="V183" s="13" t="n">
        <v>0</v>
      </c>
      <c r="W183" s="13" t="n">
        <f aca="false">U183+V183</f>
        <v>350</v>
      </c>
    </row>
    <row r="184" customFormat="false" ht="15" hidden="false" customHeight="false" outlineLevel="0" collapsed="false">
      <c r="A184" s="14" t="s">
        <v>2618</v>
      </c>
      <c r="B184" s="14" t="s">
        <v>2495</v>
      </c>
      <c r="C184" s="14" t="s">
        <v>376</v>
      </c>
      <c r="D184" s="14" t="s">
        <v>279</v>
      </c>
      <c r="E184" s="15" t="n">
        <v>1950000</v>
      </c>
      <c r="F184" s="15" t="n">
        <v>22244.87</v>
      </c>
      <c r="G184" s="15" t="n">
        <v>2780.61</v>
      </c>
      <c r="H184" s="15" t="n">
        <v>2780.61</v>
      </c>
      <c r="I184" s="15" t="n">
        <f aca="false">SUM(K184:T184)</f>
        <v>16683.7</v>
      </c>
      <c r="J184" s="15" t="n">
        <f aca="false">F184-(G184+H184+I184)</f>
        <v>-0.0499999999992724</v>
      </c>
      <c r="K184" s="15" t="n">
        <v>1668.37</v>
      </c>
      <c r="L184" s="15" t="n">
        <v>1668.37</v>
      </c>
      <c r="M184" s="15" t="n">
        <v>1668.37</v>
      </c>
      <c r="N184" s="15" t="n">
        <v>1668.37</v>
      </c>
      <c r="O184" s="15" t="n">
        <v>1668.37</v>
      </c>
      <c r="P184" s="15" t="n">
        <v>1668.37</v>
      </c>
      <c r="Q184" s="15" t="n">
        <v>1668.37</v>
      </c>
      <c r="R184" s="15" t="n">
        <v>1668.37</v>
      </c>
      <c r="S184" s="15" t="n">
        <v>1668.37</v>
      </c>
      <c r="T184" s="15" t="n">
        <v>1668.37</v>
      </c>
      <c r="U184" s="15" t="n">
        <v>350</v>
      </c>
      <c r="V184" s="15" t="n">
        <v>250</v>
      </c>
      <c r="W184" s="15" t="n">
        <f aca="false">U184+V184</f>
        <v>600</v>
      </c>
    </row>
    <row r="185" customFormat="false" ht="15" hidden="false" customHeight="false" outlineLevel="0" collapsed="false">
      <c r="A185" s="3" t="s">
        <v>2619</v>
      </c>
      <c r="B185" s="3" t="s">
        <v>2414</v>
      </c>
      <c r="C185" s="3" t="s">
        <v>618</v>
      </c>
      <c r="D185" s="3" t="s">
        <v>132</v>
      </c>
      <c r="E185" s="13" t="n">
        <v>885000</v>
      </c>
      <c r="F185" s="13" t="n">
        <v>5963.15</v>
      </c>
      <c r="G185" s="13" t="n">
        <v>745.39</v>
      </c>
      <c r="H185" s="13" t="n">
        <v>745.39</v>
      </c>
      <c r="I185" s="13" t="n">
        <f aca="false">SUM(K185:T185)</f>
        <v>4472.4</v>
      </c>
      <c r="J185" s="13" t="n">
        <f aca="false">F185-(G185+H185+I185)</f>
        <v>-0.0299999999997453</v>
      </c>
      <c r="K185" s="13" t="n">
        <v>447.24</v>
      </c>
      <c r="L185" s="13" t="n">
        <v>447.24</v>
      </c>
      <c r="M185" s="13" t="n">
        <v>447.24</v>
      </c>
      <c r="N185" s="13" t="n">
        <v>447.24</v>
      </c>
      <c r="O185" s="13" t="n">
        <v>447.24</v>
      </c>
      <c r="P185" s="13" t="n">
        <v>447.24</v>
      </c>
      <c r="Q185" s="13" t="n">
        <v>447.24</v>
      </c>
      <c r="R185" s="13" t="n">
        <v>447.24</v>
      </c>
      <c r="S185" s="13" t="n">
        <v>447.24</v>
      </c>
      <c r="T185" s="13" t="n">
        <v>447.24</v>
      </c>
      <c r="U185" s="13" t="n">
        <v>350</v>
      </c>
      <c r="V185" s="13" t="n">
        <v>0</v>
      </c>
      <c r="W185" s="13" t="n">
        <f aca="false">U185+V185</f>
        <v>350</v>
      </c>
    </row>
    <row r="186" customFormat="false" ht="15" hidden="false" customHeight="false" outlineLevel="0" collapsed="false">
      <c r="A186" s="14" t="s">
        <v>2620</v>
      </c>
      <c r="B186" s="14" t="s">
        <v>2425</v>
      </c>
      <c r="C186" s="14" t="s">
        <v>2621</v>
      </c>
      <c r="D186" s="14" t="s">
        <v>312</v>
      </c>
      <c r="E186" s="15" t="n">
        <v>1195000</v>
      </c>
      <c r="F186" s="15" t="n">
        <v>11431.87</v>
      </c>
      <c r="G186" s="15" t="n">
        <v>1428.98</v>
      </c>
      <c r="H186" s="15" t="n">
        <v>1428.98</v>
      </c>
      <c r="I186" s="15" t="n">
        <f aca="false">SUM(K186:T186)</f>
        <v>8573.9</v>
      </c>
      <c r="J186" s="15" t="n">
        <f aca="false">F186-(G186+H186+I186)</f>
        <v>0.0100000000002183</v>
      </c>
      <c r="K186" s="15" t="n">
        <v>857.39</v>
      </c>
      <c r="L186" s="15" t="n">
        <v>857.39</v>
      </c>
      <c r="M186" s="15" t="n">
        <v>857.39</v>
      </c>
      <c r="N186" s="15" t="n">
        <v>857.39</v>
      </c>
      <c r="O186" s="15" t="n">
        <v>857.39</v>
      </c>
      <c r="P186" s="15" t="n">
        <v>857.39</v>
      </c>
      <c r="Q186" s="15" t="n">
        <v>857.39</v>
      </c>
      <c r="R186" s="15" t="n">
        <v>857.39</v>
      </c>
      <c r="S186" s="15" t="n">
        <v>857.39</v>
      </c>
      <c r="T186" s="15" t="n">
        <v>857.39</v>
      </c>
      <c r="U186" s="15" t="n">
        <v>350</v>
      </c>
      <c r="V186" s="15" t="n">
        <v>250</v>
      </c>
      <c r="W186" s="15" t="n">
        <f aca="false">U186+V186</f>
        <v>600</v>
      </c>
    </row>
    <row r="187" customFormat="false" ht="15" hidden="false" customHeight="false" outlineLevel="0" collapsed="false">
      <c r="A187" s="3" t="s">
        <v>2622</v>
      </c>
      <c r="B187" s="3" t="s">
        <v>2406</v>
      </c>
      <c r="C187" s="3" t="s">
        <v>1537</v>
      </c>
      <c r="D187" s="3" t="s">
        <v>99</v>
      </c>
      <c r="E187" s="13" t="n">
        <v>1025000</v>
      </c>
      <c r="F187" s="13" t="n">
        <v>17474.97</v>
      </c>
      <c r="G187" s="13" t="n">
        <v>2184.37</v>
      </c>
      <c r="H187" s="13" t="n">
        <v>2184.37</v>
      </c>
      <c r="I187" s="13" t="n">
        <f aca="false">SUM(K187:T187)</f>
        <v>13106.2</v>
      </c>
      <c r="J187" s="13" t="n">
        <f aca="false">F187-(G187+H187+I187)</f>
        <v>0.0300000000061118</v>
      </c>
      <c r="K187" s="13" t="n">
        <v>1310.62</v>
      </c>
      <c r="L187" s="13" t="n">
        <v>1310.62</v>
      </c>
      <c r="M187" s="13" t="n">
        <v>1310.62</v>
      </c>
      <c r="N187" s="13" t="n">
        <v>1310.62</v>
      </c>
      <c r="O187" s="13" t="n">
        <v>1310.62</v>
      </c>
      <c r="P187" s="13" t="n">
        <v>1310.62</v>
      </c>
      <c r="Q187" s="13" t="n">
        <v>1310.62</v>
      </c>
      <c r="R187" s="13" t="n">
        <v>1310.62</v>
      </c>
      <c r="S187" s="13" t="n">
        <v>1310.62</v>
      </c>
      <c r="T187" s="13" t="n">
        <v>1310.62</v>
      </c>
      <c r="U187" s="13" t="n">
        <v>350</v>
      </c>
      <c r="V187" s="13" t="n">
        <v>250</v>
      </c>
      <c r="W187" s="13" t="n">
        <f aca="false">U187+V187</f>
        <v>600</v>
      </c>
    </row>
    <row r="188" customFormat="false" ht="15" hidden="false" customHeight="false" outlineLevel="0" collapsed="false">
      <c r="A188" s="14" t="s">
        <v>2623</v>
      </c>
      <c r="B188" s="14" t="s">
        <v>2425</v>
      </c>
      <c r="C188" s="14" t="s">
        <v>1242</v>
      </c>
      <c r="D188" s="14" t="s">
        <v>256</v>
      </c>
      <c r="E188" s="15" t="n">
        <v>350000</v>
      </c>
      <c r="F188" s="15" t="n">
        <v>5470.72</v>
      </c>
      <c r="G188" s="15" t="n">
        <v>683.84</v>
      </c>
      <c r="H188" s="15" t="n">
        <v>683.84</v>
      </c>
      <c r="I188" s="15" t="n">
        <f aca="false">SUM(K188:T188)</f>
        <v>4103</v>
      </c>
      <c r="J188" s="15" t="n">
        <f aca="false">F188-(G188+H188+I188)</f>
        <v>0.0399999999999636</v>
      </c>
      <c r="K188" s="15" t="n">
        <v>410.3</v>
      </c>
      <c r="L188" s="15" t="n">
        <v>410.3</v>
      </c>
      <c r="M188" s="15" t="n">
        <v>410.3</v>
      </c>
      <c r="N188" s="15" t="n">
        <v>410.3</v>
      </c>
      <c r="O188" s="15" t="n">
        <v>410.3</v>
      </c>
      <c r="P188" s="15" t="n">
        <v>410.3</v>
      </c>
      <c r="Q188" s="15" t="n">
        <v>410.3</v>
      </c>
      <c r="R188" s="15" t="n">
        <v>410.3</v>
      </c>
      <c r="S188" s="15" t="n">
        <v>410.3</v>
      </c>
      <c r="T188" s="15" t="n">
        <v>410.3</v>
      </c>
      <c r="U188" s="15" t="n">
        <v>350</v>
      </c>
      <c r="V188" s="15" t="n">
        <v>0</v>
      </c>
      <c r="W188" s="15" t="n">
        <f aca="false">U188+V188</f>
        <v>350</v>
      </c>
    </row>
    <row r="189" customFormat="false" ht="15" hidden="false" customHeight="false" outlineLevel="0" collapsed="false">
      <c r="A189" s="3" t="s">
        <v>2624</v>
      </c>
      <c r="B189" s="3" t="s">
        <v>2445</v>
      </c>
      <c r="C189" s="3" t="s">
        <v>1308</v>
      </c>
      <c r="D189" s="3" t="s">
        <v>246</v>
      </c>
      <c r="E189" s="13" t="n">
        <v>410000</v>
      </c>
      <c r="F189" s="13" t="n">
        <v>5782.16</v>
      </c>
      <c r="G189" s="13" t="n">
        <v>722.77</v>
      </c>
      <c r="H189" s="13" t="n">
        <v>722.77</v>
      </c>
      <c r="I189" s="13" t="n">
        <f aca="false">SUM(K189:T189)</f>
        <v>4336.6</v>
      </c>
      <c r="J189" s="13" t="n">
        <f aca="false">F189-(G189+H189+I189)</f>
        <v>0.0199999999995271</v>
      </c>
      <c r="K189" s="13" t="n">
        <v>433.66</v>
      </c>
      <c r="L189" s="13" t="n">
        <v>433.66</v>
      </c>
      <c r="M189" s="13" t="n">
        <v>433.66</v>
      </c>
      <c r="N189" s="13" t="n">
        <v>433.66</v>
      </c>
      <c r="O189" s="13" t="n">
        <v>433.66</v>
      </c>
      <c r="P189" s="13" t="n">
        <v>433.66</v>
      </c>
      <c r="Q189" s="13" t="n">
        <v>433.66</v>
      </c>
      <c r="R189" s="13" t="n">
        <v>433.66</v>
      </c>
      <c r="S189" s="13" t="n">
        <v>433.66</v>
      </c>
      <c r="T189" s="13" t="n">
        <v>433.66</v>
      </c>
      <c r="U189" s="13" t="n">
        <v>350</v>
      </c>
      <c r="V189" s="13" t="n">
        <v>0</v>
      </c>
      <c r="W189" s="13" t="n">
        <f aca="false">U189+V189</f>
        <v>350</v>
      </c>
    </row>
    <row r="190" customFormat="false" ht="15" hidden="false" customHeight="false" outlineLevel="0" collapsed="false">
      <c r="A190" s="14" t="s">
        <v>2625</v>
      </c>
      <c r="B190" s="14" t="s">
        <v>2548</v>
      </c>
      <c r="C190" s="14" t="s">
        <v>1139</v>
      </c>
      <c r="D190" s="14" t="s">
        <v>246</v>
      </c>
      <c r="E190" s="15" t="n">
        <v>1950000</v>
      </c>
      <c r="F190" s="15" t="n">
        <v>20167.05</v>
      </c>
      <c r="G190" s="15" t="n">
        <v>2520.88</v>
      </c>
      <c r="H190" s="15" t="n">
        <v>2520.88</v>
      </c>
      <c r="I190" s="15" t="n">
        <f aca="false">SUM(K190:T190)</f>
        <v>15125.3</v>
      </c>
      <c r="J190" s="15" t="n">
        <f aca="false">F190-(G190+H190+I190)</f>
        <v>-0.0100000000020373</v>
      </c>
      <c r="K190" s="15" t="n">
        <v>1512.53</v>
      </c>
      <c r="L190" s="15" t="n">
        <v>1512.53</v>
      </c>
      <c r="M190" s="15" t="n">
        <v>1512.53</v>
      </c>
      <c r="N190" s="15" t="n">
        <v>1512.53</v>
      </c>
      <c r="O190" s="15" t="n">
        <v>1512.53</v>
      </c>
      <c r="P190" s="15" t="n">
        <v>1512.53</v>
      </c>
      <c r="Q190" s="15" t="n">
        <v>1512.53</v>
      </c>
      <c r="R190" s="15" t="n">
        <v>1512.53</v>
      </c>
      <c r="S190" s="15" t="n">
        <v>1512.53</v>
      </c>
      <c r="T190" s="15" t="n">
        <v>1512.53</v>
      </c>
      <c r="U190" s="15" t="n">
        <v>350</v>
      </c>
      <c r="V190" s="15" t="n">
        <v>250</v>
      </c>
      <c r="W190" s="15" t="n">
        <f aca="false">U190+V190</f>
        <v>600</v>
      </c>
    </row>
    <row r="191" customFormat="false" ht="15" hidden="false" customHeight="false" outlineLevel="0" collapsed="false">
      <c r="A191" s="3" t="s">
        <v>2626</v>
      </c>
      <c r="B191" s="3" t="s">
        <v>2431</v>
      </c>
      <c r="C191" s="3" t="s">
        <v>395</v>
      </c>
      <c r="D191" s="3" t="s">
        <v>189</v>
      </c>
      <c r="E191" s="13" t="n">
        <v>1405000</v>
      </c>
      <c r="F191" s="13" t="n">
        <v>13319.73</v>
      </c>
      <c r="G191" s="13" t="n">
        <v>1664.97</v>
      </c>
      <c r="H191" s="13" t="n">
        <v>1664.97</v>
      </c>
      <c r="I191" s="13" t="n">
        <f aca="false">SUM(K191:T191)</f>
        <v>9989.8</v>
      </c>
      <c r="J191" s="13" t="n">
        <f aca="false">F191-(G191+H191+I191)</f>
        <v>-0.0100000000002183</v>
      </c>
      <c r="K191" s="13" t="n">
        <v>998.98</v>
      </c>
      <c r="L191" s="13" t="n">
        <v>998.98</v>
      </c>
      <c r="M191" s="13" t="n">
        <v>998.98</v>
      </c>
      <c r="N191" s="13" t="n">
        <v>998.98</v>
      </c>
      <c r="O191" s="13" t="n">
        <v>998.98</v>
      </c>
      <c r="P191" s="13" t="n">
        <v>998.98</v>
      </c>
      <c r="Q191" s="13" t="n">
        <v>998.98</v>
      </c>
      <c r="R191" s="13" t="n">
        <v>998.98</v>
      </c>
      <c r="S191" s="13" t="n">
        <v>998.98</v>
      </c>
      <c r="T191" s="13" t="n">
        <v>998.98</v>
      </c>
      <c r="U191" s="13" t="n">
        <v>350</v>
      </c>
      <c r="V191" s="13" t="n">
        <v>250</v>
      </c>
      <c r="W191" s="13" t="n">
        <f aca="false">U191+V191</f>
        <v>600</v>
      </c>
    </row>
    <row r="192" customFormat="false" ht="15" hidden="false" customHeight="false" outlineLevel="0" collapsed="false">
      <c r="A192" s="14" t="s">
        <v>2627</v>
      </c>
      <c r="B192" s="14" t="s">
        <v>2414</v>
      </c>
      <c r="C192" s="14" t="s">
        <v>1021</v>
      </c>
      <c r="D192" s="14" t="s">
        <v>125</v>
      </c>
      <c r="E192" s="15" t="n">
        <v>1675000</v>
      </c>
      <c r="F192" s="15" t="n">
        <v>13858.38</v>
      </c>
      <c r="G192" s="15" t="n">
        <v>1732.3</v>
      </c>
      <c r="H192" s="15" t="n">
        <v>1732.3</v>
      </c>
      <c r="I192" s="15" t="n">
        <f aca="false">SUM(K192:T192)</f>
        <v>10393.8</v>
      </c>
      <c r="J192" s="15" t="n">
        <f aca="false">F192-(G192+H192+I192)</f>
        <v>-0.0200000000040745</v>
      </c>
      <c r="K192" s="15" t="n">
        <v>1039.38</v>
      </c>
      <c r="L192" s="15" t="n">
        <v>1039.38</v>
      </c>
      <c r="M192" s="15" t="n">
        <v>1039.38</v>
      </c>
      <c r="N192" s="15" t="n">
        <v>1039.38</v>
      </c>
      <c r="O192" s="15" t="n">
        <v>1039.38</v>
      </c>
      <c r="P192" s="15" t="n">
        <v>1039.38</v>
      </c>
      <c r="Q192" s="15" t="n">
        <v>1039.38</v>
      </c>
      <c r="R192" s="15" t="n">
        <v>1039.38</v>
      </c>
      <c r="S192" s="15" t="n">
        <v>1039.38</v>
      </c>
      <c r="T192" s="15" t="n">
        <v>1039.38</v>
      </c>
      <c r="U192" s="15" t="n">
        <v>350</v>
      </c>
      <c r="V192" s="15" t="n">
        <v>250</v>
      </c>
      <c r="W192" s="15" t="n">
        <f aca="false">U192+V192</f>
        <v>600</v>
      </c>
    </row>
    <row r="193" customFormat="false" ht="15" hidden="false" customHeight="false" outlineLevel="0" collapsed="false">
      <c r="A193" s="3" t="s">
        <v>2628</v>
      </c>
      <c r="B193" s="3" t="s">
        <v>2410</v>
      </c>
      <c r="C193" s="3" t="s">
        <v>2208</v>
      </c>
      <c r="D193" s="3" t="s">
        <v>99</v>
      </c>
      <c r="E193" s="13" t="n">
        <v>450000</v>
      </c>
      <c r="F193" s="13" t="n">
        <v>7192.45</v>
      </c>
      <c r="G193" s="13" t="n">
        <v>899.06</v>
      </c>
      <c r="H193" s="13" t="n">
        <v>899.06</v>
      </c>
      <c r="I193" s="13" t="n">
        <f aca="false">SUM(K193:T193)</f>
        <v>5394.3</v>
      </c>
      <c r="J193" s="13" t="n">
        <f aca="false">F193-(G193+H193+I193)</f>
        <v>0.0299999999997453</v>
      </c>
      <c r="K193" s="13" t="n">
        <v>539.43</v>
      </c>
      <c r="L193" s="13" t="n">
        <v>539.43</v>
      </c>
      <c r="M193" s="13" t="n">
        <v>539.43</v>
      </c>
      <c r="N193" s="13" t="n">
        <v>539.43</v>
      </c>
      <c r="O193" s="13" t="n">
        <v>539.43</v>
      </c>
      <c r="P193" s="13" t="n">
        <v>539.43</v>
      </c>
      <c r="Q193" s="13" t="n">
        <v>539.43</v>
      </c>
      <c r="R193" s="13" t="n">
        <v>539.43</v>
      </c>
      <c r="S193" s="13" t="n">
        <v>539.43</v>
      </c>
      <c r="T193" s="13" t="n">
        <v>539.43</v>
      </c>
      <c r="U193" s="13" t="n">
        <v>350</v>
      </c>
      <c r="V193" s="13" t="n">
        <v>0</v>
      </c>
      <c r="W193" s="13" t="n">
        <f aca="false">U193+V193</f>
        <v>350</v>
      </c>
    </row>
    <row r="194" customFormat="false" ht="15" hidden="false" customHeight="false" outlineLevel="0" collapsed="false">
      <c r="A194" s="14" t="s">
        <v>2629</v>
      </c>
      <c r="B194" s="14" t="s">
        <v>2414</v>
      </c>
      <c r="C194" s="14" t="s">
        <v>1517</v>
      </c>
      <c r="D194" s="14" t="s">
        <v>325</v>
      </c>
      <c r="E194" s="15" t="n">
        <v>660000</v>
      </c>
      <c r="F194" s="15" t="n">
        <v>6136.99</v>
      </c>
      <c r="G194" s="15" t="n">
        <v>767.12</v>
      </c>
      <c r="H194" s="15" t="n">
        <v>767.12</v>
      </c>
      <c r="I194" s="15" t="n">
        <f aca="false">SUM(K194:T194)</f>
        <v>4602.7</v>
      </c>
      <c r="J194" s="15" t="n">
        <f aca="false">F194-(G194+H194+I194)</f>
        <v>0.0499999999992724</v>
      </c>
      <c r="K194" s="15" t="n">
        <v>460.27</v>
      </c>
      <c r="L194" s="15" t="n">
        <v>460.27</v>
      </c>
      <c r="M194" s="15" t="n">
        <v>460.27</v>
      </c>
      <c r="N194" s="15" t="n">
        <v>460.27</v>
      </c>
      <c r="O194" s="15" t="n">
        <v>460.27</v>
      </c>
      <c r="P194" s="15" t="n">
        <v>460.27</v>
      </c>
      <c r="Q194" s="15" t="n">
        <v>460.27</v>
      </c>
      <c r="R194" s="15" t="n">
        <v>460.27</v>
      </c>
      <c r="S194" s="15" t="n">
        <v>460.27</v>
      </c>
      <c r="T194" s="15" t="n">
        <v>460.27</v>
      </c>
      <c r="U194" s="15" t="n">
        <v>350</v>
      </c>
      <c r="V194" s="15" t="n">
        <v>0</v>
      </c>
      <c r="W194" s="15" t="n">
        <f aca="false">U194+V194</f>
        <v>350</v>
      </c>
    </row>
    <row r="195" customFormat="false" ht="15" hidden="false" customHeight="false" outlineLevel="0" collapsed="false">
      <c r="A195" s="3" t="s">
        <v>2630</v>
      </c>
      <c r="B195" s="3" t="s">
        <v>2443</v>
      </c>
      <c r="C195" s="3" t="s">
        <v>408</v>
      </c>
      <c r="D195" s="3" t="s">
        <v>147</v>
      </c>
      <c r="E195" s="13" t="n">
        <v>400000</v>
      </c>
      <c r="F195" s="13" t="n">
        <v>5030.01</v>
      </c>
      <c r="G195" s="13" t="n">
        <v>628.75</v>
      </c>
      <c r="H195" s="13" t="n">
        <v>628.75</v>
      </c>
      <c r="I195" s="13" t="n">
        <f aca="false">SUM(K195:T195)</f>
        <v>3772.5</v>
      </c>
      <c r="J195" s="13" t="n">
        <f aca="false">F195-(G195+H195+I195)</f>
        <v>0.0100000000002183</v>
      </c>
      <c r="K195" s="13" t="n">
        <v>377.25</v>
      </c>
      <c r="L195" s="13" t="n">
        <v>377.25</v>
      </c>
      <c r="M195" s="13" t="n">
        <v>377.25</v>
      </c>
      <c r="N195" s="13" t="n">
        <v>377.25</v>
      </c>
      <c r="O195" s="13" t="n">
        <v>377.25</v>
      </c>
      <c r="P195" s="13" t="n">
        <v>377.25</v>
      </c>
      <c r="Q195" s="13" t="n">
        <v>377.25</v>
      </c>
      <c r="R195" s="13" t="n">
        <v>377.25</v>
      </c>
      <c r="S195" s="13" t="n">
        <v>377.25</v>
      </c>
      <c r="T195" s="13" t="n">
        <v>377.25</v>
      </c>
      <c r="U195" s="13" t="n">
        <v>350</v>
      </c>
      <c r="V195" s="13" t="n">
        <v>0</v>
      </c>
      <c r="W195" s="13" t="n">
        <f aca="false">U195+V195</f>
        <v>350</v>
      </c>
    </row>
    <row r="196" customFormat="false" ht="15" hidden="false" customHeight="false" outlineLevel="0" collapsed="false">
      <c r="A196" s="14" t="s">
        <v>2631</v>
      </c>
      <c r="B196" s="14" t="s">
        <v>2445</v>
      </c>
      <c r="C196" s="14" t="s">
        <v>1549</v>
      </c>
      <c r="D196" s="14" t="s">
        <v>157</v>
      </c>
      <c r="E196" s="15" t="n">
        <v>780000</v>
      </c>
      <c r="F196" s="15" t="n">
        <v>16488.09</v>
      </c>
      <c r="G196" s="15" t="n">
        <v>2061.01</v>
      </c>
      <c r="H196" s="15" t="n">
        <v>2061.01</v>
      </c>
      <c r="I196" s="15" t="n">
        <f aca="false">SUM(K196:T196)</f>
        <v>12366.1</v>
      </c>
      <c r="J196" s="15" t="n">
        <f aca="false">F196-(G196+H196+I196)</f>
        <v>-0.0300000000024738</v>
      </c>
      <c r="K196" s="15" t="n">
        <v>1236.61</v>
      </c>
      <c r="L196" s="15" t="n">
        <v>1236.61</v>
      </c>
      <c r="M196" s="15" t="n">
        <v>1236.61</v>
      </c>
      <c r="N196" s="15" t="n">
        <v>1236.61</v>
      </c>
      <c r="O196" s="15" t="n">
        <v>1236.61</v>
      </c>
      <c r="P196" s="15" t="n">
        <v>1236.61</v>
      </c>
      <c r="Q196" s="15" t="n">
        <v>1236.61</v>
      </c>
      <c r="R196" s="15" t="n">
        <v>1236.61</v>
      </c>
      <c r="S196" s="15" t="n">
        <v>1236.61</v>
      </c>
      <c r="T196" s="15" t="n">
        <v>1236.61</v>
      </c>
      <c r="U196" s="15" t="n">
        <v>350</v>
      </c>
      <c r="V196" s="15" t="n">
        <v>0</v>
      </c>
      <c r="W196" s="15" t="n">
        <f aca="false">U196+V196</f>
        <v>350</v>
      </c>
    </row>
    <row r="197" customFormat="false" ht="15" hidden="false" customHeight="false" outlineLevel="0" collapsed="false">
      <c r="A197" s="3" t="s">
        <v>2632</v>
      </c>
      <c r="B197" s="3" t="s">
        <v>2406</v>
      </c>
      <c r="C197" s="3" t="s">
        <v>636</v>
      </c>
      <c r="D197" s="3" t="s">
        <v>352</v>
      </c>
      <c r="E197" s="13" t="n">
        <v>370000</v>
      </c>
      <c r="F197" s="13" t="n">
        <v>4913.66</v>
      </c>
      <c r="G197" s="13" t="n">
        <v>614.21</v>
      </c>
      <c r="H197" s="13" t="n">
        <v>614.21</v>
      </c>
      <c r="I197" s="13" t="n">
        <f aca="false">SUM(K197:T197)</f>
        <v>3685.2</v>
      </c>
      <c r="J197" s="13" t="n">
        <f aca="false">F197-(G197+H197+I197)</f>
        <v>0.0399999999999636</v>
      </c>
      <c r="K197" s="13" t="n">
        <v>368.52</v>
      </c>
      <c r="L197" s="13" t="n">
        <v>368.52</v>
      </c>
      <c r="M197" s="13" t="n">
        <v>368.52</v>
      </c>
      <c r="N197" s="13" t="n">
        <v>368.52</v>
      </c>
      <c r="O197" s="13" t="n">
        <v>368.52</v>
      </c>
      <c r="P197" s="13" t="n">
        <v>368.52</v>
      </c>
      <c r="Q197" s="13" t="n">
        <v>368.52</v>
      </c>
      <c r="R197" s="13" t="n">
        <v>368.52</v>
      </c>
      <c r="S197" s="13" t="n">
        <v>368.52</v>
      </c>
      <c r="T197" s="13" t="n">
        <v>368.52</v>
      </c>
      <c r="U197" s="13" t="n">
        <v>350</v>
      </c>
      <c r="V197" s="13" t="n">
        <v>0</v>
      </c>
      <c r="W197" s="13" t="n">
        <f aca="false">U197+V197</f>
        <v>350</v>
      </c>
    </row>
    <row r="198" customFormat="false" ht="15" hidden="false" customHeight="false" outlineLevel="0" collapsed="false">
      <c r="A198" s="14" t="s">
        <v>2633</v>
      </c>
      <c r="B198" s="14" t="s">
        <v>2402</v>
      </c>
      <c r="C198" s="14" t="s">
        <v>474</v>
      </c>
      <c r="D198" s="14" t="s">
        <v>163</v>
      </c>
      <c r="E198" s="15" t="n">
        <v>620000</v>
      </c>
      <c r="F198" s="15" t="n">
        <v>6441.23</v>
      </c>
      <c r="G198" s="15" t="n">
        <v>805.15</v>
      </c>
      <c r="H198" s="15" t="n">
        <v>805.15</v>
      </c>
      <c r="I198" s="15" t="n">
        <f aca="false">SUM(K198:T198)</f>
        <v>4830.9</v>
      </c>
      <c r="J198" s="15" t="n">
        <f aca="false">F198-(G198+H198+I198)</f>
        <v>0.0299999999997453</v>
      </c>
      <c r="K198" s="15" t="n">
        <v>483.09</v>
      </c>
      <c r="L198" s="15" t="n">
        <v>483.09</v>
      </c>
      <c r="M198" s="15" t="n">
        <v>483.09</v>
      </c>
      <c r="N198" s="15" t="n">
        <v>483.09</v>
      </c>
      <c r="O198" s="15" t="n">
        <v>483.09</v>
      </c>
      <c r="P198" s="15" t="n">
        <v>483.09</v>
      </c>
      <c r="Q198" s="15" t="n">
        <v>483.09</v>
      </c>
      <c r="R198" s="15" t="n">
        <v>483.09</v>
      </c>
      <c r="S198" s="15" t="n">
        <v>483.09</v>
      </c>
      <c r="T198" s="15" t="n">
        <v>483.09</v>
      </c>
      <c r="U198" s="15" t="n">
        <v>350</v>
      </c>
      <c r="V198" s="15" t="n">
        <v>0</v>
      </c>
      <c r="W198" s="15" t="n">
        <f aca="false">U198+V198</f>
        <v>350</v>
      </c>
    </row>
    <row r="199" customFormat="false" ht="15" hidden="false" customHeight="false" outlineLevel="0" collapsed="false">
      <c r="A199" s="3" t="s">
        <v>2634</v>
      </c>
      <c r="B199" s="3" t="s">
        <v>2431</v>
      </c>
      <c r="C199" s="3" t="s">
        <v>2635</v>
      </c>
      <c r="D199" s="3" t="s">
        <v>325</v>
      </c>
      <c r="E199" s="13" t="n">
        <v>1200000</v>
      </c>
      <c r="F199" s="13" t="n">
        <v>14272.07</v>
      </c>
      <c r="G199" s="13" t="n">
        <v>1784.01</v>
      </c>
      <c r="H199" s="13" t="n">
        <v>1784.01</v>
      </c>
      <c r="I199" s="13" t="n">
        <f aca="false">SUM(K199:T199)</f>
        <v>10704.1</v>
      </c>
      <c r="J199" s="13" t="n">
        <f aca="false">F199-(G199+H199+I199)</f>
        <v>-0.0500000000010914</v>
      </c>
      <c r="K199" s="13" t="n">
        <v>1070.41</v>
      </c>
      <c r="L199" s="13" t="n">
        <v>1070.41</v>
      </c>
      <c r="M199" s="13" t="n">
        <v>1070.41</v>
      </c>
      <c r="N199" s="13" t="n">
        <v>1070.41</v>
      </c>
      <c r="O199" s="13" t="n">
        <v>1070.41</v>
      </c>
      <c r="P199" s="13" t="n">
        <v>1070.41</v>
      </c>
      <c r="Q199" s="13" t="n">
        <v>1070.41</v>
      </c>
      <c r="R199" s="13" t="n">
        <v>1070.41</v>
      </c>
      <c r="S199" s="13" t="n">
        <v>1070.41</v>
      </c>
      <c r="T199" s="13" t="n">
        <v>1070.41</v>
      </c>
      <c r="U199" s="13" t="n">
        <v>350</v>
      </c>
      <c r="V199" s="13" t="n">
        <v>250</v>
      </c>
      <c r="W199" s="13" t="n">
        <f aca="false">U199+V199</f>
        <v>600</v>
      </c>
    </row>
    <row r="200" customFormat="false" ht="15" hidden="false" customHeight="false" outlineLevel="0" collapsed="false">
      <c r="A200" s="14" t="s">
        <v>2636</v>
      </c>
      <c r="B200" s="14" t="s">
        <v>2445</v>
      </c>
      <c r="C200" s="14" t="s">
        <v>1347</v>
      </c>
      <c r="D200" s="14" t="s">
        <v>185</v>
      </c>
      <c r="E200" s="15" t="n">
        <v>455000</v>
      </c>
      <c r="F200" s="15" t="n">
        <v>8281.22</v>
      </c>
      <c r="G200" s="15" t="n">
        <v>1035.15</v>
      </c>
      <c r="H200" s="15" t="n">
        <v>1035.15</v>
      </c>
      <c r="I200" s="15" t="n">
        <f aca="false">SUM(K200:T200)</f>
        <v>6210.9</v>
      </c>
      <c r="J200" s="15" t="n">
        <f aca="false">F200-(G200+H200+I200)</f>
        <v>0.0199999999986176</v>
      </c>
      <c r="K200" s="15" t="n">
        <v>621.09</v>
      </c>
      <c r="L200" s="15" t="n">
        <v>621.09</v>
      </c>
      <c r="M200" s="15" t="n">
        <v>621.09</v>
      </c>
      <c r="N200" s="15" t="n">
        <v>621.09</v>
      </c>
      <c r="O200" s="15" t="n">
        <v>621.09</v>
      </c>
      <c r="P200" s="15" t="n">
        <v>621.09</v>
      </c>
      <c r="Q200" s="15" t="n">
        <v>621.09</v>
      </c>
      <c r="R200" s="15" t="n">
        <v>621.09</v>
      </c>
      <c r="S200" s="15" t="n">
        <v>621.09</v>
      </c>
      <c r="T200" s="15" t="n">
        <v>621.09</v>
      </c>
      <c r="U200" s="15" t="n">
        <v>350</v>
      </c>
      <c r="V200" s="15" t="n">
        <v>0</v>
      </c>
      <c r="W200" s="15" t="n">
        <f aca="false">U200+V200</f>
        <v>350</v>
      </c>
    </row>
    <row r="201" customFormat="false" ht="15" hidden="false" customHeight="false" outlineLevel="0" collapsed="false">
      <c r="A201" s="3" t="s">
        <v>2637</v>
      </c>
      <c r="B201" s="3" t="s">
        <v>2451</v>
      </c>
      <c r="C201" s="3" t="s">
        <v>327</v>
      </c>
      <c r="D201" s="3" t="s">
        <v>180</v>
      </c>
      <c r="E201" s="13" t="n">
        <v>1180000</v>
      </c>
      <c r="F201" s="13" t="n">
        <v>8501.88</v>
      </c>
      <c r="G201" s="13" t="n">
        <v>1062.73</v>
      </c>
      <c r="H201" s="13" t="n">
        <v>1062.73</v>
      </c>
      <c r="I201" s="13" t="n">
        <f aca="false">SUM(K201:T201)</f>
        <v>6376.4</v>
      </c>
      <c r="J201" s="13" t="n">
        <f aca="false">F201-(G201+H201+I201)</f>
        <v>0.0199999999986176</v>
      </c>
      <c r="K201" s="13" t="n">
        <v>637.64</v>
      </c>
      <c r="L201" s="13" t="n">
        <v>637.64</v>
      </c>
      <c r="M201" s="13" t="n">
        <v>637.64</v>
      </c>
      <c r="N201" s="13" t="n">
        <v>637.64</v>
      </c>
      <c r="O201" s="13" t="n">
        <v>637.64</v>
      </c>
      <c r="P201" s="13" t="n">
        <v>637.64</v>
      </c>
      <c r="Q201" s="13" t="n">
        <v>637.64</v>
      </c>
      <c r="R201" s="13" t="n">
        <v>637.64</v>
      </c>
      <c r="S201" s="13" t="n">
        <v>637.64</v>
      </c>
      <c r="T201" s="13" t="n">
        <v>637.64</v>
      </c>
      <c r="U201" s="13" t="n">
        <v>350</v>
      </c>
      <c r="V201" s="13" t="n">
        <v>250</v>
      </c>
      <c r="W201" s="13" t="n">
        <f aca="false">U201+V201</f>
        <v>600</v>
      </c>
    </row>
    <row r="202" customFormat="false" ht="15" hidden="false" customHeight="false" outlineLevel="0" collapsed="false">
      <c r="A202" s="14" t="s">
        <v>2638</v>
      </c>
      <c r="B202" s="14" t="s">
        <v>2451</v>
      </c>
      <c r="C202" s="14" t="s">
        <v>2639</v>
      </c>
      <c r="D202" s="14" t="s">
        <v>102</v>
      </c>
      <c r="E202" s="15" t="n">
        <v>940000</v>
      </c>
      <c r="F202" s="15" t="n">
        <v>11010.4</v>
      </c>
      <c r="G202" s="15" t="n">
        <v>1376.3</v>
      </c>
      <c r="H202" s="15" t="n">
        <v>1376.3</v>
      </c>
      <c r="I202" s="15" t="n">
        <f aca="false">SUM(K202:T202)</f>
        <v>8257.8</v>
      </c>
      <c r="J202" s="15" t="n">
        <f aca="false">F202-(G202+H202+I202)</f>
        <v>0</v>
      </c>
      <c r="K202" s="15" t="n">
        <v>825.78</v>
      </c>
      <c r="L202" s="15" t="n">
        <v>825.78</v>
      </c>
      <c r="M202" s="15" t="n">
        <v>825.78</v>
      </c>
      <c r="N202" s="15" t="n">
        <v>825.78</v>
      </c>
      <c r="O202" s="15" t="n">
        <v>825.78</v>
      </c>
      <c r="P202" s="15" t="n">
        <v>825.78</v>
      </c>
      <c r="Q202" s="15" t="n">
        <v>825.78</v>
      </c>
      <c r="R202" s="15" t="n">
        <v>825.78</v>
      </c>
      <c r="S202" s="15" t="n">
        <v>825.78</v>
      </c>
      <c r="T202" s="15" t="n">
        <v>825.78</v>
      </c>
      <c r="U202" s="15" t="n">
        <v>350</v>
      </c>
      <c r="V202" s="15" t="n">
        <v>0</v>
      </c>
      <c r="W202" s="15" t="n">
        <f aca="false">U202+V202</f>
        <v>350</v>
      </c>
    </row>
    <row r="203" customFormat="false" ht="15" hidden="false" customHeight="false" outlineLevel="0" collapsed="false">
      <c r="A203" s="3" t="s">
        <v>2640</v>
      </c>
      <c r="B203" s="3" t="s">
        <v>2447</v>
      </c>
      <c r="C203" s="3" t="s">
        <v>2641</v>
      </c>
      <c r="D203" s="3" t="s">
        <v>99</v>
      </c>
      <c r="E203" s="13" t="n">
        <v>440000</v>
      </c>
      <c r="F203" s="13" t="n">
        <v>4500.87</v>
      </c>
      <c r="G203" s="13" t="n">
        <v>562.61</v>
      </c>
      <c r="H203" s="13" t="n">
        <v>562.61</v>
      </c>
      <c r="I203" s="13" t="n">
        <f aca="false">SUM(K203:T203)</f>
        <v>3375.7</v>
      </c>
      <c r="J203" s="13" t="n">
        <f aca="false">F203-(G203+H203+I203)</f>
        <v>-0.0500000000001819</v>
      </c>
      <c r="K203" s="13" t="n">
        <v>337.57</v>
      </c>
      <c r="L203" s="13" t="n">
        <v>337.57</v>
      </c>
      <c r="M203" s="13" t="n">
        <v>337.57</v>
      </c>
      <c r="N203" s="13" t="n">
        <v>337.57</v>
      </c>
      <c r="O203" s="13" t="n">
        <v>337.57</v>
      </c>
      <c r="P203" s="13" t="n">
        <v>337.57</v>
      </c>
      <c r="Q203" s="13" t="n">
        <v>337.57</v>
      </c>
      <c r="R203" s="13" t="n">
        <v>337.57</v>
      </c>
      <c r="S203" s="13" t="n">
        <v>337.57</v>
      </c>
      <c r="T203" s="13" t="n">
        <v>337.57</v>
      </c>
      <c r="U203" s="13" t="n">
        <v>350</v>
      </c>
      <c r="V203" s="13" t="n">
        <v>0</v>
      </c>
      <c r="W203" s="13" t="n">
        <f aca="false">U203+V203</f>
        <v>350</v>
      </c>
    </row>
    <row r="204" customFormat="false" ht="15" hidden="false" customHeight="false" outlineLevel="0" collapsed="false">
      <c r="A204" s="14" t="s">
        <v>2642</v>
      </c>
      <c r="B204" s="14" t="s">
        <v>2456</v>
      </c>
      <c r="C204" s="14" t="s">
        <v>429</v>
      </c>
      <c r="D204" s="14" t="s">
        <v>163</v>
      </c>
      <c r="E204" s="15" t="n">
        <v>885000</v>
      </c>
      <c r="F204" s="15" t="n">
        <v>9194.34</v>
      </c>
      <c r="G204" s="15" t="n">
        <v>1149.29</v>
      </c>
      <c r="H204" s="15" t="n">
        <v>1149.29</v>
      </c>
      <c r="I204" s="15" t="n">
        <f aca="false">SUM(K204:T204)</f>
        <v>6895.8</v>
      </c>
      <c r="J204" s="15" t="n">
        <f aca="false">F204-(G204+H204+I204)</f>
        <v>-0.0400000000008731</v>
      </c>
      <c r="K204" s="15" t="n">
        <v>689.58</v>
      </c>
      <c r="L204" s="15" t="n">
        <v>689.58</v>
      </c>
      <c r="M204" s="15" t="n">
        <v>689.58</v>
      </c>
      <c r="N204" s="15" t="n">
        <v>689.58</v>
      </c>
      <c r="O204" s="15" t="n">
        <v>689.58</v>
      </c>
      <c r="P204" s="15" t="n">
        <v>689.58</v>
      </c>
      <c r="Q204" s="15" t="n">
        <v>689.58</v>
      </c>
      <c r="R204" s="15" t="n">
        <v>689.58</v>
      </c>
      <c r="S204" s="15" t="n">
        <v>689.58</v>
      </c>
      <c r="T204" s="15" t="n">
        <v>689.58</v>
      </c>
      <c r="U204" s="15" t="n">
        <v>350</v>
      </c>
      <c r="V204" s="15" t="n">
        <v>0</v>
      </c>
      <c r="W204" s="15" t="n">
        <f aca="false">U204+V204</f>
        <v>350</v>
      </c>
    </row>
    <row r="205" customFormat="false" ht="15" hidden="false" customHeight="false" outlineLevel="0" collapsed="false">
      <c r="A205" s="3" t="s">
        <v>2643</v>
      </c>
      <c r="B205" s="3" t="s">
        <v>2443</v>
      </c>
      <c r="C205" s="3" t="s">
        <v>1413</v>
      </c>
      <c r="D205" s="3" t="s">
        <v>256</v>
      </c>
      <c r="E205" s="13" t="n">
        <v>490000</v>
      </c>
      <c r="F205" s="13" t="n">
        <v>7659.01</v>
      </c>
      <c r="G205" s="13" t="n">
        <v>957.38</v>
      </c>
      <c r="H205" s="13" t="n">
        <v>957.38</v>
      </c>
      <c r="I205" s="13" t="n">
        <f aca="false">SUM(K205:T205)</f>
        <v>5744.3</v>
      </c>
      <c r="J205" s="13" t="n">
        <f aca="false">F205-(G205+H205+I205)</f>
        <v>-0.0500000000001819</v>
      </c>
      <c r="K205" s="13" t="n">
        <v>574.43</v>
      </c>
      <c r="L205" s="13" t="n">
        <v>574.43</v>
      </c>
      <c r="M205" s="13" t="n">
        <v>574.43</v>
      </c>
      <c r="N205" s="13" t="n">
        <v>574.43</v>
      </c>
      <c r="O205" s="13" t="n">
        <v>574.43</v>
      </c>
      <c r="P205" s="13" t="n">
        <v>574.43</v>
      </c>
      <c r="Q205" s="13" t="n">
        <v>574.43</v>
      </c>
      <c r="R205" s="13" t="n">
        <v>574.43</v>
      </c>
      <c r="S205" s="13" t="n">
        <v>574.43</v>
      </c>
      <c r="T205" s="13" t="n">
        <v>574.43</v>
      </c>
      <c r="U205" s="13" t="n">
        <v>350</v>
      </c>
      <c r="V205" s="13" t="n">
        <v>0</v>
      </c>
      <c r="W205" s="13" t="n">
        <f aca="false">U205+V205</f>
        <v>350</v>
      </c>
    </row>
    <row r="206" customFormat="false" ht="15" hidden="false" customHeight="false" outlineLevel="0" collapsed="false">
      <c r="A206" s="14" t="s">
        <v>2644</v>
      </c>
      <c r="B206" s="14" t="s">
        <v>2431</v>
      </c>
      <c r="C206" s="14" t="s">
        <v>456</v>
      </c>
      <c r="D206" s="14" t="s">
        <v>208</v>
      </c>
      <c r="E206" s="15" t="n">
        <v>200000</v>
      </c>
      <c r="F206" s="15" t="n">
        <v>2322.27</v>
      </c>
      <c r="G206" s="15" t="n">
        <v>290.28</v>
      </c>
      <c r="H206" s="15" t="n">
        <v>290.28</v>
      </c>
      <c r="I206" s="15" t="n">
        <f aca="false">SUM(K206:T206)</f>
        <v>1741.7</v>
      </c>
      <c r="J206" s="15" t="n">
        <f aca="false">F206-(G206+H206+I206)</f>
        <v>0.00999999999976353</v>
      </c>
      <c r="K206" s="15" t="n">
        <v>174.17</v>
      </c>
      <c r="L206" s="15" t="n">
        <v>174.17</v>
      </c>
      <c r="M206" s="15" t="n">
        <v>174.17</v>
      </c>
      <c r="N206" s="15" t="n">
        <v>174.17</v>
      </c>
      <c r="O206" s="15" t="n">
        <v>174.17</v>
      </c>
      <c r="P206" s="15" t="n">
        <v>174.17</v>
      </c>
      <c r="Q206" s="15" t="n">
        <v>174.17</v>
      </c>
      <c r="R206" s="15" t="n">
        <v>174.17</v>
      </c>
      <c r="S206" s="15" t="n">
        <v>174.17</v>
      </c>
      <c r="T206" s="15" t="n">
        <v>174.17</v>
      </c>
      <c r="U206" s="15" t="n">
        <v>350</v>
      </c>
      <c r="V206" s="15" t="n">
        <v>0</v>
      </c>
      <c r="W206" s="15" t="n">
        <f aca="false">U206+V206</f>
        <v>350</v>
      </c>
    </row>
    <row r="207" customFormat="false" ht="15" hidden="false" customHeight="false" outlineLevel="0" collapsed="false">
      <c r="A207" s="3" t="s">
        <v>2645</v>
      </c>
      <c r="B207" s="3" t="s">
        <v>2573</v>
      </c>
      <c r="C207" s="3" t="s">
        <v>1619</v>
      </c>
      <c r="D207" s="3" t="s">
        <v>911</v>
      </c>
      <c r="E207" s="13" t="n">
        <v>790000</v>
      </c>
      <c r="F207" s="13" t="n">
        <v>12701.01</v>
      </c>
      <c r="G207" s="13" t="n">
        <v>1587.63</v>
      </c>
      <c r="H207" s="13" t="n">
        <v>1587.63</v>
      </c>
      <c r="I207" s="13" t="n">
        <f aca="false">SUM(K207:T207)</f>
        <v>9525.8</v>
      </c>
      <c r="J207" s="13" t="n">
        <f aca="false">F207-(G207+H207+I207)</f>
        <v>-0.0500000000010914</v>
      </c>
      <c r="K207" s="13" t="n">
        <v>952.58</v>
      </c>
      <c r="L207" s="13" t="n">
        <v>952.58</v>
      </c>
      <c r="M207" s="13" t="n">
        <v>952.58</v>
      </c>
      <c r="N207" s="13" t="n">
        <v>952.58</v>
      </c>
      <c r="O207" s="13" t="n">
        <v>952.58</v>
      </c>
      <c r="P207" s="13" t="n">
        <v>952.58</v>
      </c>
      <c r="Q207" s="13" t="n">
        <v>952.58</v>
      </c>
      <c r="R207" s="13" t="n">
        <v>952.58</v>
      </c>
      <c r="S207" s="13" t="n">
        <v>952.58</v>
      </c>
      <c r="T207" s="13" t="n">
        <v>952.58</v>
      </c>
      <c r="U207" s="13" t="n">
        <v>350</v>
      </c>
      <c r="V207" s="13" t="n">
        <v>0</v>
      </c>
      <c r="W207" s="13" t="n">
        <f aca="false">U207+V207</f>
        <v>350</v>
      </c>
    </row>
    <row r="208" customFormat="false" ht="15" hidden="false" customHeight="false" outlineLevel="0" collapsed="false">
      <c r="A208" s="14" t="s">
        <v>2646</v>
      </c>
      <c r="B208" s="14" t="s">
        <v>2419</v>
      </c>
      <c r="C208" s="14" t="s">
        <v>972</v>
      </c>
      <c r="D208" s="14" t="s">
        <v>328</v>
      </c>
      <c r="E208" s="15" t="n">
        <v>690000</v>
      </c>
      <c r="F208" s="15" t="n">
        <v>10963.54</v>
      </c>
      <c r="G208" s="15" t="n">
        <v>1370.44</v>
      </c>
      <c r="H208" s="15" t="n">
        <v>1370.44</v>
      </c>
      <c r="I208" s="15" t="n">
        <f aca="false">SUM(K208:T208)</f>
        <v>8222.7</v>
      </c>
      <c r="J208" s="15" t="n">
        <f aca="false">F208-(G208+H208+I208)</f>
        <v>-0.0400000000008731</v>
      </c>
      <c r="K208" s="15" t="n">
        <v>822.27</v>
      </c>
      <c r="L208" s="15" t="n">
        <v>822.27</v>
      </c>
      <c r="M208" s="15" t="n">
        <v>822.27</v>
      </c>
      <c r="N208" s="15" t="n">
        <v>822.27</v>
      </c>
      <c r="O208" s="15" t="n">
        <v>822.27</v>
      </c>
      <c r="P208" s="15" t="n">
        <v>822.27</v>
      </c>
      <c r="Q208" s="15" t="n">
        <v>822.27</v>
      </c>
      <c r="R208" s="15" t="n">
        <v>822.27</v>
      </c>
      <c r="S208" s="15" t="n">
        <v>822.27</v>
      </c>
      <c r="T208" s="15" t="n">
        <v>822.27</v>
      </c>
      <c r="U208" s="15" t="n">
        <v>350</v>
      </c>
      <c r="V208" s="15" t="n">
        <v>0</v>
      </c>
      <c r="W208" s="15" t="n">
        <f aca="false">U208+V208</f>
        <v>350</v>
      </c>
    </row>
    <row r="209" customFormat="false" ht="15" hidden="false" customHeight="false" outlineLevel="0" collapsed="false">
      <c r="A209" s="3" t="s">
        <v>2647</v>
      </c>
      <c r="B209" s="3" t="s">
        <v>2404</v>
      </c>
      <c r="C209" s="3" t="s">
        <v>2080</v>
      </c>
      <c r="D209" s="3" t="s">
        <v>69</v>
      </c>
      <c r="E209" s="13" t="n">
        <v>1950000</v>
      </c>
      <c r="F209" s="13" t="n">
        <v>23711.56</v>
      </c>
      <c r="G209" s="13" t="n">
        <v>2963.95</v>
      </c>
      <c r="H209" s="13" t="n">
        <v>2963.95</v>
      </c>
      <c r="I209" s="13" t="n">
        <f aca="false">SUM(K209:T209)</f>
        <v>17783.7</v>
      </c>
      <c r="J209" s="13" t="n">
        <f aca="false">F209-(G209+H209+I209)</f>
        <v>-0.0399999999972351</v>
      </c>
      <c r="K209" s="13" t="n">
        <v>1778.37</v>
      </c>
      <c r="L209" s="13" t="n">
        <v>1778.37</v>
      </c>
      <c r="M209" s="13" t="n">
        <v>1778.37</v>
      </c>
      <c r="N209" s="13" t="n">
        <v>1778.37</v>
      </c>
      <c r="O209" s="13" t="n">
        <v>1778.37</v>
      </c>
      <c r="P209" s="13" t="n">
        <v>1778.37</v>
      </c>
      <c r="Q209" s="13" t="n">
        <v>1778.37</v>
      </c>
      <c r="R209" s="13" t="n">
        <v>1778.37</v>
      </c>
      <c r="S209" s="13" t="n">
        <v>1778.37</v>
      </c>
      <c r="T209" s="13" t="n">
        <v>1778.37</v>
      </c>
      <c r="U209" s="13" t="n">
        <v>350</v>
      </c>
      <c r="V209" s="13" t="n">
        <v>250</v>
      </c>
      <c r="W209" s="13" t="n">
        <f aca="false">U209+V209</f>
        <v>600</v>
      </c>
    </row>
    <row r="210" customFormat="false" ht="15" hidden="false" customHeight="false" outlineLevel="0" collapsed="false">
      <c r="A210" s="14" t="s">
        <v>2648</v>
      </c>
      <c r="B210" s="14" t="s">
        <v>2486</v>
      </c>
      <c r="C210" s="14" t="s">
        <v>845</v>
      </c>
      <c r="D210" s="14" t="s">
        <v>89</v>
      </c>
      <c r="E210" s="15" t="n">
        <v>595000</v>
      </c>
      <c r="F210" s="15" t="n">
        <v>8181.4</v>
      </c>
      <c r="G210" s="15" t="n">
        <v>1022.67</v>
      </c>
      <c r="H210" s="15" t="n">
        <v>1022.67</v>
      </c>
      <c r="I210" s="15" t="n">
        <f aca="false">SUM(K210:T210)</f>
        <v>6136</v>
      </c>
      <c r="J210" s="15" t="n">
        <f aca="false">F210-(G210+H210+I210)</f>
        <v>0.0599999999985812</v>
      </c>
      <c r="K210" s="15" t="n">
        <v>613.6</v>
      </c>
      <c r="L210" s="15" t="n">
        <v>613.6</v>
      </c>
      <c r="M210" s="15" t="n">
        <v>613.6</v>
      </c>
      <c r="N210" s="15" t="n">
        <v>613.6</v>
      </c>
      <c r="O210" s="15" t="n">
        <v>613.6</v>
      </c>
      <c r="P210" s="15" t="n">
        <v>613.6</v>
      </c>
      <c r="Q210" s="15" t="n">
        <v>613.6</v>
      </c>
      <c r="R210" s="15" t="n">
        <v>613.6</v>
      </c>
      <c r="S210" s="15" t="n">
        <v>613.6</v>
      </c>
      <c r="T210" s="15" t="n">
        <v>613.6</v>
      </c>
      <c r="U210" s="15" t="n">
        <v>350</v>
      </c>
      <c r="V210" s="15" t="n">
        <v>0</v>
      </c>
      <c r="W210" s="15" t="n">
        <f aca="false">U210+V210</f>
        <v>350</v>
      </c>
    </row>
    <row r="211" customFormat="false" ht="15" hidden="false" customHeight="false" outlineLevel="0" collapsed="false">
      <c r="A211" s="3" t="s">
        <v>2649</v>
      </c>
      <c r="B211" s="3" t="s">
        <v>2548</v>
      </c>
      <c r="C211" s="3" t="s">
        <v>1101</v>
      </c>
      <c r="D211" s="3" t="s">
        <v>208</v>
      </c>
      <c r="E211" s="13" t="n">
        <v>465000</v>
      </c>
      <c r="F211" s="13" t="n">
        <v>7104.3</v>
      </c>
      <c r="G211" s="13" t="n">
        <v>888.04</v>
      </c>
      <c r="H211" s="13" t="n">
        <v>888.04</v>
      </c>
      <c r="I211" s="13" t="n">
        <f aca="false">SUM(K211:T211)</f>
        <v>5328.2</v>
      </c>
      <c r="J211" s="13" t="n">
        <f aca="false">F211-(G211+H211+I211)</f>
        <v>0.0200000000004366</v>
      </c>
      <c r="K211" s="13" t="n">
        <v>532.82</v>
      </c>
      <c r="L211" s="13" t="n">
        <v>532.82</v>
      </c>
      <c r="M211" s="13" t="n">
        <v>532.82</v>
      </c>
      <c r="N211" s="13" t="n">
        <v>532.82</v>
      </c>
      <c r="O211" s="13" t="n">
        <v>532.82</v>
      </c>
      <c r="P211" s="13" t="n">
        <v>532.82</v>
      </c>
      <c r="Q211" s="13" t="n">
        <v>532.82</v>
      </c>
      <c r="R211" s="13" t="n">
        <v>532.82</v>
      </c>
      <c r="S211" s="13" t="n">
        <v>532.82</v>
      </c>
      <c r="T211" s="13" t="n">
        <v>532.82</v>
      </c>
      <c r="U211" s="13" t="n">
        <v>350</v>
      </c>
      <c r="V211" s="13" t="n">
        <v>0</v>
      </c>
      <c r="W211" s="13" t="n">
        <f aca="false">U211+V211</f>
        <v>350</v>
      </c>
    </row>
    <row r="212" customFormat="false" ht="15" hidden="false" customHeight="false" outlineLevel="0" collapsed="false">
      <c r="A212" s="14" t="s">
        <v>2650</v>
      </c>
      <c r="B212" s="14" t="s">
        <v>2404</v>
      </c>
      <c r="C212" s="14" t="s">
        <v>1130</v>
      </c>
      <c r="D212" s="14" t="s">
        <v>125</v>
      </c>
      <c r="E212" s="15" t="n">
        <v>1050000</v>
      </c>
      <c r="F212" s="15" t="n">
        <v>5370.36</v>
      </c>
      <c r="G212" s="15" t="n">
        <v>671.29</v>
      </c>
      <c r="H212" s="15" t="n">
        <v>671.29</v>
      </c>
      <c r="I212" s="15" t="n">
        <f aca="false">SUM(K212:T212)</f>
        <v>4027.8</v>
      </c>
      <c r="J212" s="15" t="n">
        <f aca="false">F212-(G212+H212+I212)</f>
        <v>-0.0199999999995271</v>
      </c>
      <c r="K212" s="15" t="n">
        <v>402.78</v>
      </c>
      <c r="L212" s="15" t="n">
        <v>402.78</v>
      </c>
      <c r="M212" s="15" t="n">
        <v>402.78</v>
      </c>
      <c r="N212" s="15" t="n">
        <v>402.78</v>
      </c>
      <c r="O212" s="15" t="n">
        <v>402.78</v>
      </c>
      <c r="P212" s="15" t="n">
        <v>402.78</v>
      </c>
      <c r="Q212" s="15" t="n">
        <v>402.78</v>
      </c>
      <c r="R212" s="15" t="n">
        <v>402.78</v>
      </c>
      <c r="S212" s="15" t="n">
        <v>402.78</v>
      </c>
      <c r="T212" s="15" t="n">
        <v>402.78</v>
      </c>
      <c r="U212" s="15" t="n">
        <v>350</v>
      </c>
      <c r="V212" s="15" t="n">
        <v>250</v>
      </c>
      <c r="W212" s="15" t="n">
        <f aca="false">U212+V212</f>
        <v>600</v>
      </c>
    </row>
    <row r="213" customFormat="false" ht="15" hidden="false" customHeight="false" outlineLevel="0" collapsed="false">
      <c r="A213" s="3" t="s">
        <v>2651</v>
      </c>
      <c r="B213" s="3" t="s">
        <v>2530</v>
      </c>
      <c r="C213" s="3" t="s">
        <v>192</v>
      </c>
      <c r="D213" s="3" t="s">
        <v>147</v>
      </c>
      <c r="E213" s="13" t="n">
        <v>740000</v>
      </c>
      <c r="F213" s="13" t="n">
        <v>5335.17</v>
      </c>
      <c r="G213" s="13" t="n">
        <v>666.9</v>
      </c>
      <c r="H213" s="13" t="n">
        <v>666.9</v>
      </c>
      <c r="I213" s="13" t="n">
        <f aca="false">SUM(K213:T213)</f>
        <v>4001.4</v>
      </c>
      <c r="J213" s="13" t="n">
        <f aca="false">F213-(G213+H213+I213)</f>
        <v>-0.0299999999997453</v>
      </c>
      <c r="K213" s="13" t="n">
        <v>400.14</v>
      </c>
      <c r="L213" s="13" t="n">
        <v>400.14</v>
      </c>
      <c r="M213" s="13" t="n">
        <v>400.14</v>
      </c>
      <c r="N213" s="13" t="n">
        <v>400.14</v>
      </c>
      <c r="O213" s="13" t="n">
        <v>400.14</v>
      </c>
      <c r="P213" s="13" t="n">
        <v>400.14</v>
      </c>
      <c r="Q213" s="13" t="n">
        <v>400.14</v>
      </c>
      <c r="R213" s="13" t="n">
        <v>400.14</v>
      </c>
      <c r="S213" s="13" t="n">
        <v>400.14</v>
      </c>
      <c r="T213" s="13" t="n">
        <v>400.14</v>
      </c>
      <c r="U213" s="13" t="n">
        <v>350</v>
      </c>
      <c r="V213" s="13" t="n">
        <v>0</v>
      </c>
      <c r="W213" s="13" t="n">
        <f aca="false">U213+V213</f>
        <v>350</v>
      </c>
    </row>
    <row r="214" customFormat="false" ht="15" hidden="false" customHeight="false" outlineLevel="0" collapsed="false">
      <c r="A214" s="14" t="s">
        <v>2652</v>
      </c>
      <c r="B214" s="14" t="s">
        <v>2447</v>
      </c>
      <c r="C214" s="14" t="s">
        <v>590</v>
      </c>
      <c r="D214" s="14" t="s">
        <v>193</v>
      </c>
      <c r="E214" s="15" t="n">
        <v>1605000</v>
      </c>
      <c r="F214" s="15" t="n">
        <v>17290.66</v>
      </c>
      <c r="G214" s="15" t="n">
        <v>2161.33</v>
      </c>
      <c r="H214" s="15" t="n">
        <v>2161.33</v>
      </c>
      <c r="I214" s="15" t="n">
        <f aca="false">SUM(K214:T214)</f>
        <v>12968</v>
      </c>
      <c r="J214" s="15" t="n">
        <f aca="false">F214-(G214+H214+I214)</f>
        <v>0</v>
      </c>
      <c r="K214" s="15" t="n">
        <v>1296.8</v>
      </c>
      <c r="L214" s="15" t="n">
        <v>1296.8</v>
      </c>
      <c r="M214" s="15" t="n">
        <v>1296.8</v>
      </c>
      <c r="N214" s="15" t="n">
        <v>1296.8</v>
      </c>
      <c r="O214" s="15" t="n">
        <v>1296.8</v>
      </c>
      <c r="P214" s="15" t="n">
        <v>1296.8</v>
      </c>
      <c r="Q214" s="15" t="n">
        <v>1296.8</v>
      </c>
      <c r="R214" s="15" t="n">
        <v>1296.8</v>
      </c>
      <c r="S214" s="15" t="n">
        <v>1296.8</v>
      </c>
      <c r="T214" s="15" t="n">
        <v>1296.8</v>
      </c>
      <c r="U214" s="15" t="n">
        <v>350</v>
      </c>
      <c r="V214" s="15" t="n">
        <v>250</v>
      </c>
      <c r="W214" s="15" t="n">
        <f aca="false">U214+V214</f>
        <v>600</v>
      </c>
    </row>
    <row r="215" customFormat="false" ht="15" hidden="false" customHeight="false" outlineLevel="0" collapsed="false">
      <c r="A215" s="8" t="s">
        <v>459</v>
      </c>
      <c r="E215" s="9" t="n">
        <f aca="false">SUM(E5:E214)</f>
        <v>153840000</v>
      </c>
      <c r="F215" s="9" t="n">
        <f aca="false">SUM(F5:F214)</f>
        <v>1896673.89</v>
      </c>
      <c r="G215" s="9" t="n">
        <f aca="false">SUM(G5:G214)</f>
        <v>237084.24</v>
      </c>
      <c r="H215" s="9" t="n">
        <f aca="false">SUM(H5:H214)</f>
        <v>237084.24</v>
      </c>
      <c r="I215" s="9" t="n">
        <f aca="false">SUM(I5:I214)</f>
        <v>1422505.5</v>
      </c>
      <c r="J215" s="9" t="n">
        <f aca="false">SUM(J5:J214)</f>
        <v>-0.0900000000124237</v>
      </c>
      <c r="K215" s="9" t="n">
        <f aca="false">SUM(K5:K214)</f>
        <v>142250.55</v>
      </c>
      <c r="L215" s="9" t="n">
        <f aca="false">SUM(L5:L214)</f>
        <v>142250.55</v>
      </c>
      <c r="M215" s="9" t="n">
        <f aca="false">SUM(M5:M214)</f>
        <v>142250.55</v>
      </c>
      <c r="N215" s="9" t="n">
        <f aca="false">SUM(N5:N214)</f>
        <v>142250.55</v>
      </c>
      <c r="O215" s="9" t="n">
        <f aca="false">SUM(O5:O214)</f>
        <v>142250.55</v>
      </c>
      <c r="P215" s="9" t="n">
        <f aca="false">SUM(P5:P214)</f>
        <v>142250.55</v>
      </c>
      <c r="Q215" s="9" t="n">
        <f aca="false">SUM(Q5:Q214)</f>
        <v>142250.55</v>
      </c>
      <c r="R215" s="9" t="n">
        <f aca="false">SUM(R5:R214)</f>
        <v>142250.55</v>
      </c>
      <c r="S215" s="9" t="n">
        <f aca="false">SUM(S5:S214)</f>
        <v>142250.55</v>
      </c>
      <c r="T215" s="9" t="n">
        <f aca="false">SUM(T5:T214)</f>
        <v>142250.55</v>
      </c>
      <c r="U215" s="9" t="n">
        <f aca="false">SUM(U5:U214)</f>
        <v>73500</v>
      </c>
      <c r="V215" s="9" t="n">
        <f aca="false">SUM(V5:V214)</f>
        <v>12750</v>
      </c>
      <c r="W215" s="9" t="n">
        <f aca="false">SUM(W5:W214)</f>
        <v>86250</v>
      </c>
    </row>
    <row r="216" customFormat="false" ht="15" hidden="false" customHeight="false" outlineLevel="0" collapsed="false">
      <c r="A216" s="4" t="s">
        <v>460</v>
      </c>
      <c r="F216" s="16" t="n">
        <f aca="false">F215-(G215+H215+I215+J215)</f>
        <v>0</v>
      </c>
    </row>
    <row r="217" customFormat="false" ht="15" hidden="false" customHeight="false" outlineLevel="0" collapsed="false">
      <c r="A217" s="4" t="s">
        <v>461</v>
      </c>
      <c r="I217" s="16" t="n">
        <f aca="false">I215-SUM(K215:T215)</f>
        <v>0</v>
      </c>
    </row>
  </sheetData>
  <autoFilter ref="A4:W2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21" min="11" style="0" width="11"/>
    <col collapsed="false" customWidth="true" hidden="false" outlineLevel="0" max="22" min="22" style="0" width="13"/>
    <col collapsed="false" customWidth="true" hidden="false" outlineLevel="0" max="23" min="23" style="0" width="11"/>
  </cols>
  <sheetData>
    <row r="1" customFormat="false" ht="17.35" hidden="false" customHeight="false" outlineLevel="0" collapsed="false">
      <c r="A1" s="1" t="s">
        <v>2653</v>
      </c>
    </row>
    <row r="2" customFormat="false" ht="15" hidden="false" customHeight="false" outlineLevel="0" collapsed="false">
      <c r="A2" s="4" t="s">
        <v>60</v>
      </c>
    </row>
    <row r="4" customFormat="false" ht="15" hidden="false" customHeight="false" outlineLevel="0" collapsed="false">
      <c r="A4" s="5" t="s">
        <v>61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15</v>
      </c>
      <c r="G4" s="5" t="s">
        <v>16</v>
      </c>
      <c r="H4" s="5" t="s">
        <v>17</v>
      </c>
      <c r="I4" s="5" t="s">
        <v>18</v>
      </c>
      <c r="J4" s="5" t="s">
        <v>19</v>
      </c>
      <c r="K4" s="5" t="s">
        <v>20</v>
      </c>
      <c r="L4" s="5" t="s">
        <v>21</v>
      </c>
      <c r="M4" s="5" t="s">
        <v>22</v>
      </c>
      <c r="N4" s="5" t="s">
        <v>23</v>
      </c>
      <c r="O4" s="5" t="s">
        <v>24</v>
      </c>
      <c r="P4" s="5" t="s">
        <v>25</v>
      </c>
      <c r="Q4" s="5" t="s">
        <v>26</v>
      </c>
      <c r="R4" s="5" t="s">
        <v>27</v>
      </c>
      <c r="S4" s="5" t="s">
        <v>28</v>
      </c>
      <c r="T4" s="5" t="s">
        <v>29</v>
      </c>
      <c r="U4" s="5" t="s">
        <v>30</v>
      </c>
      <c r="V4" s="5" t="s">
        <v>31</v>
      </c>
      <c r="W4" s="5" t="s">
        <v>32</v>
      </c>
    </row>
    <row r="5" customFormat="false" ht="15" hidden="false" customHeight="false" outlineLevel="0" collapsed="false">
      <c r="A5" s="3" t="s">
        <v>2654</v>
      </c>
      <c r="B5" s="3" t="s">
        <v>2655</v>
      </c>
      <c r="C5" s="3" t="s">
        <v>500</v>
      </c>
      <c r="D5" s="3" t="s">
        <v>147</v>
      </c>
      <c r="E5" s="13" t="n">
        <v>290000</v>
      </c>
      <c r="F5" s="13" t="n">
        <v>3412.72</v>
      </c>
      <c r="G5" s="13" t="n">
        <v>426.59</v>
      </c>
      <c r="H5" s="13" t="n">
        <v>426.59</v>
      </c>
      <c r="I5" s="13" t="n">
        <f aca="false">SUM(K5:T5)</f>
        <v>2559.5</v>
      </c>
      <c r="J5" s="13" t="n">
        <f aca="false">F5-(G5+H5+I5)</f>
        <v>0.0400000000004184</v>
      </c>
      <c r="K5" s="13" t="n">
        <v>255.95</v>
      </c>
      <c r="L5" s="13" t="n">
        <v>255.95</v>
      </c>
      <c r="M5" s="13" t="n">
        <v>255.95</v>
      </c>
      <c r="N5" s="13" t="n">
        <v>255.95</v>
      </c>
      <c r="O5" s="13" t="n">
        <v>255.95</v>
      </c>
      <c r="P5" s="13" t="n">
        <v>255.95</v>
      </c>
      <c r="Q5" s="13" t="n">
        <v>255.95</v>
      </c>
      <c r="R5" s="13" t="n">
        <v>255.95</v>
      </c>
      <c r="S5" s="13" t="n">
        <v>255.95</v>
      </c>
      <c r="T5" s="13" t="n">
        <v>255.95</v>
      </c>
      <c r="U5" s="13" t="n">
        <v>350</v>
      </c>
      <c r="V5" s="13" t="n">
        <v>0</v>
      </c>
      <c r="W5" s="13" t="n">
        <f aca="false">U5+V5</f>
        <v>350</v>
      </c>
    </row>
    <row r="6" customFormat="false" ht="15" hidden="false" customHeight="false" outlineLevel="0" collapsed="false">
      <c r="A6" s="14" t="s">
        <v>2656</v>
      </c>
      <c r="B6" s="14" t="s">
        <v>2657</v>
      </c>
      <c r="C6" s="14" t="s">
        <v>1603</v>
      </c>
      <c r="D6" s="14" t="s">
        <v>166</v>
      </c>
      <c r="E6" s="15" t="n">
        <v>450000</v>
      </c>
      <c r="F6" s="15" t="n">
        <v>6681.36</v>
      </c>
      <c r="G6" s="15" t="n">
        <v>835.17</v>
      </c>
      <c r="H6" s="15" t="n">
        <v>835.17</v>
      </c>
      <c r="I6" s="15" t="n">
        <f aca="false">SUM(K6:T6)</f>
        <v>5011</v>
      </c>
      <c r="J6" s="15" t="n">
        <f aca="false">F6-(G6+H6+I6)</f>
        <v>0.0199999999986176</v>
      </c>
      <c r="K6" s="15" t="n">
        <v>501.1</v>
      </c>
      <c r="L6" s="15" t="n">
        <v>501.1</v>
      </c>
      <c r="M6" s="15" t="n">
        <v>501.1</v>
      </c>
      <c r="N6" s="15" t="n">
        <v>501.1</v>
      </c>
      <c r="O6" s="15" t="n">
        <v>501.1</v>
      </c>
      <c r="P6" s="15" t="n">
        <v>501.1</v>
      </c>
      <c r="Q6" s="15" t="n">
        <v>501.1</v>
      </c>
      <c r="R6" s="15" t="n">
        <v>501.1</v>
      </c>
      <c r="S6" s="15" t="n">
        <v>501.1</v>
      </c>
      <c r="T6" s="15" t="n">
        <v>501.1</v>
      </c>
      <c r="U6" s="15" t="n">
        <v>350</v>
      </c>
      <c r="V6" s="15" t="n">
        <v>0</v>
      </c>
      <c r="W6" s="15" t="n">
        <f aca="false">U6+V6</f>
        <v>350</v>
      </c>
    </row>
    <row r="7" customFormat="false" ht="15" hidden="false" customHeight="false" outlineLevel="0" collapsed="false">
      <c r="A7" s="3" t="s">
        <v>2658</v>
      </c>
      <c r="B7" s="3" t="s">
        <v>2655</v>
      </c>
      <c r="C7" s="3" t="s">
        <v>1963</v>
      </c>
      <c r="D7" s="3" t="s">
        <v>448</v>
      </c>
      <c r="E7" s="13" t="n">
        <v>490000</v>
      </c>
      <c r="F7" s="13" t="n">
        <v>5712.42</v>
      </c>
      <c r="G7" s="13" t="n">
        <v>714.05</v>
      </c>
      <c r="H7" s="13" t="n">
        <v>714.05</v>
      </c>
      <c r="I7" s="13" t="n">
        <f aca="false">SUM(K7:T7)</f>
        <v>4284.3</v>
      </c>
      <c r="J7" s="13" t="n">
        <f aca="false">F7-(G7+H7+I7)</f>
        <v>0.0200000000004366</v>
      </c>
      <c r="K7" s="13" t="n">
        <v>428.43</v>
      </c>
      <c r="L7" s="13" t="n">
        <v>428.43</v>
      </c>
      <c r="M7" s="13" t="n">
        <v>428.43</v>
      </c>
      <c r="N7" s="13" t="n">
        <v>428.43</v>
      </c>
      <c r="O7" s="13" t="n">
        <v>428.43</v>
      </c>
      <c r="P7" s="13" t="n">
        <v>428.43</v>
      </c>
      <c r="Q7" s="13" t="n">
        <v>428.43</v>
      </c>
      <c r="R7" s="13" t="n">
        <v>428.43</v>
      </c>
      <c r="S7" s="13" t="n">
        <v>428.43</v>
      </c>
      <c r="T7" s="13" t="n">
        <v>428.43</v>
      </c>
      <c r="U7" s="13" t="n">
        <v>350</v>
      </c>
      <c r="V7" s="13" t="n">
        <v>0</v>
      </c>
      <c r="W7" s="13" t="n">
        <f aca="false">U7+V7</f>
        <v>350</v>
      </c>
    </row>
    <row r="8" customFormat="false" ht="15" hidden="false" customHeight="false" outlineLevel="0" collapsed="false">
      <c r="A8" s="14" t="s">
        <v>2659</v>
      </c>
      <c r="B8" s="14" t="s">
        <v>2660</v>
      </c>
      <c r="C8" s="14" t="s">
        <v>764</v>
      </c>
      <c r="D8" s="14" t="s">
        <v>115</v>
      </c>
      <c r="E8" s="15" t="n">
        <v>145000</v>
      </c>
      <c r="F8" s="15" t="n">
        <v>2582.18</v>
      </c>
      <c r="G8" s="15" t="n">
        <v>322.77</v>
      </c>
      <c r="H8" s="15" t="n">
        <v>322.77</v>
      </c>
      <c r="I8" s="15" t="n">
        <f aca="false">SUM(K8:T8)</f>
        <v>1936.6</v>
      </c>
      <c r="J8" s="15" t="n">
        <f aca="false">F8-(G8+H8+I8)</f>
        <v>0.0399999999995089</v>
      </c>
      <c r="K8" s="15" t="n">
        <v>193.66</v>
      </c>
      <c r="L8" s="15" t="n">
        <v>193.66</v>
      </c>
      <c r="M8" s="15" t="n">
        <v>193.66</v>
      </c>
      <c r="N8" s="15" t="n">
        <v>193.66</v>
      </c>
      <c r="O8" s="15" t="n">
        <v>193.66</v>
      </c>
      <c r="P8" s="15" t="n">
        <v>193.66</v>
      </c>
      <c r="Q8" s="15" t="n">
        <v>193.66</v>
      </c>
      <c r="R8" s="15" t="n">
        <v>193.66</v>
      </c>
      <c r="S8" s="15" t="n">
        <v>193.66</v>
      </c>
      <c r="T8" s="15" t="n">
        <v>193.66</v>
      </c>
      <c r="U8" s="15" t="n">
        <v>350</v>
      </c>
      <c r="V8" s="15" t="n">
        <v>0</v>
      </c>
      <c r="W8" s="15" t="n">
        <f aca="false">U8+V8</f>
        <v>350</v>
      </c>
    </row>
    <row r="9" customFormat="false" ht="15" hidden="false" customHeight="false" outlineLevel="0" collapsed="false">
      <c r="A9" s="3" t="s">
        <v>2661</v>
      </c>
      <c r="B9" s="3" t="s">
        <v>2662</v>
      </c>
      <c r="C9" s="3" t="s">
        <v>1492</v>
      </c>
      <c r="D9" s="3" t="s">
        <v>93</v>
      </c>
      <c r="E9" s="13" t="n">
        <v>345000</v>
      </c>
      <c r="F9" s="13" t="n">
        <v>4856.77</v>
      </c>
      <c r="G9" s="13" t="n">
        <v>607.1</v>
      </c>
      <c r="H9" s="13" t="n">
        <v>607.1</v>
      </c>
      <c r="I9" s="13" t="n">
        <f aca="false">SUM(K9:T9)</f>
        <v>3642.6</v>
      </c>
      <c r="J9" s="13" t="n">
        <f aca="false">F9-(G9+H9+I9)</f>
        <v>-0.0299999999997453</v>
      </c>
      <c r="K9" s="13" t="n">
        <v>364.26</v>
      </c>
      <c r="L9" s="13" t="n">
        <v>364.26</v>
      </c>
      <c r="M9" s="13" t="n">
        <v>364.26</v>
      </c>
      <c r="N9" s="13" t="n">
        <v>364.26</v>
      </c>
      <c r="O9" s="13" t="n">
        <v>364.26</v>
      </c>
      <c r="P9" s="13" t="n">
        <v>364.26</v>
      </c>
      <c r="Q9" s="13" t="n">
        <v>364.26</v>
      </c>
      <c r="R9" s="13" t="n">
        <v>364.26</v>
      </c>
      <c r="S9" s="13" t="n">
        <v>364.26</v>
      </c>
      <c r="T9" s="13" t="n">
        <v>364.26</v>
      </c>
      <c r="U9" s="13" t="n">
        <v>350</v>
      </c>
      <c r="V9" s="13" t="n">
        <v>0</v>
      </c>
      <c r="W9" s="13" t="n">
        <f aca="false">U9+V9</f>
        <v>350</v>
      </c>
    </row>
    <row r="10" customFormat="false" ht="15" hidden="false" customHeight="false" outlineLevel="0" collapsed="false">
      <c r="A10" s="14" t="s">
        <v>2663</v>
      </c>
      <c r="B10" s="14" t="s">
        <v>2664</v>
      </c>
      <c r="C10" s="14" t="s">
        <v>876</v>
      </c>
      <c r="D10" s="14" t="s">
        <v>89</v>
      </c>
      <c r="E10" s="15" t="n">
        <v>580000</v>
      </c>
      <c r="F10" s="15" t="n">
        <v>10907.93</v>
      </c>
      <c r="G10" s="15" t="n">
        <v>1363.49</v>
      </c>
      <c r="H10" s="15" t="n">
        <v>1363.49</v>
      </c>
      <c r="I10" s="15" t="n">
        <f aca="false">SUM(K10:T10)</f>
        <v>8180.9</v>
      </c>
      <c r="J10" s="15" t="n">
        <f aca="false">F10-(G10+H10+I10)</f>
        <v>0.0499999999992724</v>
      </c>
      <c r="K10" s="15" t="n">
        <v>818.09</v>
      </c>
      <c r="L10" s="15" t="n">
        <v>818.09</v>
      </c>
      <c r="M10" s="15" t="n">
        <v>818.09</v>
      </c>
      <c r="N10" s="15" t="n">
        <v>818.09</v>
      </c>
      <c r="O10" s="15" t="n">
        <v>818.09</v>
      </c>
      <c r="P10" s="15" t="n">
        <v>818.09</v>
      </c>
      <c r="Q10" s="15" t="n">
        <v>818.09</v>
      </c>
      <c r="R10" s="15" t="n">
        <v>818.09</v>
      </c>
      <c r="S10" s="15" t="n">
        <v>818.09</v>
      </c>
      <c r="T10" s="15" t="n">
        <v>818.09</v>
      </c>
      <c r="U10" s="15" t="n">
        <v>350</v>
      </c>
      <c r="V10" s="15" t="n">
        <v>0</v>
      </c>
      <c r="W10" s="15" t="n">
        <f aca="false">U10+V10</f>
        <v>350</v>
      </c>
    </row>
    <row r="11" customFormat="false" ht="15" hidden="false" customHeight="false" outlineLevel="0" collapsed="false">
      <c r="A11" s="3" t="s">
        <v>2665</v>
      </c>
      <c r="B11" s="3" t="s">
        <v>2666</v>
      </c>
      <c r="C11" s="3" t="s">
        <v>1048</v>
      </c>
      <c r="D11" s="3" t="s">
        <v>132</v>
      </c>
      <c r="E11" s="13" t="n">
        <v>515000</v>
      </c>
      <c r="F11" s="13" t="n">
        <v>4908.83</v>
      </c>
      <c r="G11" s="13" t="n">
        <v>613.6</v>
      </c>
      <c r="H11" s="13" t="n">
        <v>613.6</v>
      </c>
      <c r="I11" s="13" t="n">
        <f aca="false">SUM(K11:T11)</f>
        <v>3681.6</v>
      </c>
      <c r="J11" s="13" t="n">
        <f aca="false">F11-(G11+H11+I11)</f>
        <v>0.0299999999997453</v>
      </c>
      <c r="K11" s="13" t="n">
        <v>368.16</v>
      </c>
      <c r="L11" s="13" t="n">
        <v>368.16</v>
      </c>
      <c r="M11" s="13" t="n">
        <v>368.16</v>
      </c>
      <c r="N11" s="13" t="n">
        <v>368.16</v>
      </c>
      <c r="O11" s="13" t="n">
        <v>368.16</v>
      </c>
      <c r="P11" s="13" t="n">
        <v>368.16</v>
      </c>
      <c r="Q11" s="13" t="n">
        <v>368.16</v>
      </c>
      <c r="R11" s="13" t="n">
        <v>368.16</v>
      </c>
      <c r="S11" s="13" t="n">
        <v>368.16</v>
      </c>
      <c r="T11" s="13" t="n">
        <v>368.16</v>
      </c>
      <c r="U11" s="13" t="n">
        <v>350</v>
      </c>
      <c r="V11" s="13" t="n">
        <v>0</v>
      </c>
      <c r="W11" s="13" t="n">
        <f aca="false">U11+V11</f>
        <v>350</v>
      </c>
    </row>
    <row r="12" customFormat="false" ht="15" hidden="false" customHeight="false" outlineLevel="0" collapsed="false">
      <c r="A12" s="14" t="s">
        <v>2667</v>
      </c>
      <c r="B12" s="14" t="s">
        <v>2668</v>
      </c>
      <c r="C12" s="14" t="s">
        <v>111</v>
      </c>
      <c r="D12" s="14" t="s">
        <v>89</v>
      </c>
      <c r="E12" s="15" t="n">
        <v>415000</v>
      </c>
      <c r="F12" s="15" t="n">
        <v>6161.7</v>
      </c>
      <c r="G12" s="15" t="n">
        <v>770.21</v>
      </c>
      <c r="H12" s="15" t="n">
        <v>770.21</v>
      </c>
      <c r="I12" s="15" t="n">
        <f aca="false">SUM(K12:T12)</f>
        <v>4621.3</v>
      </c>
      <c r="J12" s="15" t="n">
        <f aca="false">F12-(G12+H12+I12)</f>
        <v>-0.0200000000004366</v>
      </c>
      <c r="K12" s="15" t="n">
        <v>462.13</v>
      </c>
      <c r="L12" s="15" t="n">
        <v>462.13</v>
      </c>
      <c r="M12" s="15" t="n">
        <v>462.13</v>
      </c>
      <c r="N12" s="15" t="n">
        <v>462.13</v>
      </c>
      <c r="O12" s="15" t="n">
        <v>462.13</v>
      </c>
      <c r="P12" s="15" t="n">
        <v>462.13</v>
      </c>
      <c r="Q12" s="15" t="n">
        <v>462.13</v>
      </c>
      <c r="R12" s="15" t="n">
        <v>462.13</v>
      </c>
      <c r="S12" s="15" t="n">
        <v>462.13</v>
      </c>
      <c r="T12" s="15" t="n">
        <v>462.13</v>
      </c>
      <c r="U12" s="15" t="n">
        <v>350</v>
      </c>
      <c r="V12" s="15" t="n">
        <v>0</v>
      </c>
      <c r="W12" s="15" t="n">
        <f aca="false">U12+V12</f>
        <v>350</v>
      </c>
    </row>
    <row r="13" customFormat="false" ht="15" hidden="false" customHeight="false" outlineLevel="0" collapsed="false">
      <c r="A13" s="3" t="s">
        <v>2669</v>
      </c>
      <c r="B13" s="3" t="s">
        <v>2670</v>
      </c>
      <c r="C13" s="3" t="s">
        <v>602</v>
      </c>
      <c r="D13" s="3" t="s">
        <v>112</v>
      </c>
      <c r="E13" s="13" t="n">
        <v>1950000</v>
      </c>
      <c r="F13" s="13" t="n">
        <v>9236.21</v>
      </c>
      <c r="G13" s="13" t="n">
        <v>1154.53</v>
      </c>
      <c r="H13" s="13" t="n">
        <v>1154.53</v>
      </c>
      <c r="I13" s="13" t="n">
        <f aca="false">SUM(K13:T13)</f>
        <v>6927.2</v>
      </c>
      <c r="J13" s="13" t="n">
        <f aca="false">F13-(G13+H13+I13)</f>
        <v>-0.0500000000010914</v>
      </c>
      <c r="K13" s="13" t="n">
        <v>692.72</v>
      </c>
      <c r="L13" s="13" t="n">
        <v>692.72</v>
      </c>
      <c r="M13" s="13" t="n">
        <v>692.72</v>
      </c>
      <c r="N13" s="13" t="n">
        <v>692.72</v>
      </c>
      <c r="O13" s="13" t="n">
        <v>692.72</v>
      </c>
      <c r="P13" s="13" t="n">
        <v>692.72</v>
      </c>
      <c r="Q13" s="13" t="n">
        <v>692.72</v>
      </c>
      <c r="R13" s="13" t="n">
        <v>692.72</v>
      </c>
      <c r="S13" s="13" t="n">
        <v>692.72</v>
      </c>
      <c r="T13" s="13" t="n">
        <v>692.72</v>
      </c>
      <c r="U13" s="13" t="n">
        <v>350</v>
      </c>
      <c r="V13" s="13" t="n">
        <v>250</v>
      </c>
      <c r="W13" s="13" t="n">
        <f aca="false">U13+V13</f>
        <v>600</v>
      </c>
    </row>
    <row r="14" customFormat="false" ht="15" hidden="false" customHeight="false" outlineLevel="0" collapsed="false">
      <c r="A14" s="14" t="s">
        <v>2671</v>
      </c>
      <c r="B14" s="14" t="s">
        <v>2655</v>
      </c>
      <c r="C14" s="14" t="s">
        <v>582</v>
      </c>
      <c r="D14" s="14" t="s">
        <v>911</v>
      </c>
      <c r="E14" s="15" t="n">
        <v>375000</v>
      </c>
      <c r="F14" s="15" t="n">
        <v>4454.23</v>
      </c>
      <c r="G14" s="15" t="n">
        <v>556.78</v>
      </c>
      <c r="H14" s="15" t="n">
        <v>556.78</v>
      </c>
      <c r="I14" s="15" t="n">
        <f aca="false">SUM(K14:T14)</f>
        <v>3340.7</v>
      </c>
      <c r="J14" s="15" t="n">
        <f aca="false">F14-(G14+H14+I14)</f>
        <v>-0.0300000000006548</v>
      </c>
      <c r="K14" s="15" t="n">
        <v>334.07</v>
      </c>
      <c r="L14" s="15" t="n">
        <v>334.07</v>
      </c>
      <c r="M14" s="15" t="n">
        <v>334.07</v>
      </c>
      <c r="N14" s="15" t="n">
        <v>334.07</v>
      </c>
      <c r="O14" s="15" t="n">
        <v>334.07</v>
      </c>
      <c r="P14" s="15" t="n">
        <v>334.07</v>
      </c>
      <c r="Q14" s="15" t="n">
        <v>334.07</v>
      </c>
      <c r="R14" s="15" t="n">
        <v>334.07</v>
      </c>
      <c r="S14" s="15" t="n">
        <v>334.07</v>
      </c>
      <c r="T14" s="15" t="n">
        <v>334.07</v>
      </c>
      <c r="U14" s="15" t="n">
        <v>350</v>
      </c>
      <c r="V14" s="15" t="n">
        <v>0</v>
      </c>
      <c r="W14" s="15" t="n">
        <f aca="false">U14+V14</f>
        <v>350</v>
      </c>
    </row>
    <row r="15" customFormat="false" ht="15" hidden="false" customHeight="false" outlineLevel="0" collapsed="false">
      <c r="A15" s="3" t="s">
        <v>2672</v>
      </c>
      <c r="B15" s="3" t="s">
        <v>2657</v>
      </c>
      <c r="C15" s="3" t="s">
        <v>443</v>
      </c>
      <c r="D15" s="3" t="s">
        <v>430</v>
      </c>
      <c r="E15" s="13" t="n">
        <v>610000</v>
      </c>
      <c r="F15" s="13" t="n">
        <v>8412.89</v>
      </c>
      <c r="G15" s="13" t="n">
        <v>1051.61</v>
      </c>
      <c r="H15" s="13" t="n">
        <v>1051.61</v>
      </c>
      <c r="I15" s="13" t="n">
        <f aca="false">SUM(K15:T15)</f>
        <v>6309.7</v>
      </c>
      <c r="J15" s="13" t="n">
        <f aca="false">F15-(G15+H15+I15)</f>
        <v>-0.0300000000006548</v>
      </c>
      <c r="K15" s="13" t="n">
        <v>630.97</v>
      </c>
      <c r="L15" s="13" t="n">
        <v>630.97</v>
      </c>
      <c r="M15" s="13" t="n">
        <v>630.97</v>
      </c>
      <c r="N15" s="13" t="n">
        <v>630.97</v>
      </c>
      <c r="O15" s="13" t="n">
        <v>630.97</v>
      </c>
      <c r="P15" s="13" t="n">
        <v>630.97</v>
      </c>
      <c r="Q15" s="13" t="n">
        <v>630.97</v>
      </c>
      <c r="R15" s="13" t="n">
        <v>630.97</v>
      </c>
      <c r="S15" s="13" t="n">
        <v>630.97</v>
      </c>
      <c r="T15" s="13" t="n">
        <v>630.97</v>
      </c>
      <c r="U15" s="13" t="n">
        <v>350</v>
      </c>
      <c r="V15" s="13" t="n">
        <v>0</v>
      </c>
      <c r="W15" s="13" t="n">
        <f aca="false">U15+V15</f>
        <v>350</v>
      </c>
    </row>
    <row r="16" customFormat="false" ht="15" hidden="false" customHeight="false" outlineLevel="0" collapsed="false">
      <c r="A16" s="14" t="s">
        <v>2673</v>
      </c>
      <c r="B16" s="14" t="s">
        <v>2674</v>
      </c>
      <c r="C16" s="14" t="s">
        <v>1299</v>
      </c>
      <c r="D16" s="14" t="s">
        <v>246</v>
      </c>
      <c r="E16" s="15" t="n">
        <v>255000</v>
      </c>
      <c r="F16" s="15" t="n">
        <v>3365.42</v>
      </c>
      <c r="G16" s="15" t="n">
        <v>420.68</v>
      </c>
      <c r="H16" s="15" t="n">
        <v>420.68</v>
      </c>
      <c r="I16" s="15" t="n">
        <f aca="false">SUM(K16:T16)</f>
        <v>2524.1</v>
      </c>
      <c r="J16" s="15" t="n">
        <f aca="false">F16-(G16+H16+I16)</f>
        <v>-0.0399999999999636</v>
      </c>
      <c r="K16" s="15" t="n">
        <v>252.41</v>
      </c>
      <c r="L16" s="15" t="n">
        <v>252.41</v>
      </c>
      <c r="M16" s="15" t="n">
        <v>252.41</v>
      </c>
      <c r="N16" s="15" t="n">
        <v>252.41</v>
      </c>
      <c r="O16" s="15" t="n">
        <v>252.41</v>
      </c>
      <c r="P16" s="15" t="n">
        <v>252.41</v>
      </c>
      <c r="Q16" s="15" t="n">
        <v>252.41</v>
      </c>
      <c r="R16" s="15" t="n">
        <v>252.41</v>
      </c>
      <c r="S16" s="15" t="n">
        <v>252.41</v>
      </c>
      <c r="T16" s="15" t="n">
        <v>252.41</v>
      </c>
      <c r="U16" s="15" t="n">
        <v>350</v>
      </c>
      <c r="V16" s="15" t="n">
        <v>0</v>
      </c>
      <c r="W16" s="15" t="n">
        <f aca="false">U16+V16</f>
        <v>350</v>
      </c>
    </row>
    <row r="17" customFormat="false" ht="15" hidden="false" customHeight="false" outlineLevel="0" collapsed="false">
      <c r="A17" s="3" t="s">
        <v>2675</v>
      </c>
      <c r="B17" s="3" t="s">
        <v>2657</v>
      </c>
      <c r="C17" s="3" t="s">
        <v>1088</v>
      </c>
      <c r="D17" s="3" t="s">
        <v>118</v>
      </c>
      <c r="E17" s="13" t="n">
        <v>215000</v>
      </c>
      <c r="F17" s="13" t="n">
        <v>3567.7</v>
      </c>
      <c r="G17" s="13" t="n">
        <v>445.96</v>
      </c>
      <c r="H17" s="13" t="n">
        <v>445.96</v>
      </c>
      <c r="I17" s="13" t="n">
        <f aca="false">SUM(K17:T17)</f>
        <v>2675.8</v>
      </c>
      <c r="J17" s="13" t="n">
        <f aca="false">F17-(G17+H17+I17)</f>
        <v>-0.0199999999999818</v>
      </c>
      <c r="K17" s="13" t="n">
        <v>267.58</v>
      </c>
      <c r="L17" s="13" t="n">
        <v>267.58</v>
      </c>
      <c r="M17" s="13" t="n">
        <v>267.58</v>
      </c>
      <c r="N17" s="13" t="n">
        <v>267.58</v>
      </c>
      <c r="O17" s="13" t="n">
        <v>267.58</v>
      </c>
      <c r="P17" s="13" t="n">
        <v>267.58</v>
      </c>
      <c r="Q17" s="13" t="n">
        <v>267.58</v>
      </c>
      <c r="R17" s="13" t="n">
        <v>267.58</v>
      </c>
      <c r="S17" s="13" t="n">
        <v>267.58</v>
      </c>
      <c r="T17" s="13" t="n">
        <v>267.58</v>
      </c>
      <c r="U17" s="13" t="n">
        <v>350</v>
      </c>
      <c r="V17" s="13" t="n">
        <v>0</v>
      </c>
      <c r="W17" s="13" t="n">
        <f aca="false">U17+V17</f>
        <v>350</v>
      </c>
    </row>
    <row r="18" customFormat="false" ht="15" hidden="false" customHeight="false" outlineLevel="0" collapsed="false">
      <c r="A18" s="14" t="s">
        <v>2676</v>
      </c>
      <c r="B18" s="14" t="s">
        <v>2677</v>
      </c>
      <c r="C18" s="14" t="s">
        <v>376</v>
      </c>
      <c r="D18" s="14" t="s">
        <v>85</v>
      </c>
      <c r="E18" s="15" t="n">
        <v>140000</v>
      </c>
      <c r="F18" s="15" t="n">
        <v>2625.35</v>
      </c>
      <c r="G18" s="15" t="n">
        <v>328.17</v>
      </c>
      <c r="H18" s="15" t="n">
        <v>328.17</v>
      </c>
      <c r="I18" s="15" t="n">
        <f aca="false">SUM(K18:T18)</f>
        <v>1969</v>
      </c>
      <c r="J18" s="15" t="n">
        <f aca="false">F18-(G18+H18+I18)</f>
        <v>0.00999999999976353</v>
      </c>
      <c r="K18" s="15" t="n">
        <v>196.9</v>
      </c>
      <c r="L18" s="15" t="n">
        <v>196.9</v>
      </c>
      <c r="M18" s="15" t="n">
        <v>196.9</v>
      </c>
      <c r="N18" s="15" t="n">
        <v>196.9</v>
      </c>
      <c r="O18" s="15" t="n">
        <v>196.9</v>
      </c>
      <c r="P18" s="15" t="n">
        <v>196.9</v>
      </c>
      <c r="Q18" s="15" t="n">
        <v>196.9</v>
      </c>
      <c r="R18" s="15" t="n">
        <v>196.9</v>
      </c>
      <c r="S18" s="15" t="n">
        <v>196.9</v>
      </c>
      <c r="T18" s="15" t="n">
        <v>196.9</v>
      </c>
      <c r="U18" s="15" t="n">
        <v>350</v>
      </c>
      <c r="V18" s="15" t="n">
        <v>0</v>
      </c>
      <c r="W18" s="15" t="n">
        <f aca="false">U18+V18</f>
        <v>350</v>
      </c>
    </row>
    <row r="19" customFormat="false" ht="15" hidden="false" customHeight="false" outlineLevel="0" collapsed="false">
      <c r="A19" s="3" t="s">
        <v>2678</v>
      </c>
      <c r="B19" s="3" t="s">
        <v>2662</v>
      </c>
      <c r="C19" s="3" t="s">
        <v>1146</v>
      </c>
      <c r="D19" s="3" t="s">
        <v>189</v>
      </c>
      <c r="E19" s="13" t="n">
        <v>1405000</v>
      </c>
      <c r="F19" s="13" t="n">
        <v>12464.9</v>
      </c>
      <c r="G19" s="13" t="n">
        <v>1558.11</v>
      </c>
      <c r="H19" s="13" t="n">
        <v>1558.11</v>
      </c>
      <c r="I19" s="13" t="n">
        <f aca="false">SUM(K19:T19)</f>
        <v>9348.7</v>
      </c>
      <c r="J19" s="13" t="n">
        <f aca="false">F19-(G19+H19+I19)</f>
        <v>-0.0200000000004366</v>
      </c>
      <c r="K19" s="13" t="n">
        <v>934.87</v>
      </c>
      <c r="L19" s="13" t="n">
        <v>934.87</v>
      </c>
      <c r="M19" s="13" t="n">
        <v>934.87</v>
      </c>
      <c r="N19" s="13" t="n">
        <v>934.87</v>
      </c>
      <c r="O19" s="13" t="n">
        <v>934.87</v>
      </c>
      <c r="P19" s="13" t="n">
        <v>934.87</v>
      </c>
      <c r="Q19" s="13" t="n">
        <v>934.87</v>
      </c>
      <c r="R19" s="13" t="n">
        <v>934.87</v>
      </c>
      <c r="S19" s="13" t="n">
        <v>934.87</v>
      </c>
      <c r="T19" s="13" t="n">
        <v>934.87</v>
      </c>
      <c r="U19" s="13" t="n">
        <v>350</v>
      </c>
      <c r="V19" s="13" t="n">
        <v>250</v>
      </c>
      <c r="W19" s="13" t="n">
        <f aca="false">U19+V19</f>
        <v>600</v>
      </c>
    </row>
    <row r="20" customFormat="false" ht="15" hidden="false" customHeight="false" outlineLevel="0" collapsed="false">
      <c r="A20" s="14" t="s">
        <v>2679</v>
      </c>
      <c r="B20" s="14" t="s">
        <v>2680</v>
      </c>
      <c r="C20" s="14" t="s">
        <v>942</v>
      </c>
      <c r="D20" s="14" t="s">
        <v>382</v>
      </c>
      <c r="E20" s="15" t="n">
        <v>380000</v>
      </c>
      <c r="F20" s="15" t="n">
        <v>7177.22</v>
      </c>
      <c r="G20" s="15" t="n">
        <v>897.15</v>
      </c>
      <c r="H20" s="15" t="n">
        <v>897.15</v>
      </c>
      <c r="I20" s="15" t="n">
        <f aca="false">SUM(K20:T20)</f>
        <v>5382.9</v>
      </c>
      <c r="J20" s="15" t="n">
        <f aca="false">F20-(G20+H20+I20)</f>
        <v>0.0200000000004366</v>
      </c>
      <c r="K20" s="15" t="n">
        <v>538.29</v>
      </c>
      <c r="L20" s="15" t="n">
        <v>538.29</v>
      </c>
      <c r="M20" s="15" t="n">
        <v>538.29</v>
      </c>
      <c r="N20" s="15" t="n">
        <v>538.29</v>
      </c>
      <c r="O20" s="15" t="n">
        <v>538.29</v>
      </c>
      <c r="P20" s="15" t="n">
        <v>538.29</v>
      </c>
      <c r="Q20" s="15" t="n">
        <v>538.29</v>
      </c>
      <c r="R20" s="15" t="n">
        <v>538.29</v>
      </c>
      <c r="S20" s="15" t="n">
        <v>538.29</v>
      </c>
      <c r="T20" s="15" t="n">
        <v>538.29</v>
      </c>
      <c r="U20" s="15" t="n">
        <v>350</v>
      </c>
      <c r="V20" s="15" t="n">
        <v>0</v>
      </c>
      <c r="W20" s="15" t="n">
        <f aca="false">U20+V20</f>
        <v>350</v>
      </c>
    </row>
    <row r="21" customFormat="false" ht="15" hidden="false" customHeight="false" outlineLevel="0" collapsed="false">
      <c r="A21" s="3" t="s">
        <v>2681</v>
      </c>
      <c r="B21" s="3" t="s">
        <v>2682</v>
      </c>
      <c r="C21" s="3" t="s">
        <v>1063</v>
      </c>
      <c r="D21" s="3" t="s">
        <v>115</v>
      </c>
      <c r="E21" s="13" t="n">
        <v>235000</v>
      </c>
      <c r="F21" s="13" t="n">
        <v>4184.91</v>
      </c>
      <c r="G21" s="13" t="n">
        <v>523.11</v>
      </c>
      <c r="H21" s="13" t="n">
        <v>523.11</v>
      </c>
      <c r="I21" s="13" t="n">
        <f aca="false">SUM(K21:T21)</f>
        <v>3138.7</v>
      </c>
      <c r="J21" s="13" t="n">
        <f aca="false">F21-(G21+H21+I21)</f>
        <v>-0.0100000000002183</v>
      </c>
      <c r="K21" s="13" t="n">
        <v>313.87</v>
      </c>
      <c r="L21" s="13" t="n">
        <v>313.87</v>
      </c>
      <c r="M21" s="13" t="n">
        <v>313.87</v>
      </c>
      <c r="N21" s="13" t="n">
        <v>313.87</v>
      </c>
      <c r="O21" s="13" t="n">
        <v>313.87</v>
      </c>
      <c r="P21" s="13" t="n">
        <v>313.87</v>
      </c>
      <c r="Q21" s="13" t="n">
        <v>313.87</v>
      </c>
      <c r="R21" s="13" t="n">
        <v>313.87</v>
      </c>
      <c r="S21" s="13" t="n">
        <v>313.87</v>
      </c>
      <c r="T21" s="13" t="n">
        <v>313.87</v>
      </c>
      <c r="U21" s="13" t="n">
        <v>350</v>
      </c>
      <c r="V21" s="13" t="n">
        <v>0</v>
      </c>
      <c r="W21" s="13" t="n">
        <f aca="false">U21+V21</f>
        <v>350</v>
      </c>
    </row>
    <row r="22" customFormat="false" ht="15" hidden="false" customHeight="false" outlineLevel="0" collapsed="false">
      <c r="A22" s="14" t="s">
        <v>2683</v>
      </c>
      <c r="B22" s="14" t="s">
        <v>2660</v>
      </c>
      <c r="C22" s="14" t="s">
        <v>831</v>
      </c>
      <c r="D22" s="14" t="s">
        <v>85</v>
      </c>
      <c r="E22" s="15" t="n">
        <v>1095000</v>
      </c>
      <c r="F22" s="15" t="n">
        <v>8481.44</v>
      </c>
      <c r="G22" s="15" t="n">
        <v>1060.18</v>
      </c>
      <c r="H22" s="15" t="n">
        <v>1060.18</v>
      </c>
      <c r="I22" s="15" t="n">
        <f aca="false">SUM(K22:T22)</f>
        <v>6361.1</v>
      </c>
      <c r="J22" s="15" t="n">
        <f aca="false">F22-(G22+H22+I22)</f>
        <v>-0.0199999999986176</v>
      </c>
      <c r="K22" s="15" t="n">
        <v>636.11</v>
      </c>
      <c r="L22" s="15" t="n">
        <v>636.11</v>
      </c>
      <c r="M22" s="15" t="n">
        <v>636.11</v>
      </c>
      <c r="N22" s="15" t="n">
        <v>636.11</v>
      </c>
      <c r="O22" s="15" t="n">
        <v>636.11</v>
      </c>
      <c r="P22" s="15" t="n">
        <v>636.11</v>
      </c>
      <c r="Q22" s="15" t="n">
        <v>636.11</v>
      </c>
      <c r="R22" s="15" t="n">
        <v>636.11</v>
      </c>
      <c r="S22" s="15" t="n">
        <v>636.11</v>
      </c>
      <c r="T22" s="15" t="n">
        <v>636.11</v>
      </c>
      <c r="U22" s="15" t="n">
        <v>350</v>
      </c>
      <c r="V22" s="15" t="n">
        <v>250</v>
      </c>
      <c r="W22" s="15" t="n">
        <f aca="false">U22+V22</f>
        <v>600</v>
      </c>
    </row>
    <row r="23" customFormat="false" ht="15" hidden="false" customHeight="false" outlineLevel="0" collapsed="false">
      <c r="A23" s="3" t="s">
        <v>2684</v>
      </c>
      <c r="B23" s="3" t="s">
        <v>2685</v>
      </c>
      <c r="C23" s="3" t="s">
        <v>793</v>
      </c>
      <c r="D23" s="3" t="s">
        <v>172</v>
      </c>
      <c r="E23" s="13" t="n">
        <v>330000</v>
      </c>
      <c r="F23" s="13" t="n">
        <v>4428.81</v>
      </c>
      <c r="G23" s="13" t="n">
        <v>553.6</v>
      </c>
      <c r="H23" s="13" t="n">
        <v>553.6</v>
      </c>
      <c r="I23" s="13" t="n">
        <f aca="false">SUM(K23:T23)</f>
        <v>3321.6</v>
      </c>
      <c r="J23" s="13" t="n">
        <f aca="false">F23-(G23+H23+I23)</f>
        <v>0.0100000000002183</v>
      </c>
      <c r="K23" s="13" t="n">
        <v>332.16</v>
      </c>
      <c r="L23" s="13" t="n">
        <v>332.16</v>
      </c>
      <c r="M23" s="13" t="n">
        <v>332.16</v>
      </c>
      <c r="N23" s="13" t="n">
        <v>332.16</v>
      </c>
      <c r="O23" s="13" t="n">
        <v>332.16</v>
      </c>
      <c r="P23" s="13" t="n">
        <v>332.16</v>
      </c>
      <c r="Q23" s="13" t="n">
        <v>332.16</v>
      </c>
      <c r="R23" s="13" t="n">
        <v>332.16</v>
      </c>
      <c r="S23" s="13" t="n">
        <v>332.16</v>
      </c>
      <c r="T23" s="13" t="n">
        <v>332.16</v>
      </c>
      <c r="U23" s="13" t="n">
        <v>350</v>
      </c>
      <c r="V23" s="13" t="n">
        <v>0</v>
      </c>
      <c r="W23" s="13" t="n">
        <f aca="false">U23+V23</f>
        <v>350</v>
      </c>
    </row>
    <row r="24" customFormat="false" ht="15" hidden="false" customHeight="false" outlineLevel="0" collapsed="false">
      <c r="A24" s="14" t="s">
        <v>2686</v>
      </c>
      <c r="B24" s="14" t="s">
        <v>2666</v>
      </c>
      <c r="C24" s="14" t="s">
        <v>2342</v>
      </c>
      <c r="D24" s="14" t="s">
        <v>125</v>
      </c>
      <c r="E24" s="15" t="n">
        <v>445000</v>
      </c>
      <c r="F24" s="15" t="n">
        <v>4698.39</v>
      </c>
      <c r="G24" s="15" t="n">
        <v>587.3</v>
      </c>
      <c r="H24" s="15" t="n">
        <v>587.3</v>
      </c>
      <c r="I24" s="15" t="n">
        <f aca="false">SUM(K24:T24)</f>
        <v>3523.8</v>
      </c>
      <c r="J24" s="15" t="n">
        <f aca="false">F24-(G24+H24+I24)</f>
        <v>-0.00999999999930878</v>
      </c>
      <c r="K24" s="15" t="n">
        <v>352.38</v>
      </c>
      <c r="L24" s="15" t="n">
        <v>352.38</v>
      </c>
      <c r="M24" s="15" t="n">
        <v>352.38</v>
      </c>
      <c r="N24" s="15" t="n">
        <v>352.38</v>
      </c>
      <c r="O24" s="15" t="n">
        <v>352.38</v>
      </c>
      <c r="P24" s="15" t="n">
        <v>352.38</v>
      </c>
      <c r="Q24" s="15" t="n">
        <v>352.38</v>
      </c>
      <c r="R24" s="15" t="n">
        <v>352.38</v>
      </c>
      <c r="S24" s="15" t="n">
        <v>352.38</v>
      </c>
      <c r="T24" s="15" t="n">
        <v>352.38</v>
      </c>
      <c r="U24" s="15" t="n">
        <v>350</v>
      </c>
      <c r="V24" s="15" t="n">
        <v>0</v>
      </c>
      <c r="W24" s="15" t="n">
        <f aca="false">U24+V24</f>
        <v>350</v>
      </c>
    </row>
    <row r="25" customFormat="false" ht="15" hidden="false" customHeight="false" outlineLevel="0" collapsed="false">
      <c r="A25" s="3" t="s">
        <v>2687</v>
      </c>
      <c r="B25" s="3" t="s">
        <v>2688</v>
      </c>
      <c r="C25" s="3" t="s">
        <v>221</v>
      </c>
      <c r="D25" s="3" t="s">
        <v>312</v>
      </c>
      <c r="E25" s="13" t="n">
        <v>320000</v>
      </c>
      <c r="F25" s="13" t="n">
        <v>5990.01</v>
      </c>
      <c r="G25" s="13" t="n">
        <v>748.75</v>
      </c>
      <c r="H25" s="13" t="n">
        <v>748.75</v>
      </c>
      <c r="I25" s="13" t="n">
        <f aca="false">SUM(K25:T25)</f>
        <v>4492.5</v>
      </c>
      <c r="J25" s="13" t="n">
        <f aca="false">F25-(G25+H25+I25)</f>
        <v>0.0100000000002183</v>
      </c>
      <c r="K25" s="13" t="n">
        <v>449.25</v>
      </c>
      <c r="L25" s="13" t="n">
        <v>449.25</v>
      </c>
      <c r="M25" s="13" t="n">
        <v>449.25</v>
      </c>
      <c r="N25" s="13" t="n">
        <v>449.25</v>
      </c>
      <c r="O25" s="13" t="n">
        <v>449.25</v>
      </c>
      <c r="P25" s="13" t="n">
        <v>449.25</v>
      </c>
      <c r="Q25" s="13" t="n">
        <v>449.25</v>
      </c>
      <c r="R25" s="13" t="n">
        <v>449.25</v>
      </c>
      <c r="S25" s="13" t="n">
        <v>449.25</v>
      </c>
      <c r="T25" s="13" t="n">
        <v>449.25</v>
      </c>
      <c r="U25" s="13" t="n">
        <v>350</v>
      </c>
      <c r="V25" s="13" t="n">
        <v>0</v>
      </c>
      <c r="W25" s="13" t="n">
        <f aca="false">U25+V25</f>
        <v>350</v>
      </c>
    </row>
    <row r="26" customFormat="false" ht="15" hidden="false" customHeight="false" outlineLevel="0" collapsed="false">
      <c r="A26" s="14" t="s">
        <v>2689</v>
      </c>
      <c r="B26" s="14" t="s">
        <v>2690</v>
      </c>
      <c r="C26" s="14" t="s">
        <v>1116</v>
      </c>
      <c r="D26" s="14" t="s">
        <v>81</v>
      </c>
      <c r="E26" s="15" t="n">
        <v>600000</v>
      </c>
      <c r="F26" s="15" t="n">
        <v>7320.35</v>
      </c>
      <c r="G26" s="15" t="n">
        <v>915.04</v>
      </c>
      <c r="H26" s="15" t="n">
        <v>915.04</v>
      </c>
      <c r="I26" s="15" t="n">
        <f aca="false">SUM(K26:T26)</f>
        <v>5490.3</v>
      </c>
      <c r="J26" s="15" t="n">
        <f aca="false">F26-(G26+H26+I26)</f>
        <v>-0.0299999999988358</v>
      </c>
      <c r="K26" s="15" t="n">
        <v>549.03</v>
      </c>
      <c r="L26" s="15" t="n">
        <v>549.03</v>
      </c>
      <c r="M26" s="15" t="n">
        <v>549.03</v>
      </c>
      <c r="N26" s="15" t="n">
        <v>549.03</v>
      </c>
      <c r="O26" s="15" t="n">
        <v>549.03</v>
      </c>
      <c r="P26" s="15" t="n">
        <v>549.03</v>
      </c>
      <c r="Q26" s="15" t="n">
        <v>549.03</v>
      </c>
      <c r="R26" s="15" t="n">
        <v>549.03</v>
      </c>
      <c r="S26" s="15" t="n">
        <v>549.03</v>
      </c>
      <c r="T26" s="15" t="n">
        <v>549.03</v>
      </c>
      <c r="U26" s="15" t="n">
        <v>350</v>
      </c>
      <c r="V26" s="15" t="n">
        <v>0</v>
      </c>
      <c r="W26" s="15" t="n">
        <f aca="false">U26+V26</f>
        <v>350</v>
      </c>
    </row>
    <row r="27" customFormat="false" ht="15" hidden="false" customHeight="false" outlineLevel="0" collapsed="false">
      <c r="A27" s="3" t="s">
        <v>2691</v>
      </c>
      <c r="B27" s="3" t="s">
        <v>2670</v>
      </c>
      <c r="C27" s="3" t="s">
        <v>370</v>
      </c>
      <c r="D27" s="3" t="s">
        <v>93</v>
      </c>
      <c r="E27" s="13" t="n">
        <v>600000</v>
      </c>
      <c r="F27" s="13" t="n">
        <v>4279.59</v>
      </c>
      <c r="G27" s="13" t="n">
        <v>534.95</v>
      </c>
      <c r="H27" s="13" t="n">
        <v>534.95</v>
      </c>
      <c r="I27" s="13" t="n">
        <f aca="false">SUM(K27:T27)</f>
        <v>3209.7</v>
      </c>
      <c r="J27" s="13" t="n">
        <f aca="false">F27-(G27+H27+I27)</f>
        <v>-0.0100000000002183</v>
      </c>
      <c r="K27" s="13" t="n">
        <v>320.97</v>
      </c>
      <c r="L27" s="13" t="n">
        <v>320.97</v>
      </c>
      <c r="M27" s="13" t="n">
        <v>320.97</v>
      </c>
      <c r="N27" s="13" t="n">
        <v>320.97</v>
      </c>
      <c r="O27" s="13" t="n">
        <v>320.97</v>
      </c>
      <c r="P27" s="13" t="n">
        <v>320.97</v>
      </c>
      <c r="Q27" s="13" t="n">
        <v>320.97</v>
      </c>
      <c r="R27" s="13" t="n">
        <v>320.97</v>
      </c>
      <c r="S27" s="13" t="n">
        <v>320.97</v>
      </c>
      <c r="T27" s="13" t="n">
        <v>320.97</v>
      </c>
      <c r="U27" s="13" t="n">
        <v>350</v>
      </c>
      <c r="V27" s="13" t="n">
        <v>0</v>
      </c>
      <c r="W27" s="13" t="n">
        <f aca="false">U27+V27</f>
        <v>350</v>
      </c>
    </row>
    <row r="28" customFormat="false" ht="15" hidden="false" customHeight="false" outlineLevel="0" collapsed="false">
      <c r="A28" s="14" t="s">
        <v>2692</v>
      </c>
      <c r="B28" s="14" t="s">
        <v>2662</v>
      </c>
      <c r="C28" s="14" t="s">
        <v>1391</v>
      </c>
      <c r="D28" s="14" t="s">
        <v>147</v>
      </c>
      <c r="E28" s="15" t="n">
        <v>315000</v>
      </c>
      <c r="F28" s="15" t="n">
        <v>3706.92</v>
      </c>
      <c r="G28" s="15" t="n">
        <v>463.37</v>
      </c>
      <c r="H28" s="15" t="n">
        <v>463.37</v>
      </c>
      <c r="I28" s="15" t="n">
        <f aca="false">SUM(K28:T28)</f>
        <v>2780.2</v>
      </c>
      <c r="J28" s="15" t="n">
        <f aca="false">F28-(G28+H28+I28)</f>
        <v>-0.0199999999995271</v>
      </c>
      <c r="K28" s="15" t="n">
        <v>278.02</v>
      </c>
      <c r="L28" s="15" t="n">
        <v>278.02</v>
      </c>
      <c r="M28" s="15" t="n">
        <v>278.02</v>
      </c>
      <c r="N28" s="15" t="n">
        <v>278.02</v>
      </c>
      <c r="O28" s="15" t="n">
        <v>278.02</v>
      </c>
      <c r="P28" s="15" t="n">
        <v>278.02</v>
      </c>
      <c r="Q28" s="15" t="n">
        <v>278.02</v>
      </c>
      <c r="R28" s="15" t="n">
        <v>278.02</v>
      </c>
      <c r="S28" s="15" t="n">
        <v>278.02</v>
      </c>
      <c r="T28" s="15" t="n">
        <v>278.02</v>
      </c>
      <c r="U28" s="15" t="n">
        <v>350</v>
      </c>
      <c r="V28" s="15" t="n">
        <v>0</v>
      </c>
      <c r="W28" s="15" t="n">
        <f aca="false">U28+V28</f>
        <v>350</v>
      </c>
    </row>
    <row r="29" customFormat="false" ht="15" hidden="false" customHeight="false" outlineLevel="0" collapsed="false">
      <c r="A29" s="3" t="s">
        <v>2693</v>
      </c>
      <c r="B29" s="3" t="s">
        <v>2674</v>
      </c>
      <c r="C29" s="3" t="s">
        <v>381</v>
      </c>
      <c r="D29" s="3" t="s">
        <v>147</v>
      </c>
      <c r="E29" s="13" t="n">
        <v>1090000</v>
      </c>
      <c r="F29" s="13" t="n">
        <v>9406.54</v>
      </c>
      <c r="G29" s="13" t="n">
        <v>1175.82</v>
      </c>
      <c r="H29" s="13" t="n">
        <v>1175.82</v>
      </c>
      <c r="I29" s="13" t="n">
        <f aca="false">SUM(K29:T29)</f>
        <v>7054.9</v>
      </c>
      <c r="J29" s="13" t="n">
        <f aca="false">F29-(G29+H29+I29)</f>
        <v>0</v>
      </c>
      <c r="K29" s="13" t="n">
        <v>705.49</v>
      </c>
      <c r="L29" s="13" t="n">
        <v>705.49</v>
      </c>
      <c r="M29" s="13" t="n">
        <v>705.49</v>
      </c>
      <c r="N29" s="13" t="n">
        <v>705.49</v>
      </c>
      <c r="O29" s="13" t="n">
        <v>705.49</v>
      </c>
      <c r="P29" s="13" t="n">
        <v>705.49</v>
      </c>
      <c r="Q29" s="13" t="n">
        <v>705.49</v>
      </c>
      <c r="R29" s="13" t="n">
        <v>705.49</v>
      </c>
      <c r="S29" s="13" t="n">
        <v>705.49</v>
      </c>
      <c r="T29" s="13" t="n">
        <v>705.49</v>
      </c>
      <c r="U29" s="13" t="n">
        <v>350</v>
      </c>
      <c r="V29" s="13" t="n">
        <v>250</v>
      </c>
      <c r="W29" s="13" t="n">
        <f aca="false">U29+V29</f>
        <v>600</v>
      </c>
    </row>
    <row r="30" customFormat="false" ht="15" hidden="false" customHeight="false" outlineLevel="0" collapsed="false">
      <c r="A30" s="14" t="s">
        <v>2694</v>
      </c>
      <c r="B30" s="14" t="s">
        <v>2695</v>
      </c>
      <c r="C30" s="14" t="s">
        <v>1423</v>
      </c>
      <c r="D30" s="14" t="s">
        <v>325</v>
      </c>
      <c r="E30" s="15" t="n">
        <v>220000</v>
      </c>
      <c r="F30" s="15" t="n">
        <v>4095.88</v>
      </c>
      <c r="G30" s="15" t="n">
        <v>511.99</v>
      </c>
      <c r="H30" s="15" t="n">
        <v>511.99</v>
      </c>
      <c r="I30" s="15" t="n">
        <f aca="false">SUM(K30:T30)</f>
        <v>3071.9</v>
      </c>
      <c r="J30" s="15" t="n">
        <f aca="false">F30-(G30+H30+I30)</f>
        <v>0</v>
      </c>
      <c r="K30" s="15" t="n">
        <v>307.19</v>
      </c>
      <c r="L30" s="15" t="n">
        <v>307.19</v>
      </c>
      <c r="M30" s="15" t="n">
        <v>307.19</v>
      </c>
      <c r="N30" s="15" t="n">
        <v>307.19</v>
      </c>
      <c r="O30" s="15" t="n">
        <v>307.19</v>
      </c>
      <c r="P30" s="15" t="n">
        <v>307.19</v>
      </c>
      <c r="Q30" s="15" t="n">
        <v>307.19</v>
      </c>
      <c r="R30" s="15" t="n">
        <v>307.19</v>
      </c>
      <c r="S30" s="15" t="n">
        <v>307.19</v>
      </c>
      <c r="T30" s="15" t="n">
        <v>307.19</v>
      </c>
      <c r="U30" s="15" t="n">
        <v>350</v>
      </c>
      <c r="V30" s="15" t="n">
        <v>0</v>
      </c>
      <c r="W30" s="15" t="n">
        <f aca="false">U30+V30</f>
        <v>350</v>
      </c>
    </row>
    <row r="31" customFormat="false" ht="15" hidden="false" customHeight="false" outlineLevel="0" collapsed="false">
      <c r="A31" s="3" t="s">
        <v>2696</v>
      </c>
      <c r="B31" s="3" t="s">
        <v>2655</v>
      </c>
      <c r="C31" s="3" t="s">
        <v>987</v>
      </c>
      <c r="D31" s="3" t="s">
        <v>132</v>
      </c>
      <c r="E31" s="13" t="n">
        <v>480000</v>
      </c>
      <c r="F31" s="13" t="n">
        <v>6194.14</v>
      </c>
      <c r="G31" s="13" t="n">
        <v>774.27</v>
      </c>
      <c r="H31" s="13" t="n">
        <v>774.27</v>
      </c>
      <c r="I31" s="13" t="n">
        <f aca="false">SUM(K31:T31)</f>
        <v>4645.6</v>
      </c>
      <c r="J31" s="13" t="n">
        <f aca="false">F31-(G31+H31+I31)</f>
        <v>0</v>
      </c>
      <c r="K31" s="13" t="n">
        <v>464.56</v>
      </c>
      <c r="L31" s="13" t="n">
        <v>464.56</v>
      </c>
      <c r="M31" s="13" t="n">
        <v>464.56</v>
      </c>
      <c r="N31" s="13" t="n">
        <v>464.56</v>
      </c>
      <c r="O31" s="13" t="n">
        <v>464.56</v>
      </c>
      <c r="P31" s="13" t="n">
        <v>464.56</v>
      </c>
      <c r="Q31" s="13" t="n">
        <v>464.56</v>
      </c>
      <c r="R31" s="13" t="n">
        <v>464.56</v>
      </c>
      <c r="S31" s="13" t="n">
        <v>464.56</v>
      </c>
      <c r="T31" s="13" t="n">
        <v>464.56</v>
      </c>
      <c r="U31" s="13" t="n">
        <v>350</v>
      </c>
      <c r="V31" s="13" t="n">
        <v>0</v>
      </c>
      <c r="W31" s="13" t="n">
        <f aca="false">U31+V31</f>
        <v>350</v>
      </c>
    </row>
    <row r="32" customFormat="false" ht="15" hidden="false" customHeight="false" outlineLevel="0" collapsed="false">
      <c r="A32" s="14" t="s">
        <v>2697</v>
      </c>
      <c r="B32" s="14" t="s">
        <v>2698</v>
      </c>
      <c r="C32" s="14" t="s">
        <v>1960</v>
      </c>
      <c r="D32" s="14" t="s">
        <v>163</v>
      </c>
      <c r="E32" s="15" t="n">
        <v>1070000</v>
      </c>
      <c r="F32" s="15" t="n">
        <v>6081.69</v>
      </c>
      <c r="G32" s="15" t="n">
        <v>760.21</v>
      </c>
      <c r="H32" s="15" t="n">
        <v>760.21</v>
      </c>
      <c r="I32" s="15" t="n">
        <f aca="false">SUM(K32:T32)</f>
        <v>4561.3</v>
      </c>
      <c r="J32" s="15" t="n">
        <f aca="false">F32-(G32+H32+I32)</f>
        <v>-0.0300000000006548</v>
      </c>
      <c r="K32" s="15" t="n">
        <v>456.13</v>
      </c>
      <c r="L32" s="15" t="n">
        <v>456.13</v>
      </c>
      <c r="M32" s="15" t="n">
        <v>456.13</v>
      </c>
      <c r="N32" s="15" t="n">
        <v>456.13</v>
      </c>
      <c r="O32" s="15" t="n">
        <v>456.13</v>
      </c>
      <c r="P32" s="15" t="n">
        <v>456.13</v>
      </c>
      <c r="Q32" s="15" t="n">
        <v>456.13</v>
      </c>
      <c r="R32" s="15" t="n">
        <v>456.13</v>
      </c>
      <c r="S32" s="15" t="n">
        <v>456.13</v>
      </c>
      <c r="T32" s="15" t="n">
        <v>456.13</v>
      </c>
      <c r="U32" s="15" t="n">
        <v>350</v>
      </c>
      <c r="V32" s="15" t="n">
        <v>250</v>
      </c>
      <c r="W32" s="15" t="n">
        <f aca="false">U32+V32</f>
        <v>600</v>
      </c>
    </row>
    <row r="33" customFormat="false" ht="15" hidden="false" customHeight="false" outlineLevel="0" collapsed="false">
      <c r="A33" s="3" t="s">
        <v>2699</v>
      </c>
      <c r="B33" s="3" t="s">
        <v>2682</v>
      </c>
      <c r="C33" s="3" t="s">
        <v>2032</v>
      </c>
      <c r="D33" s="3" t="s">
        <v>89</v>
      </c>
      <c r="E33" s="13" t="n">
        <v>1060000</v>
      </c>
      <c r="F33" s="13" t="n">
        <v>11541.42</v>
      </c>
      <c r="G33" s="13" t="n">
        <v>1442.68</v>
      </c>
      <c r="H33" s="13" t="n">
        <v>1442.68</v>
      </c>
      <c r="I33" s="13" t="n">
        <f aca="false">SUM(K33:T33)</f>
        <v>8656.1</v>
      </c>
      <c r="J33" s="13" t="n">
        <f aca="false">F33-(G33+H33+I33)</f>
        <v>-0.0400000000008731</v>
      </c>
      <c r="K33" s="13" t="n">
        <v>865.61</v>
      </c>
      <c r="L33" s="13" t="n">
        <v>865.61</v>
      </c>
      <c r="M33" s="13" t="n">
        <v>865.61</v>
      </c>
      <c r="N33" s="13" t="n">
        <v>865.61</v>
      </c>
      <c r="O33" s="13" t="n">
        <v>865.61</v>
      </c>
      <c r="P33" s="13" t="n">
        <v>865.61</v>
      </c>
      <c r="Q33" s="13" t="n">
        <v>865.61</v>
      </c>
      <c r="R33" s="13" t="n">
        <v>865.61</v>
      </c>
      <c r="S33" s="13" t="n">
        <v>865.61</v>
      </c>
      <c r="T33" s="13" t="n">
        <v>865.61</v>
      </c>
      <c r="U33" s="13" t="n">
        <v>350</v>
      </c>
      <c r="V33" s="13" t="n">
        <v>250</v>
      </c>
      <c r="W33" s="13" t="n">
        <f aca="false">U33+V33</f>
        <v>600</v>
      </c>
    </row>
    <row r="34" customFormat="false" ht="15" hidden="false" customHeight="false" outlineLevel="0" collapsed="false">
      <c r="A34" s="14" t="s">
        <v>2700</v>
      </c>
      <c r="B34" s="14" t="s">
        <v>2670</v>
      </c>
      <c r="C34" s="14" t="s">
        <v>1150</v>
      </c>
      <c r="D34" s="14" t="s">
        <v>138</v>
      </c>
      <c r="E34" s="15" t="n">
        <v>1950000</v>
      </c>
      <c r="F34" s="15" t="n">
        <v>11180.68</v>
      </c>
      <c r="G34" s="15" t="n">
        <v>1397.59</v>
      </c>
      <c r="H34" s="15" t="n">
        <v>1397.59</v>
      </c>
      <c r="I34" s="15" t="n">
        <f aca="false">SUM(K34:T34)</f>
        <v>8385.5</v>
      </c>
      <c r="J34" s="15" t="n">
        <f aca="false">F34-(G34+H34+I34)</f>
        <v>0</v>
      </c>
      <c r="K34" s="15" t="n">
        <v>838.55</v>
      </c>
      <c r="L34" s="15" t="n">
        <v>838.55</v>
      </c>
      <c r="M34" s="15" t="n">
        <v>838.55</v>
      </c>
      <c r="N34" s="15" t="n">
        <v>838.55</v>
      </c>
      <c r="O34" s="15" t="n">
        <v>838.55</v>
      </c>
      <c r="P34" s="15" t="n">
        <v>838.55</v>
      </c>
      <c r="Q34" s="15" t="n">
        <v>838.55</v>
      </c>
      <c r="R34" s="15" t="n">
        <v>838.55</v>
      </c>
      <c r="S34" s="15" t="n">
        <v>838.55</v>
      </c>
      <c r="T34" s="15" t="n">
        <v>838.55</v>
      </c>
      <c r="U34" s="15" t="n">
        <v>350</v>
      </c>
      <c r="V34" s="15" t="n">
        <v>250</v>
      </c>
      <c r="W34" s="15" t="n">
        <f aca="false">U34+V34</f>
        <v>600</v>
      </c>
    </row>
    <row r="35" customFormat="false" ht="15" hidden="false" customHeight="false" outlineLevel="0" collapsed="false">
      <c r="A35" s="3" t="s">
        <v>2701</v>
      </c>
      <c r="B35" s="3" t="s">
        <v>2702</v>
      </c>
      <c r="C35" s="3" t="s">
        <v>1063</v>
      </c>
      <c r="D35" s="3" t="s">
        <v>89</v>
      </c>
      <c r="E35" s="13" t="n">
        <v>1070000</v>
      </c>
      <c r="F35" s="13" t="n">
        <v>11650.3</v>
      </c>
      <c r="G35" s="13" t="n">
        <v>1456.29</v>
      </c>
      <c r="H35" s="13" t="n">
        <v>1456.29</v>
      </c>
      <c r="I35" s="13" t="n">
        <f aca="false">SUM(K35:T35)</f>
        <v>8737.7</v>
      </c>
      <c r="J35" s="13" t="n">
        <f aca="false">F35-(G35+H35+I35)</f>
        <v>0.0199999999986176</v>
      </c>
      <c r="K35" s="13" t="n">
        <v>873.77</v>
      </c>
      <c r="L35" s="13" t="n">
        <v>873.77</v>
      </c>
      <c r="M35" s="13" t="n">
        <v>873.77</v>
      </c>
      <c r="N35" s="13" t="n">
        <v>873.77</v>
      </c>
      <c r="O35" s="13" t="n">
        <v>873.77</v>
      </c>
      <c r="P35" s="13" t="n">
        <v>873.77</v>
      </c>
      <c r="Q35" s="13" t="n">
        <v>873.77</v>
      </c>
      <c r="R35" s="13" t="n">
        <v>873.77</v>
      </c>
      <c r="S35" s="13" t="n">
        <v>873.77</v>
      </c>
      <c r="T35" s="13" t="n">
        <v>873.77</v>
      </c>
      <c r="U35" s="13" t="n">
        <v>350</v>
      </c>
      <c r="V35" s="13" t="n">
        <v>250</v>
      </c>
      <c r="W35" s="13" t="n">
        <f aca="false">U35+V35</f>
        <v>600</v>
      </c>
    </row>
    <row r="36" customFormat="false" ht="15" hidden="false" customHeight="false" outlineLevel="0" collapsed="false">
      <c r="A36" s="14" t="s">
        <v>2703</v>
      </c>
      <c r="B36" s="14" t="s">
        <v>2704</v>
      </c>
      <c r="C36" s="14" t="s">
        <v>1437</v>
      </c>
      <c r="D36" s="14" t="s">
        <v>89</v>
      </c>
      <c r="E36" s="15" t="n">
        <v>355000</v>
      </c>
      <c r="F36" s="15" t="n">
        <v>5270.85</v>
      </c>
      <c r="G36" s="15" t="n">
        <v>658.86</v>
      </c>
      <c r="H36" s="15" t="n">
        <v>658.86</v>
      </c>
      <c r="I36" s="15" t="n">
        <f aca="false">SUM(K36:T36)</f>
        <v>3953.1</v>
      </c>
      <c r="J36" s="15" t="n">
        <f aca="false">F36-(G36+H36+I36)</f>
        <v>0.0300000000006548</v>
      </c>
      <c r="K36" s="15" t="n">
        <v>395.31</v>
      </c>
      <c r="L36" s="15" t="n">
        <v>395.31</v>
      </c>
      <c r="M36" s="15" t="n">
        <v>395.31</v>
      </c>
      <c r="N36" s="15" t="n">
        <v>395.31</v>
      </c>
      <c r="O36" s="15" t="n">
        <v>395.31</v>
      </c>
      <c r="P36" s="15" t="n">
        <v>395.31</v>
      </c>
      <c r="Q36" s="15" t="n">
        <v>395.31</v>
      </c>
      <c r="R36" s="15" t="n">
        <v>395.31</v>
      </c>
      <c r="S36" s="15" t="n">
        <v>395.31</v>
      </c>
      <c r="T36" s="15" t="n">
        <v>395.31</v>
      </c>
      <c r="U36" s="15" t="n">
        <v>350</v>
      </c>
      <c r="V36" s="15" t="n">
        <v>0</v>
      </c>
      <c r="W36" s="15" t="n">
        <f aca="false">U36+V36</f>
        <v>350</v>
      </c>
    </row>
    <row r="37" customFormat="false" ht="15" hidden="false" customHeight="false" outlineLevel="0" collapsed="false">
      <c r="A37" s="3" t="s">
        <v>2705</v>
      </c>
      <c r="B37" s="3" t="s">
        <v>2657</v>
      </c>
      <c r="C37" s="3" t="s">
        <v>1492</v>
      </c>
      <c r="D37" s="3" t="s">
        <v>81</v>
      </c>
      <c r="E37" s="13" t="n">
        <v>1150000</v>
      </c>
      <c r="F37" s="13" t="n">
        <v>17268.51</v>
      </c>
      <c r="G37" s="13" t="n">
        <v>2158.56</v>
      </c>
      <c r="H37" s="13" t="n">
        <v>2158.56</v>
      </c>
      <c r="I37" s="13" t="n">
        <f aca="false">SUM(K37:T37)</f>
        <v>12951.4</v>
      </c>
      <c r="J37" s="13" t="n">
        <f aca="false">F37-(G37+H37+I37)</f>
        <v>-0.0100000000020373</v>
      </c>
      <c r="K37" s="13" t="n">
        <v>1295.14</v>
      </c>
      <c r="L37" s="13" t="n">
        <v>1295.14</v>
      </c>
      <c r="M37" s="13" t="n">
        <v>1295.14</v>
      </c>
      <c r="N37" s="13" t="n">
        <v>1295.14</v>
      </c>
      <c r="O37" s="13" t="n">
        <v>1295.14</v>
      </c>
      <c r="P37" s="13" t="n">
        <v>1295.14</v>
      </c>
      <c r="Q37" s="13" t="n">
        <v>1295.14</v>
      </c>
      <c r="R37" s="13" t="n">
        <v>1295.14</v>
      </c>
      <c r="S37" s="13" t="n">
        <v>1295.14</v>
      </c>
      <c r="T37" s="13" t="n">
        <v>1295.14</v>
      </c>
      <c r="U37" s="13" t="n">
        <v>350</v>
      </c>
      <c r="V37" s="13" t="n">
        <v>250</v>
      </c>
      <c r="W37" s="13" t="n">
        <f aca="false">U37+V37</f>
        <v>600</v>
      </c>
    </row>
    <row r="38" customFormat="false" ht="15" hidden="false" customHeight="false" outlineLevel="0" collapsed="false">
      <c r="A38" s="14" t="s">
        <v>2706</v>
      </c>
      <c r="B38" s="14" t="s">
        <v>2662</v>
      </c>
      <c r="C38" s="14" t="s">
        <v>2296</v>
      </c>
      <c r="D38" s="14" t="s">
        <v>112</v>
      </c>
      <c r="E38" s="15" t="n">
        <v>205000</v>
      </c>
      <c r="F38" s="15" t="n">
        <v>2627.38</v>
      </c>
      <c r="G38" s="15" t="n">
        <v>328.42</v>
      </c>
      <c r="H38" s="15" t="n">
        <v>328.42</v>
      </c>
      <c r="I38" s="15" t="n">
        <f aca="false">SUM(K38:T38)</f>
        <v>1970.5</v>
      </c>
      <c r="J38" s="15" t="n">
        <f aca="false">F38-(G38+H38+I38)</f>
        <v>0.0399999999999636</v>
      </c>
      <c r="K38" s="15" t="n">
        <v>197.05</v>
      </c>
      <c r="L38" s="15" t="n">
        <v>197.05</v>
      </c>
      <c r="M38" s="15" t="n">
        <v>197.05</v>
      </c>
      <c r="N38" s="15" t="n">
        <v>197.05</v>
      </c>
      <c r="O38" s="15" t="n">
        <v>197.05</v>
      </c>
      <c r="P38" s="15" t="n">
        <v>197.05</v>
      </c>
      <c r="Q38" s="15" t="n">
        <v>197.05</v>
      </c>
      <c r="R38" s="15" t="n">
        <v>197.05</v>
      </c>
      <c r="S38" s="15" t="n">
        <v>197.05</v>
      </c>
      <c r="T38" s="15" t="n">
        <v>197.05</v>
      </c>
      <c r="U38" s="15" t="n">
        <v>350</v>
      </c>
      <c r="V38" s="15" t="n">
        <v>0</v>
      </c>
      <c r="W38" s="15" t="n">
        <f aca="false">U38+V38</f>
        <v>350</v>
      </c>
    </row>
    <row r="39" customFormat="false" ht="15" hidden="false" customHeight="false" outlineLevel="0" collapsed="false">
      <c r="A39" s="3" t="s">
        <v>2707</v>
      </c>
      <c r="B39" s="3" t="s">
        <v>2688</v>
      </c>
      <c r="C39" s="3" t="s">
        <v>565</v>
      </c>
      <c r="D39" s="3" t="s">
        <v>85</v>
      </c>
      <c r="E39" s="13" t="n">
        <v>650000</v>
      </c>
      <c r="F39" s="13" t="n">
        <v>12586.61</v>
      </c>
      <c r="G39" s="13" t="n">
        <v>1573.33</v>
      </c>
      <c r="H39" s="13" t="n">
        <v>1573.33</v>
      </c>
      <c r="I39" s="13" t="n">
        <f aca="false">SUM(K39:T39)</f>
        <v>9440</v>
      </c>
      <c r="J39" s="13" t="n">
        <f aca="false">F39-(G39+H39+I39)</f>
        <v>-0.0499999999992724</v>
      </c>
      <c r="K39" s="13" t="n">
        <v>944</v>
      </c>
      <c r="L39" s="13" t="n">
        <v>944</v>
      </c>
      <c r="M39" s="13" t="n">
        <v>944</v>
      </c>
      <c r="N39" s="13" t="n">
        <v>944</v>
      </c>
      <c r="O39" s="13" t="n">
        <v>944</v>
      </c>
      <c r="P39" s="13" t="n">
        <v>944</v>
      </c>
      <c r="Q39" s="13" t="n">
        <v>944</v>
      </c>
      <c r="R39" s="13" t="n">
        <v>944</v>
      </c>
      <c r="S39" s="13" t="n">
        <v>944</v>
      </c>
      <c r="T39" s="13" t="n">
        <v>944</v>
      </c>
      <c r="U39" s="13" t="n">
        <v>350</v>
      </c>
      <c r="V39" s="13" t="n">
        <v>0</v>
      </c>
      <c r="W39" s="13" t="n">
        <f aca="false">U39+V39</f>
        <v>350</v>
      </c>
    </row>
    <row r="40" customFormat="false" ht="15" hidden="false" customHeight="false" outlineLevel="0" collapsed="false">
      <c r="A40" s="14" t="s">
        <v>2708</v>
      </c>
      <c r="B40" s="14" t="s">
        <v>2690</v>
      </c>
      <c r="C40" s="14" t="s">
        <v>354</v>
      </c>
      <c r="D40" s="14" t="s">
        <v>147</v>
      </c>
      <c r="E40" s="15" t="n">
        <v>240000</v>
      </c>
      <c r="F40" s="15" t="n">
        <v>3464.49</v>
      </c>
      <c r="G40" s="15" t="n">
        <v>433.06</v>
      </c>
      <c r="H40" s="15" t="n">
        <v>433.06</v>
      </c>
      <c r="I40" s="15" t="n">
        <f aca="false">SUM(K40:T40)</f>
        <v>2598.4</v>
      </c>
      <c r="J40" s="15" t="n">
        <f aca="false">F40-(G40+H40+I40)</f>
        <v>-0.0300000000002001</v>
      </c>
      <c r="K40" s="15" t="n">
        <v>259.84</v>
      </c>
      <c r="L40" s="15" t="n">
        <v>259.84</v>
      </c>
      <c r="M40" s="15" t="n">
        <v>259.84</v>
      </c>
      <c r="N40" s="15" t="n">
        <v>259.84</v>
      </c>
      <c r="O40" s="15" t="n">
        <v>259.84</v>
      </c>
      <c r="P40" s="15" t="n">
        <v>259.84</v>
      </c>
      <c r="Q40" s="15" t="n">
        <v>259.84</v>
      </c>
      <c r="R40" s="15" t="n">
        <v>259.84</v>
      </c>
      <c r="S40" s="15" t="n">
        <v>259.84</v>
      </c>
      <c r="T40" s="15" t="n">
        <v>259.84</v>
      </c>
      <c r="U40" s="15" t="n">
        <v>350</v>
      </c>
      <c r="V40" s="15" t="n">
        <v>0</v>
      </c>
      <c r="W40" s="15" t="n">
        <f aca="false">U40+V40</f>
        <v>350</v>
      </c>
    </row>
    <row r="41" customFormat="false" ht="15" hidden="false" customHeight="false" outlineLevel="0" collapsed="false">
      <c r="A41" s="3" t="s">
        <v>2709</v>
      </c>
      <c r="B41" s="3" t="s">
        <v>2655</v>
      </c>
      <c r="C41" s="3" t="s">
        <v>955</v>
      </c>
      <c r="D41" s="3" t="s">
        <v>93</v>
      </c>
      <c r="E41" s="13" t="n">
        <v>220000</v>
      </c>
      <c r="F41" s="13" t="n">
        <v>3799.07</v>
      </c>
      <c r="G41" s="13" t="n">
        <v>474.88</v>
      </c>
      <c r="H41" s="13" t="n">
        <v>474.88</v>
      </c>
      <c r="I41" s="13" t="n">
        <f aca="false">SUM(K41:T41)</f>
        <v>2849.3</v>
      </c>
      <c r="J41" s="13" t="n">
        <f aca="false">F41-(G41+H41+I41)</f>
        <v>0.010000000000673</v>
      </c>
      <c r="K41" s="13" t="n">
        <v>284.93</v>
      </c>
      <c r="L41" s="13" t="n">
        <v>284.93</v>
      </c>
      <c r="M41" s="13" t="n">
        <v>284.93</v>
      </c>
      <c r="N41" s="13" t="n">
        <v>284.93</v>
      </c>
      <c r="O41" s="13" t="n">
        <v>284.93</v>
      </c>
      <c r="P41" s="13" t="n">
        <v>284.93</v>
      </c>
      <c r="Q41" s="13" t="n">
        <v>284.93</v>
      </c>
      <c r="R41" s="13" t="n">
        <v>284.93</v>
      </c>
      <c r="S41" s="13" t="n">
        <v>284.93</v>
      </c>
      <c r="T41" s="13" t="n">
        <v>284.93</v>
      </c>
      <c r="U41" s="13" t="n">
        <v>350</v>
      </c>
      <c r="V41" s="13" t="n">
        <v>0</v>
      </c>
      <c r="W41" s="13" t="n">
        <f aca="false">U41+V41</f>
        <v>350</v>
      </c>
    </row>
    <row r="42" customFormat="false" ht="15" hidden="false" customHeight="false" outlineLevel="0" collapsed="false">
      <c r="A42" s="14" t="s">
        <v>2710</v>
      </c>
      <c r="B42" s="14" t="s">
        <v>2702</v>
      </c>
      <c r="C42" s="14" t="s">
        <v>1120</v>
      </c>
      <c r="D42" s="14" t="s">
        <v>132</v>
      </c>
      <c r="E42" s="15" t="n">
        <v>520000</v>
      </c>
      <c r="F42" s="15" t="n">
        <v>4956.48</v>
      </c>
      <c r="G42" s="15" t="n">
        <v>619.56</v>
      </c>
      <c r="H42" s="15" t="n">
        <v>619.56</v>
      </c>
      <c r="I42" s="15" t="n">
        <f aca="false">SUM(K42:T42)</f>
        <v>3717.4</v>
      </c>
      <c r="J42" s="15" t="n">
        <f aca="false">F42-(G42+H42+I42)</f>
        <v>-0.0399999999999636</v>
      </c>
      <c r="K42" s="15" t="n">
        <v>371.74</v>
      </c>
      <c r="L42" s="15" t="n">
        <v>371.74</v>
      </c>
      <c r="M42" s="15" t="n">
        <v>371.74</v>
      </c>
      <c r="N42" s="15" t="n">
        <v>371.74</v>
      </c>
      <c r="O42" s="15" t="n">
        <v>371.74</v>
      </c>
      <c r="P42" s="15" t="n">
        <v>371.74</v>
      </c>
      <c r="Q42" s="15" t="n">
        <v>371.74</v>
      </c>
      <c r="R42" s="15" t="n">
        <v>371.74</v>
      </c>
      <c r="S42" s="15" t="n">
        <v>371.74</v>
      </c>
      <c r="T42" s="15" t="n">
        <v>371.74</v>
      </c>
      <c r="U42" s="15" t="n">
        <v>350</v>
      </c>
      <c r="V42" s="15" t="n">
        <v>0</v>
      </c>
      <c r="W42" s="15" t="n">
        <f aca="false">U42+V42</f>
        <v>350</v>
      </c>
    </row>
    <row r="43" customFormat="false" ht="15" hidden="false" customHeight="false" outlineLevel="0" collapsed="false">
      <c r="A43" s="3" t="s">
        <v>2711</v>
      </c>
      <c r="B43" s="3" t="s">
        <v>2682</v>
      </c>
      <c r="C43" s="3" t="s">
        <v>620</v>
      </c>
      <c r="D43" s="3" t="s">
        <v>698</v>
      </c>
      <c r="E43" s="13" t="n">
        <v>280000</v>
      </c>
      <c r="F43" s="13" t="n">
        <v>4950.15</v>
      </c>
      <c r="G43" s="13" t="n">
        <v>618.77</v>
      </c>
      <c r="H43" s="13" t="n">
        <v>618.77</v>
      </c>
      <c r="I43" s="13" t="n">
        <f aca="false">SUM(K43:T43)</f>
        <v>3712.6</v>
      </c>
      <c r="J43" s="13" t="n">
        <f aca="false">F43-(G43+H43+I43)</f>
        <v>0.00999999999930878</v>
      </c>
      <c r="K43" s="13" t="n">
        <v>371.26</v>
      </c>
      <c r="L43" s="13" t="n">
        <v>371.26</v>
      </c>
      <c r="M43" s="13" t="n">
        <v>371.26</v>
      </c>
      <c r="N43" s="13" t="n">
        <v>371.26</v>
      </c>
      <c r="O43" s="13" t="n">
        <v>371.26</v>
      </c>
      <c r="P43" s="13" t="n">
        <v>371.26</v>
      </c>
      <c r="Q43" s="13" t="n">
        <v>371.26</v>
      </c>
      <c r="R43" s="13" t="n">
        <v>371.26</v>
      </c>
      <c r="S43" s="13" t="n">
        <v>371.26</v>
      </c>
      <c r="T43" s="13" t="n">
        <v>371.26</v>
      </c>
      <c r="U43" s="13" t="n">
        <v>350</v>
      </c>
      <c r="V43" s="13" t="n">
        <v>0</v>
      </c>
      <c r="W43" s="13" t="n">
        <f aca="false">U43+V43</f>
        <v>350</v>
      </c>
    </row>
    <row r="44" customFormat="false" ht="15" hidden="false" customHeight="false" outlineLevel="0" collapsed="false">
      <c r="A44" s="14" t="s">
        <v>2712</v>
      </c>
      <c r="B44" s="14" t="s">
        <v>2713</v>
      </c>
      <c r="C44" s="14" t="s">
        <v>1413</v>
      </c>
      <c r="D44" s="14" t="s">
        <v>377</v>
      </c>
      <c r="E44" s="15" t="n">
        <v>750000</v>
      </c>
      <c r="F44" s="15" t="n">
        <v>9579.36</v>
      </c>
      <c r="G44" s="15" t="n">
        <v>1197.42</v>
      </c>
      <c r="H44" s="15" t="n">
        <v>1197.42</v>
      </c>
      <c r="I44" s="15" t="n">
        <f aca="false">SUM(K44:T44)</f>
        <v>7184.5</v>
      </c>
      <c r="J44" s="15" t="n">
        <f aca="false">F44-(G44+H44+I44)</f>
        <v>0.0200000000004366</v>
      </c>
      <c r="K44" s="15" t="n">
        <v>718.45</v>
      </c>
      <c r="L44" s="15" t="n">
        <v>718.45</v>
      </c>
      <c r="M44" s="15" t="n">
        <v>718.45</v>
      </c>
      <c r="N44" s="15" t="n">
        <v>718.45</v>
      </c>
      <c r="O44" s="15" t="n">
        <v>718.45</v>
      </c>
      <c r="P44" s="15" t="n">
        <v>718.45</v>
      </c>
      <c r="Q44" s="15" t="n">
        <v>718.45</v>
      </c>
      <c r="R44" s="15" t="n">
        <v>718.45</v>
      </c>
      <c r="S44" s="15" t="n">
        <v>718.45</v>
      </c>
      <c r="T44" s="15" t="n">
        <v>718.45</v>
      </c>
      <c r="U44" s="15" t="n">
        <v>350</v>
      </c>
      <c r="V44" s="15" t="n">
        <v>0</v>
      </c>
      <c r="W44" s="15" t="n">
        <f aca="false">U44+V44</f>
        <v>350</v>
      </c>
    </row>
    <row r="45" customFormat="false" ht="15" hidden="false" customHeight="false" outlineLevel="0" collapsed="false">
      <c r="A45" s="3" t="s">
        <v>2714</v>
      </c>
      <c r="B45" s="3" t="s">
        <v>2715</v>
      </c>
      <c r="C45" s="3" t="s">
        <v>272</v>
      </c>
      <c r="D45" s="3" t="s">
        <v>180</v>
      </c>
      <c r="E45" s="13" t="n">
        <v>215000</v>
      </c>
      <c r="F45" s="13" t="n">
        <v>3509.69</v>
      </c>
      <c r="G45" s="13" t="n">
        <v>438.71</v>
      </c>
      <c r="H45" s="13" t="n">
        <v>438.71</v>
      </c>
      <c r="I45" s="13" t="n">
        <f aca="false">SUM(K45:T45)</f>
        <v>2632.3</v>
      </c>
      <c r="J45" s="13" t="n">
        <f aca="false">F45-(G45+H45+I45)</f>
        <v>-0.0300000000002001</v>
      </c>
      <c r="K45" s="13" t="n">
        <v>263.23</v>
      </c>
      <c r="L45" s="13" t="n">
        <v>263.23</v>
      </c>
      <c r="M45" s="13" t="n">
        <v>263.23</v>
      </c>
      <c r="N45" s="13" t="n">
        <v>263.23</v>
      </c>
      <c r="O45" s="13" t="n">
        <v>263.23</v>
      </c>
      <c r="P45" s="13" t="n">
        <v>263.23</v>
      </c>
      <c r="Q45" s="13" t="n">
        <v>263.23</v>
      </c>
      <c r="R45" s="13" t="n">
        <v>263.23</v>
      </c>
      <c r="S45" s="13" t="n">
        <v>263.23</v>
      </c>
      <c r="T45" s="13" t="n">
        <v>263.23</v>
      </c>
      <c r="U45" s="13" t="n">
        <v>350</v>
      </c>
      <c r="V45" s="13" t="n">
        <v>0</v>
      </c>
      <c r="W45" s="13" t="n">
        <f aca="false">U45+V45</f>
        <v>350</v>
      </c>
    </row>
    <row r="46" customFormat="false" ht="15" hidden="false" customHeight="false" outlineLevel="0" collapsed="false">
      <c r="A46" s="14" t="s">
        <v>2716</v>
      </c>
      <c r="B46" s="14" t="s">
        <v>2715</v>
      </c>
      <c r="C46" s="14" t="s">
        <v>345</v>
      </c>
      <c r="D46" s="14" t="s">
        <v>382</v>
      </c>
      <c r="E46" s="15" t="n">
        <v>380000</v>
      </c>
      <c r="F46" s="15" t="n">
        <v>2995.71</v>
      </c>
      <c r="G46" s="15" t="n">
        <v>374.46</v>
      </c>
      <c r="H46" s="15" t="n">
        <v>374.46</v>
      </c>
      <c r="I46" s="15" t="n">
        <f aca="false">SUM(K46:T46)</f>
        <v>2246.8</v>
      </c>
      <c r="J46" s="15" t="n">
        <f aca="false">F46-(G46+H46+I46)</f>
        <v>-0.0100000000002183</v>
      </c>
      <c r="K46" s="15" t="n">
        <v>224.68</v>
      </c>
      <c r="L46" s="15" t="n">
        <v>224.68</v>
      </c>
      <c r="M46" s="15" t="n">
        <v>224.68</v>
      </c>
      <c r="N46" s="15" t="n">
        <v>224.68</v>
      </c>
      <c r="O46" s="15" t="n">
        <v>224.68</v>
      </c>
      <c r="P46" s="15" t="n">
        <v>224.68</v>
      </c>
      <c r="Q46" s="15" t="n">
        <v>224.68</v>
      </c>
      <c r="R46" s="15" t="n">
        <v>224.68</v>
      </c>
      <c r="S46" s="15" t="n">
        <v>224.68</v>
      </c>
      <c r="T46" s="15" t="n">
        <v>224.68</v>
      </c>
      <c r="U46" s="15" t="n">
        <v>350</v>
      </c>
      <c r="V46" s="15" t="n">
        <v>0</v>
      </c>
      <c r="W46" s="15" t="n">
        <f aca="false">U46+V46</f>
        <v>350</v>
      </c>
    </row>
    <row r="47" customFormat="false" ht="15" hidden="false" customHeight="false" outlineLevel="0" collapsed="false">
      <c r="A47" s="3" t="s">
        <v>2717</v>
      </c>
      <c r="B47" s="3" t="s">
        <v>2718</v>
      </c>
      <c r="C47" s="3" t="s">
        <v>1189</v>
      </c>
      <c r="D47" s="3" t="s">
        <v>138</v>
      </c>
      <c r="E47" s="13" t="n">
        <v>250000</v>
      </c>
      <c r="F47" s="13" t="n">
        <v>3161.96</v>
      </c>
      <c r="G47" s="13" t="n">
        <v>395.25</v>
      </c>
      <c r="H47" s="13" t="n">
        <v>395.25</v>
      </c>
      <c r="I47" s="13" t="n">
        <f aca="false">SUM(K47:T47)</f>
        <v>2371.5</v>
      </c>
      <c r="J47" s="13" t="n">
        <f aca="false">F47-(G47+H47+I47)</f>
        <v>-0.0399999999999636</v>
      </c>
      <c r="K47" s="13" t="n">
        <v>237.15</v>
      </c>
      <c r="L47" s="13" t="n">
        <v>237.15</v>
      </c>
      <c r="M47" s="13" t="n">
        <v>237.15</v>
      </c>
      <c r="N47" s="13" t="n">
        <v>237.15</v>
      </c>
      <c r="O47" s="13" t="n">
        <v>237.15</v>
      </c>
      <c r="P47" s="13" t="n">
        <v>237.15</v>
      </c>
      <c r="Q47" s="13" t="n">
        <v>237.15</v>
      </c>
      <c r="R47" s="13" t="n">
        <v>237.15</v>
      </c>
      <c r="S47" s="13" t="n">
        <v>237.15</v>
      </c>
      <c r="T47" s="13" t="n">
        <v>237.15</v>
      </c>
      <c r="U47" s="13" t="n">
        <v>350</v>
      </c>
      <c r="V47" s="13" t="n">
        <v>0</v>
      </c>
      <c r="W47" s="13" t="n">
        <f aca="false">U47+V47</f>
        <v>350</v>
      </c>
    </row>
    <row r="48" customFormat="false" ht="15" hidden="false" customHeight="false" outlineLevel="0" collapsed="false">
      <c r="A48" s="14" t="s">
        <v>2719</v>
      </c>
      <c r="B48" s="14" t="s">
        <v>2666</v>
      </c>
      <c r="C48" s="14" t="s">
        <v>587</v>
      </c>
      <c r="D48" s="14" t="s">
        <v>189</v>
      </c>
      <c r="E48" s="15" t="n">
        <v>810000</v>
      </c>
      <c r="F48" s="15" t="n">
        <v>8492.74</v>
      </c>
      <c r="G48" s="15" t="n">
        <v>1061.59</v>
      </c>
      <c r="H48" s="15" t="n">
        <v>1061.59</v>
      </c>
      <c r="I48" s="15" t="n">
        <f aca="false">SUM(K48:T48)</f>
        <v>6369.6</v>
      </c>
      <c r="J48" s="15" t="n">
        <f aca="false">F48-(G48+H48+I48)</f>
        <v>-0.0400000000008731</v>
      </c>
      <c r="K48" s="15" t="n">
        <v>636.96</v>
      </c>
      <c r="L48" s="15" t="n">
        <v>636.96</v>
      </c>
      <c r="M48" s="15" t="n">
        <v>636.96</v>
      </c>
      <c r="N48" s="15" t="n">
        <v>636.96</v>
      </c>
      <c r="O48" s="15" t="n">
        <v>636.96</v>
      </c>
      <c r="P48" s="15" t="n">
        <v>636.96</v>
      </c>
      <c r="Q48" s="15" t="n">
        <v>636.96</v>
      </c>
      <c r="R48" s="15" t="n">
        <v>636.96</v>
      </c>
      <c r="S48" s="15" t="n">
        <v>636.96</v>
      </c>
      <c r="T48" s="15" t="n">
        <v>636.96</v>
      </c>
      <c r="U48" s="15" t="n">
        <v>350</v>
      </c>
      <c r="V48" s="15" t="n">
        <v>0</v>
      </c>
      <c r="W48" s="15" t="n">
        <f aca="false">U48+V48</f>
        <v>350</v>
      </c>
    </row>
    <row r="49" customFormat="false" ht="15" hidden="false" customHeight="false" outlineLevel="0" collapsed="false">
      <c r="A49" s="3" t="s">
        <v>2720</v>
      </c>
      <c r="B49" s="3" t="s">
        <v>2698</v>
      </c>
      <c r="C49" s="3" t="s">
        <v>2721</v>
      </c>
      <c r="D49" s="3" t="s">
        <v>203</v>
      </c>
      <c r="E49" s="13" t="n">
        <v>545000</v>
      </c>
      <c r="F49" s="13" t="n">
        <v>5922.05</v>
      </c>
      <c r="G49" s="13" t="n">
        <v>740.26</v>
      </c>
      <c r="H49" s="13" t="n">
        <v>740.26</v>
      </c>
      <c r="I49" s="13" t="n">
        <f aca="false">SUM(K49:T49)</f>
        <v>4441.5</v>
      </c>
      <c r="J49" s="13" t="n">
        <f aca="false">F49-(G49+H49+I49)</f>
        <v>0.0299999999997453</v>
      </c>
      <c r="K49" s="13" t="n">
        <v>444.15</v>
      </c>
      <c r="L49" s="13" t="n">
        <v>444.15</v>
      </c>
      <c r="M49" s="13" t="n">
        <v>444.15</v>
      </c>
      <c r="N49" s="13" t="n">
        <v>444.15</v>
      </c>
      <c r="O49" s="13" t="n">
        <v>444.15</v>
      </c>
      <c r="P49" s="13" t="n">
        <v>444.15</v>
      </c>
      <c r="Q49" s="13" t="n">
        <v>444.15</v>
      </c>
      <c r="R49" s="13" t="n">
        <v>444.15</v>
      </c>
      <c r="S49" s="13" t="n">
        <v>444.15</v>
      </c>
      <c r="T49" s="13" t="n">
        <v>444.15</v>
      </c>
      <c r="U49" s="13" t="n">
        <v>350</v>
      </c>
      <c r="V49" s="13" t="n">
        <v>0</v>
      </c>
      <c r="W49" s="13" t="n">
        <f aca="false">U49+V49</f>
        <v>350</v>
      </c>
    </row>
    <row r="50" customFormat="false" ht="15" hidden="false" customHeight="false" outlineLevel="0" collapsed="false">
      <c r="A50" s="14" t="s">
        <v>2722</v>
      </c>
      <c r="B50" s="14" t="s">
        <v>2723</v>
      </c>
      <c r="C50" s="14" t="s">
        <v>289</v>
      </c>
      <c r="D50" s="14" t="s">
        <v>338</v>
      </c>
      <c r="E50" s="15" t="n">
        <v>720000</v>
      </c>
      <c r="F50" s="15" t="n">
        <v>8509.9</v>
      </c>
      <c r="G50" s="15" t="n">
        <v>1063.74</v>
      </c>
      <c r="H50" s="15" t="n">
        <v>1063.74</v>
      </c>
      <c r="I50" s="15" t="n">
        <f aca="false">SUM(K50:T50)</f>
        <v>6382.4</v>
      </c>
      <c r="J50" s="15" t="n">
        <f aca="false">F50-(G50+H50+I50)</f>
        <v>0.0200000000004366</v>
      </c>
      <c r="K50" s="15" t="n">
        <v>638.24</v>
      </c>
      <c r="L50" s="15" t="n">
        <v>638.24</v>
      </c>
      <c r="M50" s="15" t="n">
        <v>638.24</v>
      </c>
      <c r="N50" s="15" t="n">
        <v>638.24</v>
      </c>
      <c r="O50" s="15" t="n">
        <v>638.24</v>
      </c>
      <c r="P50" s="15" t="n">
        <v>638.24</v>
      </c>
      <c r="Q50" s="15" t="n">
        <v>638.24</v>
      </c>
      <c r="R50" s="15" t="n">
        <v>638.24</v>
      </c>
      <c r="S50" s="15" t="n">
        <v>638.24</v>
      </c>
      <c r="T50" s="15" t="n">
        <v>638.24</v>
      </c>
      <c r="U50" s="15" t="n">
        <v>350</v>
      </c>
      <c r="V50" s="15" t="n">
        <v>0</v>
      </c>
      <c r="W50" s="15" t="n">
        <f aca="false">U50+V50</f>
        <v>350</v>
      </c>
    </row>
    <row r="51" customFormat="false" ht="15" hidden="false" customHeight="false" outlineLevel="0" collapsed="false">
      <c r="A51" s="3" t="s">
        <v>2724</v>
      </c>
      <c r="B51" s="3" t="s">
        <v>2670</v>
      </c>
      <c r="C51" s="3" t="s">
        <v>1012</v>
      </c>
      <c r="D51" s="3" t="s">
        <v>157</v>
      </c>
      <c r="E51" s="13" t="n">
        <v>425000</v>
      </c>
      <c r="F51" s="13" t="n">
        <v>6637.36</v>
      </c>
      <c r="G51" s="13" t="n">
        <v>829.67</v>
      </c>
      <c r="H51" s="13" t="n">
        <v>829.67</v>
      </c>
      <c r="I51" s="13" t="n">
        <f aca="false">SUM(K51:T51)</f>
        <v>4978</v>
      </c>
      <c r="J51" s="13" t="n">
        <f aca="false">F51-(G51+H51+I51)</f>
        <v>0.0199999999995271</v>
      </c>
      <c r="K51" s="13" t="n">
        <v>497.8</v>
      </c>
      <c r="L51" s="13" t="n">
        <v>497.8</v>
      </c>
      <c r="M51" s="13" t="n">
        <v>497.8</v>
      </c>
      <c r="N51" s="13" t="n">
        <v>497.8</v>
      </c>
      <c r="O51" s="13" t="n">
        <v>497.8</v>
      </c>
      <c r="P51" s="13" t="n">
        <v>497.8</v>
      </c>
      <c r="Q51" s="13" t="n">
        <v>497.8</v>
      </c>
      <c r="R51" s="13" t="n">
        <v>497.8</v>
      </c>
      <c r="S51" s="13" t="n">
        <v>497.8</v>
      </c>
      <c r="T51" s="13" t="n">
        <v>497.8</v>
      </c>
      <c r="U51" s="13" t="n">
        <v>350</v>
      </c>
      <c r="V51" s="13" t="n">
        <v>0</v>
      </c>
      <c r="W51" s="13" t="n">
        <f aca="false">U51+V51</f>
        <v>350</v>
      </c>
    </row>
    <row r="52" customFormat="false" ht="15" hidden="false" customHeight="false" outlineLevel="0" collapsed="false">
      <c r="A52" s="14" t="s">
        <v>2725</v>
      </c>
      <c r="B52" s="14" t="s">
        <v>2680</v>
      </c>
      <c r="C52" s="14" t="s">
        <v>150</v>
      </c>
      <c r="D52" s="14" t="s">
        <v>208</v>
      </c>
      <c r="E52" s="15" t="n">
        <v>635000</v>
      </c>
      <c r="F52" s="15" t="n">
        <v>7868.42</v>
      </c>
      <c r="G52" s="15" t="n">
        <v>983.55</v>
      </c>
      <c r="H52" s="15" t="n">
        <v>983.55</v>
      </c>
      <c r="I52" s="15" t="n">
        <f aca="false">SUM(K52:T52)</f>
        <v>5901.3</v>
      </c>
      <c r="J52" s="15" t="n">
        <f aca="false">F52-(G52+H52+I52)</f>
        <v>0.0200000000004366</v>
      </c>
      <c r="K52" s="15" t="n">
        <v>590.13</v>
      </c>
      <c r="L52" s="15" t="n">
        <v>590.13</v>
      </c>
      <c r="M52" s="15" t="n">
        <v>590.13</v>
      </c>
      <c r="N52" s="15" t="n">
        <v>590.13</v>
      </c>
      <c r="O52" s="15" t="n">
        <v>590.13</v>
      </c>
      <c r="P52" s="15" t="n">
        <v>590.13</v>
      </c>
      <c r="Q52" s="15" t="n">
        <v>590.13</v>
      </c>
      <c r="R52" s="15" t="n">
        <v>590.13</v>
      </c>
      <c r="S52" s="15" t="n">
        <v>590.13</v>
      </c>
      <c r="T52" s="15" t="n">
        <v>590.13</v>
      </c>
      <c r="U52" s="15" t="n">
        <v>350</v>
      </c>
      <c r="V52" s="15" t="n">
        <v>0</v>
      </c>
      <c r="W52" s="15" t="n">
        <f aca="false">U52+V52</f>
        <v>350</v>
      </c>
    </row>
    <row r="53" customFormat="false" ht="15" hidden="false" customHeight="false" outlineLevel="0" collapsed="false">
      <c r="A53" s="3" t="s">
        <v>2726</v>
      </c>
      <c r="B53" s="3" t="s">
        <v>2695</v>
      </c>
      <c r="C53" s="3" t="s">
        <v>323</v>
      </c>
      <c r="D53" s="3" t="s">
        <v>157</v>
      </c>
      <c r="E53" s="13" t="n">
        <v>515000</v>
      </c>
      <c r="F53" s="13" t="n">
        <v>6970.53</v>
      </c>
      <c r="G53" s="13" t="n">
        <v>871.32</v>
      </c>
      <c r="H53" s="13" t="n">
        <v>871.32</v>
      </c>
      <c r="I53" s="13" t="n">
        <f aca="false">SUM(K53:T53)</f>
        <v>5227.9</v>
      </c>
      <c r="J53" s="13" t="n">
        <f aca="false">F53-(G53+H53+I53)</f>
        <v>-0.0100000000002183</v>
      </c>
      <c r="K53" s="13" t="n">
        <v>522.79</v>
      </c>
      <c r="L53" s="13" t="n">
        <v>522.79</v>
      </c>
      <c r="M53" s="13" t="n">
        <v>522.79</v>
      </c>
      <c r="N53" s="13" t="n">
        <v>522.79</v>
      </c>
      <c r="O53" s="13" t="n">
        <v>522.79</v>
      </c>
      <c r="P53" s="13" t="n">
        <v>522.79</v>
      </c>
      <c r="Q53" s="13" t="n">
        <v>522.79</v>
      </c>
      <c r="R53" s="13" t="n">
        <v>522.79</v>
      </c>
      <c r="S53" s="13" t="n">
        <v>522.79</v>
      </c>
      <c r="T53" s="13" t="n">
        <v>522.79</v>
      </c>
      <c r="U53" s="13" t="n">
        <v>350</v>
      </c>
      <c r="V53" s="13" t="n">
        <v>0</v>
      </c>
      <c r="W53" s="13" t="n">
        <f aca="false">U53+V53</f>
        <v>350</v>
      </c>
    </row>
    <row r="54" customFormat="false" ht="15" hidden="false" customHeight="false" outlineLevel="0" collapsed="false">
      <c r="A54" s="14" t="s">
        <v>2727</v>
      </c>
      <c r="B54" s="14" t="s">
        <v>2728</v>
      </c>
      <c r="C54" s="14" t="s">
        <v>831</v>
      </c>
      <c r="D54" s="14" t="s">
        <v>157</v>
      </c>
      <c r="E54" s="15" t="n">
        <v>380000</v>
      </c>
      <c r="F54" s="15" t="n">
        <v>5934.58</v>
      </c>
      <c r="G54" s="15" t="n">
        <v>741.82</v>
      </c>
      <c r="H54" s="15" t="n">
        <v>741.82</v>
      </c>
      <c r="I54" s="15" t="n">
        <f aca="false">SUM(K54:T54)</f>
        <v>4450.9</v>
      </c>
      <c r="J54" s="15" t="n">
        <f aca="false">F54-(G54+H54+I54)</f>
        <v>0.0399999999999636</v>
      </c>
      <c r="K54" s="15" t="n">
        <v>445.09</v>
      </c>
      <c r="L54" s="15" t="n">
        <v>445.09</v>
      </c>
      <c r="M54" s="15" t="n">
        <v>445.09</v>
      </c>
      <c r="N54" s="15" t="n">
        <v>445.09</v>
      </c>
      <c r="O54" s="15" t="n">
        <v>445.09</v>
      </c>
      <c r="P54" s="15" t="n">
        <v>445.09</v>
      </c>
      <c r="Q54" s="15" t="n">
        <v>445.09</v>
      </c>
      <c r="R54" s="15" t="n">
        <v>445.09</v>
      </c>
      <c r="S54" s="15" t="n">
        <v>445.09</v>
      </c>
      <c r="T54" s="15" t="n">
        <v>445.09</v>
      </c>
      <c r="U54" s="15" t="n">
        <v>350</v>
      </c>
      <c r="V54" s="15" t="n">
        <v>0</v>
      </c>
      <c r="W54" s="15" t="n">
        <f aca="false">U54+V54</f>
        <v>350</v>
      </c>
    </row>
    <row r="55" customFormat="false" ht="15" hidden="false" customHeight="false" outlineLevel="0" collapsed="false">
      <c r="A55" s="3" t="s">
        <v>2729</v>
      </c>
      <c r="B55" s="3" t="s">
        <v>2680</v>
      </c>
      <c r="C55" s="3" t="s">
        <v>174</v>
      </c>
      <c r="D55" s="3" t="s">
        <v>118</v>
      </c>
      <c r="E55" s="13" t="n">
        <v>710000</v>
      </c>
      <c r="F55" s="13" t="n">
        <v>8324.03</v>
      </c>
      <c r="G55" s="13" t="n">
        <v>1040.5</v>
      </c>
      <c r="H55" s="13" t="n">
        <v>1040.5</v>
      </c>
      <c r="I55" s="13" t="n">
        <f aca="false">SUM(K55:T55)</f>
        <v>6243</v>
      </c>
      <c r="J55" s="13" t="n">
        <f aca="false">F55-(G55+H55+I55)</f>
        <v>0.0300000000006548</v>
      </c>
      <c r="K55" s="13" t="n">
        <v>624.3</v>
      </c>
      <c r="L55" s="13" t="n">
        <v>624.3</v>
      </c>
      <c r="M55" s="13" t="n">
        <v>624.3</v>
      </c>
      <c r="N55" s="13" t="n">
        <v>624.3</v>
      </c>
      <c r="O55" s="13" t="n">
        <v>624.3</v>
      </c>
      <c r="P55" s="13" t="n">
        <v>624.3</v>
      </c>
      <c r="Q55" s="13" t="n">
        <v>624.3</v>
      </c>
      <c r="R55" s="13" t="n">
        <v>624.3</v>
      </c>
      <c r="S55" s="13" t="n">
        <v>624.3</v>
      </c>
      <c r="T55" s="13" t="n">
        <v>624.3</v>
      </c>
      <c r="U55" s="13" t="n">
        <v>350</v>
      </c>
      <c r="V55" s="13" t="n">
        <v>0</v>
      </c>
      <c r="W55" s="13" t="n">
        <f aca="false">U55+V55</f>
        <v>350</v>
      </c>
    </row>
    <row r="56" customFormat="false" ht="15" hidden="false" customHeight="false" outlineLevel="0" collapsed="false">
      <c r="A56" s="14" t="s">
        <v>2730</v>
      </c>
      <c r="B56" s="14" t="s">
        <v>2666</v>
      </c>
      <c r="C56" s="14" t="s">
        <v>347</v>
      </c>
      <c r="D56" s="14" t="s">
        <v>193</v>
      </c>
      <c r="E56" s="15" t="n">
        <v>375000</v>
      </c>
      <c r="F56" s="15" t="n">
        <v>5155.36</v>
      </c>
      <c r="G56" s="15" t="n">
        <v>644.42</v>
      </c>
      <c r="H56" s="15" t="n">
        <v>644.42</v>
      </c>
      <c r="I56" s="15" t="n">
        <f aca="false">SUM(K56:T56)</f>
        <v>3866.5</v>
      </c>
      <c r="J56" s="15" t="n">
        <f aca="false">F56-(G56+H56+I56)</f>
        <v>0.0199999999995271</v>
      </c>
      <c r="K56" s="15" t="n">
        <v>386.65</v>
      </c>
      <c r="L56" s="15" t="n">
        <v>386.65</v>
      </c>
      <c r="M56" s="15" t="n">
        <v>386.65</v>
      </c>
      <c r="N56" s="15" t="n">
        <v>386.65</v>
      </c>
      <c r="O56" s="15" t="n">
        <v>386.65</v>
      </c>
      <c r="P56" s="15" t="n">
        <v>386.65</v>
      </c>
      <c r="Q56" s="15" t="n">
        <v>386.65</v>
      </c>
      <c r="R56" s="15" t="n">
        <v>386.65</v>
      </c>
      <c r="S56" s="15" t="n">
        <v>386.65</v>
      </c>
      <c r="T56" s="15" t="n">
        <v>386.65</v>
      </c>
      <c r="U56" s="15" t="n">
        <v>350</v>
      </c>
      <c r="V56" s="15" t="n">
        <v>0</v>
      </c>
      <c r="W56" s="15" t="n">
        <f aca="false">U56+V56</f>
        <v>350</v>
      </c>
    </row>
    <row r="57" customFormat="false" ht="15" hidden="false" customHeight="false" outlineLevel="0" collapsed="false">
      <c r="A57" s="3" t="s">
        <v>2731</v>
      </c>
      <c r="B57" s="3" t="s">
        <v>2695</v>
      </c>
      <c r="C57" s="3" t="s">
        <v>831</v>
      </c>
      <c r="D57" s="3" t="s">
        <v>138</v>
      </c>
      <c r="E57" s="13" t="n">
        <v>350000</v>
      </c>
      <c r="F57" s="13" t="n">
        <v>4426.74</v>
      </c>
      <c r="G57" s="13" t="n">
        <v>553.34</v>
      </c>
      <c r="H57" s="13" t="n">
        <v>553.34</v>
      </c>
      <c r="I57" s="13" t="n">
        <f aca="false">SUM(K57:T57)</f>
        <v>3320.1</v>
      </c>
      <c r="J57" s="13" t="n">
        <f aca="false">F57-(G57+H57+I57)</f>
        <v>-0.0400000000008731</v>
      </c>
      <c r="K57" s="13" t="n">
        <v>332.01</v>
      </c>
      <c r="L57" s="13" t="n">
        <v>332.01</v>
      </c>
      <c r="M57" s="13" t="n">
        <v>332.01</v>
      </c>
      <c r="N57" s="13" t="n">
        <v>332.01</v>
      </c>
      <c r="O57" s="13" t="n">
        <v>332.01</v>
      </c>
      <c r="P57" s="13" t="n">
        <v>332.01</v>
      </c>
      <c r="Q57" s="13" t="n">
        <v>332.01</v>
      </c>
      <c r="R57" s="13" t="n">
        <v>332.01</v>
      </c>
      <c r="S57" s="13" t="n">
        <v>332.01</v>
      </c>
      <c r="T57" s="13" t="n">
        <v>332.01</v>
      </c>
      <c r="U57" s="13" t="n">
        <v>350</v>
      </c>
      <c r="V57" s="13" t="n">
        <v>0</v>
      </c>
      <c r="W57" s="13" t="n">
        <f aca="false">U57+V57</f>
        <v>350</v>
      </c>
    </row>
    <row r="58" customFormat="false" ht="15" hidden="false" customHeight="false" outlineLevel="0" collapsed="false">
      <c r="A58" s="14" t="s">
        <v>2732</v>
      </c>
      <c r="B58" s="14" t="s">
        <v>2655</v>
      </c>
      <c r="C58" s="14" t="s">
        <v>370</v>
      </c>
      <c r="D58" s="14" t="s">
        <v>185</v>
      </c>
      <c r="E58" s="15" t="n">
        <v>660000</v>
      </c>
      <c r="F58" s="15" t="n">
        <v>4203.3</v>
      </c>
      <c r="G58" s="15" t="n">
        <v>525.41</v>
      </c>
      <c r="H58" s="15" t="n">
        <v>525.41</v>
      </c>
      <c r="I58" s="15" t="n">
        <f aca="false">SUM(K58:T58)</f>
        <v>3152.5</v>
      </c>
      <c r="J58" s="15" t="n">
        <f aca="false">F58-(G58+H58+I58)</f>
        <v>-0.0199999999995271</v>
      </c>
      <c r="K58" s="15" t="n">
        <v>315.25</v>
      </c>
      <c r="L58" s="15" t="n">
        <v>315.25</v>
      </c>
      <c r="M58" s="15" t="n">
        <v>315.25</v>
      </c>
      <c r="N58" s="15" t="n">
        <v>315.25</v>
      </c>
      <c r="O58" s="15" t="n">
        <v>315.25</v>
      </c>
      <c r="P58" s="15" t="n">
        <v>315.25</v>
      </c>
      <c r="Q58" s="15" t="n">
        <v>315.25</v>
      </c>
      <c r="R58" s="15" t="n">
        <v>315.25</v>
      </c>
      <c r="S58" s="15" t="n">
        <v>315.25</v>
      </c>
      <c r="T58" s="15" t="n">
        <v>315.25</v>
      </c>
      <c r="U58" s="15" t="n">
        <v>350</v>
      </c>
      <c r="V58" s="15" t="n">
        <v>0</v>
      </c>
      <c r="W58" s="15" t="n">
        <f aca="false">U58+V58</f>
        <v>350</v>
      </c>
    </row>
    <row r="59" customFormat="false" ht="15" hidden="false" customHeight="false" outlineLevel="0" collapsed="false">
      <c r="A59" s="3" t="s">
        <v>2733</v>
      </c>
      <c r="B59" s="3" t="s">
        <v>2680</v>
      </c>
      <c r="C59" s="3" t="s">
        <v>960</v>
      </c>
      <c r="D59" s="3" t="s">
        <v>180</v>
      </c>
      <c r="E59" s="13" t="n">
        <v>230000</v>
      </c>
      <c r="F59" s="13" t="n">
        <v>3754.55</v>
      </c>
      <c r="G59" s="13" t="n">
        <v>469.32</v>
      </c>
      <c r="H59" s="13" t="n">
        <v>469.32</v>
      </c>
      <c r="I59" s="13" t="n">
        <f aca="false">SUM(K59:T59)</f>
        <v>2815.9</v>
      </c>
      <c r="J59" s="13" t="n">
        <f aca="false">F59-(G59+H59+I59)</f>
        <v>0.0100000000002183</v>
      </c>
      <c r="K59" s="13" t="n">
        <v>281.59</v>
      </c>
      <c r="L59" s="13" t="n">
        <v>281.59</v>
      </c>
      <c r="M59" s="13" t="n">
        <v>281.59</v>
      </c>
      <c r="N59" s="13" t="n">
        <v>281.59</v>
      </c>
      <c r="O59" s="13" t="n">
        <v>281.59</v>
      </c>
      <c r="P59" s="13" t="n">
        <v>281.59</v>
      </c>
      <c r="Q59" s="13" t="n">
        <v>281.59</v>
      </c>
      <c r="R59" s="13" t="n">
        <v>281.59</v>
      </c>
      <c r="S59" s="13" t="n">
        <v>281.59</v>
      </c>
      <c r="T59" s="13" t="n">
        <v>281.59</v>
      </c>
      <c r="U59" s="13" t="n">
        <v>350</v>
      </c>
      <c r="V59" s="13" t="n">
        <v>0</v>
      </c>
      <c r="W59" s="13" t="n">
        <f aca="false">U59+V59</f>
        <v>350</v>
      </c>
    </row>
    <row r="60" customFormat="false" ht="15" hidden="false" customHeight="false" outlineLevel="0" collapsed="false">
      <c r="A60" s="14" t="s">
        <v>2734</v>
      </c>
      <c r="B60" s="14" t="s">
        <v>2718</v>
      </c>
      <c r="C60" s="14" t="s">
        <v>1154</v>
      </c>
      <c r="D60" s="14" t="s">
        <v>118</v>
      </c>
      <c r="E60" s="15" t="n">
        <v>555000</v>
      </c>
      <c r="F60" s="15" t="n">
        <v>9509.96</v>
      </c>
      <c r="G60" s="15" t="n">
        <v>1188.74</v>
      </c>
      <c r="H60" s="15" t="n">
        <v>1188.74</v>
      </c>
      <c r="I60" s="15" t="n">
        <f aca="false">SUM(K60:T60)</f>
        <v>7132.5</v>
      </c>
      <c r="J60" s="15" t="n">
        <f aca="false">F60-(G60+H60+I60)</f>
        <v>-0.0200000000004366</v>
      </c>
      <c r="K60" s="15" t="n">
        <v>713.25</v>
      </c>
      <c r="L60" s="15" t="n">
        <v>713.25</v>
      </c>
      <c r="M60" s="15" t="n">
        <v>713.25</v>
      </c>
      <c r="N60" s="15" t="n">
        <v>713.25</v>
      </c>
      <c r="O60" s="15" t="n">
        <v>713.25</v>
      </c>
      <c r="P60" s="15" t="n">
        <v>713.25</v>
      </c>
      <c r="Q60" s="15" t="n">
        <v>713.25</v>
      </c>
      <c r="R60" s="15" t="n">
        <v>713.25</v>
      </c>
      <c r="S60" s="15" t="n">
        <v>713.25</v>
      </c>
      <c r="T60" s="15" t="n">
        <v>713.25</v>
      </c>
      <c r="U60" s="15" t="n">
        <v>350</v>
      </c>
      <c r="V60" s="15" t="n">
        <v>0</v>
      </c>
      <c r="W60" s="15" t="n">
        <f aca="false">U60+V60</f>
        <v>350</v>
      </c>
    </row>
    <row r="61" customFormat="false" ht="15" hidden="false" customHeight="false" outlineLevel="0" collapsed="false">
      <c r="A61" s="3" t="s">
        <v>2735</v>
      </c>
      <c r="B61" s="3" t="s">
        <v>2662</v>
      </c>
      <c r="C61" s="3" t="s">
        <v>2260</v>
      </c>
      <c r="D61" s="3" t="s">
        <v>197</v>
      </c>
      <c r="E61" s="13" t="n">
        <v>395000</v>
      </c>
      <c r="F61" s="13" t="n">
        <v>4735.24</v>
      </c>
      <c r="G61" s="13" t="n">
        <v>591.9</v>
      </c>
      <c r="H61" s="13" t="n">
        <v>591.9</v>
      </c>
      <c r="I61" s="13" t="n">
        <f aca="false">SUM(K61:T61)</f>
        <v>3551.4</v>
      </c>
      <c r="J61" s="13" t="n">
        <f aca="false">F61-(G61+H61+I61)</f>
        <v>0.0399999999999636</v>
      </c>
      <c r="K61" s="13" t="n">
        <v>355.14</v>
      </c>
      <c r="L61" s="13" t="n">
        <v>355.14</v>
      </c>
      <c r="M61" s="13" t="n">
        <v>355.14</v>
      </c>
      <c r="N61" s="13" t="n">
        <v>355.14</v>
      </c>
      <c r="O61" s="13" t="n">
        <v>355.14</v>
      </c>
      <c r="P61" s="13" t="n">
        <v>355.14</v>
      </c>
      <c r="Q61" s="13" t="n">
        <v>355.14</v>
      </c>
      <c r="R61" s="13" t="n">
        <v>355.14</v>
      </c>
      <c r="S61" s="13" t="n">
        <v>355.14</v>
      </c>
      <c r="T61" s="13" t="n">
        <v>355.14</v>
      </c>
      <c r="U61" s="13" t="n">
        <v>350</v>
      </c>
      <c r="V61" s="13" t="n">
        <v>0</v>
      </c>
      <c r="W61" s="13" t="n">
        <f aca="false">U61+V61</f>
        <v>350</v>
      </c>
    </row>
    <row r="62" customFormat="false" ht="15" hidden="false" customHeight="false" outlineLevel="0" collapsed="false">
      <c r="A62" s="14" t="s">
        <v>2736</v>
      </c>
      <c r="B62" s="14" t="s">
        <v>2685</v>
      </c>
      <c r="C62" s="14" t="s">
        <v>2349</v>
      </c>
      <c r="D62" s="14" t="s">
        <v>89</v>
      </c>
      <c r="E62" s="15" t="n">
        <v>870000</v>
      </c>
      <c r="F62" s="15" t="n">
        <v>7405.91</v>
      </c>
      <c r="G62" s="15" t="n">
        <v>925.74</v>
      </c>
      <c r="H62" s="15" t="n">
        <v>925.74</v>
      </c>
      <c r="I62" s="15" t="n">
        <f aca="false">SUM(K62:T62)</f>
        <v>5554.4</v>
      </c>
      <c r="J62" s="15" t="n">
        <f aca="false">F62-(G62+H62+I62)</f>
        <v>0.0299999999988358</v>
      </c>
      <c r="K62" s="15" t="n">
        <v>555.44</v>
      </c>
      <c r="L62" s="15" t="n">
        <v>555.44</v>
      </c>
      <c r="M62" s="15" t="n">
        <v>555.44</v>
      </c>
      <c r="N62" s="15" t="n">
        <v>555.44</v>
      </c>
      <c r="O62" s="15" t="n">
        <v>555.44</v>
      </c>
      <c r="P62" s="15" t="n">
        <v>555.44</v>
      </c>
      <c r="Q62" s="15" t="n">
        <v>555.44</v>
      </c>
      <c r="R62" s="15" t="n">
        <v>555.44</v>
      </c>
      <c r="S62" s="15" t="n">
        <v>555.44</v>
      </c>
      <c r="T62" s="15" t="n">
        <v>555.44</v>
      </c>
      <c r="U62" s="15" t="n">
        <v>350</v>
      </c>
      <c r="V62" s="15" t="n">
        <v>0</v>
      </c>
      <c r="W62" s="15" t="n">
        <f aca="false">U62+V62</f>
        <v>350</v>
      </c>
    </row>
    <row r="63" customFormat="false" ht="15" hidden="false" customHeight="false" outlineLevel="0" collapsed="false">
      <c r="A63" s="3" t="s">
        <v>2737</v>
      </c>
      <c r="B63" s="3" t="s">
        <v>2680</v>
      </c>
      <c r="C63" s="3" t="s">
        <v>391</v>
      </c>
      <c r="D63" s="3" t="s">
        <v>298</v>
      </c>
      <c r="E63" s="13" t="n">
        <v>995000</v>
      </c>
      <c r="F63" s="13" t="n">
        <v>7905.31</v>
      </c>
      <c r="G63" s="13" t="n">
        <v>988.16</v>
      </c>
      <c r="H63" s="13" t="n">
        <v>988.16</v>
      </c>
      <c r="I63" s="13" t="n">
        <f aca="false">SUM(K63:T63)</f>
        <v>5929</v>
      </c>
      <c r="J63" s="13" t="n">
        <f aca="false">F63-(G63+H63+I63)</f>
        <v>-0.00999999999839929</v>
      </c>
      <c r="K63" s="13" t="n">
        <v>592.9</v>
      </c>
      <c r="L63" s="13" t="n">
        <v>592.9</v>
      </c>
      <c r="M63" s="13" t="n">
        <v>592.9</v>
      </c>
      <c r="N63" s="13" t="n">
        <v>592.9</v>
      </c>
      <c r="O63" s="13" t="n">
        <v>592.9</v>
      </c>
      <c r="P63" s="13" t="n">
        <v>592.9</v>
      </c>
      <c r="Q63" s="13" t="n">
        <v>592.9</v>
      </c>
      <c r="R63" s="13" t="n">
        <v>592.9</v>
      </c>
      <c r="S63" s="13" t="n">
        <v>592.9</v>
      </c>
      <c r="T63" s="13" t="n">
        <v>592.9</v>
      </c>
      <c r="U63" s="13" t="n">
        <v>350</v>
      </c>
      <c r="V63" s="13" t="n">
        <v>0</v>
      </c>
      <c r="W63" s="13" t="n">
        <f aca="false">U63+V63</f>
        <v>350</v>
      </c>
    </row>
    <row r="64" customFormat="false" ht="15" hidden="false" customHeight="false" outlineLevel="0" collapsed="false">
      <c r="A64" s="14" t="s">
        <v>2738</v>
      </c>
      <c r="B64" s="14" t="s">
        <v>2739</v>
      </c>
      <c r="C64" s="14" t="s">
        <v>227</v>
      </c>
      <c r="D64" s="14" t="s">
        <v>208</v>
      </c>
      <c r="E64" s="15" t="n">
        <v>635000</v>
      </c>
      <c r="F64" s="15" t="n">
        <v>7868.42</v>
      </c>
      <c r="G64" s="15" t="n">
        <v>983.55</v>
      </c>
      <c r="H64" s="15" t="n">
        <v>983.55</v>
      </c>
      <c r="I64" s="15" t="n">
        <f aca="false">SUM(K64:T64)</f>
        <v>5901.3</v>
      </c>
      <c r="J64" s="15" t="n">
        <f aca="false">F64-(G64+H64+I64)</f>
        <v>0.0200000000004366</v>
      </c>
      <c r="K64" s="15" t="n">
        <v>590.13</v>
      </c>
      <c r="L64" s="15" t="n">
        <v>590.13</v>
      </c>
      <c r="M64" s="15" t="n">
        <v>590.13</v>
      </c>
      <c r="N64" s="15" t="n">
        <v>590.13</v>
      </c>
      <c r="O64" s="15" t="n">
        <v>590.13</v>
      </c>
      <c r="P64" s="15" t="n">
        <v>590.13</v>
      </c>
      <c r="Q64" s="15" t="n">
        <v>590.13</v>
      </c>
      <c r="R64" s="15" t="n">
        <v>590.13</v>
      </c>
      <c r="S64" s="15" t="n">
        <v>590.13</v>
      </c>
      <c r="T64" s="15" t="n">
        <v>590.13</v>
      </c>
      <c r="U64" s="15" t="n">
        <v>350</v>
      </c>
      <c r="V64" s="15" t="n">
        <v>0</v>
      </c>
      <c r="W64" s="15" t="n">
        <f aca="false">U64+V64</f>
        <v>350</v>
      </c>
    </row>
    <row r="65" customFormat="false" ht="15" hidden="false" customHeight="false" outlineLevel="0" collapsed="false">
      <c r="A65" s="3" t="s">
        <v>2740</v>
      </c>
      <c r="B65" s="3" t="s">
        <v>2680</v>
      </c>
      <c r="C65" s="3" t="s">
        <v>600</v>
      </c>
      <c r="D65" s="3" t="s">
        <v>448</v>
      </c>
      <c r="E65" s="13" t="n">
        <v>610000</v>
      </c>
      <c r="F65" s="13" t="n">
        <v>4077.19</v>
      </c>
      <c r="G65" s="13" t="n">
        <v>509.65</v>
      </c>
      <c r="H65" s="13" t="n">
        <v>509.65</v>
      </c>
      <c r="I65" s="13" t="n">
        <f aca="false">SUM(K65:T65)</f>
        <v>3057.9</v>
      </c>
      <c r="J65" s="13" t="n">
        <f aca="false">F65-(G65+H65+I65)</f>
        <v>-0.00999999999976353</v>
      </c>
      <c r="K65" s="13" t="n">
        <v>305.79</v>
      </c>
      <c r="L65" s="13" t="n">
        <v>305.79</v>
      </c>
      <c r="M65" s="13" t="n">
        <v>305.79</v>
      </c>
      <c r="N65" s="13" t="n">
        <v>305.79</v>
      </c>
      <c r="O65" s="13" t="n">
        <v>305.79</v>
      </c>
      <c r="P65" s="13" t="n">
        <v>305.79</v>
      </c>
      <c r="Q65" s="13" t="n">
        <v>305.79</v>
      </c>
      <c r="R65" s="13" t="n">
        <v>305.79</v>
      </c>
      <c r="S65" s="13" t="n">
        <v>305.79</v>
      </c>
      <c r="T65" s="13" t="n">
        <v>305.79</v>
      </c>
      <c r="U65" s="13" t="n">
        <v>350</v>
      </c>
      <c r="V65" s="13" t="n">
        <v>0</v>
      </c>
      <c r="W65" s="13" t="n">
        <f aca="false">U65+V65</f>
        <v>350</v>
      </c>
    </row>
    <row r="66" customFormat="false" ht="15" hidden="false" customHeight="false" outlineLevel="0" collapsed="false">
      <c r="A66" s="14" t="s">
        <v>2741</v>
      </c>
      <c r="B66" s="14" t="s">
        <v>2718</v>
      </c>
      <c r="C66" s="14" t="s">
        <v>1108</v>
      </c>
      <c r="D66" s="14" t="s">
        <v>189</v>
      </c>
      <c r="E66" s="15" t="n">
        <v>400000</v>
      </c>
      <c r="F66" s="15" t="n">
        <v>4839.17</v>
      </c>
      <c r="G66" s="15" t="n">
        <v>604.9</v>
      </c>
      <c r="H66" s="15" t="n">
        <v>604.9</v>
      </c>
      <c r="I66" s="15" t="n">
        <f aca="false">SUM(K66:T66)</f>
        <v>3629.4</v>
      </c>
      <c r="J66" s="15" t="n">
        <f aca="false">F66-(G66+H66+I66)</f>
        <v>-0.0299999999997453</v>
      </c>
      <c r="K66" s="15" t="n">
        <v>362.94</v>
      </c>
      <c r="L66" s="15" t="n">
        <v>362.94</v>
      </c>
      <c r="M66" s="15" t="n">
        <v>362.94</v>
      </c>
      <c r="N66" s="15" t="n">
        <v>362.94</v>
      </c>
      <c r="O66" s="15" t="n">
        <v>362.94</v>
      </c>
      <c r="P66" s="15" t="n">
        <v>362.94</v>
      </c>
      <c r="Q66" s="15" t="n">
        <v>362.94</v>
      </c>
      <c r="R66" s="15" t="n">
        <v>362.94</v>
      </c>
      <c r="S66" s="15" t="n">
        <v>362.94</v>
      </c>
      <c r="T66" s="15" t="n">
        <v>362.94</v>
      </c>
      <c r="U66" s="15" t="n">
        <v>350</v>
      </c>
      <c r="V66" s="15" t="n">
        <v>0</v>
      </c>
      <c r="W66" s="15" t="n">
        <f aca="false">U66+V66</f>
        <v>350</v>
      </c>
    </row>
    <row r="67" customFormat="false" ht="15" hidden="false" customHeight="false" outlineLevel="0" collapsed="false">
      <c r="A67" s="3" t="s">
        <v>2742</v>
      </c>
      <c r="B67" s="3" t="s">
        <v>2674</v>
      </c>
      <c r="C67" s="3" t="s">
        <v>1004</v>
      </c>
      <c r="D67" s="3" t="s">
        <v>230</v>
      </c>
      <c r="E67" s="13" t="n">
        <v>1270000</v>
      </c>
      <c r="F67" s="13" t="n">
        <v>8421.54</v>
      </c>
      <c r="G67" s="13" t="n">
        <v>1052.69</v>
      </c>
      <c r="H67" s="13" t="n">
        <v>1052.69</v>
      </c>
      <c r="I67" s="13" t="n">
        <f aca="false">SUM(K67:T67)</f>
        <v>6316.2</v>
      </c>
      <c r="J67" s="13" t="n">
        <f aca="false">F67-(G67+H67+I67)</f>
        <v>-0.0399999999990541</v>
      </c>
      <c r="K67" s="13" t="n">
        <v>631.62</v>
      </c>
      <c r="L67" s="13" t="n">
        <v>631.62</v>
      </c>
      <c r="M67" s="13" t="n">
        <v>631.62</v>
      </c>
      <c r="N67" s="13" t="n">
        <v>631.62</v>
      </c>
      <c r="O67" s="13" t="n">
        <v>631.62</v>
      </c>
      <c r="P67" s="13" t="n">
        <v>631.62</v>
      </c>
      <c r="Q67" s="13" t="n">
        <v>631.62</v>
      </c>
      <c r="R67" s="13" t="n">
        <v>631.62</v>
      </c>
      <c r="S67" s="13" t="n">
        <v>631.62</v>
      </c>
      <c r="T67" s="13" t="n">
        <v>631.62</v>
      </c>
      <c r="U67" s="13" t="n">
        <v>350</v>
      </c>
      <c r="V67" s="13" t="n">
        <v>250</v>
      </c>
      <c r="W67" s="13" t="n">
        <f aca="false">U67+V67</f>
        <v>600</v>
      </c>
    </row>
    <row r="68" customFormat="false" ht="15" hidden="false" customHeight="false" outlineLevel="0" collapsed="false">
      <c r="A68" s="14" t="s">
        <v>2743</v>
      </c>
      <c r="B68" s="14" t="s">
        <v>2662</v>
      </c>
      <c r="C68" s="14" t="s">
        <v>370</v>
      </c>
      <c r="D68" s="14" t="s">
        <v>325</v>
      </c>
      <c r="E68" s="15" t="n">
        <v>1485000</v>
      </c>
      <c r="F68" s="15" t="n">
        <v>24041</v>
      </c>
      <c r="G68" s="15" t="n">
        <v>3005.12</v>
      </c>
      <c r="H68" s="15" t="n">
        <v>3005.12</v>
      </c>
      <c r="I68" s="15" t="n">
        <f aca="false">SUM(K68:T68)</f>
        <v>18030.8</v>
      </c>
      <c r="J68" s="15" t="n">
        <f aca="false">F68-(G68+H68+I68)</f>
        <v>-0.0400000000008731</v>
      </c>
      <c r="K68" s="15" t="n">
        <v>1803.08</v>
      </c>
      <c r="L68" s="15" t="n">
        <v>1803.08</v>
      </c>
      <c r="M68" s="15" t="n">
        <v>1803.08</v>
      </c>
      <c r="N68" s="15" t="n">
        <v>1803.08</v>
      </c>
      <c r="O68" s="15" t="n">
        <v>1803.08</v>
      </c>
      <c r="P68" s="15" t="n">
        <v>1803.08</v>
      </c>
      <c r="Q68" s="15" t="n">
        <v>1803.08</v>
      </c>
      <c r="R68" s="15" t="n">
        <v>1803.08</v>
      </c>
      <c r="S68" s="15" t="n">
        <v>1803.08</v>
      </c>
      <c r="T68" s="15" t="n">
        <v>1803.08</v>
      </c>
      <c r="U68" s="15" t="n">
        <v>350</v>
      </c>
      <c r="V68" s="15" t="n">
        <v>250</v>
      </c>
      <c r="W68" s="15" t="n">
        <f aca="false">U68+V68</f>
        <v>600</v>
      </c>
    </row>
    <row r="69" customFormat="false" ht="15" hidden="false" customHeight="false" outlineLevel="0" collapsed="false">
      <c r="A69" s="3" t="s">
        <v>2744</v>
      </c>
      <c r="B69" s="3" t="s">
        <v>2739</v>
      </c>
      <c r="C69" s="3" t="s">
        <v>1010</v>
      </c>
      <c r="D69" s="3" t="s">
        <v>230</v>
      </c>
      <c r="E69" s="13" t="n">
        <v>835000</v>
      </c>
      <c r="F69" s="13" t="n">
        <v>9471.17</v>
      </c>
      <c r="G69" s="13" t="n">
        <v>1183.9</v>
      </c>
      <c r="H69" s="13" t="n">
        <v>1183.9</v>
      </c>
      <c r="I69" s="13" t="n">
        <f aca="false">SUM(K69:T69)</f>
        <v>7103.4</v>
      </c>
      <c r="J69" s="13" t="n">
        <f aca="false">F69-(G69+H69+I69)</f>
        <v>-0.0300000000006548</v>
      </c>
      <c r="K69" s="13" t="n">
        <v>710.34</v>
      </c>
      <c r="L69" s="13" t="n">
        <v>710.34</v>
      </c>
      <c r="M69" s="13" t="n">
        <v>710.34</v>
      </c>
      <c r="N69" s="13" t="n">
        <v>710.34</v>
      </c>
      <c r="O69" s="13" t="n">
        <v>710.34</v>
      </c>
      <c r="P69" s="13" t="n">
        <v>710.34</v>
      </c>
      <c r="Q69" s="13" t="n">
        <v>710.34</v>
      </c>
      <c r="R69" s="13" t="n">
        <v>710.34</v>
      </c>
      <c r="S69" s="13" t="n">
        <v>710.34</v>
      </c>
      <c r="T69" s="13" t="n">
        <v>710.34</v>
      </c>
      <c r="U69" s="13" t="n">
        <v>350</v>
      </c>
      <c r="V69" s="13" t="n">
        <v>0</v>
      </c>
      <c r="W69" s="13" t="n">
        <f aca="false">U69+V69</f>
        <v>350</v>
      </c>
    </row>
    <row r="70" customFormat="false" ht="15" hidden="false" customHeight="false" outlineLevel="0" collapsed="false">
      <c r="A70" s="14" t="s">
        <v>2745</v>
      </c>
      <c r="B70" s="14" t="s">
        <v>2680</v>
      </c>
      <c r="C70" s="14" t="s">
        <v>182</v>
      </c>
      <c r="D70" s="14" t="s">
        <v>382</v>
      </c>
      <c r="E70" s="15" t="n">
        <v>465000</v>
      </c>
      <c r="F70" s="15" t="n">
        <v>5727.82</v>
      </c>
      <c r="G70" s="15" t="n">
        <v>715.98</v>
      </c>
      <c r="H70" s="15" t="n">
        <v>715.98</v>
      </c>
      <c r="I70" s="15" t="n">
        <f aca="false">SUM(K70:T70)</f>
        <v>4295.9</v>
      </c>
      <c r="J70" s="15" t="n">
        <f aca="false">F70-(G70+H70+I70)</f>
        <v>-0.0399999999999636</v>
      </c>
      <c r="K70" s="15" t="n">
        <v>429.59</v>
      </c>
      <c r="L70" s="15" t="n">
        <v>429.59</v>
      </c>
      <c r="M70" s="15" t="n">
        <v>429.59</v>
      </c>
      <c r="N70" s="15" t="n">
        <v>429.59</v>
      </c>
      <c r="O70" s="15" t="n">
        <v>429.59</v>
      </c>
      <c r="P70" s="15" t="n">
        <v>429.59</v>
      </c>
      <c r="Q70" s="15" t="n">
        <v>429.59</v>
      </c>
      <c r="R70" s="15" t="n">
        <v>429.59</v>
      </c>
      <c r="S70" s="15" t="n">
        <v>429.59</v>
      </c>
      <c r="T70" s="15" t="n">
        <v>429.59</v>
      </c>
      <c r="U70" s="15" t="n">
        <v>350</v>
      </c>
      <c r="V70" s="15" t="n">
        <v>0</v>
      </c>
      <c r="W70" s="15" t="n">
        <f aca="false">U70+V70</f>
        <v>350</v>
      </c>
    </row>
    <row r="71" customFormat="false" ht="15" hidden="false" customHeight="false" outlineLevel="0" collapsed="false">
      <c r="A71" s="3" t="s">
        <v>2746</v>
      </c>
      <c r="B71" s="3" t="s">
        <v>2739</v>
      </c>
      <c r="C71" s="3" t="s">
        <v>1822</v>
      </c>
      <c r="D71" s="3" t="s">
        <v>222</v>
      </c>
      <c r="E71" s="13" t="n">
        <v>360000</v>
      </c>
      <c r="F71" s="13" t="n">
        <v>4355.25</v>
      </c>
      <c r="G71" s="13" t="n">
        <v>544.41</v>
      </c>
      <c r="H71" s="13" t="n">
        <v>544.41</v>
      </c>
      <c r="I71" s="13" t="n">
        <f aca="false">SUM(K71:T71)</f>
        <v>3266.4</v>
      </c>
      <c r="J71" s="13" t="n">
        <f aca="false">F71-(G71+H71+I71)</f>
        <v>0.0300000000006548</v>
      </c>
      <c r="K71" s="13" t="n">
        <v>326.64</v>
      </c>
      <c r="L71" s="13" t="n">
        <v>326.64</v>
      </c>
      <c r="M71" s="13" t="n">
        <v>326.64</v>
      </c>
      <c r="N71" s="13" t="n">
        <v>326.64</v>
      </c>
      <c r="O71" s="13" t="n">
        <v>326.64</v>
      </c>
      <c r="P71" s="13" t="n">
        <v>326.64</v>
      </c>
      <c r="Q71" s="13" t="n">
        <v>326.64</v>
      </c>
      <c r="R71" s="13" t="n">
        <v>326.64</v>
      </c>
      <c r="S71" s="13" t="n">
        <v>326.64</v>
      </c>
      <c r="T71" s="13" t="n">
        <v>326.64</v>
      </c>
      <c r="U71" s="13" t="n">
        <v>350</v>
      </c>
      <c r="V71" s="13" t="n">
        <v>0</v>
      </c>
      <c r="W71" s="13" t="n">
        <f aca="false">U71+V71</f>
        <v>350</v>
      </c>
    </row>
    <row r="72" customFormat="false" ht="15" hidden="false" customHeight="false" outlineLevel="0" collapsed="false">
      <c r="A72" s="14" t="s">
        <v>2747</v>
      </c>
      <c r="B72" s="14" t="s">
        <v>2677</v>
      </c>
      <c r="C72" s="14" t="s">
        <v>232</v>
      </c>
      <c r="D72" s="14" t="s">
        <v>911</v>
      </c>
      <c r="E72" s="15" t="n">
        <v>675000</v>
      </c>
      <c r="F72" s="15" t="n">
        <v>8338.33</v>
      </c>
      <c r="G72" s="15" t="n">
        <v>1042.29</v>
      </c>
      <c r="H72" s="15" t="n">
        <v>1042.29</v>
      </c>
      <c r="I72" s="15" t="n">
        <f aca="false">SUM(K72:T72)</f>
        <v>6253.7</v>
      </c>
      <c r="J72" s="15" t="n">
        <f aca="false">F72-(G72+H72+I72)</f>
        <v>0.0500000000010914</v>
      </c>
      <c r="K72" s="15" t="n">
        <v>625.37</v>
      </c>
      <c r="L72" s="15" t="n">
        <v>625.37</v>
      </c>
      <c r="M72" s="15" t="n">
        <v>625.37</v>
      </c>
      <c r="N72" s="15" t="n">
        <v>625.37</v>
      </c>
      <c r="O72" s="15" t="n">
        <v>625.37</v>
      </c>
      <c r="P72" s="15" t="n">
        <v>625.37</v>
      </c>
      <c r="Q72" s="15" t="n">
        <v>625.37</v>
      </c>
      <c r="R72" s="15" t="n">
        <v>625.37</v>
      </c>
      <c r="S72" s="15" t="n">
        <v>625.37</v>
      </c>
      <c r="T72" s="15" t="n">
        <v>625.37</v>
      </c>
      <c r="U72" s="15" t="n">
        <v>350</v>
      </c>
      <c r="V72" s="15" t="n">
        <v>0</v>
      </c>
      <c r="W72" s="15" t="n">
        <f aca="false">U72+V72</f>
        <v>350</v>
      </c>
    </row>
    <row r="73" customFormat="false" ht="15" hidden="false" customHeight="false" outlineLevel="0" collapsed="false">
      <c r="A73" s="3" t="s">
        <v>2748</v>
      </c>
      <c r="B73" s="3" t="s">
        <v>2749</v>
      </c>
      <c r="C73" s="3" t="s">
        <v>2750</v>
      </c>
      <c r="D73" s="3" t="s">
        <v>125</v>
      </c>
      <c r="E73" s="13" t="n">
        <v>205000</v>
      </c>
      <c r="F73" s="13" t="n">
        <v>2655.03</v>
      </c>
      <c r="G73" s="13" t="n">
        <v>331.88</v>
      </c>
      <c r="H73" s="13" t="n">
        <v>331.88</v>
      </c>
      <c r="I73" s="13" t="n">
        <f aca="false">SUM(K73:T73)</f>
        <v>1991.3</v>
      </c>
      <c r="J73" s="13" t="n">
        <f aca="false">F73-(G73+H73+I73)</f>
        <v>-0.0300000000002001</v>
      </c>
      <c r="K73" s="13" t="n">
        <v>199.13</v>
      </c>
      <c r="L73" s="13" t="n">
        <v>199.13</v>
      </c>
      <c r="M73" s="13" t="n">
        <v>199.13</v>
      </c>
      <c r="N73" s="13" t="n">
        <v>199.13</v>
      </c>
      <c r="O73" s="13" t="n">
        <v>199.13</v>
      </c>
      <c r="P73" s="13" t="n">
        <v>199.13</v>
      </c>
      <c r="Q73" s="13" t="n">
        <v>199.13</v>
      </c>
      <c r="R73" s="13" t="n">
        <v>199.13</v>
      </c>
      <c r="S73" s="13" t="n">
        <v>199.13</v>
      </c>
      <c r="T73" s="13" t="n">
        <v>199.13</v>
      </c>
      <c r="U73" s="13" t="n">
        <v>350</v>
      </c>
      <c r="V73" s="13" t="n">
        <v>0</v>
      </c>
      <c r="W73" s="13" t="n">
        <f aca="false">U73+V73</f>
        <v>350</v>
      </c>
    </row>
    <row r="74" customFormat="false" ht="15" hidden="false" customHeight="false" outlineLevel="0" collapsed="false">
      <c r="A74" s="14" t="s">
        <v>2751</v>
      </c>
      <c r="B74" s="14" t="s">
        <v>2723</v>
      </c>
      <c r="C74" s="14" t="s">
        <v>2621</v>
      </c>
      <c r="D74" s="14" t="s">
        <v>208</v>
      </c>
      <c r="E74" s="15" t="n">
        <v>245000</v>
      </c>
      <c r="F74" s="15" t="n">
        <v>4296.89</v>
      </c>
      <c r="G74" s="15" t="n">
        <v>537.11</v>
      </c>
      <c r="H74" s="15" t="n">
        <v>537.11</v>
      </c>
      <c r="I74" s="15" t="n">
        <f aca="false">SUM(K74:T74)</f>
        <v>3222.7</v>
      </c>
      <c r="J74" s="15" t="n">
        <f aca="false">F74-(G74+H74+I74)</f>
        <v>-0.0299999999997453</v>
      </c>
      <c r="K74" s="15" t="n">
        <v>322.27</v>
      </c>
      <c r="L74" s="15" t="n">
        <v>322.27</v>
      </c>
      <c r="M74" s="15" t="n">
        <v>322.27</v>
      </c>
      <c r="N74" s="15" t="n">
        <v>322.27</v>
      </c>
      <c r="O74" s="15" t="n">
        <v>322.27</v>
      </c>
      <c r="P74" s="15" t="n">
        <v>322.27</v>
      </c>
      <c r="Q74" s="15" t="n">
        <v>322.27</v>
      </c>
      <c r="R74" s="15" t="n">
        <v>322.27</v>
      </c>
      <c r="S74" s="15" t="n">
        <v>322.27</v>
      </c>
      <c r="T74" s="15" t="n">
        <v>322.27</v>
      </c>
      <c r="U74" s="15" t="n">
        <v>350</v>
      </c>
      <c r="V74" s="15" t="n">
        <v>0</v>
      </c>
      <c r="W74" s="15" t="n">
        <f aca="false">U74+V74</f>
        <v>350</v>
      </c>
    </row>
    <row r="75" customFormat="false" ht="15" hidden="false" customHeight="false" outlineLevel="0" collapsed="false">
      <c r="A75" s="3" t="s">
        <v>2752</v>
      </c>
      <c r="B75" s="3" t="s">
        <v>2657</v>
      </c>
      <c r="C75" s="3" t="s">
        <v>92</v>
      </c>
      <c r="D75" s="3" t="s">
        <v>312</v>
      </c>
      <c r="E75" s="13" t="n">
        <v>1280000</v>
      </c>
      <c r="F75" s="13" t="n">
        <v>16667.86</v>
      </c>
      <c r="G75" s="13" t="n">
        <v>2083.48</v>
      </c>
      <c r="H75" s="13" t="n">
        <v>2083.48</v>
      </c>
      <c r="I75" s="13" t="n">
        <f aca="false">SUM(K75:T75)</f>
        <v>12500.9</v>
      </c>
      <c r="J75" s="13" t="n">
        <f aca="false">F75-(G75+H75+I75)</f>
        <v>0</v>
      </c>
      <c r="K75" s="13" t="n">
        <v>1250.09</v>
      </c>
      <c r="L75" s="13" t="n">
        <v>1250.09</v>
      </c>
      <c r="M75" s="13" t="n">
        <v>1250.09</v>
      </c>
      <c r="N75" s="13" t="n">
        <v>1250.09</v>
      </c>
      <c r="O75" s="13" t="n">
        <v>1250.09</v>
      </c>
      <c r="P75" s="13" t="n">
        <v>1250.09</v>
      </c>
      <c r="Q75" s="13" t="n">
        <v>1250.09</v>
      </c>
      <c r="R75" s="13" t="n">
        <v>1250.09</v>
      </c>
      <c r="S75" s="13" t="n">
        <v>1250.09</v>
      </c>
      <c r="T75" s="13" t="n">
        <v>1250.09</v>
      </c>
      <c r="U75" s="13" t="n">
        <v>350</v>
      </c>
      <c r="V75" s="13" t="n">
        <v>250</v>
      </c>
      <c r="W75" s="13" t="n">
        <f aca="false">U75+V75</f>
        <v>600</v>
      </c>
    </row>
    <row r="76" customFormat="false" ht="15" hidden="false" customHeight="false" outlineLevel="0" collapsed="false">
      <c r="A76" s="14" t="s">
        <v>2753</v>
      </c>
      <c r="B76" s="14" t="s">
        <v>2723</v>
      </c>
      <c r="C76" s="14" t="s">
        <v>253</v>
      </c>
      <c r="D76" s="14" t="s">
        <v>448</v>
      </c>
      <c r="E76" s="15" t="n">
        <v>1740000</v>
      </c>
      <c r="F76" s="15" t="n">
        <v>14875.61</v>
      </c>
      <c r="G76" s="15" t="n">
        <v>1859.45</v>
      </c>
      <c r="H76" s="15" t="n">
        <v>1859.45</v>
      </c>
      <c r="I76" s="15" t="n">
        <f aca="false">SUM(K76:T76)</f>
        <v>11156.7</v>
      </c>
      <c r="J76" s="15" t="n">
        <f aca="false">F76-(G76+H76+I76)</f>
        <v>0.0100000000002183</v>
      </c>
      <c r="K76" s="15" t="n">
        <v>1115.67</v>
      </c>
      <c r="L76" s="15" t="n">
        <v>1115.67</v>
      </c>
      <c r="M76" s="15" t="n">
        <v>1115.67</v>
      </c>
      <c r="N76" s="15" t="n">
        <v>1115.67</v>
      </c>
      <c r="O76" s="15" t="n">
        <v>1115.67</v>
      </c>
      <c r="P76" s="15" t="n">
        <v>1115.67</v>
      </c>
      <c r="Q76" s="15" t="n">
        <v>1115.67</v>
      </c>
      <c r="R76" s="15" t="n">
        <v>1115.67</v>
      </c>
      <c r="S76" s="15" t="n">
        <v>1115.67</v>
      </c>
      <c r="T76" s="15" t="n">
        <v>1115.67</v>
      </c>
      <c r="U76" s="15" t="n">
        <v>350</v>
      </c>
      <c r="V76" s="15" t="n">
        <v>250</v>
      </c>
      <c r="W76" s="15" t="n">
        <f aca="false">U76+V76</f>
        <v>600</v>
      </c>
    </row>
    <row r="77" customFormat="false" ht="15" hidden="false" customHeight="false" outlineLevel="0" collapsed="false">
      <c r="A77" s="3" t="s">
        <v>2754</v>
      </c>
      <c r="B77" s="3" t="s">
        <v>2680</v>
      </c>
      <c r="C77" s="3" t="s">
        <v>919</v>
      </c>
      <c r="D77" s="3" t="s">
        <v>166</v>
      </c>
      <c r="E77" s="13" t="n">
        <v>610000</v>
      </c>
      <c r="F77" s="13" t="n">
        <v>11472.13</v>
      </c>
      <c r="G77" s="13" t="n">
        <v>1434.02</v>
      </c>
      <c r="H77" s="13" t="n">
        <v>1434.02</v>
      </c>
      <c r="I77" s="13" t="n">
        <f aca="false">SUM(K77:T77)</f>
        <v>8604.1</v>
      </c>
      <c r="J77" s="13" t="n">
        <f aca="false">F77-(G77+H77+I77)</f>
        <v>-0.0100000000002183</v>
      </c>
      <c r="K77" s="13" t="n">
        <v>860.41</v>
      </c>
      <c r="L77" s="13" t="n">
        <v>860.41</v>
      </c>
      <c r="M77" s="13" t="n">
        <v>860.41</v>
      </c>
      <c r="N77" s="13" t="n">
        <v>860.41</v>
      </c>
      <c r="O77" s="13" t="n">
        <v>860.41</v>
      </c>
      <c r="P77" s="13" t="n">
        <v>860.41</v>
      </c>
      <c r="Q77" s="13" t="n">
        <v>860.41</v>
      </c>
      <c r="R77" s="13" t="n">
        <v>860.41</v>
      </c>
      <c r="S77" s="13" t="n">
        <v>860.41</v>
      </c>
      <c r="T77" s="13" t="n">
        <v>860.41</v>
      </c>
      <c r="U77" s="13" t="n">
        <v>350</v>
      </c>
      <c r="V77" s="13" t="n">
        <v>0</v>
      </c>
      <c r="W77" s="13" t="n">
        <f aca="false">U77+V77</f>
        <v>350</v>
      </c>
    </row>
    <row r="78" customFormat="false" ht="15" hidden="false" customHeight="false" outlineLevel="0" collapsed="false">
      <c r="A78" s="14" t="s">
        <v>2755</v>
      </c>
      <c r="B78" s="14" t="s">
        <v>2657</v>
      </c>
      <c r="C78" s="14" t="s">
        <v>1004</v>
      </c>
      <c r="D78" s="14" t="s">
        <v>185</v>
      </c>
      <c r="E78" s="15" t="n">
        <v>605000</v>
      </c>
      <c r="F78" s="15" t="n">
        <v>6989.21</v>
      </c>
      <c r="G78" s="15" t="n">
        <v>873.65</v>
      </c>
      <c r="H78" s="15" t="n">
        <v>873.65</v>
      </c>
      <c r="I78" s="15" t="n">
        <f aca="false">SUM(K78:T78)</f>
        <v>5241.9</v>
      </c>
      <c r="J78" s="15" t="n">
        <f aca="false">F78-(G78+H78+I78)</f>
        <v>0.00999999999839929</v>
      </c>
      <c r="K78" s="15" t="n">
        <v>524.19</v>
      </c>
      <c r="L78" s="15" t="n">
        <v>524.19</v>
      </c>
      <c r="M78" s="15" t="n">
        <v>524.19</v>
      </c>
      <c r="N78" s="15" t="n">
        <v>524.19</v>
      </c>
      <c r="O78" s="15" t="n">
        <v>524.19</v>
      </c>
      <c r="P78" s="15" t="n">
        <v>524.19</v>
      </c>
      <c r="Q78" s="15" t="n">
        <v>524.19</v>
      </c>
      <c r="R78" s="15" t="n">
        <v>524.19</v>
      </c>
      <c r="S78" s="15" t="n">
        <v>524.19</v>
      </c>
      <c r="T78" s="15" t="n">
        <v>524.19</v>
      </c>
      <c r="U78" s="15" t="n">
        <v>350</v>
      </c>
      <c r="V78" s="15" t="n">
        <v>0</v>
      </c>
      <c r="W78" s="15" t="n">
        <f aca="false">U78+V78</f>
        <v>350</v>
      </c>
    </row>
    <row r="79" customFormat="false" ht="15" hidden="false" customHeight="false" outlineLevel="0" collapsed="false">
      <c r="A79" s="3" t="s">
        <v>2756</v>
      </c>
      <c r="B79" s="3" t="s">
        <v>2680</v>
      </c>
      <c r="C79" s="3" t="s">
        <v>131</v>
      </c>
      <c r="D79" s="3" t="s">
        <v>325</v>
      </c>
      <c r="E79" s="13" t="n">
        <v>1205000</v>
      </c>
      <c r="F79" s="13" t="n">
        <v>9266.31</v>
      </c>
      <c r="G79" s="13" t="n">
        <v>1158.29</v>
      </c>
      <c r="H79" s="13" t="n">
        <v>1158.29</v>
      </c>
      <c r="I79" s="13" t="n">
        <f aca="false">SUM(K79:T79)</f>
        <v>6949.7</v>
      </c>
      <c r="J79" s="13" t="n">
        <f aca="false">F79-(G79+H79+I79)</f>
        <v>0.0299999999988358</v>
      </c>
      <c r="K79" s="13" t="n">
        <v>694.97</v>
      </c>
      <c r="L79" s="13" t="n">
        <v>694.97</v>
      </c>
      <c r="M79" s="13" t="n">
        <v>694.97</v>
      </c>
      <c r="N79" s="13" t="n">
        <v>694.97</v>
      </c>
      <c r="O79" s="13" t="n">
        <v>694.97</v>
      </c>
      <c r="P79" s="13" t="n">
        <v>694.97</v>
      </c>
      <c r="Q79" s="13" t="n">
        <v>694.97</v>
      </c>
      <c r="R79" s="13" t="n">
        <v>694.97</v>
      </c>
      <c r="S79" s="13" t="n">
        <v>694.97</v>
      </c>
      <c r="T79" s="13" t="n">
        <v>694.97</v>
      </c>
      <c r="U79" s="13" t="n">
        <v>350</v>
      </c>
      <c r="V79" s="13" t="n">
        <v>250</v>
      </c>
      <c r="W79" s="13" t="n">
        <f aca="false">U79+V79</f>
        <v>600</v>
      </c>
    </row>
    <row r="80" customFormat="false" ht="15" hidden="false" customHeight="false" outlineLevel="0" collapsed="false">
      <c r="A80" s="14" t="s">
        <v>2757</v>
      </c>
      <c r="B80" s="14" t="s">
        <v>2670</v>
      </c>
      <c r="C80" s="14" t="s">
        <v>192</v>
      </c>
      <c r="D80" s="14" t="s">
        <v>325</v>
      </c>
      <c r="E80" s="15" t="n">
        <v>195000</v>
      </c>
      <c r="F80" s="15" t="n">
        <v>4143.43</v>
      </c>
      <c r="G80" s="15" t="n">
        <v>517.93</v>
      </c>
      <c r="H80" s="15" t="n">
        <v>517.93</v>
      </c>
      <c r="I80" s="15" t="n">
        <f aca="false">SUM(K80:T80)</f>
        <v>3107.6</v>
      </c>
      <c r="J80" s="15" t="n">
        <f aca="false">F80-(G80+H80+I80)</f>
        <v>-0.0299999999997453</v>
      </c>
      <c r="K80" s="15" t="n">
        <v>310.76</v>
      </c>
      <c r="L80" s="15" t="n">
        <v>310.76</v>
      </c>
      <c r="M80" s="15" t="n">
        <v>310.76</v>
      </c>
      <c r="N80" s="15" t="n">
        <v>310.76</v>
      </c>
      <c r="O80" s="15" t="n">
        <v>310.76</v>
      </c>
      <c r="P80" s="15" t="n">
        <v>310.76</v>
      </c>
      <c r="Q80" s="15" t="n">
        <v>310.76</v>
      </c>
      <c r="R80" s="15" t="n">
        <v>310.76</v>
      </c>
      <c r="S80" s="15" t="n">
        <v>310.76</v>
      </c>
      <c r="T80" s="15" t="n">
        <v>310.76</v>
      </c>
      <c r="U80" s="15" t="n">
        <v>350</v>
      </c>
      <c r="V80" s="15" t="n">
        <v>0</v>
      </c>
      <c r="W80" s="15" t="n">
        <f aca="false">U80+V80</f>
        <v>350</v>
      </c>
    </row>
    <row r="81" customFormat="false" ht="15" hidden="false" customHeight="false" outlineLevel="0" collapsed="false">
      <c r="A81" s="3" t="s">
        <v>2758</v>
      </c>
      <c r="B81" s="3" t="s">
        <v>2759</v>
      </c>
      <c r="C81" s="3" t="s">
        <v>1239</v>
      </c>
      <c r="D81" s="3" t="s">
        <v>93</v>
      </c>
      <c r="E81" s="13" t="n">
        <v>355000</v>
      </c>
      <c r="F81" s="13" t="n">
        <v>7662.9</v>
      </c>
      <c r="G81" s="13" t="n">
        <v>957.86</v>
      </c>
      <c r="H81" s="13" t="n">
        <v>957.86</v>
      </c>
      <c r="I81" s="13" t="n">
        <f aca="false">SUM(K81:T81)</f>
        <v>5747.2</v>
      </c>
      <c r="J81" s="13" t="n">
        <f aca="false">F81-(G81+H81+I81)</f>
        <v>-0.0200000000013461</v>
      </c>
      <c r="K81" s="13" t="n">
        <v>574.72</v>
      </c>
      <c r="L81" s="13" t="n">
        <v>574.72</v>
      </c>
      <c r="M81" s="13" t="n">
        <v>574.72</v>
      </c>
      <c r="N81" s="13" t="n">
        <v>574.72</v>
      </c>
      <c r="O81" s="13" t="n">
        <v>574.72</v>
      </c>
      <c r="P81" s="13" t="n">
        <v>574.72</v>
      </c>
      <c r="Q81" s="13" t="n">
        <v>574.72</v>
      </c>
      <c r="R81" s="13" t="n">
        <v>574.72</v>
      </c>
      <c r="S81" s="13" t="n">
        <v>574.72</v>
      </c>
      <c r="T81" s="13" t="n">
        <v>574.72</v>
      </c>
      <c r="U81" s="13" t="n">
        <v>350</v>
      </c>
      <c r="V81" s="13" t="n">
        <v>0</v>
      </c>
      <c r="W81" s="13" t="n">
        <f aca="false">U81+V81</f>
        <v>350</v>
      </c>
    </row>
    <row r="82" customFormat="false" ht="15" hidden="false" customHeight="false" outlineLevel="0" collapsed="false">
      <c r="A82" s="14" t="s">
        <v>2760</v>
      </c>
      <c r="B82" s="14" t="s">
        <v>2761</v>
      </c>
      <c r="C82" s="14" t="s">
        <v>972</v>
      </c>
      <c r="D82" s="14" t="s">
        <v>172</v>
      </c>
      <c r="E82" s="15" t="n">
        <v>935000</v>
      </c>
      <c r="F82" s="15" t="n">
        <v>6131.55</v>
      </c>
      <c r="G82" s="15" t="n">
        <v>766.44</v>
      </c>
      <c r="H82" s="15" t="n">
        <v>766.44</v>
      </c>
      <c r="I82" s="15" t="n">
        <f aca="false">SUM(K82:T82)</f>
        <v>4598.7</v>
      </c>
      <c r="J82" s="15" t="n">
        <f aca="false">F82-(G82+H82+I82)</f>
        <v>-0.0299999999997453</v>
      </c>
      <c r="K82" s="15" t="n">
        <v>459.87</v>
      </c>
      <c r="L82" s="15" t="n">
        <v>459.87</v>
      </c>
      <c r="M82" s="15" t="n">
        <v>459.87</v>
      </c>
      <c r="N82" s="15" t="n">
        <v>459.87</v>
      </c>
      <c r="O82" s="15" t="n">
        <v>459.87</v>
      </c>
      <c r="P82" s="15" t="n">
        <v>459.87</v>
      </c>
      <c r="Q82" s="15" t="n">
        <v>459.87</v>
      </c>
      <c r="R82" s="15" t="n">
        <v>459.87</v>
      </c>
      <c r="S82" s="15" t="n">
        <v>459.87</v>
      </c>
      <c r="T82" s="15" t="n">
        <v>459.87</v>
      </c>
      <c r="U82" s="15" t="n">
        <v>350</v>
      </c>
      <c r="V82" s="15" t="n">
        <v>0</v>
      </c>
      <c r="W82" s="15" t="n">
        <f aca="false">U82+V82</f>
        <v>350</v>
      </c>
    </row>
    <row r="83" customFormat="false" ht="15" hidden="false" customHeight="false" outlineLevel="0" collapsed="false">
      <c r="A83" s="3" t="s">
        <v>2762</v>
      </c>
      <c r="B83" s="3" t="s">
        <v>2666</v>
      </c>
      <c r="C83" s="3" t="s">
        <v>255</v>
      </c>
      <c r="D83" s="3" t="s">
        <v>115</v>
      </c>
      <c r="E83" s="13" t="n">
        <v>230000</v>
      </c>
      <c r="F83" s="13" t="n">
        <v>4095.88</v>
      </c>
      <c r="G83" s="13" t="n">
        <v>511.99</v>
      </c>
      <c r="H83" s="13" t="n">
        <v>511.99</v>
      </c>
      <c r="I83" s="13" t="n">
        <f aca="false">SUM(K83:T83)</f>
        <v>3071.9</v>
      </c>
      <c r="J83" s="13" t="n">
        <f aca="false">F83-(G83+H83+I83)</f>
        <v>0</v>
      </c>
      <c r="K83" s="13" t="n">
        <v>307.19</v>
      </c>
      <c r="L83" s="13" t="n">
        <v>307.19</v>
      </c>
      <c r="M83" s="13" t="n">
        <v>307.19</v>
      </c>
      <c r="N83" s="13" t="n">
        <v>307.19</v>
      </c>
      <c r="O83" s="13" t="n">
        <v>307.19</v>
      </c>
      <c r="P83" s="13" t="n">
        <v>307.19</v>
      </c>
      <c r="Q83" s="13" t="n">
        <v>307.19</v>
      </c>
      <c r="R83" s="13" t="n">
        <v>307.19</v>
      </c>
      <c r="S83" s="13" t="n">
        <v>307.19</v>
      </c>
      <c r="T83" s="13" t="n">
        <v>307.19</v>
      </c>
      <c r="U83" s="13" t="n">
        <v>350</v>
      </c>
      <c r="V83" s="13" t="n">
        <v>0</v>
      </c>
      <c r="W83" s="13" t="n">
        <f aca="false">U83+V83</f>
        <v>350</v>
      </c>
    </row>
    <row r="84" customFormat="false" ht="15" hidden="false" customHeight="false" outlineLevel="0" collapsed="false">
      <c r="A84" s="14" t="s">
        <v>2763</v>
      </c>
      <c r="B84" s="14" t="s">
        <v>2728</v>
      </c>
      <c r="C84" s="14" t="s">
        <v>1120</v>
      </c>
      <c r="D84" s="14" t="s">
        <v>312</v>
      </c>
      <c r="E84" s="15" t="n">
        <v>460000</v>
      </c>
      <c r="F84" s="15" t="n">
        <v>5615.64</v>
      </c>
      <c r="G84" s="15" t="n">
        <v>701.96</v>
      </c>
      <c r="H84" s="15" t="n">
        <v>701.96</v>
      </c>
      <c r="I84" s="15" t="n">
        <f aca="false">SUM(K84:T84)</f>
        <v>4211.7</v>
      </c>
      <c r="J84" s="15" t="n">
        <f aca="false">F84-(G84+H84+I84)</f>
        <v>0.0200000000004366</v>
      </c>
      <c r="K84" s="15" t="n">
        <v>421.17</v>
      </c>
      <c r="L84" s="15" t="n">
        <v>421.17</v>
      </c>
      <c r="M84" s="15" t="n">
        <v>421.17</v>
      </c>
      <c r="N84" s="15" t="n">
        <v>421.17</v>
      </c>
      <c r="O84" s="15" t="n">
        <v>421.17</v>
      </c>
      <c r="P84" s="15" t="n">
        <v>421.17</v>
      </c>
      <c r="Q84" s="15" t="n">
        <v>421.17</v>
      </c>
      <c r="R84" s="15" t="n">
        <v>421.17</v>
      </c>
      <c r="S84" s="15" t="n">
        <v>421.17</v>
      </c>
      <c r="T84" s="15" t="n">
        <v>421.17</v>
      </c>
      <c r="U84" s="15" t="n">
        <v>350</v>
      </c>
      <c r="V84" s="15" t="n">
        <v>0</v>
      </c>
      <c r="W84" s="15" t="n">
        <f aca="false">U84+V84</f>
        <v>350</v>
      </c>
    </row>
    <row r="85" customFormat="false" ht="15" hidden="false" customHeight="false" outlineLevel="0" collapsed="false">
      <c r="A85" s="3" t="s">
        <v>2764</v>
      </c>
      <c r="B85" s="3" t="s">
        <v>2739</v>
      </c>
      <c r="C85" s="3" t="s">
        <v>419</v>
      </c>
      <c r="D85" s="3" t="s">
        <v>89</v>
      </c>
      <c r="E85" s="13" t="n">
        <v>1100000</v>
      </c>
      <c r="F85" s="13" t="n">
        <v>17421.01</v>
      </c>
      <c r="G85" s="13" t="n">
        <v>2177.63</v>
      </c>
      <c r="H85" s="13" t="n">
        <v>2177.63</v>
      </c>
      <c r="I85" s="13" t="n">
        <f aca="false">SUM(K85:T85)</f>
        <v>13065.8</v>
      </c>
      <c r="J85" s="13" t="n">
        <f aca="false">F85-(G85+H85+I85)</f>
        <v>-0.0499999999992724</v>
      </c>
      <c r="K85" s="13" t="n">
        <v>1306.58</v>
      </c>
      <c r="L85" s="13" t="n">
        <v>1306.58</v>
      </c>
      <c r="M85" s="13" t="n">
        <v>1306.58</v>
      </c>
      <c r="N85" s="13" t="n">
        <v>1306.58</v>
      </c>
      <c r="O85" s="13" t="n">
        <v>1306.58</v>
      </c>
      <c r="P85" s="13" t="n">
        <v>1306.58</v>
      </c>
      <c r="Q85" s="13" t="n">
        <v>1306.58</v>
      </c>
      <c r="R85" s="13" t="n">
        <v>1306.58</v>
      </c>
      <c r="S85" s="13" t="n">
        <v>1306.58</v>
      </c>
      <c r="T85" s="13" t="n">
        <v>1306.58</v>
      </c>
      <c r="U85" s="13" t="n">
        <v>350</v>
      </c>
      <c r="V85" s="13" t="n">
        <v>250</v>
      </c>
      <c r="W85" s="13" t="n">
        <f aca="false">U85+V85</f>
        <v>600</v>
      </c>
    </row>
    <row r="86" customFormat="false" ht="15" hidden="false" customHeight="false" outlineLevel="0" collapsed="false">
      <c r="A86" s="14" t="s">
        <v>2765</v>
      </c>
      <c r="B86" s="14" t="s">
        <v>2761</v>
      </c>
      <c r="C86" s="14" t="s">
        <v>188</v>
      </c>
      <c r="D86" s="14" t="s">
        <v>298</v>
      </c>
      <c r="E86" s="15" t="n">
        <v>900000</v>
      </c>
      <c r="F86" s="15" t="n">
        <v>10808.95</v>
      </c>
      <c r="G86" s="15" t="n">
        <v>1351.12</v>
      </c>
      <c r="H86" s="15" t="n">
        <v>1351.12</v>
      </c>
      <c r="I86" s="15" t="n">
        <f aca="false">SUM(K86:T86)</f>
        <v>8106.7</v>
      </c>
      <c r="J86" s="15" t="n">
        <f aca="false">F86-(G86+H86+I86)</f>
        <v>0.0100000000020373</v>
      </c>
      <c r="K86" s="15" t="n">
        <v>810.67</v>
      </c>
      <c r="L86" s="15" t="n">
        <v>810.67</v>
      </c>
      <c r="M86" s="15" t="n">
        <v>810.67</v>
      </c>
      <c r="N86" s="15" t="n">
        <v>810.67</v>
      </c>
      <c r="O86" s="15" t="n">
        <v>810.67</v>
      </c>
      <c r="P86" s="15" t="n">
        <v>810.67</v>
      </c>
      <c r="Q86" s="15" t="n">
        <v>810.67</v>
      </c>
      <c r="R86" s="15" t="n">
        <v>810.67</v>
      </c>
      <c r="S86" s="15" t="n">
        <v>810.67</v>
      </c>
      <c r="T86" s="15" t="n">
        <v>810.67</v>
      </c>
      <c r="U86" s="15" t="n">
        <v>350</v>
      </c>
      <c r="V86" s="15" t="n">
        <v>0</v>
      </c>
      <c r="W86" s="15" t="n">
        <f aca="false">U86+V86</f>
        <v>350</v>
      </c>
    </row>
    <row r="87" customFormat="false" ht="15" hidden="false" customHeight="false" outlineLevel="0" collapsed="false">
      <c r="A87" s="3" t="s">
        <v>2766</v>
      </c>
      <c r="B87" s="3" t="s">
        <v>2704</v>
      </c>
      <c r="C87" s="3" t="s">
        <v>500</v>
      </c>
      <c r="D87" s="3" t="s">
        <v>147</v>
      </c>
      <c r="E87" s="13" t="n">
        <v>260000</v>
      </c>
      <c r="F87" s="13" t="n">
        <v>3059.67</v>
      </c>
      <c r="G87" s="13" t="n">
        <v>382.46</v>
      </c>
      <c r="H87" s="13" t="n">
        <v>382.46</v>
      </c>
      <c r="I87" s="13" t="n">
        <f aca="false">SUM(K87:T87)</f>
        <v>2294.8</v>
      </c>
      <c r="J87" s="13" t="n">
        <f aca="false">F87-(G87+H87+I87)</f>
        <v>-0.0499999999997272</v>
      </c>
      <c r="K87" s="13" t="n">
        <v>229.48</v>
      </c>
      <c r="L87" s="13" t="n">
        <v>229.48</v>
      </c>
      <c r="M87" s="13" t="n">
        <v>229.48</v>
      </c>
      <c r="N87" s="13" t="n">
        <v>229.48</v>
      </c>
      <c r="O87" s="13" t="n">
        <v>229.48</v>
      </c>
      <c r="P87" s="13" t="n">
        <v>229.48</v>
      </c>
      <c r="Q87" s="13" t="n">
        <v>229.48</v>
      </c>
      <c r="R87" s="13" t="n">
        <v>229.48</v>
      </c>
      <c r="S87" s="13" t="n">
        <v>229.48</v>
      </c>
      <c r="T87" s="13" t="n">
        <v>229.48</v>
      </c>
      <c r="U87" s="13" t="n">
        <v>350</v>
      </c>
      <c r="V87" s="13" t="n">
        <v>0</v>
      </c>
      <c r="W87" s="13" t="n">
        <f aca="false">U87+V87</f>
        <v>350</v>
      </c>
    </row>
    <row r="88" customFormat="false" ht="15" hidden="false" customHeight="false" outlineLevel="0" collapsed="false">
      <c r="A88" s="14" t="s">
        <v>2767</v>
      </c>
      <c r="B88" s="14" t="s">
        <v>2670</v>
      </c>
      <c r="C88" s="14" t="s">
        <v>450</v>
      </c>
      <c r="D88" s="14" t="s">
        <v>69</v>
      </c>
      <c r="E88" s="15" t="n">
        <v>1950000</v>
      </c>
      <c r="F88" s="15" t="n">
        <v>22189.79</v>
      </c>
      <c r="G88" s="15" t="n">
        <v>2773.72</v>
      </c>
      <c r="H88" s="15" t="n">
        <v>2773.72</v>
      </c>
      <c r="I88" s="15" t="n">
        <f aca="false">SUM(K88:T88)</f>
        <v>16642.3</v>
      </c>
      <c r="J88" s="15" t="n">
        <f aca="false">F88-(G88+H88+I88)</f>
        <v>0.0500000000029104</v>
      </c>
      <c r="K88" s="15" t="n">
        <v>1664.23</v>
      </c>
      <c r="L88" s="15" t="n">
        <v>1664.23</v>
      </c>
      <c r="M88" s="15" t="n">
        <v>1664.23</v>
      </c>
      <c r="N88" s="15" t="n">
        <v>1664.23</v>
      </c>
      <c r="O88" s="15" t="n">
        <v>1664.23</v>
      </c>
      <c r="P88" s="15" t="n">
        <v>1664.23</v>
      </c>
      <c r="Q88" s="15" t="n">
        <v>1664.23</v>
      </c>
      <c r="R88" s="15" t="n">
        <v>1664.23</v>
      </c>
      <c r="S88" s="15" t="n">
        <v>1664.23</v>
      </c>
      <c r="T88" s="15" t="n">
        <v>1664.23</v>
      </c>
      <c r="U88" s="15" t="n">
        <v>350</v>
      </c>
      <c r="V88" s="15" t="n">
        <v>250</v>
      </c>
      <c r="W88" s="15" t="n">
        <f aca="false">U88+V88</f>
        <v>600</v>
      </c>
    </row>
    <row r="89" customFormat="false" ht="15" hidden="false" customHeight="false" outlineLevel="0" collapsed="false">
      <c r="A89" s="3" t="s">
        <v>2768</v>
      </c>
      <c r="B89" s="3" t="s">
        <v>2759</v>
      </c>
      <c r="C89" s="3" t="s">
        <v>632</v>
      </c>
      <c r="D89" s="3" t="s">
        <v>93</v>
      </c>
      <c r="E89" s="13" t="n">
        <v>320000</v>
      </c>
      <c r="F89" s="13" t="n">
        <v>4504.83</v>
      </c>
      <c r="G89" s="13" t="n">
        <v>563.1</v>
      </c>
      <c r="H89" s="13" t="n">
        <v>563.1</v>
      </c>
      <c r="I89" s="13" t="n">
        <f aca="false">SUM(K89:T89)</f>
        <v>3378.6</v>
      </c>
      <c r="J89" s="13" t="n">
        <f aca="false">F89-(G89+H89+I89)</f>
        <v>0.0299999999997453</v>
      </c>
      <c r="K89" s="13" t="n">
        <v>337.86</v>
      </c>
      <c r="L89" s="13" t="n">
        <v>337.86</v>
      </c>
      <c r="M89" s="13" t="n">
        <v>337.86</v>
      </c>
      <c r="N89" s="13" t="n">
        <v>337.86</v>
      </c>
      <c r="O89" s="13" t="n">
        <v>337.86</v>
      </c>
      <c r="P89" s="13" t="n">
        <v>337.86</v>
      </c>
      <c r="Q89" s="13" t="n">
        <v>337.86</v>
      </c>
      <c r="R89" s="13" t="n">
        <v>337.86</v>
      </c>
      <c r="S89" s="13" t="n">
        <v>337.86</v>
      </c>
      <c r="T89" s="13" t="n">
        <v>337.86</v>
      </c>
      <c r="U89" s="13" t="n">
        <v>350</v>
      </c>
      <c r="V89" s="13" t="n">
        <v>0</v>
      </c>
      <c r="W89" s="13" t="n">
        <f aca="false">U89+V89</f>
        <v>350</v>
      </c>
    </row>
    <row r="90" customFormat="false" ht="15" hidden="false" customHeight="false" outlineLevel="0" collapsed="false">
      <c r="A90" s="14" t="s">
        <v>2769</v>
      </c>
      <c r="B90" s="14" t="s">
        <v>2695</v>
      </c>
      <c r="C90" s="14" t="s">
        <v>972</v>
      </c>
      <c r="D90" s="14" t="s">
        <v>382</v>
      </c>
      <c r="E90" s="15" t="n">
        <v>1050000</v>
      </c>
      <c r="F90" s="15" t="n">
        <v>9484.77</v>
      </c>
      <c r="G90" s="15" t="n">
        <v>1185.6</v>
      </c>
      <c r="H90" s="15" t="n">
        <v>1185.6</v>
      </c>
      <c r="I90" s="15" t="n">
        <f aca="false">SUM(K90:T90)</f>
        <v>7113.6</v>
      </c>
      <c r="J90" s="15" t="n">
        <f aca="false">F90-(G90+H90+I90)</f>
        <v>-0.0299999999988358</v>
      </c>
      <c r="K90" s="15" t="n">
        <v>711.36</v>
      </c>
      <c r="L90" s="15" t="n">
        <v>711.36</v>
      </c>
      <c r="M90" s="15" t="n">
        <v>711.36</v>
      </c>
      <c r="N90" s="15" t="n">
        <v>711.36</v>
      </c>
      <c r="O90" s="15" t="n">
        <v>711.36</v>
      </c>
      <c r="P90" s="15" t="n">
        <v>711.36</v>
      </c>
      <c r="Q90" s="15" t="n">
        <v>711.36</v>
      </c>
      <c r="R90" s="15" t="n">
        <v>711.36</v>
      </c>
      <c r="S90" s="15" t="n">
        <v>711.36</v>
      </c>
      <c r="T90" s="15" t="n">
        <v>711.36</v>
      </c>
      <c r="U90" s="15" t="n">
        <v>350</v>
      </c>
      <c r="V90" s="15" t="n">
        <v>250</v>
      </c>
      <c r="W90" s="15" t="n">
        <f aca="false">U90+V90</f>
        <v>600</v>
      </c>
    </row>
    <row r="91" customFormat="false" ht="15" hidden="false" customHeight="false" outlineLevel="0" collapsed="false">
      <c r="A91" s="3" t="s">
        <v>2770</v>
      </c>
      <c r="B91" s="3" t="s">
        <v>2664</v>
      </c>
      <c r="C91" s="3" t="s">
        <v>425</v>
      </c>
      <c r="D91" s="3" t="s">
        <v>256</v>
      </c>
      <c r="E91" s="13" t="n">
        <v>205000</v>
      </c>
      <c r="F91" s="13" t="n">
        <v>3678.32</v>
      </c>
      <c r="G91" s="13" t="n">
        <v>459.79</v>
      </c>
      <c r="H91" s="13" t="n">
        <v>459.79</v>
      </c>
      <c r="I91" s="13" t="n">
        <f aca="false">SUM(K91:T91)</f>
        <v>2758.7</v>
      </c>
      <c r="J91" s="13" t="n">
        <f aca="false">F91-(G91+H91+I91)</f>
        <v>0.0400000000004184</v>
      </c>
      <c r="K91" s="13" t="n">
        <v>275.87</v>
      </c>
      <c r="L91" s="13" t="n">
        <v>275.87</v>
      </c>
      <c r="M91" s="13" t="n">
        <v>275.87</v>
      </c>
      <c r="N91" s="13" t="n">
        <v>275.87</v>
      </c>
      <c r="O91" s="13" t="n">
        <v>275.87</v>
      </c>
      <c r="P91" s="13" t="n">
        <v>275.87</v>
      </c>
      <c r="Q91" s="13" t="n">
        <v>275.87</v>
      </c>
      <c r="R91" s="13" t="n">
        <v>275.87</v>
      </c>
      <c r="S91" s="13" t="n">
        <v>275.87</v>
      </c>
      <c r="T91" s="13" t="n">
        <v>275.87</v>
      </c>
      <c r="U91" s="13" t="n">
        <v>350</v>
      </c>
      <c r="V91" s="13" t="n">
        <v>0</v>
      </c>
      <c r="W91" s="13" t="n">
        <f aca="false">U91+V91</f>
        <v>350</v>
      </c>
    </row>
    <row r="92" customFormat="false" ht="15" hidden="false" customHeight="false" outlineLevel="0" collapsed="false">
      <c r="A92" s="14" t="s">
        <v>2771</v>
      </c>
      <c r="B92" s="14" t="s">
        <v>2698</v>
      </c>
      <c r="C92" s="14" t="s">
        <v>533</v>
      </c>
      <c r="D92" s="14" t="s">
        <v>99</v>
      </c>
      <c r="E92" s="15" t="n">
        <v>1180000</v>
      </c>
      <c r="F92" s="15" t="n">
        <v>8942.55</v>
      </c>
      <c r="G92" s="15" t="n">
        <v>1117.82</v>
      </c>
      <c r="H92" s="15" t="n">
        <v>1117.82</v>
      </c>
      <c r="I92" s="15" t="n">
        <f aca="false">SUM(K92:T92)</f>
        <v>6706.9</v>
      </c>
      <c r="J92" s="15" t="n">
        <f aca="false">F92-(G92+H92+I92)</f>
        <v>0.00999999999839929</v>
      </c>
      <c r="K92" s="15" t="n">
        <v>670.69</v>
      </c>
      <c r="L92" s="15" t="n">
        <v>670.69</v>
      </c>
      <c r="M92" s="15" t="n">
        <v>670.69</v>
      </c>
      <c r="N92" s="15" t="n">
        <v>670.69</v>
      </c>
      <c r="O92" s="15" t="n">
        <v>670.69</v>
      </c>
      <c r="P92" s="15" t="n">
        <v>670.69</v>
      </c>
      <c r="Q92" s="15" t="n">
        <v>670.69</v>
      </c>
      <c r="R92" s="15" t="n">
        <v>670.69</v>
      </c>
      <c r="S92" s="15" t="n">
        <v>670.69</v>
      </c>
      <c r="T92" s="15" t="n">
        <v>670.69</v>
      </c>
      <c r="U92" s="15" t="n">
        <v>350</v>
      </c>
      <c r="V92" s="15" t="n">
        <v>250</v>
      </c>
      <c r="W92" s="15" t="n">
        <f aca="false">U92+V92</f>
        <v>600</v>
      </c>
    </row>
    <row r="93" customFormat="false" ht="15" hidden="false" customHeight="false" outlineLevel="0" collapsed="false">
      <c r="A93" s="3" t="s">
        <v>2772</v>
      </c>
      <c r="B93" s="3" t="s">
        <v>2674</v>
      </c>
      <c r="C93" s="3" t="s">
        <v>261</v>
      </c>
      <c r="D93" s="3" t="s">
        <v>132</v>
      </c>
      <c r="E93" s="13" t="n">
        <v>310000</v>
      </c>
      <c r="F93" s="13" t="n">
        <v>3409.41</v>
      </c>
      <c r="G93" s="13" t="n">
        <v>426.18</v>
      </c>
      <c r="H93" s="13" t="n">
        <v>426.18</v>
      </c>
      <c r="I93" s="13" t="n">
        <f aca="false">SUM(K93:T93)</f>
        <v>2557.1</v>
      </c>
      <c r="J93" s="13" t="n">
        <f aca="false">F93-(G93+H93+I93)</f>
        <v>-0.0500000000001819</v>
      </c>
      <c r="K93" s="13" t="n">
        <v>255.71</v>
      </c>
      <c r="L93" s="13" t="n">
        <v>255.71</v>
      </c>
      <c r="M93" s="13" t="n">
        <v>255.71</v>
      </c>
      <c r="N93" s="13" t="n">
        <v>255.71</v>
      </c>
      <c r="O93" s="13" t="n">
        <v>255.71</v>
      </c>
      <c r="P93" s="13" t="n">
        <v>255.71</v>
      </c>
      <c r="Q93" s="13" t="n">
        <v>255.71</v>
      </c>
      <c r="R93" s="13" t="n">
        <v>255.71</v>
      </c>
      <c r="S93" s="13" t="n">
        <v>255.71</v>
      </c>
      <c r="T93" s="13" t="n">
        <v>255.71</v>
      </c>
      <c r="U93" s="13" t="n">
        <v>350</v>
      </c>
      <c r="V93" s="13" t="n">
        <v>0</v>
      </c>
      <c r="W93" s="13" t="n">
        <f aca="false">U93+V93</f>
        <v>350</v>
      </c>
    </row>
    <row r="94" customFormat="false" ht="15" hidden="false" customHeight="false" outlineLevel="0" collapsed="false">
      <c r="A94" s="14" t="s">
        <v>2773</v>
      </c>
      <c r="B94" s="14" t="s">
        <v>2715</v>
      </c>
      <c r="C94" s="14" t="s">
        <v>1215</v>
      </c>
      <c r="D94" s="14" t="s">
        <v>233</v>
      </c>
      <c r="E94" s="15" t="n">
        <v>320000</v>
      </c>
      <c r="F94" s="15" t="n">
        <v>3449.01</v>
      </c>
      <c r="G94" s="15" t="n">
        <v>431.13</v>
      </c>
      <c r="H94" s="15" t="n">
        <v>431.13</v>
      </c>
      <c r="I94" s="15" t="n">
        <f aca="false">SUM(K94:T94)</f>
        <v>2586.8</v>
      </c>
      <c r="J94" s="15" t="n">
        <f aca="false">F94-(G94+H94+I94)</f>
        <v>-0.0499999999992724</v>
      </c>
      <c r="K94" s="15" t="n">
        <v>258.68</v>
      </c>
      <c r="L94" s="15" t="n">
        <v>258.68</v>
      </c>
      <c r="M94" s="15" t="n">
        <v>258.68</v>
      </c>
      <c r="N94" s="15" t="n">
        <v>258.68</v>
      </c>
      <c r="O94" s="15" t="n">
        <v>258.68</v>
      </c>
      <c r="P94" s="15" t="n">
        <v>258.68</v>
      </c>
      <c r="Q94" s="15" t="n">
        <v>258.68</v>
      </c>
      <c r="R94" s="15" t="n">
        <v>258.68</v>
      </c>
      <c r="S94" s="15" t="n">
        <v>258.68</v>
      </c>
      <c r="T94" s="15" t="n">
        <v>258.68</v>
      </c>
      <c r="U94" s="15" t="n">
        <v>350</v>
      </c>
      <c r="V94" s="15" t="n">
        <v>0</v>
      </c>
      <c r="W94" s="15" t="n">
        <f aca="false">U94+V94</f>
        <v>350</v>
      </c>
    </row>
    <row r="95" customFormat="false" ht="15" hidden="false" customHeight="false" outlineLevel="0" collapsed="false">
      <c r="A95" s="3" t="s">
        <v>2774</v>
      </c>
      <c r="B95" s="3" t="s">
        <v>2690</v>
      </c>
      <c r="C95" s="3" t="s">
        <v>876</v>
      </c>
      <c r="D95" s="3" t="s">
        <v>279</v>
      </c>
      <c r="E95" s="13" t="n">
        <v>390000</v>
      </c>
      <c r="F95" s="13" t="n">
        <v>3903.23</v>
      </c>
      <c r="G95" s="13" t="n">
        <v>487.9</v>
      </c>
      <c r="H95" s="13" t="n">
        <v>487.9</v>
      </c>
      <c r="I95" s="13" t="n">
        <f aca="false">SUM(K95:T95)</f>
        <v>2927.4</v>
      </c>
      <c r="J95" s="13" t="n">
        <f aca="false">F95-(G95+H95+I95)</f>
        <v>0.0300000000002001</v>
      </c>
      <c r="K95" s="13" t="n">
        <v>292.74</v>
      </c>
      <c r="L95" s="13" t="n">
        <v>292.74</v>
      </c>
      <c r="M95" s="13" t="n">
        <v>292.74</v>
      </c>
      <c r="N95" s="13" t="n">
        <v>292.74</v>
      </c>
      <c r="O95" s="13" t="n">
        <v>292.74</v>
      </c>
      <c r="P95" s="13" t="n">
        <v>292.74</v>
      </c>
      <c r="Q95" s="13" t="n">
        <v>292.74</v>
      </c>
      <c r="R95" s="13" t="n">
        <v>292.74</v>
      </c>
      <c r="S95" s="13" t="n">
        <v>292.74</v>
      </c>
      <c r="T95" s="13" t="n">
        <v>292.74</v>
      </c>
      <c r="U95" s="13" t="n">
        <v>350</v>
      </c>
      <c r="V95" s="13" t="n">
        <v>0</v>
      </c>
      <c r="W95" s="13" t="n">
        <f aca="false">U95+V95</f>
        <v>350</v>
      </c>
    </row>
    <row r="96" customFormat="false" ht="15" hidden="false" customHeight="false" outlineLevel="0" collapsed="false">
      <c r="A96" s="14" t="s">
        <v>2775</v>
      </c>
      <c r="B96" s="14" t="s">
        <v>2685</v>
      </c>
      <c r="C96" s="14" t="s">
        <v>710</v>
      </c>
      <c r="D96" s="14" t="s">
        <v>147</v>
      </c>
      <c r="E96" s="15" t="n">
        <v>555000</v>
      </c>
      <c r="F96" s="15" t="n">
        <v>5660.4</v>
      </c>
      <c r="G96" s="15" t="n">
        <v>707.55</v>
      </c>
      <c r="H96" s="15" t="n">
        <v>707.55</v>
      </c>
      <c r="I96" s="15" t="n">
        <f aca="false">SUM(K96:T96)</f>
        <v>4245.3</v>
      </c>
      <c r="J96" s="15" t="n">
        <f aca="false">F96-(G96+H96+I96)</f>
        <v>0</v>
      </c>
      <c r="K96" s="15" t="n">
        <v>424.53</v>
      </c>
      <c r="L96" s="15" t="n">
        <v>424.53</v>
      </c>
      <c r="M96" s="15" t="n">
        <v>424.53</v>
      </c>
      <c r="N96" s="15" t="n">
        <v>424.53</v>
      </c>
      <c r="O96" s="15" t="n">
        <v>424.53</v>
      </c>
      <c r="P96" s="15" t="n">
        <v>424.53</v>
      </c>
      <c r="Q96" s="15" t="n">
        <v>424.53</v>
      </c>
      <c r="R96" s="15" t="n">
        <v>424.53</v>
      </c>
      <c r="S96" s="15" t="n">
        <v>424.53</v>
      </c>
      <c r="T96" s="15" t="n">
        <v>424.53</v>
      </c>
      <c r="U96" s="15" t="n">
        <v>350</v>
      </c>
      <c r="V96" s="15" t="n">
        <v>0</v>
      </c>
      <c r="W96" s="15" t="n">
        <f aca="false">U96+V96</f>
        <v>350</v>
      </c>
    </row>
    <row r="97" customFormat="false" ht="15" hidden="false" customHeight="false" outlineLevel="0" collapsed="false">
      <c r="A97" s="3" t="s">
        <v>2776</v>
      </c>
      <c r="B97" s="3" t="s">
        <v>2677</v>
      </c>
      <c r="C97" s="3" t="s">
        <v>843</v>
      </c>
      <c r="D97" s="3" t="s">
        <v>138</v>
      </c>
      <c r="E97" s="13" t="n">
        <v>255000</v>
      </c>
      <c r="F97" s="13" t="n">
        <v>2064.13</v>
      </c>
      <c r="G97" s="13" t="n">
        <v>258.02</v>
      </c>
      <c r="H97" s="13" t="n">
        <v>258.02</v>
      </c>
      <c r="I97" s="13" t="n">
        <f aca="false">SUM(K97:T97)</f>
        <v>1548.1</v>
      </c>
      <c r="J97" s="13" t="n">
        <f aca="false">F97-(G97+H97+I97)</f>
        <v>-0.00999999999976353</v>
      </c>
      <c r="K97" s="13" t="n">
        <v>154.81</v>
      </c>
      <c r="L97" s="13" t="n">
        <v>154.81</v>
      </c>
      <c r="M97" s="13" t="n">
        <v>154.81</v>
      </c>
      <c r="N97" s="13" t="n">
        <v>154.81</v>
      </c>
      <c r="O97" s="13" t="n">
        <v>154.81</v>
      </c>
      <c r="P97" s="13" t="n">
        <v>154.81</v>
      </c>
      <c r="Q97" s="13" t="n">
        <v>154.81</v>
      </c>
      <c r="R97" s="13" t="n">
        <v>154.81</v>
      </c>
      <c r="S97" s="13" t="n">
        <v>154.81</v>
      </c>
      <c r="T97" s="13" t="n">
        <v>154.81</v>
      </c>
      <c r="U97" s="13" t="n">
        <v>350</v>
      </c>
      <c r="V97" s="13" t="n">
        <v>0</v>
      </c>
      <c r="W97" s="13" t="n">
        <f aca="false">U97+V97</f>
        <v>350</v>
      </c>
    </row>
    <row r="98" customFormat="false" ht="15" hidden="false" customHeight="false" outlineLevel="0" collapsed="false">
      <c r="A98" s="14" t="s">
        <v>2777</v>
      </c>
      <c r="B98" s="14" t="s">
        <v>2759</v>
      </c>
      <c r="C98" s="14" t="s">
        <v>1048</v>
      </c>
      <c r="D98" s="14" t="s">
        <v>81</v>
      </c>
      <c r="E98" s="15" t="n">
        <v>230000</v>
      </c>
      <c r="F98" s="15" t="n">
        <v>6130.32</v>
      </c>
      <c r="G98" s="15" t="n">
        <v>766.29</v>
      </c>
      <c r="H98" s="15" t="n">
        <v>766.29</v>
      </c>
      <c r="I98" s="15" t="n">
        <f aca="false">SUM(K98:T98)</f>
        <v>4597.7</v>
      </c>
      <c r="J98" s="15" t="n">
        <f aca="false">F98-(G98+H98+I98)</f>
        <v>0.0399999999990541</v>
      </c>
      <c r="K98" s="15" t="n">
        <v>459.77</v>
      </c>
      <c r="L98" s="15" t="n">
        <v>459.77</v>
      </c>
      <c r="M98" s="15" t="n">
        <v>459.77</v>
      </c>
      <c r="N98" s="15" t="n">
        <v>459.77</v>
      </c>
      <c r="O98" s="15" t="n">
        <v>459.77</v>
      </c>
      <c r="P98" s="15" t="n">
        <v>459.77</v>
      </c>
      <c r="Q98" s="15" t="n">
        <v>459.77</v>
      </c>
      <c r="R98" s="15" t="n">
        <v>459.77</v>
      </c>
      <c r="S98" s="15" t="n">
        <v>459.77</v>
      </c>
      <c r="T98" s="15" t="n">
        <v>459.77</v>
      </c>
      <c r="U98" s="15" t="n">
        <v>350</v>
      </c>
      <c r="V98" s="15" t="n">
        <v>0</v>
      </c>
      <c r="W98" s="15" t="n">
        <f aca="false">U98+V98</f>
        <v>350</v>
      </c>
    </row>
    <row r="99" customFormat="false" ht="15" hidden="false" customHeight="false" outlineLevel="0" collapsed="false">
      <c r="A99" s="3" t="s">
        <v>2778</v>
      </c>
      <c r="B99" s="3" t="s">
        <v>2779</v>
      </c>
      <c r="C99" s="3" t="s">
        <v>1271</v>
      </c>
      <c r="D99" s="3" t="s">
        <v>112</v>
      </c>
      <c r="E99" s="13" t="n">
        <v>345000</v>
      </c>
      <c r="F99" s="13" t="n">
        <v>3604.63</v>
      </c>
      <c r="G99" s="13" t="n">
        <v>450.58</v>
      </c>
      <c r="H99" s="13" t="n">
        <v>450.58</v>
      </c>
      <c r="I99" s="13" t="n">
        <f aca="false">SUM(K99:T99)</f>
        <v>2703.5</v>
      </c>
      <c r="J99" s="13" t="n">
        <f aca="false">F99-(G99+H99+I99)</f>
        <v>-0.0299999999997453</v>
      </c>
      <c r="K99" s="13" t="n">
        <v>270.35</v>
      </c>
      <c r="L99" s="13" t="n">
        <v>270.35</v>
      </c>
      <c r="M99" s="13" t="n">
        <v>270.35</v>
      </c>
      <c r="N99" s="13" t="n">
        <v>270.35</v>
      </c>
      <c r="O99" s="13" t="n">
        <v>270.35</v>
      </c>
      <c r="P99" s="13" t="n">
        <v>270.35</v>
      </c>
      <c r="Q99" s="13" t="n">
        <v>270.35</v>
      </c>
      <c r="R99" s="13" t="n">
        <v>270.35</v>
      </c>
      <c r="S99" s="13" t="n">
        <v>270.35</v>
      </c>
      <c r="T99" s="13" t="n">
        <v>270.35</v>
      </c>
      <c r="U99" s="13" t="n">
        <v>350</v>
      </c>
      <c r="V99" s="13" t="n">
        <v>0</v>
      </c>
      <c r="W99" s="13" t="n">
        <f aca="false">U99+V99</f>
        <v>350</v>
      </c>
    </row>
    <row r="100" customFormat="false" ht="15" hidden="false" customHeight="false" outlineLevel="0" collapsed="false">
      <c r="A100" s="14" t="s">
        <v>2780</v>
      </c>
      <c r="B100" s="14" t="s">
        <v>2779</v>
      </c>
      <c r="C100" s="14" t="s">
        <v>1411</v>
      </c>
      <c r="D100" s="14" t="s">
        <v>246</v>
      </c>
      <c r="E100" s="15" t="n">
        <v>1290000</v>
      </c>
      <c r="F100" s="15" t="n">
        <v>12485.06</v>
      </c>
      <c r="G100" s="15" t="n">
        <v>1560.63</v>
      </c>
      <c r="H100" s="15" t="n">
        <v>1560.63</v>
      </c>
      <c r="I100" s="15" t="n">
        <f aca="false">SUM(K100:T100)</f>
        <v>9363.8</v>
      </c>
      <c r="J100" s="15" t="n">
        <f aca="false">F100-(G100+H100+I100)</f>
        <v>0</v>
      </c>
      <c r="K100" s="15" t="n">
        <v>936.38</v>
      </c>
      <c r="L100" s="15" t="n">
        <v>936.38</v>
      </c>
      <c r="M100" s="15" t="n">
        <v>936.38</v>
      </c>
      <c r="N100" s="15" t="n">
        <v>936.38</v>
      </c>
      <c r="O100" s="15" t="n">
        <v>936.38</v>
      </c>
      <c r="P100" s="15" t="n">
        <v>936.38</v>
      </c>
      <c r="Q100" s="15" t="n">
        <v>936.38</v>
      </c>
      <c r="R100" s="15" t="n">
        <v>936.38</v>
      </c>
      <c r="S100" s="15" t="n">
        <v>936.38</v>
      </c>
      <c r="T100" s="15" t="n">
        <v>936.38</v>
      </c>
      <c r="U100" s="15" t="n">
        <v>350</v>
      </c>
      <c r="V100" s="15" t="n">
        <v>250</v>
      </c>
      <c r="W100" s="15" t="n">
        <f aca="false">U100+V100</f>
        <v>600</v>
      </c>
    </row>
    <row r="101" customFormat="false" ht="15" hidden="false" customHeight="false" outlineLevel="0" collapsed="false">
      <c r="A101" s="3" t="s">
        <v>2781</v>
      </c>
      <c r="B101" s="3" t="s">
        <v>2715</v>
      </c>
      <c r="C101" s="3" t="s">
        <v>432</v>
      </c>
      <c r="D101" s="3" t="s">
        <v>172</v>
      </c>
      <c r="E101" s="13" t="n">
        <v>1415000</v>
      </c>
      <c r="F101" s="13" t="n">
        <v>17263.81</v>
      </c>
      <c r="G101" s="13" t="n">
        <v>2157.98</v>
      </c>
      <c r="H101" s="13" t="n">
        <v>2157.98</v>
      </c>
      <c r="I101" s="13" t="n">
        <f aca="false">SUM(K101:T101)</f>
        <v>12947.9</v>
      </c>
      <c r="J101" s="13" t="n">
        <f aca="false">F101-(G101+H101+I101)</f>
        <v>-0.0499999999992724</v>
      </c>
      <c r="K101" s="13" t="n">
        <v>1294.79</v>
      </c>
      <c r="L101" s="13" t="n">
        <v>1294.79</v>
      </c>
      <c r="M101" s="13" t="n">
        <v>1294.79</v>
      </c>
      <c r="N101" s="13" t="n">
        <v>1294.79</v>
      </c>
      <c r="O101" s="13" t="n">
        <v>1294.79</v>
      </c>
      <c r="P101" s="13" t="n">
        <v>1294.79</v>
      </c>
      <c r="Q101" s="13" t="n">
        <v>1294.79</v>
      </c>
      <c r="R101" s="13" t="n">
        <v>1294.79</v>
      </c>
      <c r="S101" s="13" t="n">
        <v>1294.79</v>
      </c>
      <c r="T101" s="13" t="n">
        <v>1294.79</v>
      </c>
      <c r="U101" s="13" t="n">
        <v>350</v>
      </c>
      <c r="V101" s="13" t="n">
        <v>250</v>
      </c>
      <c r="W101" s="13" t="n">
        <f aca="false">U101+V101</f>
        <v>600</v>
      </c>
    </row>
    <row r="102" customFormat="false" ht="15" hidden="false" customHeight="false" outlineLevel="0" collapsed="false">
      <c r="A102" s="14" t="s">
        <v>2782</v>
      </c>
      <c r="B102" s="14" t="s">
        <v>2690</v>
      </c>
      <c r="C102" s="14" t="s">
        <v>587</v>
      </c>
      <c r="D102" s="14" t="s">
        <v>298</v>
      </c>
      <c r="E102" s="15" t="n">
        <v>750000</v>
      </c>
      <c r="F102" s="15" t="n">
        <v>9007.45</v>
      </c>
      <c r="G102" s="15" t="n">
        <v>1125.93</v>
      </c>
      <c r="H102" s="15" t="n">
        <v>1125.93</v>
      </c>
      <c r="I102" s="15" t="n">
        <f aca="false">SUM(K102:T102)</f>
        <v>6755.6</v>
      </c>
      <c r="J102" s="15" t="n">
        <f aca="false">F102-(G102+H102+I102)</f>
        <v>-0.00999999999839929</v>
      </c>
      <c r="K102" s="15" t="n">
        <v>675.56</v>
      </c>
      <c r="L102" s="15" t="n">
        <v>675.56</v>
      </c>
      <c r="M102" s="15" t="n">
        <v>675.56</v>
      </c>
      <c r="N102" s="15" t="n">
        <v>675.56</v>
      </c>
      <c r="O102" s="15" t="n">
        <v>675.56</v>
      </c>
      <c r="P102" s="15" t="n">
        <v>675.56</v>
      </c>
      <c r="Q102" s="15" t="n">
        <v>675.56</v>
      </c>
      <c r="R102" s="15" t="n">
        <v>675.56</v>
      </c>
      <c r="S102" s="15" t="n">
        <v>675.56</v>
      </c>
      <c r="T102" s="15" t="n">
        <v>675.56</v>
      </c>
      <c r="U102" s="15" t="n">
        <v>350</v>
      </c>
      <c r="V102" s="15" t="n">
        <v>0</v>
      </c>
      <c r="W102" s="15" t="n">
        <f aca="false">U102+V102</f>
        <v>350</v>
      </c>
    </row>
    <row r="103" customFormat="false" ht="15" hidden="false" customHeight="false" outlineLevel="0" collapsed="false">
      <c r="A103" s="3" t="s">
        <v>2783</v>
      </c>
      <c r="B103" s="3" t="s">
        <v>2680</v>
      </c>
      <c r="C103" s="3" t="s">
        <v>998</v>
      </c>
      <c r="D103" s="3" t="s">
        <v>172</v>
      </c>
      <c r="E103" s="13" t="n">
        <v>455000</v>
      </c>
      <c r="F103" s="13" t="n">
        <v>5204.31</v>
      </c>
      <c r="G103" s="13" t="n">
        <v>650.54</v>
      </c>
      <c r="H103" s="13" t="n">
        <v>650.54</v>
      </c>
      <c r="I103" s="13" t="n">
        <f aca="false">SUM(K103:T103)</f>
        <v>3903.2</v>
      </c>
      <c r="J103" s="13" t="n">
        <f aca="false">F103-(G103+H103+I103)</f>
        <v>0.0299999999997453</v>
      </c>
      <c r="K103" s="13" t="n">
        <v>390.32</v>
      </c>
      <c r="L103" s="13" t="n">
        <v>390.32</v>
      </c>
      <c r="M103" s="13" t="n">
        <v>390.32</v>
      </c>
      <c r="N103" s="13" t="n">
        <v>390.32</v>
      </c>
      <c r="O103" s="13" t="n">
        <v>390.32</v>
      </c>
      <c r="P103" s="13" t="n">
        <v>390.32</v>
      </c>
      <c r="Q103" s="13" t="n">
        <v>390.32</v>
      </c>
      <c r="R103" s="13" t="n">
        <v>390.32</v>
      </c>
      <c r="S103" s="13" t="n">
        <v>390.32</v>
      </c>
      <c r="T103" s="13" t="n">
        <v>390.32</v>
      </c>
      <c r="U103" s="13" t="n">
        <v>350</v>
      </c>
      <c r="V103" s="13" t="n">
        <v>0</v>
      </c>
      <c r="W103" s="13" t="n">
        <f aca="false">U103+V103</f>
        <v>350</v>
      </c>
    </row>
    <row r="104" customFormat="false" ht="15" hidden="false" customHeight="false" outlineLevel="0" collapsed="false">
      <c r="A104" s="14" t="s">
        <v>2784</v>
      </c>
      <c r="B104" s="14" t="s">
        <v>2785</v>
      </c>
      <c r="C104" s="14" t="s">
        <v>1377</v>
      </c>
      <c r="D104" s="14" t="s">
        <v>157</v>
      </c>
      <c r="E104" s="15" t="n">
        <v>1020000</v>
      </c>
      <c r="F104" s="15" t="n">
        <v>16991.64</v>
      </c>
      <c r="G104" s="15" t="n">
        <v>2123.95</v>
      </c>
      <c r="H104" s="15" t="n">
        <v>2123.95</v>
      </c>
      <c r="I104" s="15" t="n">
        <f aca="false">SUM(K104:T104)</f>
        <v>12743.7</v>
      </c>
      <c r="J104" s="15" t="n">
        <f aca="false">F104-(G104+H104+I104)</f>
        <v>0.0400000000008731</v>
      </c>
      <c r="K104" s="15" t="n">
        <v>1274.37</v>
      </c>
      <c r="L104" s="15" t="n">
        <v>1274.37</v>
      </c>
      <c r="M104" s="15" t="n">
        <v>1274.37</v>
      </c>
      <c r="N104" s="15" t="n">
        <v>1274.37</v>
      </c>
      <c r="O104" s="15" t="n">
        <v>1274.37</v>
      </c>
      <c r="P104" s="15" t="n">
        <v>1274.37</v>
      </c>
      <c r="Q104" s="15" t="n">
        <v>1274.37</v>
      </c>
      <c r="R104" s="15" t="n">
        <v>1274.37</v>
      </c>
      <c r="S104" s="15" t="n">
        <v>1274.37</v>
      </c>
      <c r="T104" s="15" t="n">
        <v>1274.37</v>
      </c>
      <c r="U104" s="15" t="n">
        <v>350</v>
      </c>
      <c r="V104" s="15" t="n">
        <v>250</v>
      </c>
      <c r="W104" s="15" t="n">
        <f aca="false">U104+V104</f>
        <v>600</v>
      </c>
    </row>
    <row r="105" customFormat="false" ht="15" hidden="false" customHeight="false" outlineLevel="0" collapsed="false">
      <c r="A105" s="3" t="s">
        <v>2786</v>
      </c>
      <c r="B105" s="3" t="s">
        <v>2704</v>
      </c>
      <c r="C105" s="3" t="s">
        <v>440</v>
      </c>
      <c r="D105" s="3" t="s">
        <v>251</v>
      </c>
      <c r="E105" s="13" t="n">
        <v>325000</v>
      </c>
      <c r="F105" s="13" t="n">
        <v>4003.31</v>
      </c>
      <c r="G105" s="13" t="n">
        <v>500.41</v>
      </c>
      <c r="H105" s="13" t="n">
        <v>500.41</v>
      </c>
      <c r="I105" s="13" t="n">
        <f aca="false">SUM(K105:T105)</f>
        <v>3002.5</v>
      </c>
      <c r="J105" s="13" t="n">
        <f aca="false">F105-(G105+H105+I105)</f>
        <v>-0.0100000000002183</v>
      </c>
      <c r="K105" s="13" t="n">
        <v>300.25</v>
      </c>
      <c r="L105" s="13" t="n">
        <v>300.25</v>
      </c>
      <c r="M105" s="13" t="n">
        <v>300.25</v>
      </c>
      <c r="N105" s="13" t="n">
        <v>300.25</v>
      </c>
      <c r="O105" s="13" t="n">
        <v>300.25</v>
      </c>
      <c r="P105" s="13" t="n">
        <v>300.25</v>
      </c>
      <c r="Q105" s="13" t="n">
        <v>300.25</v>
      </c>
      <c r="R105" s="13" t="n">
        <v>300.25</v>
      </c>
      <c r="S105" s="13" t="n">
        <v>300.25</v>
      </c>
      <c r="T105" s="13" t="n">
        <v>300.25</v>
      </c>
      <c r="U105" s="13" t="n">
        <v>350</v>
      </c>
      <c r="V105" s="13" t="n">
        <v>0</v>
      </c>
      <c r="W105" s="13" t="n">
        <f aca="false">U105+V105</f>
        <v>350</v>
      </c>
    </row>
    <row r="106" customFormat="false" ht="15" hidden="false" customHeight="false" outlineLevel="0" collapsed="false">
      <c r="A106" s="14" t="s">
        <v>2787</v>
      </c>
      <c r="B106" s="14" t="s">
        <v>2713</v>
      </c>
      <c r="C106" s="14" t="s">
        <v>1015</v>
      </c>
      <c r="D106" s="14" t="s">
        <v>325</v>
      </c>
      <c r="E106" s="15" t="n">
        <v>905000</v>
      </c>
      <c r="F106" s="15" t="n">
        <v>11904.14</v>
      </c>
      <c r="G106" s="15" t="n">
        <v>1488.02</v>
      </c>
      <c r="H106" s="15" t="n">
        <v>1488.02</v>
      </c>
      <c r="I106" s="15" t="n">
        <f aca="false">SUM(K106:T106)</f>
        <v>8928.1</v>
      </c>
      <c r="J106" s="15" t="n">
        <f aca="false">F106-(G106+H106+I106)</f>
        <v>0</v>
      </c>
      <c r="K106" s="15" t="n">
        <v>892.81</v>
      </c>
      <c r="L106" s="15" t="n">
        <v>892.81</v>
      </c>
      <c r="M106" s="15" t="n">
        <v>892.81</v>
      </c>
      <c r="N106" s="15" t="n">
        <v>892.81</v>
      </c>
      <c r="O106" s="15" t="n">
        <v>892.81</v>
      </c>
      <c r="P106" s="15" t="n">
        <v>892.81</v>
      </c>
      <c r="Q106" s="15" t="n">
        <v>892.81</v>
      </c>
      <c r="R106" s="15" t="n">
        <v>892.81</v>
      </c>
      <c r="S106" s="15" t="n">
        <v>892.81</v>
      </c>
      <c r="T106" s="15" t="n">
        <v>892.81</v>
      </c>
      <c r="U106" s="15" t="n">
        <v>350</v>
      </c>
      <c r="V106" s="15" t="n">
        <v>0</v>
      </c>
      <c r="W106" s="15" t="n">
        <f aca="false">U106+V106</f>
        <v>350</v>
      </c>
    </row>
    <row r="107" customFormat="false" ht="15" hidden="false" customHeight="false" outlineLevel="0" collapsed="false">
      <c r="A107" s="3" t="s">
        <v>2788</v>
      </c>
      <c r="B107" s="3" t="s">
        <v>2718</v>
      </c>
      <c r="C107" s="3" t="s">
        <v>551</v>
      </c>
      <c r="D107" s="3" t="s">
        <v>180</v>
      </c>
      <c r="E107" s="13" t="n">
        <v>1950000</v>
      </c>
      <c r="F107" s="13" t="n">
        <v>27680.05</v>
      </c>
      <c r="G107" s="13" t="n">
        <v>3460.01</v>
      </c>
      <c r="H107" s="13" t="n">
        <v>3460.01</v>
      </c>
      <c r="I107" s="13" t="n">
        <f aca="false">SUM(K107:T107)</f>
        <v>20760</v>
      </c>
      <c r="J107" s="13" t="n">
        <f aca="false">F107-(G107+H107+I107)</f>
        <v>0.0299999999988358</v>
      </c>
      <c r="K107" s="13" t="n">
        <v>2076</v>
      </c>
      <c r="L107" s="13" t="n">
        <v>2076</v>
      </c>
      <c r="M107" s="13" t="n">
        <v>2076</v>
      </c>
      <c r="N107" s="13" t="n">
        <v>2076</v>
      </c>
      <c r="O107" s="13" t="n">
        <v>2076</v>
      </c>
      <c r="P107" s="13" t="n">
        <v>2076</v>
      </c>
      <c r="Q107" s="13" t="n">
        <v>2076</v>
      </c>
      <c r="R107" s="13" t="n">
        <v>2076</v>
      </c>
      <c r="S107" s="13" t="n">
        <v>2076</v>
      </c>
      <c r="T107" s="13" t="n">
        <v>2076</v>
      </c>
      <c r="U107" s="13" t="n">
        <v>350</v>
      </c>
      <c r="V107" s="13" t="n">
        <v>250</v>
      </c>
      <c r="W107" s="13" t="n">
        <f aca="false">U107+V107</f>
        <v>600</v>
      </c>
    </row>
    <row r="108" customFormat="false" ht="15" hidden="false" customHeight="false" outlineLevel="0" collapsed="false">
      <c r="A108" s="14" t="s">
        <v>2789</v>
      </c>
      <c r="B108" s="14" t="s">
        <v>2759</v>
      </c>
      <c r="C108" s="14" t="s">
        <v>880</v>
      </c>
      <c r="D108" s="14" t="s">
        <v>93</v>
      </c>
      <c r="E108" s="15" t="n">
        <v>835000</v>
      </c>
      <c r="F108" s="15" t="n">
        <v>14889.4</v>
      </c>
      <c r="G108" s="15" t="n">
        <v>1861.17</v>
      </c>
      <c r="H108" s="15" t="n">
        <v>1861.17</v>
      </c>
      <c r="I108" s="15" t="n">
        <f aca="false">SUM(K108:T108)</f>
        <v>11167</v>
      </c>
      <c r="J108" s="15" t="n">
        <f aca="false">F108-(G108+H108+I108)</f>
        <v>0.0599999999976717</v>
      </c>
      <c r="K108" s="15" t="n">
        <v>1116.7</v>
      </c>
      <c r="L108" s="15" t="n">
        <v>1116.7</v>
      </c>
      <c r="M108" s="15" t="n">
        <v>1116.7</v>
      </c>
      <c r="N108" s="15" t="n">
        <v>1116.7</v>
      </c>
      <c r="O108" s="15" t="n">
        <v>1116.7</v>
      </c>
      <c r="P108" s="15" t="n">
        <v>1116.7</v>
      </c>
      <c r="Q108" s="15" t="n">
        <v>1116.7</v>
      </c>
      <c r="R108" s="15" t="n">
        <v>1116.7</v>
      </c>
      <c r="S108" s="15" t="n">
        <v>1116.7</v>
      </c>
      <c r="T108" s="15" t="n">
        <v>1116.7</v>
      </c>
      <c r="U108" s="15" t="n">
        <v>350</v>
      </c>
      <c r="V108" s="15" t="n">
        <v>0</v>
      </c>
      <c r="W108" s="15" t="n">
        <f aca="false">U108+V108</f>
        <v>350</v>
      </c>
    </row>
    <row r="109" customFormat="false" ht="15" hidden="false" customHeight="false" outlineLevel="0" collapsed="false">
      <c r="A109" s="3" t="s">
        <v>2790</v>
      </c>
      <c r="B109" s="3" t="s">
        <v>2657</v>
      </c>
      <c r="C109" s="3" t="s">
        <v>2105</v>
      </c>
      <c r="D109" s="3" t="s">
        <v>222</v>
      </c>
      <c r="E109" s="13" t="n">
        <v>820000</v>
      </c>
      <c r="F109" s="13" t="n">
        <v>5687.64</v>
      </c>
      <c r="G109" s="13" t="n">
        <v>710.96</v>
      </c>
      <c r="H109" s="13" t="n">
        <v>710.96</v>
      </c>
      <c r="I109" s="13" t="n">
        <f aca="false">SUM(K109:T109)</f>
        <v>4265.7</v>
      </c>
      <c r="J109" s="13" t="n">
        <f aca="false">F109-(G109+H109+I109)</f>
        <v>0.0200000000004366</v>
      </c>
      <c r="K109" s="13" t="n">
        <v>426.57</v>
      </c>
      <c r="L109" s="13" t="n">
        <v>426.57</v>
      </c>
      <c r="M109" s="13" t="n">
        <v>426.57</v>
      </c>
      <c r="N109" s="13" t="n">
        <v>426.57</v>
      </c>
      <c r="O109" s="13" t="n">
        <v>426.57</v>
      </c>
      <c r="P109" s="13" t="n">
        <v>426.57</v>
      </c>
      <c r="Q109" s="13" t="n">
        <v>426.57</v>
      </c>
      <c r="R109" s="13" t="n">
        <v>426.57</v>
      </c>
      <c r="S109" s="13" t="n">
        <v>426.57</v>
      </c>
      <c r="T109" s="13" t="n">
        <v>426.57</v>
      </c>
      <c r="U109" s="13" t="n">
        <v>350</v>
      </c>
      <c r="V109" s="13" t="n">
        <v>0</v>
      </c>
      <c r="W109" s="13" t="n">
        <f aca="false">U109+V109</f>
        <v>350</v>
      </c>
    </row>
    <row r="110" customFormat="false" ht="15" hidden="false" customHeight="false" outlineLevel="0" collapsed="false">
      <c r="A110" s="14" t="s">
        <v>2791</v>
      </c>
      <c r="B110" s="14" t="s">
        <v>2666</v>
      </c>
      <c r="C110" s="14" t="s">
        <v>870</v>
      </c>
      <c r="D110" s="14" t="s">
        <v>911</v>
      </c>
      <c r="E110" s="15" t="n">
        <v>495000</v>
      </c>
      <c r="F110" s="15" t="n">
        <v>5879.59</v>
      </c>
      <c r="G110" s="15" t="n">
        <v>734.95</v>
      </c>
      <c r="H110" s="15" t="n">
        <v>734.95</v>
      </c>
      <c r="I110" s="15" t="n">
        <f aca="false">SUM(K110:T110)</f>
        <v>4409.7</v>
      </c>
      <c r="J110" s="15" t="n">
        <f aca="false">F110-(G110+H110+I110)</f>
        <v>-0.0100000000002183</v>
      </c>
      <c r="K110" s="15" t="n">
        <v>440.97</v>
      </c>
      <c r="L110" s="15" t="n">
        <v>440.97</v>
      </c>
      <c r="M110" s="15" t="n">
        <v>440.97</v>
      </c>
      <c r="N110" s="15" t="n">
        <v>440.97</v>
      </c>
      <c r="O110" s="15" t="n">
        <v>440.97</v>
      </c>
      <c r="P110" s="15" t="n">
        <v>440.97</v>
      </c>
      <c r="Q110" s="15" t="n">
        <v>440.97</v>
      </c>
      <c r="R110" s="15" t="n">
        <v>440.97</v>
      </c>
      <c r="S110" s="15" t="n">
        <v>440.97</v>
      </c>
      <c r="T110" s="15" t="n">
        <v>440.97</v>
      </c>
      <c r="U110" s="15" t="n">
        <v>350</v>
      </c>
      <c r="V110" s="15" t="n">
        <v>0</v>
      </c>
      <c r="W110" s="15" t="n">
        <f aca="false">U110+V110</f>
        <v>350</v>
      </c>
    </row>
    <row r="111" customFormat="false" ht="15" hidden="false" customHeight="false" outlineLevel="0" collapsed="false">
      <c r="A111" s="3" t="s">
        <v>2792</v>
      </c>
      <c r="B111" s="3" t="s">
        <v>2682</v>
      </c>
      <c r="C111" s="3" t="s">
        <v>1505</v>
      </c>
      <c r="D111" s="3" t="s">
        <v>189</v>
      </c>
      <c r="E111" s="13" t="n">
        <v>535000</v>
      </c>
      <c r="F111" s="13" t="n">
        <v>3710.83</v>
      </c>
      <c r="G111" s="13" t="n">
        <v>463.85</v>
      </c>
      <c r="H111" s="13" t="n">
        <v>463.85</v>
      </c>
      <c r="I111" s="13" t="n">
        <f aca="false">SUM(K111:T111)</f>
        <v>2783.1</v>
      </c>
      <c r="J111" s="13" t="n">
        <f aca="false">F111-(G111+H111+I111)</f>
        <v>0.0299999999997453</v>
      </c>
      <c r="K111" s="13" t="n">
        <v>278.31</v>
      </c>
      <c r="L111" s="13" t="n">
        <v>278.31</v>
      </c>
      <c r="M111" s="13" t="n">
        <v>278.31</v>
      </c>
      <c r="N111" s="13" t="n">
        <v>278.31</v>
      </c>
      <c r="O111" s="13" t="n">
        <v>278.31</v>
      </c>
      <c r="P111" s="13" t="n">
        <v>278.31</v>
      </c>
      <c r="Q111" s="13" t="n">
        <v>278.31</v>
      </c>
      <c r="R111" s="13" t="n">
        <v>278.31</v>
      </c>
      <c r="S111" s="13" t="n">
        <v>278.31</v>
      </c>
      <c r="T111" s="13" t="n">
        <v>278.31</v>
      </c>
      <c r="U111" s="13" t="n">
        <v>350</v>
      </c>
      <c r="V111" s="13" t="n">
        <v>0</v>
      </c>
      <c r="W111" s="13" t="n">
        <f aca="false">U111+V111</f>
        <v>350</v>
      </c>
    </row>
    <row r="112" customFormat="false" ht="15" hidden="false" customHeight="false" outlineLevel="0" collapsed="false">
      <c r="A112" s="14" t="s">
        <v>2793</v>
      </c>
      <c r="B112" s="14" t="s">
        <v>2749</v>
      </c>
      <c r="C112" s="14" t="s">
        <v>1803</v>
      </c>
      <c r="D112" s="14" t="s">
        <v>109</v>
      </c>
      <c r="E112" s="15" t="n">
        <v>410000</v>
      </c>
      <c r="F112" s="15" t="n">
        <v>5636.53</v>
      </c>
      <c r="G112" s="15" t="n">
        <v>704.57</v>
      </c>
      <c r="H112" s="15" t="n">
        <v>704.57</v>
      </c>
      <c r="I112" s="15" t="n">
        <f aca="false">SUM(K112:T112)</f>
        <v>4227.4</v>
      </c>
      <c r="J112" s="15" t="n">
        <f aca="false">F112-(G112+H112+I112)</f>
        <v>-0.0100000000002183</v>
      </c>
      <c r="K112" s="15" t="n">
        <v>422.74</v>
      </c>
      <c r="L112" s="15" t="n">
        <v>422.74</v>
      </c>
      <c r="M112" s="15" t="n">
        <v>422.74</v>
      </c>
      <c r="N112" s="15" t="n">
        <v>422.74</v>
      </c>
      <c r="O112" s="15" t="n">
        <v>422.74</v>
      </c>
      <c r="P112" s="15" t="n">
        <v>422.74</v>
      </c>
      <c r="Q112" s="15" t="n">
        <v>422.74</v>
      </c>
      <c r="R112" s="15" t="n">
        <v>422.74</v>
      </c>
      <c r="S112" s="15" t="n">
        <v>422.74</v>
      </c>
      <c r="T112" s="15" t="n">
        <v>422.74</v>
      </c>
      <c r="U112" s="15" t="n">
        <v>350</v>
      </c>
      <c r="V112" s="15" t="n">
        <v>0</v>
      </c>
      <c r="W112" s="15" t="n">
        <f aca="false">U112+V112</f>
        <v>350</v>
      </c>
    </row>
    <row r="113" customFormat="false" ht="15" hidden="false" customHeight="false" outlineLevel="0" collapsed="false">
      <c r="A113" s="3" t="s">
        <v>2794</v>
      </c>
      <c r="B113" s="3" t="s">
        <v>2670</v>
      </c>
      <c r="C113" s="3" t="s">
        <v>1666</v>
      </c>
      <c r="D113" s="3" t="s">
        <v>85</v>
      </c>
      <c r="E113" s="13" t="n">
        <v>475000</v>
      </c>
      <c r="F113" s="13" t="n">
        <v>11134.31</v>
      </c>
      <c r="G113" s="13" t="n">
        <v>1391.79</v>
      </c>
      <c r="H113" s="13" t="n">
        <v>1391.79</v>
      </c>
      <c r="I113" s="13" t="n">
        <f aca="false">SUM(K113:T113)</f>
        <v>8350.7</v>
      </c>
      <c r="J113" s="13" t="n">
        <f aca="false">F113-(G113+H113+I113)</f>
        <v>0.0299999999988358</v>
      </c>
      <c r="K113" s="13" t="n">
        <v>835.07</v>
      </c>
      <c r="L113" s="13" t="n">
        <v>835.07</v>
      </c>
      <c r="M113" s="13" t="n">
        <v>835.07</v>
      </c>
      <c r="N113" s="13" t="n">
        <v>835.07</v>
      </c>
      <c r="O113" s="13" t="n">
        <v>835.07</v>
      </c>
      <c r="P113" s="13" t="n">
        <v>835.07</v>
      </c>
      <c r="Q113" s="13" t="n">
        <v>835.07</v>
      </c>
      <c r="R113" s="13" t="n">
        <v>835.07</v>
      </c>
      <c r="S113" s="13" t="n">
        <v>835.07</v>
      </c>
      <c r="T113" s="13" t="n">
        <v>835.07</v>
      </c>
      <c r="U113" s="13" t="n">
        <v>350</v>
      </c>
      <c r="V113" s="13" t="n">
        <v>0</v>
      </c>
      <c r="W113" s="13" t="n">
        <f aca="false">U113+V113</f>
        <v>350</v>
      </c>
    </row>
    <row r="114" customFormat="false" ht="15" hidden="false" customHeight="false" outlineLevel="0" collapsed="false">
      <c r="A114" s="14" t="s">
        <v>2795</v>
      </c>
      <c r="B114" s="14" t="s">
        <v>2702</v>
      </c>
      <c r="C114" s="14" t="s">
        <v>471</v>
      </c>
      <c r="D114" s="14" t="s">
        <v>125</v>
      </c>
      <c r="E114" s="15" t="n">
        <v>310000</v>
      </c>
      <c r="F114" s="15" t="n">
        <v>3273.04</v>
      </c>
      <c r="G114" s="15" t="n">
        <v>409.13</v>
      </c>
      <c r="H114" s="15" t="n">
        <v>409.13</v>
      </c>
      <c r="I114" s="15" t="n">
        <f aca="false">SUM(K114:T114)</f>
        <v>2454.8</v>
      </c>
      <c r="J114" s="15" t="n">
        <f aca="false">F114-(G114+H114+I114)</f>
        <v>-0.0199999999995271</v>
      </c>
      <c r="K114" s="15" t="n">
        <v>245.48</v>
      </c>
      <c r="L114" s="15" t="n">
        <v>245.48</v>
      </c>
      <c r="M114" s="15" t="n">
        <v>245.48</v>
      </c>
      <c r="N114" s="15" t="n">
        <v>245.48</v>
      </c>
      <c r="O114" s="15" t="n">
        <v>245.48</v>
      </c>
      <c r="P114" s="15" t="n">
        <v>245.48</v>
      </c>
      <c r="Q114" s="15" t="n">
        <v>245.48</v>
      </c>
      <c r="R114" s="15" t="n">
        <v>245.48</v>
      </c>
      <c r="S114" s="15" t="n">
        <v>245.48</v>
      </c>
      <c r="T114" s="15" t="n">
        <v>245.48</v>
      </c>
      <c r="U114" s="15" t="n">
        <v>350</v>
      </c>
      <c r="V114" s="15" t="n">
        <v>0</v>
      </c>
      <c r="W114" s="15" t="n">
        <f aca="false">U114+V114</f>
        <v>350</v>
      </c>
    </row>
    <row r="115" customFormat="false" ht="15" hidden="false" customHeight="false" outlineLevel="0" collapsed="false">
      <c r="A115" s="3" t="s">
        <v>2796</v>
      </c>
      <c r="B115" s="3" t="s">
        <v>2664</v>
      </c>
      <c r="C115" s="3" t="s">
        <v>2609</v>
      </c>
      <c r="D115" s="3" t="s">
        <v>109</v>
      </c>
      <c r="E115" s="13" t="n">
        <v>425000</v>
      </c>
      <c r="F115" s="13" t="n">
        <v>5842.75</v>
      </c>
      <c r="G115" s="13" t="n">
        <v>730.34</v>
      </c>
      <c r="H115" s="13" t="n">
        <v>730.34</v>
      </c>
      <c r="I115" s="13" t="n">
        <f aca="false">SUM(K115:T115)</f>
        <v>4382.1</v>
      </c>
      <c r="J115" s="13" t="n">
        <f aca="false">F115-(G115+H115+I115)</f>
        <v>-0.0299999999997453</v>
      </c>
      <c r="K115" s="13" t="n">
        <v>438.21</v>
      </c>
      <c r="L115" s="13" t="n">
        <v>438.21</v>
      </c>
      <c r="M115" s="13" t="n">
        <v>438.21</v>
      </c>
      <c r="N115" s="13" t="n">
        <v>438.21</v>
      </c>
      <c r="O115" s="13" t="n">
        <v>438.21</v>
      </c>
      <c r="P115" s="13" t="n">
        <v>438.21</v>
      </c>
      <c r="Q115" s="13" t="n">
        <v>438.21</v>
      </c>
      <c r="R115" s="13" t="n">
        <v>438.21</v>
      </c>
      <c r="S115" s="13" t="n">
        <v>438.21</v>
      </c>
      <c r="T115" s="13" t="n">
        <v>438.21</v>
      </c>
      <c r="U115" s="13" t="n">
        <v>350</v>
      </c>
      <c r="V115" s="13" t="n">
        <v>0</v>
      </c>
      <c r="W115" s="13" t="n">
        <f aca="false">U115+V115</f>
        <v>350</v>
      </c>
    </row>
    <row r="116" customFormat="false" ht="15" hidden="false" customHeight="false" outlineLevel="0" collapsed="false">
      <c r="A116" s="14" t="s">
        <v>2797</v>
      </c>
      <c r="B116" s="14" t="s">
        <v>2702</v>
      </c>
      <c r="C116" s="14" t="s">
        <v>1299</v>
      </c>
      <c r="D116" s="14" t="s">
        <v>193</v>
      </c>
      <c r="E116" s="15" t="n">
        <v>1105000</v>
      </c>
      <c r="F116" s="15" t="n">
        <v>16203.89</v>
      </c>
      <c r="G116" s="15" t="n">
        <v>2025.49</v>
      </c>
      <c r="H116" s="15" t="n">
        <v>2025.49</v>
      </c>
      <c r="I116" s="15" t="n">
        <f aca="false">SUM(K116:T116)</f>
        <v>12152.9</v>
      </c>
      <c r="J116" s="15" t="n">
        <f aca="false">F116-(G116+H116+I116)</f>
        <v>0.00999999999839929</v>
      </c>
      <c r="K116" s="15" t="n">
        <v>1215.29</v>
      </c>
      <c r="L116" s="15" t="n">
        <v>1215.29</v>
      </c>
      <c r="M116" s="15" t="n">
        <v>1215.29</v>
      </c>
      <c r="N116" s="15" t="n">
        <v>1215.29</v>
      </c>
      <c r="O116" s="15" t="n">
        <v>1215.29</v>
      </c>
      <c r="P116" s="15" t="n">
        <v>1215.29</v>
      </c>
      <c r="Q116" s="15" t="n">
        <v>1215.29</v>
      </c>
      <c r="R116" s="15" t="n">
        <v>1215.29</v>
      </c>
      <c r="S116" s="15" t="n">
        <v>1215.29</v>
      </c>
      <c r="T116" s="15" t="n">
        <v>1215.29</v>
      </c>
      <c r="U116" s="15" t="n">
        <v>350</v>
      </c>
      <c r="V116" s="15" t="n">
        <v>250</v>
      </c>
      <c r="W116" s="15" t="n">
        <f aca="false">U116+V116</f>
        <v>600</v>
      </c>
    </row>
    <row r="117" customFormat="false" ht="15" hidden="false" customHeight="false" outlineLevel="0" collapsed="false">
      <c r="A117" s="3" t="s">
        <v>2798</v>
      </c>
      <c r="B117" s="3" t="s">
        <v>2715</v>
      </c>
      <c r="C117" s="3" t="s">
        <v>1195</v>
      </c>
      <c r="D117" s="3" t="s">
        <v>338</v>
      </c>
      <c r="E117" s="13" t="n">
        <v>1200000</v>
      </c>
      <c r="F117" s="13" t="n">
        <v>17456.21</v>
      </c>
      <c r="G117" s="13" t="n">
        <v>2182.03</v>
      </c>
      <c r="H117" s="13" t="n">
        <v>2182.03</v>
      </c>
      <c r="I117" s="13" t="n">
        <f aca="false">SUM(K117:T117)</f>
        <v>13092.2</v>
      </c>
      <c r="J117" s="13" t="n">
        <f aca="false">F117-(G117+H117+I117)</f>
        <v>-0.0499999999992724</v>
      </c>
      <c r="K117" s="13" t="n">
        <v>1309.22</v>
      </c>
      <c r="L117" s="13" t="n">
        <v>1309.22</v>
      </c>
      <c r="M117" s="13" t="n">
        <v>1309.22</v>
      </c>
      <c r="N117" s="13" t="n">
        <v>1309.22</v>
      </c>
      <c r="O117" s="13" t="n">
        <v>1309.22</v>
      </c>
      <c r="P117" s="13" t="n">
        <v>1309.22</v>
      </c>
      <c r="Q117" s="13" t="n">
        <v>1309.22</v>
      </c>
      <c r="R117" s="13" t="n">
        <v>1309.22</v>
      </c>
      <c r="S117" s="13" t="n">
        <v>1309.22</v>
      </c>
      <c r="T117" s="13" t="n">
        <v>1309.22</v>
      </c>
      <c r="U117" s="13" t="n">
        <v>350</v>
      </c>
      <c r="V117" s="13" t="n">
        <v>250</v>
      </c>
      <c r="W117" s="13" t="n">
        <f aca="false">U117+V117</f>
        <v>600</v>
      </c>
    </row>
    <row r="118" customFormat="false" ht="15" hidden="false" customHeight="false" outlineLevel="0" collapsed="false">
      <c r="A118" s="14" t="s">
        <v>2799</v>
      </c>
      <c r="B118" s="14" t="s">
        <v>2785</v>
      </c>
      <c r="C118" s="14" t="s">
        <v>1159</v>
      </c>
      <c r="D118" s="14" t="s">
        <v>185</v>
      </c>
      <c r="E118" s="15" t="n">
        <v>1950000</v>
      </c>
      <c r="F118" s="15" t="n">
        <v>9819.56</v>
      </c>
      <c r="G118" s="15" t="n">
        <v>1227.44</v>
      </c>
      <c r="H118" s="15" t="n">
        <v>1227.44</v>
      </c>
      <c r="I118" s="15" t="n">
        <f aca="false">SUM(K118:T118)</f>
        <v>7364.7</v>
      </c>
      <c r="J118" s="15" t="n">
        <f aca="false">F118-(G118+H118+I118)</f>
        <v>-0.0200000000022555</v>
      </c>
      <c r="K118" s="15" t="n">
        <v>736.47</v>
      </c>
      <c r="L118" s="15" t="n">
        <v>736.47</v>
      </c>
      <c r="M118" s="15" t="n">
        <v>736.47</v>
      </c>
      <c r="N118" s="15" t="n">
        <v>736.47</v>
      </c>
      <c r="O118" s="15" t="n">
        <v>736.47</v>
      </c>
      <c r="P118" s="15" t="n">
        <v>736.47</v>
      </c>
      <c r="Q118" s="15" t="n">
        <v>736.47</v>
      </c>
      <c r="R118" s="15" t="n">
        <v>736.47</v>
      </c>
      <c r="S118" s="15" t="n">
        <v>736.47</v>
      </c>
      <c r="T118" s="15" t="n">
        <v>736.47</v>
      </c>
      <c r="U118" s="15" t="n">
        <v>350</v>
      </c>
      <c r="V118" s="15" t="n">
        <v>250</v>
      </c>
      <c r="W118" s="15" t="n">
        <f aca="false">U118+V118</f>
        <v>600</v>
      </c>
    </row>
    <row r="119" customFormat="false" ht="15" hidden="false" customHeight="false" outlineLevel="0" collapsed="false">
      <c r="A119" s="3" t="s">
        <v>2800</v>
      </c>
      <c r="B119" s="3" t="s">
        <v>2715</v>
      </c>
      <c r="C119" s="3" t="s">
        <v>105</v>
      </c>
      <c r="D119" s="3" t="s">
        <v>157</v>
      </c>
      <c r="E119" s="13" t="n">
        <v>1215000</v>
      </c>
      <c r="F119" s="13" t="n">
        <v>13915.04</v>
      </c>
      <c r="G119" s="13" t="n">
        <v>1739.38</v>
      </c>
      <c r="H119" s="13" t="n">
        <v>1739.38</v>
      </c>
      <c r="I119" s="13" t="n">
        <f aca="false">SUM(K119:T119)</f>
        <v>10436.3</v>
      </c>
      <c r="J119" s="13" t="n">
        <f aca="false">F119-(G119+H119+I119)</f>
        <v>-0.0200000000022555</v>
      </c>
      <c r="K119" s="13" t="n">
        <v>1043.63</v>
      </c>
      <c r="L119" s="13" t="n">
        <v>1043.63</v>
      </c>
      <c r="M119" s="13" t="n">
        <v>1043.63</v>
      </c>
      <c r="N119" s="13" t="n">
        <v>1043.63</v>
      </c>
      <c r="O119" s="13" t="n">
        <v>1043.63</v>
      </c>
      <c r="P119" s="13" t="n">
        <v>1043.63</v>
      </c>
      <c r="Q119" s="13" t="n">
        <v>1043.63</v>
      </c>
      <c r="R119" s="13" t="n">
        <v>1043.63</v>
      </c>
      <c r="S119" s="13" t="n">
        <v>1043.63</v>
      </c>
      <c r="T119" s="13" t="n">
        <v>1043.63</v>
      </c>
      <c r="U119" s="13" t="n">
        <v>350</v>
      </c>
      <c r="V119" s="13" t="n">
        <v>250</v>
      </c>
      <c r="W119" s="13" t="n">
        <f aca="false">U119+V119</f>
        <v>600</v>
      </c>
    </row>
    <row r="120" customFormat="false" ht="15" hidden="false" customHeight="false" outlineLevel="0" collapsed="false">
      <c r="A120" s="14" t="s">
        <v>2801</v>
      </c>
      <c r="B120" s="14" t="s">
        <v>2674</v>
      </c>
      <c r="C120" s="14" t="s">
        <v>202</v>
      </c>
      <c r="D120" s="14" t="s">
        <v>89</v>
      </c>
      <c r="E120" s="15" t="n">
        <v>520000</v>
      </c>
      <c r="F120" s="15" t="n">
        <v>9779.52</v>
      </c>
      <c r="G120" s="15" t="n">
        <v>1222.44</v>
      </c>
      <c r="H120" s="15" t="n">
        <v>1222.44</v>
      </c>
      <c r="I120" s="15" t="n">
        <f aca="false">SUM(K120:T120)</f>
        <v>7334.6</v>
      </c>
      <c r="J120" s="15" t="n">
        <f aca="false">F120-(G120+H120+I120)</f>
        <v>0.0400000000008731</v>
      </c>
      <c r="K120" s="15" t="n">
        <v>733.46</v>
      </c>
      <c r="L120" s="15" t="n">
        <v>733.46</v>
      </c>
      <c r="M120" s="15" t="n">
        <v>733.46</v>
      </c>
      <c r="N120" s="15" t="n">
        <v>733.46</v>
      </c>
      <c r="O120" s="15" t="n">
        <v>733.46</v>
      </c>
      <c r="P120" s="15" t="n">
        <v>733.46</v>
      </c>
      <c r="Q120" s="15" t="n">
        <v>733.46</v>
      </c>
      <c r="R120" s="15" t="n">
        <v>733.46</v>
      </c>
      <c r="S120" s="15" t="n">
        <v>733.46</v>
      </c>
      <c r="T120" s="15" t="n">
        <v>733.46</v>
      </c>
      <c r="U120" s="15" t="n">
        <v>350</v>
      </c>
      <c r="V120" s="15" t="n">
        <v>0</v>
      </c>
      <c r="W120" s="15" t="n">
        <f aca="false">U120+V120</f>
        <v>350</v>
      </c>
    </row>
    <row r="121" customFormat="false" ht="15" hidden="false" customHeight="false" outlineLevel="0" collapsed="false">
      <c r="A121" s="3" t="s">
        <v>2802</v>
      </c>
      <c r="B121" s="3" t="s">
        <v>2680</v>
      </c>
      <c r="C121" s="3" t="s">
        <v>547</v>
      </c>
      <c r="D121" s="3" t="s">
        <v>298</v>
      </c>
      <c r="E121" s="13" t="n">
        <v>950000</v>
      </c>
      <c r="F121" s="13" t="n">
        <v>11409.44</v>
      </c>
      <c r="G121" s="13" t="n">
        <v>1426.18</v>
      </c>
      <c r="H121" s="13" t="n">
        <v>1426.18</v>
      </c>
      <c r="I121" s="13" t="n">
        <f aca="false">SUM(K121:T121)</f>
        <v>8557.1</v>
      </c>
      <c r="J121" s="13" t="n">
        <f aca="false">F121-(G121+H121+I121)</f>
        <v>-0.0200000000004366</v>
      </c>
      <c r="K121" s="13" t="n">
        <v>855.71</v>
      </c>
      <c r="L121" s="13" t="n">
        <v>855.71</v>
      </c>
      <c r="M121" s="13" t="n">
        <v>855.71</v>
      </c>
      <c r="N121" s="13" t="n">
        <v>855.71</v>
      </c>
      <c r="O121" s="13" t="n">
        <v>855.71</v>
      </c>
      <c r="P121" s="13" t="n">
        <v>855.71</v>
      </c>
      <c r="Q121" s="13" t="n">
        <v>855.71</v>
      </c>
      <c r="R121" s="13" t="n">
        <v>855.71</v>
      </c>
      <c r="S121" s="13" t="n">
        <v>855.71</v>
      </c>
      <c r="T121" s="13" t="n">
        <v>855.71</v>
      </c>
      <c r="U121" s="13" t="n">
        <v>350</v>
      </c>
      <c r="V121" s="13" t="n">
        <v>0</v>
      </c>
      <c r="W121" s="13" t="n">
        <f aca="false">U121+V121</f>
        <v>350</v>
      </c>
    </row>
    <row r="122" customFormat="false" ht="15" hidden="false" customHeight="false" outlineLevel="0" collapsed="false">
      <c r="A122" s="14" t="s">
        <v>2803</v>
      </c>
      <c r="B122" s="14" t="s">
        <v>2690</v>
      </c>
      <c r="C122" s="14" t="s">
        <v>887</v>
      </c>
      <c r="D122" s="14" t="s">
        <v>911</v>
      </c>
      <c r="E122" s="15" t="n">
        <v>190000</v>
      </c>
      <c r="F122" s="15" t="n">
        <v>2768.36</v>
      </c>
      <c r="G122" s="15" t="n">
        <v>346.05</v>
      </c>
      <c r="H122" s="15" t="n">
        <v>346.05</v>
      </c>
      <c r="I122" s="15" t="n">
        <f aca="false">SUM(K122:T122)</f>
        <v>2076.3</v>
      </c>
      <c r="J122" s="15" t="n">
        <f aca="false">F122-(G122+H122+I122)</f>
        <v>-0.0399999999999636</v>
      </c>
      <c r="K122" s="15" t="n">
        <v>207.63</v>
      </c>
      <c r="L122" s="15" t="n">
        <v>207.63</v>
      </c>
      <c r="M122" s="15" t="n">
        <v>207.63</v>
      </c>
      <c r="N122" s="15" t="n">
        <v>207.63</v>
      </c>
      <c r="O122" s="15" t="n">
        <v>207.63</v>
      </c>
      <c r="P122" s="15" t="n">
        <v>207.63</v>
      </c>
      <c r="Q122" s="15" t="n">
        <v>207.63</v>
      </c>
      <c r="R122" s="15" t="n">
        <v>207.63</v>
      </c>
      <c r="S122" s="15" t="n">
        <v>207.63</v>
      </c>
      <c r="T122" s="15" t="n">
        <v>207.63</v>
      </c>
      <c r="U122" s="15" t="n">
        <v>350</v>
      </c>
      <c r="V122" s="15" t="n">
        <v>0</v>
      </c>
      <c r="W122" s="15" t="n">
        <f aca="false">U122+V122</f>
        <v>350</v>
      </c>
    </row>
    <row r="123" customFormat="false" ht="15" hidden="false" customHeight="false" outlineLevel="0" collapsed="false">
      <c r="A123" s="3" t="s">
        <v>2804</v>
      </c>
      <c r="B123" s="3" t="s">
        <v>2759</v>
      </c>
      <c r="C123" s="3" t="s">
        <v>1002</v>
      </c>
      <c r="D123" s="3" t="s">
        <v>256</v>
      </c>
      <c r="E123" s="13" t="n">
        <v>415000</v>
      </c>
      <c r="F123" s="13" t="n">
        <v>3885.06</v>
      </c>
      <c r="G123" s="13" t="n">
        <v>485.63</v>
      </c>
      <c r="H123" s="13" t="n">
        <v>485.63</v>
      </c>
      <c r="I123" s="13" t="n">
        <f aca="false">SUM(K123:T123)</f>
        <v>2913.8</v>
      </c>
      <c r="J123" s="13" t="n">
        <f aca="false">F123-(G123+H123+I123)</f>
        <v>0</v>
      </c>
      <c r="K123" s="13" t="n">
        <v>291.38</v>
      </c>
      <c r="L123" s="13" t="n">
        <v>291.38</v>
      </c>
      <c r="M123" s="13" t="n">
        <v>291.38</v>
      </c>
      <c r="N123" s="13" t="n">
        <v>291.38</v>
      </c>
      <c r="O123" s="13" t="n">
        <v>291.38</v>
      </c>
      <c r="P123" s="13" t="n">
        <v>291.38</v>
      </c>
      <c r="Q123" s="13" t="n">
        <v>291.38</v>
      </c>
      <c r="R123" s="13" t="n">
        <v>291.38</v>
      </c>
      <c r="S123" s="13" t="n">
        <v>291.38</v>
      </c>
      <c r="T123" s="13" t="n">
        <v>291.38</v>
      </c>
      <c r="U123" s="13" t="n">
        <v>350</v>
      </c>
      <c r="V123" s="13" t="n">
        <v>0</v>
      </c>
      <c r="W123" s="13" t="n">
        <f aca="false">U123+V123</f>
        <v>350</v>
      </c>
    </row>
    <row r="124" customFormat="false" ht="15" hidden="false" customHeight="false" outlineLevel="0" collapsed="false">
      <c r="A124" s="14" t="s">
        <v>2805</v>
      </c>
      <c r="B124" s="14" t="s">
        <v>2695</v>
      </c>
      <c r="C124" s="14" t="s">
        <v>1497</v>
      </c>
      <c r="D124" s="14" t="s">
        <v>132</v>
      </c>
      <c r="E124" s="15" t="n">
        <v>645000</v>
      </c>
      <c r="F124" s="15" t="n">
        <v>6147.95</v>
      </c>
      <c r="G124" s="15" t="n">
        <v>768.49</v>
      </c>
      <c r="H124" s="15" t="n">
        <v>768.49</v>
      </c>
      <c r="I124" s="15" t="n">
        <f aca="false">SUM(K124:T124)</f>
        <v>4611</v>
      </c>
      <c r="J124" s="15" t="n">
        <f aca="false">F124-(G124+H124+I124)</f>
        <v>-0.0300000000015643</v>
      </c>
      <c r="K124" s="15" t="n">
        <v>461.1</v>
      </c>
      <c r="L124" s="15" t="n">
        <v>461.1</v>
      </c>
      <c r="M124" s="15" t="n">
        <v>461.1</v>
      </c>
      <c r="N124" s="15" t="n">
        <v>461.1</v>
      </c>
      <c r="O124" s="15" t="n">
        <v>461.1</v>
      </c>
      <c r="P124" s="15" t="n">
        <v>461.1</v>
      </c>
      <c r="Q124" s="15" t="n">
        <v>461.1</v>
      </c>
      <c r="R124" s="15" t="n">
        <v>461.1</v>
      </c>
      <c r="S124" s="15" t="n">
        <v>461.1</v>
      </c>
      <c r="T124" s="15" t="n">
        <v>461.1</v>
      </c>
      <c r="U124" s="15" t="n">
        <v>350</v>
      </c>
      <c r="V124" s="15" t="n">
        <v>0</v>
      </c>
      <c r="W124" s="15" t="n">
        <f aca="false">U124+V124</f>
        <v>350</v>
      </c>
    </row>
    <row r="125" customFormat="false" ht="15" hidden="false" customHeight="false" outlineLevel="0" collapsed="false">
      <c r="A125" s="3" t="s">
        <v>2806</v>
      </c>
      <c r="B125" s="3" t="s">
        <v>2660</v>
      </c>
      <c r="C125" s="3" t="s">
        <v>421</v>
      </c>
      <c r="D125" s="3" t="s">
        <v>406</v>
      </c>
      <c r="E125" s="13" t="n">
        <v>440000</v>
      </c>
      <c r="F125" s="13" t="n">
        <v>4500.43</v>
      </c>
      <c r="G125" s="13" t="n">
        <v>562.55</v>
      </c>
      <c r="H125" s="13" t="n">
        <v>562.55</v>
      </c>
      <c r="I125" s="13" t="n">
        <f aca="false">SUM(K125:T125)</f>
        <v>3375.3</v>
      </c>
      <c r="J125" s="13" t="n">
        <f aca="false">F125-(G125+H125+I125)</f>
        <v>0.0300000000006548</v>
      </c>
      <c r="K125" s="13" t="n">
        <v>337.53</v>
      </c>
      <c r="L125" s="13" t="n">
        <v>337.53</v>
      </c>
      <c r="M125" s="13" t="n">
        <v>337.53</v>
      </c>
      <c r="N125" s="13" t="n">
        <v>337.53</v>
      </c>
      <c r="O125" s="13" t="n">
        <v>337.53</v>
      </c>
      <c r="P125" s="13" t="n">
        <v>337.53</v>
      </c>
      <c r="Q125" s="13" t="n">
        <v>337.53</v>
      </c>
      <c r="R125" s="13" t="n">
        <v>337.53</v>
      </c>
      <c r="S125" s="13" t="n">
        <v>337.53</v>
      </c>
      <c r="T125" s="13" t="n">
        <v>337.53</v>
      </c>
      <c r="U125" s="13" t="n">
        <v>350</v>
      </c>
      <c r="V125" s="13" t="n">
        <v>0</v>
      </c>
      <c r="W125" s="13" t="n">
        <f aca="false">U125+V125</f>
        <v>350</v>
      </c>
    </row>
    <row r="126" customFormat="false" ht="15" hidden="false" customHeight="false" outlineLevel="0" collapsed="false">
      <c r="A126" s="14" t="s">
        <v>2807</v>
      </c>
      <c r="B126" s="14" t="s">
        <v>2761</v>
      </c>
      <c r="C126" s="14" t="s">
        <v>966</v>
      </c>
      <c r="D126" s="14" t="s">
        <v>138</v>
      </c>
      <c r="E126" s="15" t="n">
        <v>475000</v>
      </c>
      <c r="F126" s="15" t="n">
        <v>7049.06</v>
      </c>
      <c r="G126" s="15" t="n">
        <v>881.13</v>
      </c>
      <c r="H126" s="15" t="n">
        <v>881.13</v>
      </c>
      <c r="I126" s="15" t="n">
        <f aca="false">SUM(K126:T126)</f>
        <v>5286.8</v>
      </c>
      <c r="J126" s="15" t="n">
        <f aca="false">F126-(G126+H126+I126)</f>
        <v>0</v>
      </c>
      <c r="K126" s="15" t="n">
        <v>528.68</v>
      </c>
      <c r="L126" s="15" t="n">
        <v>528.68</v>
      </c>
      <c r="M126" s="15" t="n">
        <v>528.68</v>
      </c>
      <c r="N126" s="15" t="n">
        <v>528.68</v>
      </c>
      <c r="O126" s="15" t="n">
        <v>528.68</v>
      </c>
      <c r="P126" s="15" t="n">
        <v>528.68</v>
      </c>
      <c r="Q126" s="15" t="n">
        <v>528.68</v>
      </c>
      <c r="R126" s="15" t="n">
        <v>528.68</v>
      </c>
      <c r="S126" s="15" t="n">
        <v>528.68</v>
      </c>
      <c r="T126" s="15" t="n">
        <v>528.68</v>
      </c>
      <c r="U126" s="15" t="n">
        <v>350</v>
      </c>
      <c r="V126" s="15" t="n">
        <v>0</v>
      </c>
      <c r="W126" s="15" t="n">
        <f aca="false">U126+V126</f>
        <v>350</v>
      </c>
    </row>
    <row r="127" customFormat="false" ht="15" hidden="false" customHeight="false" outlineLevel="0" collapsed="false">
      <c r="A127" s="3" t="s">
        <v>2808</v>
      </c>
      <c r="B127" s="3" t="s">
        <v>2704</v>
      </c>
      <c r="C127" s="3" t="s">
        <v>790</v>
      </c>
      <c r="D127" s="3" t="s">
        <v>125</v>
      </c>
      <c r="E127" s="13" t="n">
        <v>1950000</v>
      </c>
      <c r="F127" s="13" t="n">
        <v>21961.03</v>
      </c>
      <c r="G127" s="13" t="n">
        <v>2745.13</v>
      </c>
      <c r="H127" s="13" t="n">
        <v>2745.13</v>
      </c>
      <c r="I127" s="13" t="n">
        <f aca="false">SUM(K127:T127)</f>
        <v>16470.8</v>
      </c>
      <c r="J127" s="13" t="n">
        <f aca="false">F127-(G127+H127+I127)</f>
        <v>-0.0299999999988358</v>
      </c>
      <c r="K127" s="13" t="n">
        <v>1647.08</v>
      </c>
      <c r="L127" s="13" t="n">
        <v>1647.08</v>
      </c>
      <c r="M127" s="13" t="n">
        <v>1647.08</v>
      </c>
      <c r="N127" s="13" t="n">
        <v>1647.08</v>
      </c>
      <c r="O127" s="13" t="n">
        <v>1647.08</v>
      </c>
      <c r="P127" s="13" t="n">
        <v>1647.08</v>
      </c>
      <c r="Q127" s="13" t="n">
        <v>1647.08</v>
      </c>
      <c r="R127" s="13" t="n">
        <v>1647.08</v>
      </c>
      <c r="S127" s="13" t="n">
        <v>1647.08</v>
      </c>
      <c r="T127" s="13" t="n">
        <v>1647.08</v>
      </c>
      <c r="U127" s="13" t="n">
        <v>350</v>
      </c>
      <c r="V127" s="13" t="n">
        <v>250</v>
      </c>
      <c r="W127" s="13" t="n">
        <f aca="false">U127+V127</f>
        <v>600</v>
      </c>
    </row>
    <row r="128" customFormat="false" ht="15" hidden="false" customHeight="false" outlineLevel="0" collapsed="false">
      <c r="A128" s="14" t="s">
        <v>2809</v>
      </c>
      <c r="B128" s="14" t="s">
        <v>2666</v>
      </c>
      <c r="C128" s="14" t="s">
        <v>722</v>
      </c>
      <c r="D128" s="14" t="s">
        <v>230</v>
      </c>
      <c r="E128" s="15" t="n">
        <v>275000</v>
      </c>
      <c r="F128" s="15" t="n">
        <v>3599.14</v>
      </c>
      <c r="G128" s="15" t="n">
        <v>449.89</v>
      </c>
      <c r="H128" s="15" t="n">
        <v>449.89</v>
      </c>
      <c r="I128" s="15" t="n">
        <f aca="false">SUM(K128:T128)</f>
        <v>2699.4</v>
      </c>
      <c r="J128" s="15" t="n">
        <f aca="false">F128-(G128+H128+I128)</f>
        <v>-0.0400000000004184</v>
      </c>
      <c r="K128" s="15" t="n">
        <v>269.94</v>
      </c>
      <c r="L128" s="15" t="n">
        <v>269.94</v>
      </c>
      <c r="M128" s="15" t="n">
        <v>269.94</v>
      </c>
      <c r="N128" s="15" t="n">
        <v>269.94</v>
      </c>
      <c r="O128" s="15" t="n">
        <v>269.94</v>
      </c>
      <c r="P128" s="15" t="n">
        <v>269.94</v>
      </c>
      <c r="Q128" s="15" t="n">
        <v>269.94</v>
      </c>
      <c r="R128" s="15" t="n">
        <v>269.94</v>
      </c>
      <c r="S128" s="15" t="n">
        <v>269.94</v>
      </c>
      <c r="T128" s="15" t="n">
        <v>269.94</v>
      </c>
      <c r="U128" s="15" t="n">
        <v>350</v>
      </c>
      <c r="V128" s="15" t="n">
        <v>0</v>
      </c>
      <c r="W128" s="15" t="n">
        <f aca="false">U128+V128</f>
        <v>350</v>
      </c>
    </row>
    <row r="129" customFormat="false" ht="15" hidden="false" customHeight="false" outlineLevel="0" collapsed="false">
      <c r="A129" s="3" t="s">
        <v>2810</v>
      </c>
      <c r="B129" s="3" t="s">
        <v>2660</v>
      </c>
      <c r="C129" s="3" t="s">
        <v>781</v>
      </c>
      <c r="D129" s="3" t="s">
        <v>233</v>
      </c>
      <c r="E129" s="13" t="n">
        <v>645000</v>
      </c>
      <c r="F129" s="13" t="n">
        <v>6024.99</v>
      </c>
      <c r="G129" s="13" t="n">
        <v>753.12</v>
      </c>
      <c r="H129" s="13" t="n">
        <v>753.12</v>
      </c>
      <c r="I129" s="13" t="n">
        <f aca="false">SUM(K129:T129)</f>
        <v>4518.7</v>
      </c>
      <c r="J129" s="13" t="n">
        <f aca="false">F129-(G129+H129+I129)</f>
        <v>0.0500000000001819</v>
      </c>
      <c r="K129" s="13" t="n">
        <v>451.87</v>
      </c>
      <c r="L129" s="13" t="n">
        <v>451.87</v>
      </c>
      <c r="M129" s="13" t="n">
        <v>451.87</v>
      </c>
      <c r="N129" s="13" t="n">
        <v>451.87</v>
      </c>
      <c r="O129" s="13" t="n">
        <v>451.87</v>
      </c>
      <c r="P129" s="13" t="n">
        <v>451.87</v>
      </c>
      <c r="Q129" s="13" t="n">
        <v>451.87</v>
      </c>
      <c r="R129" s="13" t="n">
        <v>451.87</v>
      </c>
      <c r="S129" s="13" t="n">
        <v>451.87</v>
      </c>
      <c r="T129" s="13" t="n">
        <v>451.87</v>
      </c>
      <c r="U129" s="13" t="n">
        <v>350</v>
      </c>
      <c r="V129" s="13" t="n">
        <v>0</v>
      </c>
      <c r="W129" s="13" t="n">
        <f aca="false">U129+V129</f>
        <v>350</v>
      </c>
    </row>
    <row r="130" customFormat="false" ht="15" hidden="false" customHeight="false" outlineLevel="0" collapsed="false">
      <c r="A130" s="14" t="s">
        <v>2811</v>
      </c>
      <c r="B130" s="14" t="s">
        <v>2666</v>
      </c>
      <c r="C130" s="14" t="s">
        <v>1120</v>
      </c>
      <c r="D130" s="14" t="s">
        <v>279</v>
      </c>
      <c r="E130" s="15" t="n">
        <v>470000</v>
      </c>
      <c r="F130" s="15" t="n">
        <v>3010.49</v>
      </c>
      <c r="G130" s="15" t="n">
        <v>376.31</v>
      </c>
      <c r="H130" s="15" t="n">
        <v>376.31</v>
      </c>
      <c r="I130" s="15" t="n">
        <f aca="false">SUM(K130:T130)</f>
        <v>2257.9</v>
      </c>
      <c r="J130" s="15" t="n">
        <f aca="false">F130-(G130+H130+I130)</f>
        <v>-0.0300000000002001</v>
      </c>
      <c r="K130" s="15" t="n">
        <v>225.79</v>
      </c>
      <c r="L130" s="15" t="n">
        <v>225.79</v>
      </c>
      <c r="M130" s="15" t="n">
        <v>225.79</v>
      </c>
      <c r="N130" s="15" t="n">
        <v>225.79</v>
      </c>
      <c r="O130" s="15" t="n">
        <v>225.79</v>
      </c>
      <c r="P130" s="15" t="n">
        <v>225.79</v>
      </c>
      <c r="Q130" s="15" t="n">
        <v>225.79</v>
      </c>
      <c r="R130" s="15" t="n">
        <v>225.79</v>
      </c>
      <c r="S130" s="15" t="n">
        <v>225.79</v>
      </c>
      <c r="T130" s="15" t="n">
        <v>225.79</v>
      </c>
      <c r="U130" s="15" t="n">
        <v>350</v>
      </c>
      <c r="V130" s="15" t="n">
        <v>0</v>
      </c>
      <c r="W130" s="15" t="n">
        <f aca="false">U130+V130</f>
        <v>350</v>
      </c>
    </row>
    <row r="131" customFormat="false" ht="15" hidden="false" customHeight="false" outlineLevel="0" collapsed="false">
      <c r="A131" s="3" t="s">
        <v>2812</v>
      </c>
      <c r="B131" s="3" t="s">
        <v>2718</v>
      </c>
      <c r="C131" s="3" t="s">
        <v>516</v>
      </c>
      <c r="D131" s="3" t="s">
        <v>189</v>
      </c>
      <c r="E131" s="13" t="n">
        <v>490000</v>
      </c>
      <c r="F131" s="13" t="n">
        <v>5927.98</v>
      </c>
      <c r="G131" s="13" t="n">
        <v>741</v>
      </c>
      <c r="H131" s="13" t="n">
        <v>741</v>
      </c>
      <c r="I131" s="13" t="n">
        <f aca="false">SUM(K131:T131)</f>
        <v>4446</v>
      </c>
      <c r="J131" s="13" t="n">
        <f aca="false">F131-(G131+H131+I131)</f>
        <v>-0.0200000000004366</v>
      </c>
      <c r="K131" s="13" t="n">
        <v>444.6</v>
      </c>
      <c r="L131" s="13" t="n">
        <v>444.6</v>
      </c>
      <c r="M131" s="13" t="n">
        <v>444.6</v>
      </c>
      <c r="N131" s="13" t="n">
        <v>444.6</v>
      </c>
      <c r="O131" s="13" t="n">
        <v>444.6</v>
      </c>
      <c r="P131" s="13" t="n">
        <v>444.6</v>
      </c>
      <c r="Q131" s="13" t="n">
        <v>444.6</v>
      </c>
      <c r="R131" s="13" t="n">
        <v>444.6</v>
      </c>
      <c r="S131" s="13" t="n">
        <v>444.6</v>
      </c>
      <c r="T131" s="13" t="n">
        <v>444.6</v>
      </c>
      <c r="U131" s="13" t="n">
        <v>350</v>
      </c>
      <c r="V131" s="13" t="n">
        <v>0</v>
      </c>
      <c r="W131" s="13" t="n">
        <f aca="false">U131+V131</f>
        <v>350</v>
      </c>
    </row>
    <row r="132" customFormat="false" ht="15" hidden="false" customHeight="false" outlineLevel="0" collapsed="false">
      <c r="A132" s="14" t="s">
        <v>2813</v>
      </c>
      <c r="B132" s="14" t="s">
        <v>2698</v>
      </c>
      <c r="C132" s="14" t="s">
        <v>362</v>
      </c>
      <c r="D132" s="14" t="s">
        <v>203</v>
      </c>
      <c r="E132" s="15" t="n">
        <v>1260000</v>
      </c>
      <c r="F132" s="15" t="n">
        <v>8004.17</v>
      </c>
      <c r="G132" s="15" t="n">
        <v>1000.52</v>
      </c>
      <c r="H132" s="15" t="n">
        <v>1000.52</v>
      </c>
      <c r="I132" s="15" t="n">
        <f aca="false">SUM(K132:T132)</f>
        <v>6003.1</v>
      </c>
      <c r="J132" s="15" t="n">
        <f aca="false">F132-(G132+H132+I132)</f>
        <v>0.0300000000015643</v>
      </c>
      <c r="K132" s="15" t="n">
        <v>600.31</v>
      </c>
      <c r="L132" s="15" t="n">
        <v>600.31</v>
      </c>
      <c r="M132" s="15" t="n">
        <v>600.31</v>
      </c>
      <c r="N132" s="15" t="n">
        <v>600.31</v>
      </c>
      <c r="O132" s="15" t="n">
        <v>600.31</v>
      </c>
      <c r="P132" s="15" t="n">
        <v>600.31</v>
      </c>
      <c r="Q132" s="15" t="n">
        <v>600.31</v>
      </c>
      <c r="R132" s="15" t="n">
        <v>600.31</v>
      </c>
      <c r="S132" s="15" t="n">
        <v>600.31</v>
      </c>
      <c r="T132" s="15" t="n">
        <v>600.31</v>
      </c>
      <c r="U132" s="15" t="n">
        <v>350</v>
      </c>
      <c r="V132" s="15" t="n">
        <v>250</v>
      </c>
      <c r="W132" s="15" t="n">
        <f aca="false">U132+V132</f>
        <v>600</v>
      </c>
    </row>
    <row r="133" customFormat="false" ht="15" hidden="false" customHeight="false" outlineLevel="0" collapsed="false">
      <c r="A133" s="3" t="s">
        <v>2814</v>
      </c>
      <c r="B133" s="3" t="s">
        <v>2749</v>
      </c>
      <c r="C133" s="3" t="s">
        <v>2130</v>
      </c>
      <c r="D133" s="3" t="s">
        <v>118</v>
      </c>
      <c r="E133" s="13" t="n">
        <v>290000</v>
      </c>
      <c r="F133" s="13" t="n">
        <v>3923.03</v>
      </c>
      <c r="G133" s="13" t="n">
        <v>490.38</v>
      </c>
      <c r="H133" s="13" t="n">
        <v>490.38</v>
      </c>
      <c r="I133" s="13" t="n">
        <f aca="false">SUM(K133:T133)</f>
        <v>2942.3</v>
      </c>
      <c r="J133" s="13" t="n">
        <f aca="false">F133-(G133+H133+I133)</f>
        <v>-0.0300000000002001</v>
      </c>
      <c r="K133" s="13" t="n">
        <v>294.23</v>
      </c>
      <c r="L133" s="13" t="n">
        <v>294.23</v>
      </c>
      <c r="M133" s="13" t="n">
        <v>294.23</v>
      </c>
      <c r="N133" s="13" t="n">
        <v>294.23</v>
      </c>
      <c r="O133" s="13" t="n">
        <v>294.23</v>
      </c>
      <c r="P133" s="13" t="n">
        <v>294.23</v>
      </c>
      <c r="Q133" s="13" t="n">
        <v>294.23</v>
      </c>
      <c r="R133" s="13" t="n">
        <v>294.23</v>
      </c>
      <c r="S133" s="13" t="n">
        <v>294.23</v>
      </c>
      <c r="T133" s="13" t="n">
        <v>294.23</v>
      </c>
      <c r="U133" s="13" t="n">
        <v>350</v>
      </c>
      <c r="V133" s="13" t="n">
        <v>0</v>
      </c>
      <c r="W133" s="13" t="n">
        <f aca="false">U133+V133</f>
        <v>350</v>
      </c>
    </row>
    <row r="134" customFormat="false" ht="15" hidden="false" customHeight="false" outlineLevel="0" collapsed="false">
      <c r="A134" s="14" t="s">
        <v>2815</v>
      </c>
      <c r="B134" s="14" t="s">
        <v>2655</v>
      </c>
      <c r="C134" s="14" t="s">
        <v>574</v>
      </c>
      <c r="D134" s="14" t="s">
        <v>93</v>
      </c>
      <c r="E134" s="15" t="n">
        <v>740000</v>
      </c>
      <c r="F134" s="15" t="n">
        <v>9028.42</v>
      </c>
      <c r="G134" s="15" t="n">
        <v>1128.55</v>
      </c>
      <c r="H134" s="15" t="n">
        <v>1128.55</v>
      </c>
      <c r="I134" s="15" t="n">
        <f aca="false">SUM(K134:T134)</f>
        <v>6771.3</v>
      </c>
      <c r="J134" s="15" t="n">
        <f aca="false">F134-(G134+H134+I134)</f>
        <v>0.0200000000004366</v>
      </c>
      <c r="K134" s="15" t="n">
        <v>677.13</v>
      </c>
      <c r="L134" s="15" t="n">
        <v>677.13</v>
      </c>
      <c r="M134" s="15" t="n">
        <v>677.13</v>
      </c>
      <c r="N134" s="15" t="n">
        <v>677.13</v>
      </c>
      <c r="O134" s="15" t="n">
        <v>677.13</v>
      </c>
      <c r="P134" s="15" t="n">
        <v>677.13</v>
      </c>
      <c r="Q134" s="15" t="n">
        <v>677.13</v>
      </c>
      <c r="R134" s="15" t="n">
        <v>677.13</v>
      </c>
      <c r="S134" s="15" t="n">
        <v>677.13</v>
      </c>
      <c r="T134" s="15" t="n">
        <v>677.13</v>
      </c>
      <c r="U134" s="15" t="n">
        <v>350</v>
      </c>
      <c r="V134" s="15" t="n">
        <v>0</v>
      </c>
      <c r="W134" s="15" t="n">
        <f aca="false">U134+V134</f>
        <v>350</v>
      </c>
    </row>
    <row r="135" customFormat="false" ht="15" hidden="false" customHeight="false" outlineLevel="0" collapsed="false">
      <c r="A135" s="3" t="s">
        <v>2816</v>
      </c>
      <c r="B135" s="3" t="s">
        <v>2739</v>
      </c>
      <c r="C135" s="3" t="s">
        <v>1325</v>
      </c>
      <c r="D135" s="3" t="s">
        <v>197</v>
      </c>
      <c r="E135" s="13" t="n">
        <v>240000</v>
      </c>
      <c r="F135" s="13" t="n">
        <v>3529.25</v>
      </c>
      <c r="G135" s="13" t="n">
        <v>441.16</v>
      </c>
      <c r="H135" s="13" t="n">
        <v>441.16</v>
      </c>
      <c r="I135" s="13" t="n">
        <f aca="false">SUM(K135:T135)</f>
        <v>2646.9</v>
      </c>
      <c r="J135" s="13" t="n">
        <f aca="false">F135-(G135+H135+I135)</f>
        <v>0.0299999999997453</v>
      </c>
      <c r="K135" s="13" t="n">
        <v>264.69</v>
      </c>
      <c r="L135" s="13" t="n">
        <v>264.69</v>
      </c>
      <c r="M135" s="13" t="n">
        <v>264.69</v>
      </c>
      <c r="N135" s="13" t="n">
        <v>264.69</v>
      </c>
      <c r="O135" s="13" t="n">
        <v>264.69</v>
      </c>
      <c r="P135" s="13" t="n">
        <v>264.69</v>
      </c>
      <c r="Q135" s="13" t="n">
        <v>264.69</v>
      </c>
      <c r="R135" s="13" t="n">
        <v>264.69</v>
      </c>
      <c r="S135" s="13" t="n">
        <v>264.69</v>
      </c>
      <c r="T135" s="13" t="n">
        <v>264.69</v>
      </c>
      <c r="U135" s="13" t="n">
        <v>350</v>
      </c>
      <c r="V135" s="13" t="n">
        <v>0</v>
      </c>
      <c r="W135" s="13" t="n">
        <f aca="false">U135+V135</f>
        <v>350</v>
      </c>
    </row>
    <row r="136" customFormat="false" ht="15" hidden="false" customHeight="false" outlineLevel="0" collapsed="false">
      <c r="A136" s="14" t="s">
        <v>2817</v>
      </c>
      <c r="B136" s="14" t="s">
        <v>2739</v>
      </c>
      <c r="C136" s="14" t="s">
        <v>427</v>
      </c>
      <c r="D136" s="14" t="s">
        <v>125</v>
      </c>
      <c r="E136" s="15" t="n">
        <v>290000</v>
      </c>
      <c r="F136" s="15" t="n">
        <v>3061.87</v>
      </c>
      <c r="G136" s="15" t="n">
        <v>382.73</v>
      </c>
      <c r="H136" s="15" t="n">
        <v>382.73</v>
      </c>
      <c r="I136" s="15" t="n">
        <f aca="false">SUM(K136:T136)</f>
        <v>2296.4</v>
      </c>
      <c r="J136" s="15" t="n">
        <f aca="false">F136-(G136+H136+I136)</f>
        <v>0.0100000000002183</v>
      </c>
      <c r="K136" s="15" t="n">
        <v>229.64</v>
      </c>
      <c r="L136" s="15" t="n">
        <v>229.64</v>
      </c>
      <c r="M136" s="15" t="n">
        <v>229.64</v>
      </c>
      <c r="N136" s="15" t="n">
        <v>229.64</v>
      </c>
      <c r="O136" s="15" t="n">
        <v>229.64</v>
      </c>
      <c r="P136" s="15" t="n">
        <v>229.64</v>
      </c>
      <c r="Q136" s="15" t="n">
        <v>229.64</v>
      </c>
      <c r="R136" s="15" t="n">
        <v>229.64</v>
      </c>
      <c r="S136" s="15" t="n">
        <v>229.64</v>
      </c>
      <c r="T136" s="15" t="n">
        <v>229.64</v>
      </c>
      <c r="U136" s="15" t="n">
        <v>350</v>
      </c>
      <c r="V136" s="15" t="n">
        <v>0</v>
      </c>
      <c r="W136" s="15" t="n">
        <f aca="false">U136+V136</f>
        <v>350</v>
      </c>
    </row>
    <row r="137" customFormat="false" ht="15" hidden="false" customHeight="false" outlineLevel="0" collapsed="false">
      <c r="A137" s="3" t="s">
        <v>2818</v>
      </c>
      <c r="B137" s="3" t="s">
        <v>2702</v>
      </c>
      <c r="C137" s="3" t="s">
        <v>972</v>
      </c>
      <c r="D137" s="3" t="s">
        <v>125</v>
      </c>
      <c r="E137" s="13" t="n">
        <v>500000</v>
      </c>
      <c r="F137" s="13" t="n">
        <v>6686.85</v>
      </c>
      <c r="G137" s="13" t="n">
        <v>835.86</v>
      </c>
      <c r="H137" s="13" t="n">
        <v>835.86</v>
      </c>
      <c r="I137" s="13" t="n">
        <f aca="false">SUM(K137:T137)</f>
        <v>5015.1</v>
      </c>
      <c r="J137" s="13" t="n">
        <f aca="false">F137-(G137+H137+I137)</f>
        <v>0.0299999999997453</v>
      </c>
      <c r="K137" s="13" t="n">
        <v>501.51</v>
      </c>
      <c r="L137" s="13" t="n">
        <v>501.51</v>
      </c>
      <c r="M137" s="13" t="n">
        <v>501.51</v>
      </c>
      <c r="N137" s="13" t="n">
        <v>501.51</v>
      </c>
      <c r="O137" s="13" t="n">
        <v>501.51</v>
      </c>
      <c r="P137" s="13" t="n">
        <v>501.51</v>
      </c>
      <c r="Q137" s="13" t="n">
        <v>501.51</v>
      </c>
      <c r="R137" s="13" t="n">
        <v>501.51</v>
      </c>
      <c r="S137" s="13" t="n">
        <v>501.51</v>
      </c>
      <c r="T137" s="13" t="n">
        <v>501.51</v>
      </c>
      <c r="U137" s="13" t="n">
        <v>350</v>
      </c>
      <c r="V137" s="13" t="n">
        <v>0</v>
      </c>
      <c r="W137" s="13" t="n">
        <f aca="false">U137+V137</f>
        <v>350</v>
      </c>
    </row>
    <row r="138" customFormat="false" ht="15" hidden="false" customHeight="false" outlineLevel="0" collapsed="false">
      <c r="A138" s="14" t="s">
        <v>2819</v>
      </c>
      <c r="B138" s="14" t="s">
        <v>2657</v>
      </c>
      <c r="C138" s="14" t="s">
        <v>854</v>
      </c>
      <c r="D138" s="14" t="s">
        <v>69</v>
      </c>
      <c r="E138" s="15" t="n">
        <v>1530000</v>
      </c>
      <c r="F138" s="15" t="n">
        <v>11969.69</v>
      </c>
      <c r="G138" s="15" t="n">
        <v>1496.21</v>
      </c>
      <c r="H138" s="15" t="n">
        <v>1496.21</v>
      </c>
      <c r="I138" s="15" t="n">
        <f aca="false">SUM(K138:T138)</f>
        <v>8977.3</v>
      </c>
      <c r="J138" s="15" t="n">
        <f aca="false">F138-(G138+H138+I138)</f>
        <v>-0.0299999999988358</v>
      </c>
      <c r="K138" s="15" t="n">
        <v>897.73</v>
      </c>
      <c r="L138" s="15" t="n">
        <v>897.73</v>
      </c>
      <c r="M138" s="15" t="n">
        <v>897.73</v>
      </c>
      <c r="N138" s="15" t="n">
        <v>897.73</v>
      </c>
      <c r="O138" s="15" t="n">
        <v>897.73</v>
      </c>
      <c r="P138" s="15" t="n">
        <v>897.73</v>
      </c>
      <c r="Q138" s="15" t="n">
        <v>897.73</v>
      </c>
      <c r="R138" s="15" t="n">
        <v>897.73</v>
      </c>
      <c r="S138" s="15" t="n">
        <v>897.73</v>
      </c>
      <c r="T138" s="15" t="n">
        <v>897.73</v>
      </c>
      <c r="U138" s="15" t="n">
        <v>350</v>
      </c>
      <c r="V138" s="15" t="n">
        <v>250</v>
      </c>
      <c r="W138" s="15" t="n">
        <f aca="false">U138+V138</f>
        <v>600</v>
      </c>
    </row>
    <row r="139" customFormat="false" ht="15" hidden="false" customHeight="false" outlineLevel="0" collapsed="false">
      <c r="A139" s="3" t="s">
        <v>2820</v>
      </c>
      <c r="B139" s="3" t="s">
        <v>2698</v>
      </c>
      <c r="C139" s="3" t="s">
        <v>263</v>
      </c>
      <c r="D139" s="3" t="s">
        <v>115</v>
      </c>
      <c r="E139" s="13" t="n">
        <v>235000</v>
      </c>
      <c r="F139" s="13" t="n">
        <v>4184.91</v>
      </c>
      <c r="G139" s="13" t="n">
        <v>523.11</v>
      </c>
      <c r="H139" s="13" t="n">
        <v>523.11</v>
      </c>
      <c r="I139" s="13" t="n">
        <f aca="false">SUM(K139:T139)</f>
        <v>3138.7</v>
      </c>
      <c r="J139" s="13" t="n">
        <f aca="false">F139-(G139+H139+I139)</f>
        <v>-0.0100000000002183</v>
      </c>
      <c r="K139" s="13" t="n">
        <v>313.87</v>
      </c>
      <c r="L139" s="13" t="n">
        <v>313.87</v>
      </c>
      <c r="M139" s="13" t="n">
        <v>313.87</v>
      </c>
      <c r="N139" s="13" t="n">
        <v>313.87</v>
      </c>
      <c r="O139" s="13" t="n">
        <v>313.87</v>
      </c>
      <c r="P139" s="13" t="n">
        <v>313.87</v>
      </c>
      <c r="Q139" s="13" t="n">
        <v>313.87</v>
      </c>
      <c r="R139" s="13" t="n">
        <v>313.87</v>
      </c>
      <c r="S139" s="13" t="n">
        <v>313.87</v>
      </c>
      <c r="T139" s="13" t="n">
        <v>313.87</v>
      </c>
      <c r="U139" s="13" t="n">
        <v>350</v>
      </c>
      <c r="V139" s="13" t="n">
        <v>0</v>
      </c>
      <c r="W139" s="13" t="n">
        <f aca="false">U139+V139</f>
        <v>350</v>
      </c>
    </row>
    <row r="140" customFormat="false" ht="15" hidden="false" customHeight="false" outlineLevel="0" collapsed="false">
      <c r="A140" s="14" t="s">
        <v>2821</v>
      </c>
      <c r="B140" s="14" t="s">
        <v>2704</v>
      </c>
      <c r="C140" s="14" t="s">
        <v>1232</v>
      </c>
      <c r="D140" s="14" t="s">
        <v>279</v>
      </c>
      <c r="E140" s="15" t="n">
        <v>410000</v>
      </c>
      <c r="F140" s="15" t="n">
        <v>4103.4</v>
      </c>
      <c r="G140" s="15" t="n">
        <v>512.92</v>
      </c>
      <c r="H140" s="15" t="n">
        <v>512.92</v>
      </c>
      <c r="I140" s="15" t="n">
        <f aca="false">SUM(K140:T140)</f>
        <v>3077.5</v>
      </c>
      <c r="J140" s="15" t="n">
        <f aca="false">F140-(G140+H140+I140)</f>
        <v>0.0599999999994907</v>
      </c>
      <c r="K140" s="15" t="n">
        <v>307.75</v>
      </c>
      <c r="L140" s="15" t="n">
        <v>307.75</v>
      </c>
      <c r="M140" s="15" t="n">
        <v>307.75</v>
      </c>
      <c r="N140" s="15" t="n">
        <v>307.75</v>
      </c>
      <c r="O140" s="15" t="n">
        <v>307.75</v>
      </c>
      <c r="P140" s="15" t="n">
        <v>307.75</v>
      </c>
      <c r="Q140" s="15" t="n">
        <v>307.75</v>
      </c>
      <c r="R140" s="15" t="n">
        <v>307.75</v>
      </c>
      <c r="S140" s="15" t="n">
        <v>307.75</v>
      </c>
      <c r="T140" s="15" t="n">
        <v>307.75</v>
      </c>
      <c r="U140" s="15" t="n">
        <v>350</v>
      </c>
      <c r="V140" s="15" t="n">
        <v>0</v>
      </c>
      <c r="W140" s="15" t="n">
        <f aca="false">U140+V140</f>
        <v>350</v>
      </c>
    </row>
    <row r="141" customFormat="false" ht="15" hidden="false" customHeight="false" outlineLevel="0" collapsed="false">
      <c r="A141" s="3" t="s">
        <v>2822</v>
      </c>
      <c r="B141" s="3" t="s">
        <v>2657</v>
      </c>
      <c r="C141" s="3" t="s">
        <v>1682</v>
      </c>
      <c r="D141" s="3" t="s">
        <v>193</v>
      </c>
      <c r="E141" s="13" t="n">
        <v>970000</v>
      </c>
      <c r="F141" s="13" t="n">
        <v>11557.18</v>
      </c>
      <c r="G141" s="13" t="n">
        <v>1444.65</v>
      </c>
      <c r="H141" s="13" t="n">
        <v>1444.65</v>
      </c>
      <c r="I141" s="13" t="n">
        <f aca="false">SUM(K141:T141)</f>
        <v>8667.9</v>
      </c>
      <c r="J141" s="13" t="n">
        <f aca="false">F141-(G141+H141+I141)</f>
        <v>-0.0200000000004366</v>
      </c>
      <c r="K141" s="13" t="n">
        <v>866.79</v>
      </c>
      <c r="L141" s="13" t="n">
        <v>866.79</v>
      </c>
      <c r="M141" s="13" t="n">
        <v>866.79</v>
      </c>
      <c r="N141" s="13" t="n">
        <v>866.79</v>
      </c>
      <c r="O141" s="13" t="n">
        <v>866.79</v>
      </c>
      <c r="P141" s="13" t="n">
        <v>866.79</v>
      </c>
      <c r="Q141" s="13" t="n">
        <v>866.79</v>
      </c>
      <c r="R141" s="13" t="n">
        <v>866.79</v>
      </c>
      <c r="S141" s="13" t="n">
        <v>866.79</v>
      </c>
      <c r="T141" s="13" t="n">
        <v>866.79</v>
      </c>
      <c r="U141" s="13" t="n">
        <v>350</v>
      </c>
      <c r="V141" s="13" t="n">
        <v>0</v>
      </c>
      <c r="W141" s="13" t="n">
        <f aca="false">U141+V141</f>
        <v>350</v>
      </c>
    </row>
    <row r="142" customFormat="false" ht="15" hidden="false" customHeight="false" outlineLevel="0" collapsed="false">
      <c r="A142" s="14" t="s">
        <v>2823</v>
      </c>
      <c r="B142" s="14" t="s">
        <v>2785</v>
      </c>
      <c r="C142" s="14" t="s">
        <v>554</v>
      </c>
      <c r="D142" s="14" t="s">
        <v>121</v>
      </c>
      <c r="E142" s="15" t="n">
        <v>265000</v>
      </c>
      <c r="F142" s="15" t="n">
        <v>3555.69</v>
      </c>
      <c r="G142" s="15" t="n">
        <v>444.46</v>
      </c>
      <c r="H142" s="15" t="n">
        <v>444.46</v>
      </c>
      <c r="I142" s="15" t="n">
        <f aca="false">SUM(K142:T142)</f>
        <v>2666.8</v>
      </c>
      <c r="J142" s="15" t="n">
        <f aca="false">F142-(G142+H142+I142)</f>
        <v>-0.0299999999997453</v>
      </c>
      <c r="K142" s="15" t="n">
        <v>266.68</v>
      </c>
      <c r="L142" s="15" t="n">
        <v>266.68</v>
      </c>
      <c r="M142" s="15" t="n">
        <v>266.68</v>
      </c>
      <c r="N142" s="15" t="n">
        <v>266.68</v>
      </c>
      <c r="O142" s="15" t="n">
        <v>266.68</v>
      </c>
      <c r="P142" s="15" t="n">
        <v>266.68</v>
      </c>
      <c r="Q142" s="15" t="n">
        <v>266.68</v>
      </c>
      <c r="R142" s="15" t="n">
        <v>266.68</v>
      </c>
      <c r="S142" s="15" t="n">
        <v>266.68</v>
      </c>
      <c r="T142" s="15" t="n">
        <v>266.68</v>
      </c>
      <c r="U142" s="15" t="n">
        <v>350</v>
      </c>
      <c r="V142" s="15" t="n">
        <v>0</v>
      </c>
      <c r="W142" s="15" t="n">
        <f aca="false">U142+V142</f>
        <v>350</v>
      </c>
    </row>
    <row r="143" customFormat="false" ht="15" hidden="false" customHeight="false" outlineLevel="0" collapsed="false">
      <c r="A143" s="3" t="s">
        <v>2824</v>
      </c>
      <c r="B143" s="3" t="s">
        <v>2670</v>
      </c>
      <c r="C143" s="3" t="s">
        <v>1470</v>
      </c>
      <c r="D143" s="3" t="s">
        <v>112</v>
      </c>
      <c r="E143" s="13" t="n">
        <v>805000</v>
      </c>
      <c r="F143" s="13" t="n">
        <v>7289.37</v>
      </c>
      <c r="G143" s="13" t="n">
        <v>911.17</v>
      </c>
      <c r="H143" s="13" t="n">
        <v>911.17</v>
      </c>
      <c r="I143" s="13" t="n">
        <f aca="false">SUM(K143:T143)</f>
        <v>5467</v>
      </c>
      <c r="J143" s="13" t="n">
        <f aca="false">F143-(G143+H143+I143)</f>
        <v>0.0299999999997453</v>
      </c>
      <c r="K143" s="13" t="n">
        <v>546.7</v>
      </c>
      <c r="L143" s="13" t="n">
        <v>546.7</v>
      </c>
      <c r="M143" s="13" t="n">
        <v>546.7</v>
      </c>
      <c r="N143" s="13" t="n">
        <v>546.7</v>
      </c>
      <c r="O143" s="13" t="n">
        <v>546.7</v>
      </c>
      <c r="P143" s="13" t="n">
        <v>546.7</v>
      </c>
      <c r="Q143" s="13" t="n">
        <v>546.7</v>
      </c>
      <c r="R143" s="13" t="n">
        <v>546.7</v>
      </c>
      <c r="S143" s="13" t="n">
        <v>546.7</v>
      </c>
      <c r="T143" s="13" t="n">
        <v>546.7</v>
      </c>
      <c r="U143" s="13" t="n">
        <v>350</v>
      </c>
      <c r="V143" s="13" t="n">
        <v>0</v>
      </c>
      <c r="W143" s="13" t="n">
        <f aca="false">U143+V143</f>
        <v>350</v>
      </c>
    </row>
    <row r="144" customFormat="false" ht="15" hidden="false" customHeight="false" outlineLevel="0" collapsed="false">
      <c r="A144" s="14" t="s">
        <v>2825</v>
      </c>
      <c r="B144" s="14" t="s">
        <v>2785</v>
      </c>
      <c r="C144" s="14" t="s">
        <v>1998</v>
      </c>
      <c r="D144" s="14" t="s">
        <v>256</v>
      </c>
      <c r="E144" s="15" t="n">
        <v>1215000</v>
      </c>
      <c r="F144" s="15" t="n">
        <v>18957.23</v>
      </c>
      <c r="G144" s="15" t="n">
        <v>2369.65</v>
      </c>
      <c r="H144" s="15" t="n">
        <v>2369.65</v>
      </c>
      <c r="I144" s="15" t="n">
        <f aca="false">SUM(K144:T144)</f>
        <v>14217.9</v>
      </c>
      <c r="J144" s="15" t="n">
        <f aca="false">F144-(G144+H144+I144)</f>
        <v>0.0299999999988358</v>
      </c>
      <c r="K144" s="15" t="n">
        <v>1421.79</v>
      </c>
      <c r="L144" s="15" t="n">
        <v>1421.79</v>
      </c>
      <c r="M144" s="15" t="n">
        <v>1421.79</v>
      </c>
      <c r="N144" s="15" t="n">
        <v>1421.79</v>
      </c>
      <c r="O144" s="15" t="n">
        <v>1421.79</v>
      </c>
      <c r="P144" s="15" t="n">
        <v>1421.79</v>
      </c>
      <c r="Q144" s="15" t="n">
        <v>1421.79</v>
      </c>
      <c r="R144" s="15" t="n">
        <v>1421.79</v>
      </c>
      <c r="S144" s="15" t="n">
        <v>1421.79</v>
      </c>
      <c r="T144" s="15" t="n">
        <v>1421.79</v>
      </c>
      <c r="U144" s="15" t="n">
        <v>350</v>
      </c>
      <c r="V144" s="15" t="n">
        <v>250</v>
      </c>
      <c r="W144" s="15" t="n">
        <f aca="false">U144+V144</f>
        <v>600</v>
      </c>
    </row>
    <row r="145" customFormat="false" ht="15" hidden="false" customHeight="false" outlineLevel="0" collapsed="false">
      <c r="A145" s="3" t="s">
        <v>2826</v>
      </c>
      <c r="B145" s="3" t="s">
        <v>2682</v>
      </c>
      <c r="C145" s="3" t="s">
        <v>982</v>
      </c>
      <c r="D145" s="3" t="s">
        <v>132</v>
      </c>
      <c r="E145" s="13" t="n">
        <v>490000</v>
      </c>
      <c r="F145" s="13" t="n">
        <v>5389.07</v>
      </c>
      <c r="G145" s="13" t="n">
        <v>673.63</v>
      </c>
      <c r="H145" s="13" t="n">
        <v>673.63</v>
      </c>
      <c r="I145" s="13" t="n">
        <f aca="false">SUM(K145:T145)</f>
        <v>4041.8</v>
      </c>
      <c r="J145" s="13" t="n">
        <f aca="false">F145-(G145+H145+I145)</f>
        <v>0.0100000000002183</v>
      </c>
      <c r="K145" s="13" t="n">
        <v>404.18</v>
      </c>
      <c r="L145" s="13" t="n">
        <v>404.18</v>
      </c>
      <c r="M145" s="13" t="n">
        <v>404.18</v>
      </c>
      <c r="N145" s="13" t="n">
        <v>404.18</v>
      </c>
      <c r="O145" s="13" t="n">
        <v>404.18</v>
      </c>
      <c r="P145" s="13" t="n">
        <v>404.18</v>
      </c>
      <c r="Q145" s="13" t="n">
        <v>404.18</v>
      </c>
      <c r="R145" s="13" t="n">
        <v>404.18</v>
      </c>
      <c r="S145" s="13" t="n">
        <v>404.18</v>
      </c>
      <c r="T145" s="13" t="n">
        <v>404.18</v>
      </c>
      <c r="U145" s="13" t="n">
        <v>350</v>
      </c>
      <c r="V145" s="13" t="n">
        <v>0</v>
      </c>
      <c r="W145" s="13" t="n">
        <f aca="false">U145+V145</f>
        <v>350</v>
      </c>
    </row>
    <row r="146" customFormat="false" ht="15" hidden="false" customHeight="false" outlineLevel="0" collapsed="false">
      <c r="A146" s="14" t="s">
        <v>2827</v>
      </c>
      <c r="B146" s="14" t="s">
        <v>2759</v>
      </c>
      <c r="C146" s="14" t="s">
        <v>597</v>
      </c>
      <c r="D146" s="14" t="s">
        <v>193</v>
      </c>
      <c r="E146" s="15" t="n">
        <v>390000</v>
      </c>
      <c r="F146" s="15" t="n">
        <v>5361.58</v>
      </c>
      <c r="G146" s="15" t="n">
        <v>670.2</v>
      </c>
      <c r="H146" s="15" t="n">
        <v>670.2</v>
      </c>
      <c r="I146" s="15" t="n">
        <f aca="false">SUM(K146:T146)</f>
        <v>4021.2</v>
      </c>
      <c r="J146" s="15" t="n">
        <f aca="false">F146-(G146+H146+I146)</f>
        <v>-0.0200000000004366</v>
      </c>
      <c r="K146" s="15" t="n">
        <v>402.12</v>
      </c>
      <c r="L146" s="15" t="n">
        <v>402.12</v>
      </c>
      <c r="M146" s="15" t="n">
        <v>402.12</v>
      </c>
      <c r="N146" s="15" t="n">
        <v>402.12</v>
      </c>
      <c r="O146" s="15" t="n">
        <v>402.12</v>
      </c>
      <c r="P146" s="15" t="n">
        <v>402.12</v>
      </c>
      <c r="Q146" s="15" t="n">
        <v>402.12</v>
      </c>
      <c r="R146" s="15" t="n">
        <v>402.12</v>
      </c>
      <c r="S146" s="15" t="n">
        <v>402.12</v>
      </c>
      <c r="T146" s="15" t="n">
        <v>402.12</v>
      </c>
      <c r="U146" s="15" t="n">
        <v>350</v>
      </c>
      <c r="V146" s="15" t="n">
        <v>0</v>
      </c>
      <c r="W146" s="15" t="n">
        <f aca="false">U146+V146</f>
        <v>350</v>
      </c>
    </row>
    <row r="147" customFormat="false" ht="15" hidden="false" customHeight="false" outlineLevel="0" collapsed="false">
      <c r="A147" s="3" t="s">
        <v>2828</v>
      </c>
      <c r="B147" s="3" t="s">
        <v>2670</v>
      </c>
      <c r="C147" s="3" t="s">
        <v>600</v>
      </c>
      <c r="D147" s="3" t="s">
        <v>77</v>
      </c>
      <c r="E147" s="13" t="n">
        <v>715000</v>
      </c>
      <c r="F147" s="13" t="n">
        <v>8655.26</v>
      </c>
      <c r="G147" s="13" t="n">
        <v>1081.91</v>
      </c>
      <c r="H147" s="13" t="n">
        <v>1081.91</v>
      </c>
      <c r="I147" s="13" t="n">
        <f aca="false">SUM(K147:T147)</f>
        <v>6491.4</v>
      </c>
      <c r="J147" s="13" t="n">
        <f aca="false">F147-(G147+H147+I147)</f>
        <v>0.0399999999990541</v>
      </c>
      <c r="K147" s="13" t="n">
        <v>649.14</v>
      </c>
      <c r="L147" s="13" t="n">
        <v>649.14</v>
      </c>
      <c r="M147" s="13" t="n">
        <v>649.14</v>
      </c>
      <c r="N147" s="13" t="n">
        <v>649.14</v>
      </c>
      <c r="O147" s="13" t="n">
        <v>649.14</v>
      </c>
      <c r="P147" s="13" t="n">
        <v>649.14</v>
      </c>
      <c r="Q147" s="13" t="n">
        <v>649.14</v>
      </c>
      <c r="R147" s="13" t="n">
        <v>649.14</v>
      </c>
      <c r="S147" s="13" t="n">
        <v>649.14</v>
      </c>
      <c r="T147" s="13" t="n">
        <v>649.14</v>
      </c>
      <c r="U147" s="13" t="n">
        <v>350</v>
      </c>
      <c r="V147" s="13" t="n">
        <v>0</v>
      </c>
      <c r="W147" s="13" t="n">
        <f aca="false">U147+V147</f>
        <v>350</v>
      </c>
    </row>
    <row r="148" customFormat="false" ht="15" hidden="false" customHeight="false" outlineLevel="0" collapsed="false">
      <c r="A148" s="14" t="s">
        <v>2829</v>
      </c>
      <c r="B148" s="14" t="s">
        <v>2704</v>
      </c>
      <c r="C148" s="14" t="s">
        <v>474</v>
      </c>
      <c r="D148" s="14" t="s">
        <v>430</v>
      </c>
      <c r="E148" s="15" t="n">
        <v>365000</v>
      </c>
      <c r="F148" s="15" t="n">
        <v>3974.17</v>
      </c>
      <c r="G148" s="15" t="n">
        <v>496.77</v>
      </c>
      <c r="H148" s="15" t="n">
        <v>496.77</v>
      </c>
      <c r="I148" s="15" t="n">
        <f aca="false">SUM(K148:T148)</f>
        <v>2980.6</v>
      </c>
      <c r="J148" s="15" t="n">
        <f aca="false">F148-(G148+H148+I148)</f>
        <v>0.0300000000002001</v>
      </c>
      <c r="K148" s="15" t="n">
        <v>298.06</v>
      </c>
      <c r="L148" s="15" t="n">
        <v>298.06</v>
      </c>
      <c r="M148" s="15" t="n">
        <v>298.06</v>
      </c>
      <c r="N148" s="15" t="n">
        <v>298.06</v>
      </c>
      <c r="O148" s="15" t="n">
        <v>298.06</v>
      </c>
      <c r="P148" s="15" t="n">
        <v>298.06</v>
      </c>
      <c r="Q148" s="15" t="n">
        <v>298.06</v>
      </c>
      <c r="R148" s="15" t="n">
        <v>298.06</v>
      </c>
      <c r="S148" s="15" t="n">
        <v>298.06</v>
      </c>
      <c r="T148" s="15" t="n">
        <v>298.06</v>
      </c>
      <c r="U148" s="15" t="n">
        <v>350</v>
      </c>
      <c r="V148" s="15" t="n">
        <v>0</v>
      </c>
      <c r="W148" s="15" t="n">
        <f aca="false">U148+V148</f>
        <v>350</v>
      </c>
    </row>
    <row r="149" customFormat="false" ht="15" hidden="false" customHeight="false" outlineLevel="0" collapsed="false">
      <c r="A149" s="3" t="s">
        <v>2830</v>
      </c>
      <c r="B149" s="3" t="s">
        <v>2698</v>
      </c>
      <c r="C149" s="3" t="s">
        <v>120</v>
      </c>
      <c r="D149" s="3" t="s">
        <v>99</v>
      </c>
      <c r="E149" s="13" t="n">
        <v>460000</v>
      </c>
      <c r="F149" s="13" t="n">
        <v>6880.42</v>
      </c>
      <c r="G149" s="13" t="n">
        <v>860.05</v>
      </c>
      <c r="H149" s="13" t="n">
        <v>860.05</v>
      </c>
      <c r="I149" s="13" t="n">
        <f aca="false">SUM(K149:T149)</f>
        <v>5160.3</v>
      </c>
      <c r="J149" s="13" t="n">
        <f aca="false">F149-(G149+H149+I149)</f>
        <v>0.0200000000004366</v>
      </c>
      <c r="K149" s="13" t="n">
        <v>516.03</v>
      </c>
      <c r="L149" s="13" t="n">
        <v>516.03</v>
      </c>
      <c r="M149" s="13" t="n">
        <v>516.03</v>
      </c>
      <c r="N149" s="13" t="n">
        <v>516.03</v>
      </c>
      <c r="O149" s="13" t="n">
        <v>516.03</v>
      </c>
      <c r="P149" s="13" t="n">
        <v>516.03</v>
      </c>
      <c r="Q149" s="13" t="n">
        <v>516.03</v>
      </c>
      <c r="R149" s="13" t="n">
        <v>516.03</v>
      </c>
      <c r="S149" s="13" t="n">
        <v>516.03</v>
      </c>
      <c r="T149" s="13" t="n">
        <v>516.03</v>
      </c>
      <c r="U149" s="13" t="n">
        <v>350</v>
      </c>
      <c r="V149" s="13" t="n">
        <v>0</v>
      </c>
      <c r="W149" s="13" t="n">
        <f aca="false">U149+V149</f>
        <v>350</v>
      </c>
    </row>
    <row r="150" customFormat="false" ht="15" hidden="false" customHeight="false" outlineLevel="0" collapsed="false">
      <c r="A150" s="14" t="s">
        <v>2831</v>
      </c>
      <c r="B150" s="14" t="s">
        <v>2698</v>
      </c>
      <c r="C150" s="14" t="s">
        <v>1108</v>
      </c>
      <c r="D150" s="14" t="s">
        <v>102</v>
      </c>
      <c r="E150" s="15" t="n">
        <v>480000</v>
      </c>
      <c r="F150" s="15" t="n">
        <v>6070.96</v>
      </c>
      <c r="G150" s="15" t="n">
        <v>758.87</v>
      </c>
      <c r="H150" s="15" t="n">
        <v>758.87</v>
      </c>
      <c r="I150" s="15" t="n">
        <f aca="false">SUM(K150:T150)</f>
        <v>4553.2</v>
      </c>
      <c r="J150" s="15" t="n">
        <f aca="false">F150-(G150+H150+I150)</f>
        <v>0.0200000000004366</v>
      </c>
      <c r="K150" s="15" t="n">
        <v>455.32</v>
      </c>
      <c r="L150" s="15" t="n">
        <v>455.32</v>
      </c>
      <c r="M150" s="15" t="n">
        <v>455.32</v>
      </c>
      <c r="N150" s="15" t="n">
        <v>455.32</v>
      </c>
      <c r="O150" s="15" t="n">
        <v>455.32</v>
      </c>
      <c r="P150" s="15" t="n">
        <v>455.32</v>
      </c>
      <c r="Q150" s="15" t="n">
        <v>455.32</v>
      </c>
      <c r="R150" s="15" t="n">
        <v>455.32</v>
      </c>
      <c r="S150" s="15" t="n">
        <v>455.32</v>
      </c>
      <c r="T150" s="15" t="n">
        <v>455.32</v>
      </c>
      <c r="U150" s="15" t="n">
        <v>350</v>
      </c>
      <c r="V150" s="15" t="n">
        <v>0</v>
      </c>
      <c r="W150" s="15" t="n">
        <f aca="false">U150+V150</f>
        <v>350</v>
      </c>
    </row>
    <row r="151" customFormat="false" ht="15" hidden="false" customHeight="false" outlineLevel="0" collapsed="false">
      <c r="A151" s="3" t="s">
        <v>2832</v>
      </c>
      <c r="B151" s="3" t="s">
        <v>2718</v>
      </c>
      <c r="C151" s="3" t="s">
        <v>2174</v>
      </c>
      <c r="D151" s="3" t="s">
        <v>448</v>
      </c>
      <c r="E151" s="13" t="n">
        <v>365000</v>
      </c>
      <c r="F151" s="13" t="n">
        <v>4255.17</v>
      </c>
      <c r="G151" s="13" t="n">
        <v>531.9</v>
      </c>
      <c r="H151" s="13" t="n">
        <v>531.9</v>
      </c>
      <c r="I151" s="13" t="n">
        <f aca="false">SUM(K151:T151)</f>
        <v>3191.4</v>
      </c>
      <c r="J151" s="13" t="n">
        <f aca="false">F151-(G151+H151+I151)</f>
        <v>-0.0299999999997453</v>
      </c>
      <c r="K151" s="13" t="n">
        <v>319.14</v>
      </c>
      <c r="L151" s="13" t="n">
        <v>319.14</v>
      </c>
      <c r="M151" s="13" t="n">
        <v>319.14</v>
      </c>
      <c r="N151" s="13" t="n">
        <v>319.14</v>
      </c>
      <c r="O151" s="13" t="n">
        <v>319.14</v>
      </c>
      <c r="P151" s="13" t="n">
        <v>319.14</v>
      </c>
      <c r="Q151" s="13" t="n">
        <v>319.14</v>
      </c>
      <c r="R151" s="13" t="n">
        <v>319.14</v>
      </c>
      <c r="S151" s="13" t="n">
        <v>319.14</v>
      </c>
      <c r="T151" s="13" t="n">
        <v>319.14</v>
      </c>
      <c r="U151" s="13" t="n">
        <v>350</v>
      </c>
      <c r="V151" s="13" t="n">
        <v>0</v>
      </c>
      <c r="W151" s="13" t="n">
        <f aca="false">U151+V151</f>
        <v>350</v>
      </c>
    </row>
    <row r="152" customFormat="false" ht="15" hidden="false" customHeight="false" outlineLevel="0" collapsed="false">
      <c r="A152" s="14" t="s">
        <v>2833</v>
      </c>
      <c r="B152" s="14" t="s">
        <v>2739</v>
      </c>
      <c r="C152" s="14" t="s">
        <v>237</v>
      </c>
      <c r="D152" s="14" t="s">
        <v>193</v>
      </c>
      <c r="E152" s="15" t="n">
        <v>190000</v>
      </c>
      <c r="F152" s="15" t="n">
        <v>3204.12</v>
      </c>
      <c r="G152" s="15" t="n">
        <v>400.51</v>
      </c>
      <c r="H152" s="15" t="n">
        <v>400.51</v>
      </c>
      <c r="I152" s="15" t="n">
        <f aca="false">SUM(K152:T152)</f>
        <v>2403.1</v>
      </c>
      <c r="J152" s="15" t="n">
        <f aca="false">F152-(G152+H152+I152)</f>
        <v>0</v>
      </c>
      <c r="K152" s="15" t="n">
        <v>240.31</v>
      </c>
      <c r="L152" s="15" t="n">
        <v>240.31</v>
      </c>
      <c r="M152" s="15" t="n">
        <v>240.31</v>
      </c>
      <c r="N152" s="15" t="n">
        <v>240.31</v>
      </c>
      <c r="O152" s="15" t="n">
        <v>240.31</v>
      </c>
      <c r="P152" s="15" t="n">
        <v>240.31</v>
      </c>
      <c r="Q152" s="15" t="n">
        <v>240.31</v>
      </c>
      <c r="R152" s="15" t="n">
        <v>240.31</v>
      </c>
      <c r="S152" s="15" t="n">
        <v>240.31</v>
      </c>
      <c r="T152" s="15" t="n">
        <v>240.31</v>
      </c>
      <c r="U152" s="15" t="n">
        <v>350</v>
      </c>
      <c r="V152" s="15" t="n">
        <v>0</v>
      </c>
      <c r="W152" s="15" t="n">
        <f aca="false">U152+V152</f>
        <v>350</v>
      </c>
    </row>
    <row r="153" customFormat="false" ht="15" hidden="false" customHeight="false" outlineLevel="0" collapsed="false">
      <c r="A153" s="3" t="s">
        <v>2834</v>
      </c>
      <c r="B153" s="3" t="s">
        <v>2657</v>
      </c>
      <c r="C153" s="3" t="s">
        <v>594</v>
      </c>
      <c r="D153" s="3" t="s">
        <v>153</v>
      </c>
      <c r="E153" s="13" t="n">
        <v>1385000</v>
      </c>
      <c r="F153" s="13" t="n">
        <v>17314.14</v>
      </c>
      <c r="G153" s="13" t="n">
        <v>2164.27</v>
      </c>
      <c r="H153" s="13" t="n">
        <v>2164.27</v>
      </c>
      <c r="I153" s="13" t="n">
        <f aca="false">SUM(K153:T153)</f>
        <v>12985.6</v>
      </c>
      <c r="J153" s="13" t="n">
        <f aca="false">F153-(G153+H153+I153)</f>
        <v>0</v>
      </c>
      <c r="K153" s="13" t="n">
        <v>1298.56</v>
      </c>
      <c r="L153" s="13" t="n">
        <v>1298.56</v>
      </c>
      <c r="M153" s="13" t="n">
        <v>1298.56</v>
      </c>
      <c r="N153" s="13" t="n">
        <v>1298.56</v>
      </c>
      <c r="O153" s="13" t="n">
        <v>1298.56</v>
      </c>
      <c r="P153" s="13" t="n">
        <v>1298.56</v>
      </c>
      <c r="Q153" s="13" t="n">
        <v>1298.56</v>
      </c>
      <c r="R153" s="13" t="n">
        <v>1298.56</v>
      </c>
      <c r="S153" s="13" t="n">
        <v>1298.56</v>
      </c>
      <c r="T153" s="13" t="n">
        <v>1298.56</v>
      </c>
      <c r="U153" s="13" t="n">
        <v>350</v>
      </c>
      <c r="V153" s="13" t="n">
        <v>250</v>
      </c>
      <c r="W153" s="13" t="n">
        <f aca="false">U153+V153</f>
        <v>600</v>
      </c>
    </row>
    <row r="154" customFormat="false" ht="15" hidden="false" customHeight="false" outlineLevel="0" collapsed="false">
      <c r="A154" s="14" t="s">
        <v>2835</v>
      </c>
      <c r="B154" s="14" t="s">
        <v>2664</v>
      </c>
      <c r="C154" s="14" t="s">
        <v>2130</v>
      </c>
      <c r="D154" s="14" t="s">
        <v>382</v>
      </c>
      <c r="E154" s="15" t="n">
        <v>610000</v>
      </c>
      <c r="F154" s="15" t="n">
        <v>6512.06</v>
      </c>
      <c r="G154" s="15" t="n">
        <v>814.01</v>
      </c>
      <c r="H154" s="15" t="n">
        <v>814.01</v>
      </c>
      <c r="I154" s="15" t="n">
        <f aca="false">SUM(K154:T154)</f>
        <v>4884</v>
      </c>
      <c r="J154" s="15" t="n">
        <f aca="false">F154-(G154+H154+I154)</f>
        <v>0.0400000000017826</v>
      </c>
      <c r="K154" s="15" t="n">
        <v>488.4</v>
      </c>
      <c r="L154" s="15" t="n">
        <v>488.4</v>
      </c>
      <c r="M154" s="15" t="n">
        <v>488.4</v>
      </c>
      <c r="N154" s="15" t="n">
        <v>488.4</v>
      </c>
      <c r="O154" s="15" t="n">
        <v>488.4</v>
      </c>
      <c r="P154" s="15" t="n">
        <v>488.4</v>
      </c>
      <c r="Q154" s="15" t="n">
        <v>488.4</v>
      </c>
      <c r="R154" s="15" t="n">
        <v>488.4</v>
      </c>
      <c r="S154" s="15" t="n">
        <v>488.4</v>
      </c>
      <c r="T154" s="15" t="n">
        <v>488.4</v>
      </c>
      <c r="U154" s="15" t="n">
        <v>350</v>
      </c>
      <c r="V154" s="15" t="n">
        <v>0</v>
      </c>
      <c r="W154" s="15" t="n">
        <f aca="false">U154+V154</f>
        <v>350</v>
      </c>
    </row>
    <row r="155" customFormat="false" ht="15" hidden="false" customHeight="false" outlineLevel="0" collapsed="false">
      <c r="A155" s="3" t="s">
        <v>2836</v>
      </c>
      <c r="B155" s="3" t="s">
        <v>2668</v>
      </c>
      <c r="C155" s="3" t="s">
        <v>80</v>
      </c>
      <c r="D155" s="3" t="s">
        <v>698</v>
      </c>
      <c r="E155" s="13" t="n">
        <v>370000</v>
      </c>
      <c r="F155" s="13" t="n">
        <v>5574.94</v>
      </c>
      <c r="G155" s="13" t="n">
        <v>696.87</v>
      </c>
      <c r="H155" s="13" t="n">
        <v>696.87</v>
      </c>
      <c r="I155" s="13" t="n">
        <f aca="false">SUM(K155:T155)</f>
        <v>4181.2</v>
      </c>
      <c r="J155" s="13" t="n">
        <f aca="false">F155-(G155+H155+I155)</f>
        <v>0</v>
      </c>
      <c r="K155" s="13" t="n">
        <v>418.12</v>
      </c>
      <c r="L155" s="13" t="n">
        <v>418.12</v>
      </c>
      <c r="M155" s="13" t="n">
        <v>418.12</v>
      </c>
      <c r="N155" s="13" t="n">
        <v>418.12</v>
      </c>
      <c r="O155" s="13" t="n">
        <v>418.12</v>
      </c>
      <c r="P155" s="13" t="n">
        <v>418.12</v>
      </c>
      <c r="Q155" s="13" t="n">
        <v>418.12</v>
      </c>
      <c r="R155" s="13" t="n">
        <v>418.12</v>
      </c>
      <c r="S155" s="13" t="n">
        <v>418.12</v>
      </c>
      <c r="T155" s="13" t="n">
        <v>418.12</v>
      </c>
      <c r="U155" s="13" t="n">
        <v>350</v>
      </c>
      <c r="V155" s="13" t="n">
        <v>0</v>
      </c>
      <c r="W155" s="13" t="n">
        <f aca="false">U155+V155</f>
        <v>350</v>
      </c>
    </row>
    <row r="156" customFormat="false" ht="15" hidden="false" customHeight="false" outlineLevel="0" collapsed="false">
      <c r="A156" s="14" t="s">
        <v>2837</v>
      </c>
      <c r="B156" s="14" t="s">
        <v>2668</v>
      </c>
      <c r="C156" s="14" t="s">
        <v>202</v>
      </c>
      <c r="D156" s="14" t="s">
        <v>328</v>
      </c>
      <c r="E156" s="15" t="n">
        <v>1330000</v>
      </c>
      <c r="F156" s="15" t="n">
        <v>20283.45</v>
      </c>
      <c r="G156" s="15" t="n">
        <v>2535.43</v>
      </c>
      <c r="H156" s="15" t="n">
        <v>2535.43</v>
      </c>
      <c r="I156" s="15" t="n">
        <f aca="false">SUM(K156:T156)</f>
        <v>15212.6</v>
      </c>
      <c r="J156" s="15" t="n">
        <f aca="false">F156-(G156+H156+I156)</f>
        <v>-0.00999999999839929</v>
      </c>
      <c r="K156" s="15" t="n">
        <v>1521.26</v>
      </c>
      <c r="L156" s="15" t="n">
        <v>1521.26</v>
      </c>
      <c r="M156" s="15" t="n">
        <v>1521.26</v>
      </c>
      <c r="N156" s="15" t="n">
        <v>1521.26</v>
      </c>
      <c r="O156" s="15" t="n">
        <v>1521.26</v>
      </c>
      <c r="P156" s="15" t="n">
        <v>1521.26</v>
      </c>
      <c r="Q156" s="15" t="n">
        <v>1521.26</v>
      </c>
      <c r="R156" s="15" t="n">
        <v>1521.26</v>
      </c>
      <c r="S156" s="15" t="n">
        <v>1521.26</v>
      </c>
      <c r="T156" s="15" t="n">
        <v>1521.26</v>
      </c>
      <c r="U156" s="15" t="n">
        <v>350</v>
      </c>
      <c r="V156" s="15" t="n">
        <v>250</v>
      </c>
      <c r="W156" s="15" t="n">
        <f aca="false">U156+V156</f>
        <v>600</v>
      </c>
    </row>
    <row r="157" customFormat="false" ht="15" hidden="false" customHeight="false" outlineLevel="0" collapsed="false">
      <c r="A157" s="3" t="s">
        <v>2838</v>
      </c>
      <c r="B157" s="3" t="s">
        <v>2668</v>
      </c>
      <c r="C157" s="3" t="s">
        <v>909</v>
      </c>
      <c r="D157" s="3" t="s">
        <v>230</v>
      </c>
      <c r="E157" s="13" t="n">
        <v>280000</v>
      </c>
      <c r="F157" s="13" t="n">
        <v>3664.57</v>
      </c>
      <c r="G157" s="13" t="n">
        <v>458.07</v>
      </c>
      <c r="H157" s="13" t="n">
        <v>458.07</v>
      </c>
      <c r="I157" s="13" t="n">
        <f aca="false">SUM(K157:T157)</f>
        <v>2748.4</v>
      </c>
      <c r="J157" s="13" t="n">
        <f aca="false">F157-(G157+H157+I157)</f>
        <v>0.0300000000002001</v>
      </c>
      <c r="K157" s="13" t="n">
        <v>274.84</v>
      </c>
      <c r="L157" s="13" t="n">
        <v>274.84</v>
      </c>
      <c r="M157" s="13" t="n">
        <v>274.84</v>
      </c>
      <c r="N157" s="13" t="n">
        <v>274.84</v>
      </c>
      <c r="O157" s="13" t="n">
        <v>274.84</v>
      </c>
      <c r="P157" s="13" t="n">
        <v>274.84</v>
      </c>
      <c r="Q157" s="13" t="n">
        <v>274.84</v>
      </c>
      <c r="R157" s="13" t="n">
        <v>274.84</v>
      </c>
      <c r="S157" s="13" t="n">
        <v>274.84</v>
      </c>
      <c r="T157" s="13" t="n">
        <v>274.84</v>
      </c>
      <c r="U157" s="13" t="n">
        <v>350</v>
      </c>
      <c r="V157" s="13" t="n">
        <v>0</v>
      </c>
      <c r="W157" s="13" t="n">
        <f aca="false">U157+V157</f>
        <v>350</v>
      </c>
    </row>
    <row r="158" customFormat="false" ht="15" hidden="false" customHeight="false" outlineLevel="0" collapsed="false">
      <c r="A158" s="14" t="s">
        <v>2839</v>
      </c>
      <c r="B158" s="14" t="s">
        <v>2688</v>
      </c>
      <c r="C158" s="14" t="s">
        <v>1990</v>
      </c>
      <c r="D158" s="14" t="s">
        <v>338</v>
      </c>
      <c r="E158" s="15" t="n">
        <v>960000</v>
      </c>
      <c r="F158" s="15" t="n">
        <v>11346.54</v>
      </c>
      <c r="G158" s="15" t="n">
        <v>1418.32</v>
      </c>
      <c r="H158" s="15" t="n">
        <v>1418.32</v>
      </c>
      <c r="I158" s="15" t="n">
        <f aca="false">SUM(K158:T158)</f>
        <v>8509.9</v>
      </c>
      <c r="J158" s="15" t="n">
        <f aca="false">F158-(G158+H158+I158)</f>
        <v>0</v>
      </c>
      <c r="K158" s="15" t="n">
        <v>850.99</v>
      </c>
      <c r="L158" s="15" t="n">
        <v>850.99</v>
      </c>
      <c r="M158" s="15" t="n">
        <v>850.99</v>
      </c>
      <c r="N158" s="15" t="n">
        <v>850.99</v>
      </c>
      <c r="O158" s="15" t="n">
        <v>850.99</v>
      </c>
      <c r="P158" s="15" t="n">
        <v>850.99</v>
      </c>
      <c r="Q158" s="15" t="n">
        <v>850.99</v>
      </c>
      <c r="R158" s="15" t="n">
        <v>850.99</v>
      </c>
      <c r="S158" s="15" t="n">
        <v>850.99</v>
      </c>
      <c r="T158" s="15" t="n">
        <v>850.99</v>
      </c>
      <c r="U158" s="15" t="n">
        <v>350</v>
      </c>
      <c r="V158" s="15" t="n">
        <v>0</v>
      </c>
      <c r="W158" s="15" t="n">
        <f aca="false">U158+V158</f>
        <v>350</v>
      </c>
    </row>
    <row r="159" customFormat="false" ht="15" hidden="false" customHeight="false" outlineLevel="0" collapsed="false">
      <c r="A159" s="3" t="s">
        <v>2840</v>
      </c>
      <c r="B159" s="3" t="s">
        <v>2739</v>
      </c>
      <c r="C159" s="3" t="s">
        <v>1067</v>
      </c>
      <c r="D159" s="3" t="s">
        <v>153</v>
      </c>
      <c r="E159" s="13" t="n">
        <v>310000</v>
      </c>
      <c r="F159" s="13" t="n">
        <v>5284.59</v>
      </c>
      <c r="G159" s="13" t="n">
        <v>660.57</v>
      </c>
      <c r="H159" s="13" t="n">
        <v>660.57</v>
      </c>
      <c r="I159" s="13" t="n">
        <f aca="false">SUM(K159:T159)</f>
        <v>3963.4</v>
      </c>
      <c r="J159" s="13" t="n">
        <f aca="false">F159-(G159+H159+I159)</f>
        <v>0.0500000000001819</v>
      </c>
      <c r="K159" s="13" t="n">
        <v>396.34</v>
      </c>
      <c r="L159" s="13" t="n">
        <v>396.34</v>
      </c>
      <c r="M159" s="13" t="n">
        <v>396.34</v>
      </c>
      <c r="N159" s="13" t="n">
        <v>396.34</v>
      </c>
      <c r="O159" s="13" t="n">
        <v>396.34</v>
      </c>
      <c r="P159" s="13" t="n">
        <v>396.34</v>
      </c>
      <c r="Q159" s="13" t="n">
        <v>396.34</v>
      </c>
      <c r="R159" s="13" t="n">
        <v>396.34</v>
      </c>
      <c r="S159" s="13" t="n">
        <v>396.34</v>
      </c>
      <c r="T159" s="13" t="n">
        <v>396.34</v>
      </c>
      <c r="U159" s="13" t="n">
        <v>350</v>
      </c>
      <c r="V159" s="13" t="n">
        <v>0</v>
      </c>
      <c r="W159" s="13" t="n">
        <f aca="false">U159+V159</f>
        <v>350</v>
      </c>
    </row>
    <row r="160" customFormat="false" ht="15" hidden="false" customHeight="false" outlineLevel="0" collapsed="false">
      <c r="A160" s="14" t="s">
        <v>2841</v>
      </c>
      <c r="B160" s="14" t="s">
        <v>2779</v>
      </c>
      <c r="C160" s="14" t="s">
        <v>327</v>
      </c>
      <c r="D160" s="14" t="s">
        <v>312</v>
      </c>
      <c r="E160" s="15" t="n">
        <v>305000</v>
      </c>
      <c r="F160" s="15" t="n">
        <v>5709.23</v>
      </c>
      <c r="G160" s="15" t="n">
        <v>713.65</v>
      </c>
      <c r="H160" s="15" t="n">
        <v>713.65</v>
      </c>
      <c r="I160" s="15" t="n">
        <f aca="false">SUM(K160:T160)</f>
        <v>4281.9</v>
      </c>
      <c r="J160" s="15" t="n">
        <f aca="false">F160-(G160+H160+I160)</f>
        <v>0.0299999999997453</v>
      </c>
      <c r="K160" s="15" t="n">
        <v>428.19</v>
      </c>
      <c r="L160" s="15" t="n">
        <v>428.19</v>
      </c>
      <c r="M160" s="15" t="n">
        <v>428.19</v>
      </c>
      <c r="N160" s="15" t="n">
        <v>428.19</v>
      </c>
      <c r="O160" s="15" t="n">
        <v>428.19</v>
      </c>
      <c r="P160" s="15" t="n">
        <v>428.19</v>
      </c>
      <c r="Q160" s="15" t="n">
        <v>428.19</v>
      </c>
      <c r="R160" s="15" t="n">
        <v>428.19</v>
      </c>
      <c r="S160" s="15" t="n">
        <v>428.19</v>
      </c>
      <c r="T160" s="15" t="n">
        <v>428.19</v>
      </c>
      <c r="U160" s="15" t="n">
        <v>350</v>
      </c>
      <c r="V160" s="15" t="n">
        <v>0</v>
      </c>
      <c r="W160" s="15" t="n">
        <f aca="false">U160+V160</f>
        <v>350</v>
      </c>
    </row>
    <row r="161" customFormat="false" ht="15" hidden="false" customHeight="false" outlineLevel="0" collapsed="false">
      <c r="A161" s="3" t="s">
        <v>2842</v>
      </c>
      <c r="B161" s="3" t="s">
        <v>2739</v>
      </c>
      <c r="C161" s="3" t="s">
        <v>987</v>
      </c>
      <c r="D161" s="3" t="s">
        <v>81</v>
      </c>
      <c r="E161" s="13" t="n">
        <v>1135000</v>
      </c>
      <c r="F161" s="13" t="n">
        <v>8095.55</v>
      </c>
      <c r="G161" s="13" t="n">
        <v>1011.94</v>
      </c>
      <c r="H161" s="13" t="n">
        <v>1011.94</v>
      </c>
      <c r="I161" s="13" t="n">
        <f aca="false">SUM(K161:T161)</f>
        <v>6071.7</v>
      </c>
      <c r="J161" s="13" t="n">
        <f aca="false">F161-(G161+H161+I161)</f>
        <v>-0.0299999999997453</v>
      </c>
      <c r="K161" s="13" t="n">
        <v>607.17</v>
      </c>
      <c r="L161" s="13" t="n">
        <v>607.17</v>
      </c>
      <c r="M161" s="13" t="n">
        <v>607.17</v>
      </c>
      <c r="N161" s="13" t="n">
        <v>607.17</v>
      </c>
      <c r="O161" s="13" t="n">
        <v>607.17</v>
      </c>
      <c r="P161" s="13" t="n">
        <v>607.17</v>
      </c>
      <c r="Q161" s="13" t="n">
        <v>607.17</v>
      </c>
      <c r="R161" s="13" t="n">
        <v>607.17</v>
      </c>
      <c r="S161" s="13" t="n">
        <v>607.17</v>
      </c>
      <c r="T161" s="13" t="n">
        <v>607.17</v>
      </c>
      <c r="U161" s="13" t="n">
        <v>350</v>
      </c>
      <c r="V161" s="13" t="n">
        <v>250</v>
      </c>
      <c r="W161" s="13" t="n">
        <f aca="false">U161+V161</f>
        <v>600</v>
      </c>
    </row>
    <row r="162" customFormat="false" ht="15" hidden="false" customHeight="false" outlineLevel="0" collapsed="false">
      <c r="A162" s="14" t="s">
        <v>2843</v>
      </c>
      <c r="B162" s="14" t="s">
        <v>2655</v>
      </c>
      <c r="C162" s="14" t="s">
        <v>1468</v>
      </c>
      <c r="D162" s="14" t="s">
        <v>138</v>
      </c>
      <c r="E162" s="15" t="n">
        <v>625000</v>
      </c>
      <c r="F162" s="15" t="n">
        <v>6850.91</v>
      </c>
      <c r="G162" s="15" t="n">
        <v>856.36</v>
      </c>
      <c r="H162" s="15" t="n">
        <v>856.36</v>
      </c>
      <c r="I162" s="15" t="n">
        <f aca="false">SUM(K162:T162)</f>
        <v>5138.2</v>
      </c>
      <c r="J162" s="15" t="n">
        <f aca="false">F162-(G162+H162+I162)</f>
        <v>-0.0100000000002183</v>
      </c>
      <c r="K162" s="15" t="n">
        <v>513.82</v>
      </c>
      <c r="L162" s="15" t="n">
        <v>513.82</v>
      </c>
      <c r="M162" s="15" t="n">
        <v>513.82</v>
      </c>
      <c r="N162" s="15" t="n">
        <v>513.82</v>
      </c>
      <c r="O162" s="15" t="n">
        <v>513.82</v>
      </c>
      <c r="P162" s="15" t="n">
        <v>513.82</v>
      </c>
      <c r="Q162" s="15" t="n">
        <v>513.82</v>
      </c>
      <c r="R162" s="15" t="n">
        <v>513.82</v>
      </c>
      <c r="S162" s="15" t="n">
        <v>513.82</v>
      </c>
      <c r="T162" s="15" t="n">
        <v>513.82</v>
      </c>
      <c r="U162" s="15" t="n">
        <v>350</v>
      </c>
      <c r="V162" s="15" t="n">
        <v>0</v>
      </c>
      <c r="W162" s="15" t="n">
        <f aca="false">U162+V162</f>
        <v>350</v>
      </c>
    </row>
    <row r="163" customFormat="false" ht="15" hidden="false" customHeight="false" outlineLevel="0" collapsed="false">
      <c r="A163" s="3" t="s">
        <v>2844</v>
      </c>
      <c r="B163" s="3" t="s">
        <v>2662</v>
      </c>
      <c r="C163" s="3" t="s">
        <v>594</v>
      </c>
      <c r="D163" s="3" t="s">
        <v>153</v>
      </c>
      <c r="E163" s="13" t="n">
        <v>930000</v>
      </c>
      <c r="F163" s="13" t="n">
        <v>13739.94</v>
      </c>
      <c r="G163" s="13" t="n">
        <v>1717.49</v>
      </c>
      <c r="H163" s="13" t="n">
        <v>1717.49</v>
      </c>
      <c r="I163" s="13" t="n">
        <f aca="false">SUM(K163:T163)</f>
        <v>10305</v>
      </c>
      <c r="J163" s="13" t="n">
        <f aca="false">F163-(G163+H163+I163)</f>
        <v>-0.0399999999990541</v>
      </c>
      <c r="K163" s="13" t="n">
        <v>1030.5</v>
      </c>
      <c r="L163" s="13" t="n">
        <v>1030.5</v>
      </c>
      <c r="M163" s="13" t="n">
        <v>1030.5</v>
      </c>
      <c r="N163" s="13" t="n">
        <v>1030.5</v>
      </c>
      <c r="O163" s="13" t="n">
        <v>1030.5</v>
      </c>
      <c r="P163" s="13" t="n">
        <v>1030.5</v>
      </c>
      <c r="Q163" s="13" t="n">
        <v>1030.5</v>
      </c>
      <c r="R163" s="13" t="n">
        <v>1030.5</v>
      </c>
      <c r="S163" s="13" t="n">
        <v>1030.5</v>
      </c>
      <c r="T163" s="13" t="n">
        <v>1030.5</v>
      </c>
      <c r="U163" s="13" t="n">
        <v>350</v>
      </c>
      <c r="V163" s="13" t="n">
        <v>0</v>
      </c>
      <c r="W163" s="13" t="n">
        <f aca="false">U163+V163</f>
        <v>350</v>
      </c>
    </row>
    <row r="164" customFormat="false" ht="15" hidden="false" customHeight="false" outlineLevel="0" collapsed="false">
      <c r="A164" s="14" t="s">
        <v>2845</v>
      </c>
      <c r="B164" s="14" t="s">
        <v>2723</v>
      </c>
      <c r="C164" s="14" t="s">
        <v>913</v>
      </c>
      <c r="D164" s="14" t="s">
        <v>89</v>
      </c>
      <c r="E164" s="15" t="n">
        <v>985000</v>
      </c>
      <c r="F164" s="15" t="n">
        <v>12674.77</v>
      </c>
      <c r="G164" s="15" t="n">
        <v>1584.35</v>
      </c>
      <c r="H164" s="15" t="n">
        <v>1584.35</v>
      </c>
      <c r="I164" s="15" t="n">
        <f aca="false">SUM(K164:T164)</f>
        <v>9506.1</v>
      </c>
      <c r="J164" s="15" t="n">
        <f aca="false">F164-(G164+H164+I164)</f>
        <v>-0.0299999999988358</v>
      </c>
      <c r="K164" s="15" t="n">
        <v>950.61</v>
      </c>
      <c r="L164" s="15" t="n">
        <v>950.61</v>
      </c>
      <c r="M164" s="15" t="n">
        <v>950.61</v>
      </c>
      <c r="N164" s="15" t="n">
        <v>950.61</v>
      </c>
      <c r="O164" s="15" t="n">
        <v>950.61</v>
      </c>
      <c r="P164" s="15" t="n">
        <v>950.61</v>
      </c>
      <c r="Q164" s="15" t="n">
        <v>950.61</v>
      </c>
      <c r="R164" s="15" t="n">
        <v>950.61</v>
      </c>
      <c r="S164" s="15" t="n">
        <v>950.61</v>
      </c>
      <c r="T164" s="15" t="n">
        <v>950.61</v>
      </c>
      <c r="U164" s="15" t="n">
        <v>350</v>
      </c>
      <c r="V164" s="15" t="n">
        <v>0</v>
      </c>
      <c r="W164" s="15" t="n">
        <f aca="false">U164+V164</f>
        <v>350</v>
      </c>
    </row>
    <row r="165" customFormat="false" ht="15" hidden="false" customHeight="false" outlineLevel="0" collapsed="false">
      <c r="A165" s="3" t="s">
        <v>2846</v>
      </c>
      <c r="B165" s="3" t="s">
        <v>2657</v>
      </c>
      <c r="C165" s="3" t="s">
        <v>1170</v>
      </c>
      <c r="D165" s="3" t="s">
        <v>279</v>
      </c>
      <c r="E165" s="13" t="n">
        <v>190000</v>
      </c>
      <c r="F165" s="13" t="n">
        <v>1445.2</v>
      </c>
      <c r="G165" s="13" t="n">
        <v>180.65</v>
      </c>
      <c r="H165" s="13" t="n">
        <v>180.65</v>
      </c>
      <c r="I165" s="13" t="n">
        <f aca="false">SUM(K165:T165)</f>
        <v>1083.9</v>
      </c>
      <c r="J165" s="13" t="n">
        <f aca="false">F165-(G165+H165+I165)</f>
        <v>0</v>
      </c>
      <c r="K165" s="13" t="n">
        <v>108.39</v>
      </c>
      <c r="L165" s="13" t="n">
        <v>108.39</v>
      </c>
      <c r="M165" s="13" t="n">
        <v>108.39</v>
      </c>
      <c r="N165" s="13" t="n">
        <v>108.39</v>
      </c>
      <c r="O165" s="13" t="n">
        <v>108.39</v>
      </c>
      <c r="P165" s="13" t="n">
        <v>108.39</v>
      </c>
      <c r="Q165" s="13" t="n">
        <v>108.39</v>
      </c>
      <c r="R165" s="13" t="n">
        <v>108.39</v>
      </c>
      <c r="S165" s="13" t="n">
        <v>108.39</v>
      </c>
      <c r="T165" s="13" t="n">
        <v>108.39</v>
      </c>
      <c r="U165" s="13" t="n">
        <v>350</v>
      </c>
      <c r="V165" s="13" t="n">
        <v>0</v>
      </c>
      <c r="W165" s="13" t="n">
        <f aca="false">U165+V165</f>
        <v>350</v>
      </c>
    </row>
    <row r="166" customFormat="false" ht="15" hidden="false" customHeight="false" outlineLevel="0" collapsed="false">
      <c r="A166" s="14" t="s">
        <v>2847</v>
      </c>
      <c r="B166" s="14" t="s">
        <v>2662</v>
      </c>
      <c r="C166" s="14" t="s">
        <v>1719</v>
      </c>
      <c r="D166" s="14" t="s">
        <v>208</v>
      </c>
      <c r="E166" s="15" t="n">
        <v>485000</v>
      </c>
      <c r="F166" s="15" t="n">
        <v>6934.31</v>
      </c>
      <c r="G166" s="15" t="n">
        <v>866.79</v>
      </c>
      <c r="H166" s="15" t="n">
        <v>866.79</v>
      </c>
      <c r="I166" s="15" t="n">
        <f aca="false">SUM(K166:T166)</f>
        <v>5200.7</v>
      </c>
      <c r="J166" s="15" t="n">
        <f aca="false">F166-(G166+H166+I166)</f>
        <v>0.0300000000006548</v>
      </c>
      <c r="K166" s="15" t="n">
        <v>520.07</v>
      </c>
      <c r="L166" s="15" t="n">
        <v>520.07</v>
      </c>
      <c r="M166" s="15" t="n">
        <v>520.07</v>
      </c>
      <c r="N166" s="15" t="n">
        <v>520.07</v>
      </c>
      <c r="O166" s="15" t="n">
        <v>520.07</v>
      </c>
      <c r="P166" s="15" t="n">
        <v>520.07</v>
      </c>
      <c r="Q166" s="15" t="n">
        <v>520.07</v>
      </c>
      <c r="R166" s="15" t="n">
        <v>520.07</v>
      </c>
      <c r="S166" s="15" t="n">
        <v>520.07</v>
      </c>
      <c r="T166" s="15" t="n">
        <v>520.07</v>
      </c>
      <c r="U166" s="15" t="n">
        <v>350</v>
      </c>
      <c r="V166" s="15" t="n">
        <v>0</v>
      </c>
      <c r="W166" s="15" t="n">
        <f aca="false">U166+V166</f>
        <v>350</v>
      </c>
    </row>
    <row r="167" customFormat="false" ht="15" hidden="false" customHeight="false" outlineLevel="0" collapsed="false">
      <c r="A167" s="3" t="s">
        <v>2848</v>
      </c>
      <c r="B167" s="3" t="s">
        <v>2668</v>
      </c>
      <c r="C167" s="3" t="s">
        <v>1666</v>
      </c>
      <c r="D167" s="3" t="s">
        <v>208</v>
      </c>
      <c r="E167" s="13" t="n">
        <v>575000</v>
      </c>
      <c r="F167" s="13" t="n">
        <v>10413.38</v>
      </c>
      <c r="G167" s="13" t="n">
        <v>1301.67</v>
      </c>
      <c r="H167" s="13" t="n">
        <v>1301.67</v>
      </c>
      <c r="I167" s="13" t="n">
        <f aca="false">SUM(K167:T167)</f>
        <v>7810</v>
      </c>
      <c r="J167" s="13" t="n">
        <f aca="false">F167-(G167+H167+I167)</f>
        <v>0.0399999999990541</v>
      </c>
      <c r="K167" s="13" t="n">
        <v>781</v>
      </c>
      <c r="L167" s="13" t="n">
        <v>781</v>
      </c>
      <c r="M167" s="13" t="n">
        <v>781</v>
      </c>
      <c r="N167" s="13" t="n">
        <v>781</v>
      </c>
      <c r="O167" s="13" t="n">
        <v>781</v>
      </c>
      <c r="P167" s="13" t="n">
        <v>781</v>
      </c>
      <c r="Q167" s="13" t="n">
        <v>781</v>
      </c>
      <c r="R167" s="13" t="n">
        <v>781</v>
      </c>
      <c r="S167" s="13" t="n">
        <v>781</v>
      </c>
      <c r="T167" s="13" t="n">
        <v>781</v>
      </c>
      <c r="U167" s="13" t="n">
        <v>350</v>
      </c>
      <c r="V167" s="13" t="n">
        <v>0</v>
      </c>
      <c r="W167" s="13" t="n">
        <f aca="false">U167+V167</f>
        <v>350</v>
      </c>
    </row>
    <row r="168" customFormat="false" ht="15" hidden="false" customHeight="false" outlineLevel="0" collapsed="false">
      <c r="A168" s="14" t="s">
        <v>2849</v>
      </c>
      <c r="B168" s="14" t="s">
        <v>2749</v>
      </c>
      <c r="C168" s="14" t="s">
        <v>1081</v>
      </c>
      <c r="D168" s="14" t="s">
        <v>193</v>
      </c>
      <c r="E168" s="15" t="n">
        <v>665000</v>
      </c>
      <c r="F168" s="15" t="n">
        <v>7923.23</v>
      </c>
      <c r="G168" s="15" t="n">
        <v>990.4</v>
      </c>
      <c r="H168" s="15" t="n">
        <v>990.4</v>
      </c>
      <c r="I168" s="15" t="n">
        <f aca="false">SUM(K168:T168)</f>
        <v>5942.4</v>
      </c>
      <c r="J168" s="15" t="n">
        <f aca="false">F168-(G168+H168+I168)</f>
        <v>0.0299999999997453</v>
      </c>
      <c r="K168" s="15" t="n">
        <v>594.24</v>
      </c>
      <c r="L168" s="15" t="n">
        <v>594.24</v>
      </c>
      <c r="M168" s="15" t="n">
        <v>594.24</v>
      </c>
      <c r="N168" s="15" t="n">
        <v>594.24</v>
      </c>
      <c r="O168" s="15" t="n">
        <v>594.24</v>
      </c>
      <c r="P168" s="15" t="n">
        <v>594.24</v>
      </c>
      <c r="Q168" s="15" t="n">
        <v>594.24</v>
      </c>
      <c r="R168" s="15" t="n">
        <v>594.24</v>
      </c>
      <c r="S168" s="15" t="n">
        <v>594.24</v>
      </c>
      <c r="T168" s="15" t="n">
        <v>594.24</v>
      </c>
      <c r="U168" s="15" t="n">
        <v>350</v>
      </c>
      <c r="V168" s="15" t="n">
        <v>0</v>
      </c>
      <c r="W168" s="15" t="n">
        <f aca="false">U168+V168</f>
        <v>350</v>
      </c>
    </row>
    <row r="169" customFormat="false" ht="15" hidden="false" customHeight="false" outlineLevel="0" collapsed="false">
      <c r="A169" s="3" t="s">
        <v>2850</v>
      </c>
      <c r="B169" s="3" t="s">
        <v>2715</v>
      </c>
      <c r="C169" s="3" t="s">
        <v>2429</v>
      </c>
      <c r="D169" s="3" t="s">
        <v>230</v>
      </c>
      <c r="E169" s="13" t="n">
        <v>695000</v>
      </c>
      <c r="F169" s="13" t="n">
        <v>11521.59</v>
      </c>
      <c r="G169" s="13" t="n">
        <v>1440.2</v>
      </c>
      <c r="H169" s="13" t="n">
        <v>1440.2</v>
      </c>
      <c r="I169" s="13" t="n">
        <f aca="false">SUM(K169:T169)</f>
        <v>8641.2</v>
      </c>
      <c r="J169" s="13" t="n">
        <f aca="false">F169-(G169+H169+I169)</f>
        <v>-0.0100000000002183</v>
      </c>
      <c r="K169" s="13" t="n">
        <v>864.12</v>
      </c>
      <c r="L169" s="13" t="n">
        <v>864.12</v>
      </c>
      <c r="M169" s="13" t="n">
        <v>864.12</v>
      </c>
      <c r="N169" s="13" t="n">
        <v>864.12</v>
      </c>
      <c r="O169" s="13" t="n">
        <v>864.12</v>
      </c>
      <c r="P169" s="13" t="n">
        <v>864.12</v>
      </c>
      <c r="Q169" s="13" t="n">
        <v>864.12</v>
      </c>
      <c r="R169" s="13" t="n">
        <v>864.12</v>
      </c>
      <c r="S169" s="13" t="n">
        <v>864.12</v>
      </c>
      <c r="T169" s="13" t="n">
        <v>864.12</v>
      </c>
      <c r="U169" s="13" t="n">
        <v>350</v>
      </c>
      <c r="V169" s="13" t="n">
        <v>0</v>
      </c>
      <c r="W169" s="13" t="n">
        <f aca="false">U169+V169</f>
        <v>350</v>
      </c>
    </row>
    <row r="170" customFormat="false" ht="15" hidden="false" customHeight="false" outlineLevel="0" collapsed="false">
      <c r="A170" s="14" t="s">
        <v>2851</v>
      </c>
      <c r="B170" s="14" t="s">
        <v>2749</v>
      </c>
      <c r="C170" s="14" t="s">
        <v>1408</v>
      </c>
      <c r="D170" s="14" t="s">
        <v>85</v>
      </c>
      <c r="E170" s="15" t="n">
        <v>495000</v>
      </c>
      <c r="F170" s="15" t="n">
        <v>11603.12</v>
      </c>
      <c r="G170" s="15" t="n">
        <v>1450.39</v>
      </c>
      <c r="H170" s="15" t="n">
        <v>1450.39</v>
      </c>
      <c r="I170" s="15" t="n">
        <f aca="false">SUM(K170:T170)</f>
        <v>8702.3</v>
      </c>
      <c r="J170" s="15" t="n">
        <f aca="false">F170-(G170+H170+I170)</f>
        <v>0.0400000000008731</v>
      </c>
      <c r="K170" s="15" t="n">
        <v>870.23</v>
      </c>
      <c r="L170" s="15" t="n">
        <v>870.23</v>
      </c>
      <c r="M170" s="15" t="n">
        <v>870.23</v>
      </c>
      <c r="N170" s="15" t="n">
        <v>870.23</v>
      </c>
      <c r="O170" s="15" t="n">
        <v>870.23</v>
      </c>
      <c r="P170" s="15" t="n">
        <v>870.23</v>
      </c>
      <c r="Q170" s="15" t="n">
        <v>870.23</v>
      </c>
      <c r="R170" s="15" t="n">
        <v>870.23</v>
      </c>
      <c r="S170" s="15" t="n">
        <v>870.23</v>
      </c>
      <c r="T170" s="15" t="n">
        <v>870.23</v>
      </c>
      <c r="U170" s="15" t="n">
        <v>350</v>
      </c>
      <c r="V170" s="15" t="n">
        <v>0</v>
      </c>
      <c r="W170" s="15" t="n">
        <f aca="false">U170+V170</f>
        <v>350</v>
      </c>
    </row>
    <row r="171" customFormat="false" ht="15" hidden="false" customHeight="false" outlineLevel="0" collapsed="false">
      <c r="A171" s="3" t="s">
        <v>2852</v>
      </c>
      <c r="B171" s="3" t="s">
        <v>2704</v>
      </c>
      <c r="C171" s="3" t="s">
        <v>835</v>
      </c>
      <c r="D171" s="3" t="s">
        <v>125</v>
      </c>
      <c r="E171" s="13" t="n">
        <v>310000</v>
      </c>
      <c r="F171" s="13" t="n">
        <v>3273.04</v>
      </c>
      <c r="G171" s="13" t="n">
        <v>409.13</v>
      </c>
      <c r="H171" s="13" t="n">
        <v>409.13</v>
      </c>
      <c r="I171" s="13" t="n">
        <f aca="false">SUM(K171:T171)</f>
        <v>2454.8</v>
      </c>
      <c r="J171" s="13" t="n">
        <f aca="false">F171-(G171+H171+I171)</f>
        <v>-0.0199999999995271</v>
      </c>
      <c r="K171" s="13" t="n">
        <v>245.48</v>
      </c>
      <c r="L171" s="13" t="n">
        <v>245.48</v>
      </c>
      <c r="M171" s="13" t="n">
        <v>245.48</v>
      </c>
      <c r="N171" s="13" t="n">
        <v>245.48</v>
      </c>
      <c r="O171" s="13" t="n">
        <v>245.48</v>
      </c>
      <c r="P171" s="13" t="n">
        <v>245.48</v>
      </c>
      <c r="Q171" s="13" t="n">
        <v>245.48</v>
      </c>
      <c r="R171" s="13" t="n">
        <v>245.48</v>
      </c>
      <c r="S171" s="13" t="n">
        <v>245.48</v>
      </c>
      <c r="T171" s="13" t="n">
        <v>245.48</v>
      </c>
      <c r="U171" s="13" t="n">
        <v>350</v>
      </c>
      <c r="V171" s="13" t="n">
        <v>0</v>
      </c>
      <c r="W171" s="13" t="n">
        <f aca="false">U171+V171</f>
        <v>350</v>
      </c>
    </row>
    <row r="172" customFormat="false" ht="15" hidden="false" customHeight="false" outlineLevel="0" collapsed="false">
      <c r="A172" s="14" t="s">
        <v>2853</v>
      </c>
      <c r="B172" s="14" t="s">
        <v>2779</v>
      </c>
      <c r="C172" s="14" t="s">
        <v>1108</v>
      </c>
      <c r="D172" s="14" t="s">
        <v>153</v>
      </c>
      <c r="E172" s="15" t="n">
        <v>1925000</v>
      </c>
      <c r="F172" s="15" t="n">
        <v>35003.33</v>
      </c>
      <c r="G172" s="15" t="n">
        <v>4375.42</v>
      </c>
      <c r="H172" s="15" t="n">
        <v>4375.42</v>
      </c>
      <c r="I172" s="15" t="n">
        <f aca="false">SUM(K172:T172)</f>
        <v>26252.5</v>
      </c>
      <c r="J172" s="15" t="n">
        <f aca="false">F172-(G172+H172+I172)</f>
        <v>-0.00999999999476131</v>
      </c>
      <c r="K172" s="15" t="n">
        <v>2625.25</v>
      </c>
      <c r="L172" s="15" t="n">
        <v>2625.25</v>
      </c>
      <c r="M172" s="15" t="n">
        <v>2625.25</v>
      </c>
      <c r="N172" s="15" t="n">
        <v>2625.25</v>
      </c>
      <c r="O172" s="15" t="n">
        <v>2625.25</v>
      </c>
      <c r="P172" s="15" t="n">
        <v>2625.25</v>
      </c>
      <c r="Q172" s="15" t="n">
        <v>2625.25</v>
      </c>
      <c r="R172" s="15" t="n">
        <v>2625.25</v>
      </c>
      <c r="S172" s="15" t="n">
        <v>2625.25</v>
      </c>
      <c r="T172" s="15" t="n">
        <v>2625.25</v>
      </c>
      <c r="U172" s="15" t="n">
        <v>350</v>
      </c>
      <c r="V172" s="15" t="n">
        <v>250</v>
      </c>
      <c r="W172" s="15" t="n">
        <f aca="false">U172+V172</f>
        <v>600</v>
      </c>
    </row>
    <row r="173" customFormat="false" ht="15" hidden="false" customHeight="false" outlineLevel="0" collapsed="false">
      <c r="A173" s="3" t="s">
        <v>2854</v>
      </c>
      <c r="B173" s="3" t="s">
        <v>2674</v>
      </c>
      <c r="C173" s="3" t="s">
        <v>84</v>
      </c>
      <c r="D173" s="3" t="s">
        <v>298</v>
      </c>
      <c r="E173" s="13" t="n">
        <v>840000</v>
      </c>
      <c r="F173" s="13" t="n">
        <v>10088.35</v>
      </c>
      <c r="G173" s="13" t="n">
        <v>1261.04</v>
      </c>
      <c r="H173" s="13" t="n">
        <v>1261.04</v>
      </c>
      <c r="I173" s="13" t="n">
        <f aca="false">SUM(K173:T173)</f>
        <v>7566.3</v>
      </c>
      <c r="J173" s="13" t="n">
        <f aca="false">F173-(G173+H173+I173)</f>
        <v>-0.0300000000006548</v>
      </c>
      <c r="K173" s="13" t="n">
        <v>756.63</v>
      </c>
      <c r="L173" s="13" t="n">
        <v>756.63</v>
      </c>
      <c r="M173" s="13" t="n">
        <v>756.63</v>
      </c>
      <c r="N173" s="13" t="n">
        <v>756.63</v>
      </c>
      <c r="O173" s="13" t="n">
        <v>756.63</v>
      </c>
      <c r="P173" s="13" t="n">
        <v>756.63</v>
      </c>
      <c r="Q173" s="13" t="n">
        <v>756.63</v>
      </c>
      <c r="R173" s="13" t="n">
        <v>756.63</v>
      </c>
      <c r="S173" s="13" t="n">
        <v>756.63</v>
      </c>
      <c r="T173" s="13" t="n">
        <v>756.63</v>
      </c>
      <c r="U173" s="13" t="n">
        <v>350</v>
      </c>
      <c r="V173" s="13" t="n">
        <v>0</v>
      </c>
      <c r="W173" s="13" t="n">
        <f aca="false">U173+V173</f>
        <v>350</v>
      </c>
    </row>
    <row r="174" customFormat="false" ht="15" hidden="false" customHeight="false" outlineLevel="0" collapsed="false">
      <c r="A174" s="14" t="s">
        <v>2855</v>
      </c>
      <c r="B174" s="14" t="s">
        <v>2690</v>
      </c>
      <c r="C174" s="14" t="s">
        <v>1234</v>
      </c>
      <c r="D174" s="14" t="s">
        <v>298</v>
      </c>
      <c r="E174" s="15" t="n">
        <v>1640000</v>
      </c>
      <c r="F174" s="15" t="n">
        <v>10302.68</v>
      </c>
      <c r="G174" s="15" t="n">
        <v>1287.84</v>
      </c>
      <c r="H174" s="15" t="n">
        <v>1287.84</v>
      </c>
      <c r="I174" s="15" t="n">
        <f aca="false">SUM(K174:T174)</f>
        <v>7727</v>
      </c>
      <c r="J174" s="15" t="n">
        <f aca="false">F174-(G174+H174+I174)</f>
        <v>0</v>
      </c>
      <c r="K174" s="15" t="n">
        <v>772.7</v>
      </c>
      <c r="L174" s="15" t="n">
        <v>772.7</v>
      </c>
      <c r="M174" s="15" t="n">
        <v>772.7</v>
      </c>
      <c r="N174" s="15" t="n">
        <v>772.7</v>
      </c>
      <c r="O174" s="15" t="n">
        <v>772.7</v>
      </c>
      <c r="P174" s="15" t="n">
        <v>772.7</v>
      </c>
      <c r="Q174" s="15" t="n">
        <v>772.7</v>
      </c>
      <c r="R174" s="15" t="n">
        <v>772.7</v>
      </c>
      <c r="S174" s="15" t="n">
        <v>772.7</v>
      </c>
      <c r="T174" s="15" t="n">
        <v>772.7</v>
      </c>
      <c r="U174" s="15" t="n">
        <v>350</v>
      </c>
      <c r="V174" s="15" t="n">
        <v>250</v>
      </c>
      <c r="W174" s="15" t="n">
        <f aca="false">U174+V174</f>
        <v>600</v>
      </c>
    </row>
    <row r="175" customFormat="false" ht="15" hidden="false" customHeight="false" outlineLevel="0" collapsed="false">
      <c r="A175" s="3" t="s">
        <v>2856</v>
      </c>
      <c r="B175" s="3" t="s">
        <v>2664</v>
      </c>
      <c r="C175" s="3" t="s">
        <v>376</v>
      </c>
      <c r="D175" s="3" t="s">
        <v>377</v>
      </c>
      <c r="E175" s="13" t="n">
        <v>870000</v>
      </c>
      <c r="F175" s="13" t="n">
        <v>16240.7</v>
      </c>
      <c r="G175" s="13" t="n">
        <v>2030.09</v>
      </c>
      <c r="H175" s="13" t="n">
        <v>2030.09</v>
      </c>
      <c r="I175" s="13" t="n">
        <f aca="false">SUM(K175:T175)</f>
        <v>12180.5</v>
      </c>
      <c r="J175" s="13" t="n">
        <f aca="false">F175-(G175+H175+I175)</f>
        <v>0.0200000000022555</v>
      </c>
      <c r="K175" s="13" t="n">
        <v>1218.05</v>
      </c>
      <c r="L175" s="13" t="n">
        <v>1218.05</v>
      </c>
      <c r="M175" s="13" t="n">
        <v>1218.05</v>
      </c>
      <c r="N175" s="13" t="n">
        <v>1218.05</v>
      </c>
      <c r="O175" s="13" t="n">
        <v>1218.05</v>
      </c>
      <c r="P175" s="13" t="n">
        <v>1218.05</v>
      </c>
      <c r="Q175" s="13" t="n">
        <v>1218.05</v>
      </c>
      <c r="R175" s="13" t="n">
        <v>1218.05</v>
      </c>
      <c r="S175" s="13" t="n">
        <v>1218.05</v>
      </c>
      <c r="T175" s="13" t="n">
        <v>1218.05</v>
      </c>
      <c r="U175" s="13" t="n">
        <v>350</v>
      </c>
      <c r="V175" s="13" t="n">
        <v>0</v>
      </c>
      <c r="W175" s="13" t="n">
        <f aca="false">U175+V175</f>
        <v>350</v>
      </c>
    </row>
    <row r="176" customFormat="false" ht="15" hidden="false" customHeight="false" outlineLevel="0" collapsed="false">
      <c r="A176" s="14" t="s">
        <v>2857</v>
      </c>
      <c r="B176" s="14" t="s">
        <v>2718</v>
      </c>
      <c r="C176" s="14" t="s">
        <v>1561</v>
      </c>
      <c r="D176" s="14" t="s">
        <v>382</v>
      </c>
      <c r="E176" s="15" t="n">
        <v>810000</v>
      </c>
      <c r="F176" s="15" t="n">
        <v>8647.16</v>
      </c>
      <c r="G176" s="15" t="n">
        <v>1080.89</v>
      </c>
      <c r="H176" s="15" t="n">
        <v>1080.89</v>
      </c>
      <c r="I176" s="15" t="n">
        <f aca="false">SUM(K176:T176)</f>
        <v>6485.4</v>
      </c>
      <c r="J176" s="15" t="n">
        <f aca="false">F176-(G176+H176+I176)</f>
        <v>-0.0200000000004366</v>
      </c>
      <c r="K176" s="15" t="n">
        <v>648.54</v>
      </c>
      <c r="L176" s="15" t="n">
        <v>648.54</v>
      </c>
      <c r="M176" s="15" t="n">
        <v>648.54</v>
      </c>
      <c r="N176" s="15" t="n">
        <v>648.54</v>
      </c>
      <c r="O176" s="15" t="n">
        <v>648.54</v>
      </c>
      <c r="P176" s="15" t="n">
        <v>648.54</v>
      </c>
      <c r="Q176" s="15" t="n">
        <v>648.54</v>
      </c>
      <c r="R176" s="15" t="n">
        <v>648.54</v>
      </c>
      <c r="S176" s="15" t="n">
        <v>648.54</v>
      </c>
      <c r="T176" s="15" t="n">
        <v>648.54</v>
      </c>
      <c r="U176" s="15" t="n">
        <v>350</v>
      </c>
      <c r="V176" s="15" t="n">
        <v>0</v>
      </c>
      <c r="W176" s="15" t="n">
        <f aca="false">U176+V176</f>
        <v>350</v>
      </c>
    </row>
    <row r="177" customFormat="false" ht="15" hidden="false" customHeight="false" outlineLevel="0" collapsed="false">
      <c r="A177" s="3" t="s">
        <v>2858</v>
      </c>
      <c r="B177" s="3" t="s">
        <v>2759</v>
      </c>
      <c r="C177" s="3" t="s">
        <v>128</v>
      </c>
      <c r="D177" s="3" t="s">
        <v>121</v>
      </c>
      <c r="E177" s="13" t="n">
        <v>1095000</v>
      </c>
      <c r="F177" s="13" t="n">
        <v>10774.41</v>
      </c>
      <c r="G177" s="13" t="n">
        <v>1346.8</v>
      </c>
      <c r="H177" s="13" t="n">
        <v>1346.8</v>
      </c>
      <c r="I177" s="13" t="n">
        <f aca="false">SUM(K177:T177)</f>
        <v>8080.8</v>
      </c>
      <c r="J177" s="13" t="n">
        <f aca="false">F177-(G177+H177+I177)</f>
        <v>0.0100000000002183</v>
      </c>
      <c r="K177" s="13" t="n">
        <v>808.08</v>
      </c>
      <c r="L177" s="13" t="n">
        <v>808.08</v>
      </c>
      <c r="M177" s="13" t="n">
        <v>808.08</v>
      </c>
      <c r="N177" s="13" t="n">
        <v>808.08</v>
      </c>
      <c r="O177" s="13" t="n">
        <v>808.08</v>
      </c>
      <c r="P177" s="13" t="n">
        <v>808.08</v>
      </c>
      <c r="Q177" s="13" t="n">
        <v>808.08</v>
      </c>
      <c r="R177" s="13" t="n">
        <v>808.08</v>
      </c>
      <c r="S177" s="13" t="n">
        <v>808.08</v>
      </c>
      <c r="T177" s="13" t="n">
        <v>808.08</v>
      </c>
      <c r="U177" s="13" t="n">
        <v>350</v>
      </c>
      <c r="V177" s="13" t="n">
        <v>250</v>
      </c>
      <c r="W177" s="13" t="n">
        <f aca="false">U177+V177</f>
        <v>600</v>
      </c>
    </row>
    <row r="178" customFormat="false" ht="15" hidden="false" customHeight="false" outlineLevel="0" collapsed="false">
      <c r="A178" s="14" t="s">
        <v>2859</v>
      </c>
      <c r="B178" s="14" t="s">
        <v>2668</v>
      </c>
      <c r="C178" s="14" t="s">
        <v>1139</v>
      </c>
      <c r="D178" s="14" t="s">
        <v>698</v>
      </c>
      <c r="E178" s="15" t="n">
        <v>360000</v>
      </c>
      <c r="F178" s="15" t="n">
        <v>5424.27</v>
      </c>
      <c r="G178" s="15" t="n">
        <v>678.03</v>
      </c>
      <c r="H178" s="15" t="n">
        <v>678.03</v>
      </c>
      <c r="I178" s="15" t="n">
        <f aca="false">SUM(K178:T178)</f>
        <v>4068.2</v>
      </c>
      <c r="J178" s="15" t="n">
        <f aca="false">F178-(G178+H178+I178)</f>
        <v>0.0100000000002183</v>
      </c>
      <c r="K178" s="15" t="n">
        <v>406.82</v>
      </c>
      <c r="L178" s="15" t="n">
        <v>406.82</v>
      </c>
      <c r="M178" s="15" t="n">
        <v>406.82</v>
      </c>
      <c r="N178" s="15" t="n">
        <v>406.82</v>
      </c>
      <c r="O178" s="15" t="n">
        <v>406.82</v>
      </c>
      <c r="P178" s="15" t="n">
        <v>406.82</v>
      </c>
      <c r="Q178" s="15" t="n">
        <v>406.82</v>
      </c>
      <c r="R178" s="15" t="n">
        <v>406.82</v>
      </c>
      <c r="S178" s="15" t="n">
        <v>406.82</v>
      </c>
      <c r="T178" s="15" t="n">
        <v>406.82</v>
      </c>
      <c r="U178" s="15" t="n">
        <v>350</v>
      </c>
      <c r="V178" s="15" t="n">
        <v>0</v>
      </c>
      <c r="W178" s="15" t="n">
        <f aca="false">U178+V178</f>
        <v>350</v>
      </c>
    </row>
    <row r="179" customFormat="false" ht="15" hidden="false" customHeight="false" outlineLevel="0" collapsed="false">
      <c r="A179" s="3" t="s">
        <v>2860</v>
      </c>
      <c r="B179" s="3" t="s">
        <v>2779</v>
      </c>
      <c r="C179" s="3" t="s">
        <v>1408</v>
      </c>
      <c r="D179" s="3" t="s">
        <v>406</v>
      </c>
      <c r="E179" s="13" t="n">
        <v>795000</v>
      </c>
      <c r="F179" s="13" t="n">
        <v>8456.71</v>
      </c>
      <c r="G179" s="13" t="n">
        <v>1057.09</v>
      </c>
      <c r="H179" s="13" t="n">
        <v>1057.09</v>
      </c>
      <c r="I179" s="13" t="n">
        <f aca="false">SUM(K179:T179)</f>
        <v>6342.5</v>
      </c>
      <c r="J179" s="13" t="n">
        <f aca="false">F179-(G179+H179+I179)</f>
        <v>0.0299999999988358</v>
      </c>
      <c r="K179" s="13" t="n">
        <v>634.25</v>
      </c>
      <c r="L179" s="13" t="n">
        <v>634.25</v>
      </c>
      <c r="M179" s="13" t="n">
        <v>634.25</v>
      </c>
      <c r="N179" s="13" t="n">
        <v>634.25</v>
      </c>
      <c r="O179" s="13" t="n">
        <v>634.25</v>
      </c>
      <c r="P179" s="13" t="n">
        <v>634.25</v>
      </c>
      <c r="Q179" s="13" t="n">
        <v>634.25</v>
      </c>
      <c r="R179" s="13" t="n">
        <v>634.25</v>
      </c>
      <c r="S179" s="13" t="n">
        <v>634.25</v>
      </c>
      <c r="T179" s="13" t="n">
        <v>634.25</v>
      </c>
      <c r="U179" s="13" t="n">
        <v>350</v>
      </c>
      <c r="V179" s="13" t="n">
        <v>0</v>
      </c>
      <c r="W179" s="13" t="n">
        <f aca="false">U179+V179</f>
        <v>350</v>
      </c>
    </row>
    <row r="180" customFormat="false" ht="15" hidden="false" customHeight="false" outlineLevel="0" collapsed="false">
      <c r="A180" s="14" t="s">
        <v>2861</v>
      </c>
      <c r="B180" s="14" t="s">
        <v>2702</v>
      </c>
      <c r="C180" s="14" t="s">
        <v>1748</v>
      </c>
      <c r="D180" s="14" t="s">
        <v>138</v>
      </c>
      <c r="E180" s="15" t="n">
        <v>365000</v>
      </c>
      <c r="F180" s="15" t="n">
        <v>4616.46</v>
      </c>
      <c r="G180" s="15" t="n">
        <v>577.06</v>
      </c>
      <c r="H180" s="15" t="n">
        <v>577.06</v>
      </c>
      <c r="I180" s="15" t="n">
        <f aca="false">SUM(K180:T180)</f>
        <v>3462.3</v>
      </c>
      <c r="J180" s="15" t="n">
        <f aca="false">F180-(G180+H180+I180)</f>
        <v>0.0399999999999636</v>
      </c>
      <c r="K180" s="15" t="n">
        <v>346.23</v>
      </c>
      <c r="L180" s="15" t="n">
        <v>346.23</v>
      </c>
      <c r="M180" s="15" t="n">
        <v>346.23</v>
      </c>
      <c r="N180" s="15" t="n">
        <v>346.23</v>
      </c>
      <c r="O180" s="15" t="n">
        <v>346.23</v>
      </c>
      <c r="P180" s="15" t="n">
        <v>346.23</v>
      </c>
      <c r="Q180" s="15" t="n">
        <v>346.23</v>
      </c>
      <c r="R180" s="15" t="n">
        <v>346.23</v>
      </c>
      <c r="S180" s="15" t="n">
        <v>346.23</v>
      </c>
      <c r="T180" s="15" t="n">
        <v>346.23</v>
      </c>
      <c r="U180" s="15" t="n">
        <v>350</v>
      </c>
      <c r="V180" s="15" t="n">
        <v>0</v>
      </c>
      <c r="W180" s="15" t="n">
        <f aca="false">U180+V180</f>
        <v>350</v>
      </c>
    </row>
    <row r="181" customFormat="false" ht="15" hidden="false" customHeight="false" outlineLevel="0" collapsed="false">
      <c r="A181" s="3" t="s">
        <v>2862</v>
      </c>
      <c r="B181" s="3" t="s">
        <v>2670</v>
      </c>
      <c r="C181" s="3" t="s">
        <v>2750</v>
      </c>
      <c r="D181" s="3" t="s">
        <v>153</v>
      </c>
      <c r="E181" s="13" t="n">
        <v>365000</v>
      </c>
      <c r="F181" s="13" t="n">
        <v>6222.19</v>
      </c>
      <c r="G181" s="13" t="n">
        <v>777.77</v>
      </c>
      <c r="H181" s="13" t="n">
        <v>777.77</v>
      </c>
      <c r="I181" s="13" t="n">
        <f aca="false">SUM(K181:T181)</f>
        <v>4666.6</v>
      </c>
      <c r="J181" s="13" t="n">
        <f aca="false">F181-(G181+H181+I181)</f>
        <v>0.0499999999992724</v>
      </c>
      <c r="K181" s="13" t="n">
        <v>466.66</v>
      </c>
      <c r="L181" s="13" t="n">
        <v>466.66</v>
      </c>
      <c r="M181" s="13" t="n">
        <v>466.66</v>
      </c>
      <c r="N181" s="13" t="n">
        <v>466.66</v>
      </c>
      <c r="O181" s="13" t="n">
        <v>466.66</v>
      </c>
      <c r="P181" s="13" t="n">
        <v>466.66</v>
      </c>
      <c r="Q181" s="13" t="n">
        <v>466.66</v>
      </c>
      <c r="R181" s="13" t="n">
        <v>466.66</v>
      </c>
      <c r="S181" s="13" t="n">
        <v>466.66</v>
      </c>
      <c r="T181" s="13" t="n">
        <v>466.66</v>
      </c>
      <c r="U181" s="13" t="n">
        <v>350</v>
      </c>
      <c r="V181" s="13" t="n">
        <v>0</v>
      </c>
      <c r="W181" s="13" t="n">
        <f aca="false">U181+V181</f>
        <v>350</v>
      </c>
    </row>
    <row r="182" customFormat="false" ht="15" hidden="false" customHeight="false" outlineLevel="0" collapsed="false">
      <c r="A182" s="14" t="s">
        <v>2863</v>
      </c>
      <c r="B182" s="14" t="s">
        <v>2864</v>
      </c>
      <c r="C182" s="14" t="s">
        <v>538</v>
      </c>
      <c r="D182" s="14" t="s">
        <v>153</v>
      </c>
      <c r="E182" s="15" t="n">
        <v>610000</v>
      </c>
      <c r="F182" s="15" t="n">
        <v>9012.22</v>
      </c>
      <c r="G182" s="15" t="n">
        <v>1126.53</v>
      </c>
      <c r="H182" s="15" t="n">
        <v>1126.53</v>
      </c>
      <c r="I182" s="15" t="n">
        <f aca="false">SUM(K182:T182)</f>
        <v>6759.2</v>
      </c>
      <c r="J182" s="15" t="n">
        <f aca="false">F182-(G182+H182+I182)</f>
        <v>-0.0400000000008731</v>
      </c>
      <c r="K182" s="15" t="n">
        <v>675.92</v>
      </c>
      <c r="L182" s="15" t="n">
        <v>675.92</v>
      </c>
      <c r="M182" s="15" t="n">
        <v>675.92</v>
      </c>
      <c r="N182" s="15" t="n">
        <v>675.92</v>
      </c>
      <c r="O182" s="15" t="n">
        <v>675.92</v>
      </c>
      <c r="P182" s="15" t="n">
        <v>675.92</v>
      </c>
      <c r="Q182" s="15" t="n">
        <v>675.92</v>
      </c>
      <c r="R182" s="15" t="n">
        <v>675.92</v>
      </c>
      <c r="S182" s="15" t="n">
        <v>675.92</v>
      </c>
      <c r="T182" s="15" t="n">
        <v>675.92</v>
      </c>
      <c r="U182" s="15" t="n">
        <v>350</v>
      </c>
      <c r="V182" s="15" t="n">
        <v>0</v>
      </c>
      <c r="W182" s="15" t="n">
        <f aca="false">U182+V182</f>
        <v>350</v>
      </c>
    </row>
    <row r="183" customFormat="false" ht="15" hidden="false" customHeight="false" outlineLevel="0" collapsed="false">
      <c r="A183" s="3" t="s">
        <v>2865</v>
      </c>
      <c r="B183" s="3" t="s">
        <v>2664</v>
      </c>
      <c r="C183" s="3" t="s">
        <v>495</v>
      </c>
      <c r="D183" s="3" t="s">
        <v>222</v>
      </c>
      <c r="E183" s="13" t="n">
        <v>1765000</v>
      </c>
      <c r="F183" s="13" t="n">
        <v>15658.75</v>
      </c>
      <c r="G183" s="13" t="n">
        <v>1957.34</v>
      </c>
      <c r="H183" s="13" t="n">
        <v>1957.34</v>
      </c>
      <c r="I183" s="13" t="n">
        <f aca="false">SUM(K183:T183)</f>
        <v>11744.1</v>
      </c>
      <c r="J183" s="13" t="n">
        <f aca="false">F183-(G183+H183+I183)</f>
        <v>-0.0300000000006548</v>
      </c>
      <c r="K183" s="13" t="n">
        <v>1174.41</v>
      </c>
      <c r="L183" s="13" t="n">
        <v>1174.41</v>
      </c>
      <c r="M183" s="13" t="n">
        <v>1174.41</v>
      </c>
      <c r="N183" s="13" t="n">
        <v>1174.41</v>
      </c>
      <c r="O183" s="13" t="n">
        <v>1174.41</v>
      </c>
      <c r="P183" s="13" t="n">
        <v>1174.41</v>
      </c>
      <c r="Q183" s="13" t="n">
        <v>1174.41</v>
      </c>
      <c r="R183" s="13" t="n">
        <v>1174.41</v>
      </c>
      <c r="S183" s="13" t="n">
        <v>1174.41</v>
      </c>
      <c r="T183" s="13" t="n">
        <v>1174.41</v>
      </c>
      <c r="U183" s="13" t="n">
        <v>350</v>
      </c>
      <c r="V183" s="13" t="n">
        <v>250</v>
      </c>
      <c r="W183" s="13" t="n">
        <f aca="false">U183+V183</f>
        <v>600</v>
      </c>
    </row>
    <row r="184" customFormat="false" ht="15" hidden="false" customHeight="false" outlineLevel="0" collapsed="false">
      <c r="A184" s="14" t="s">
        <v>2866</v>
      </c>
      <c r="B184" s="14" t="s">
        <v>2715</v>
      </c>
      <c r="C184" s="14" t="s">
        <v>120</v>
      </c>
      <c r="D184" s="14" t="s">
        <v>208</v>
      </c>
      <c r="E184" s="15" t="n">
        <v>460000</v>
      </c>
      <c r="F184" s="15" t="n">
        <v>6576.87</v>
      </c>
      <c r="G184" s="15" t="n">
        <v>822.11</v>
      </c>
      <c r="H184" s="15" t="n">
        <v>822.11</v>
      </c>
      <c r="I184" s="15" t="n">
        <f aca="false">SUM(K184:T184)</f>
        <v>4932.7</v>
      </c>
      <c r="J184" s="15" t="n">
        <f aca="false">F184-(G184+H184+I184)</f>
        <v>-0.0500000000010914</v>
      </c>
      <c r="K184" s="15" t="n">
        <v>493.27</v>
      </c>
      <c r="L184" s="15" t="n">
        <v>493.27</v>
      </c>
      <c r="M184" s="15" t="n">
        <v>493.27</v>
      </c>
      <c r="N184" s="15" t="n">
        <v>493.27</v>
      </c>
      <c r="O184" s="15" t="n">
        <v>493.27</v>
      </c>
      <c r="P184" s="15" t="n">
        <v>493.27</v>
      </c>
      <c r="Q184" s="15" t="n">
        <v>493.27</v>
      </c>
      <c r="R184" s="15" t="n">
        <v>493.27</v>
      </c>
      <c r="S184" s="15" t="n">
        <v>493.27</v>
      </c>
      <c r="T184" s="15" t="n">
        <v>493.27</v>
      </c>
      <c r="U184" s="15" t="n">
        <v>350</v>
      </c>
      <c r="V184" s="15" t="n">
        <v>0</v>
      </c>
      <c r="W184" s="15" t="n">
        <f aca="false">U184+V184</f>
        <v>350</v>
      </c>
    </row>
    <row r="185" customFormat="false" ht="15" hidden="false" customHeight="false" outlineLevel="0" collapsed="false">
      <c r="A185" s="3" t="s">
        <v>2867</v>
      </c>
      <c r="B185" s="3" t="s">
        <v>2718</v>
      </c>
      <c r="C185" s="3" t="s">
        <v>1139</v>
      </c>
      <c r="D185" s="3" t="s">
        <v>138</v>
      </c>
      <c r="E185" s="13" t="n">
        <v>795000</v>
      </c>
      <c r="F185" s="13" t="n">
        <v>8714.35</v>
      </c>
      <c r="G185" s="13" t="n">
        <v>1089.29</v>
      </c>
      <c r="H185" s="13" t="n">
        <v>1089.29</v>
      </c>
      <c r="I185" s="13" t="n">
        <f aca="false">SUM(K185:T185)</f>
        <v>6535.8</v>
      </c>
      <c r="J185" s="13" t="n">
        <f aca="false">F185-(G185+H185+I185)</f>
        <v>-0.0300000000006548</v>
      </c>
      <c r="K185" s="13" t="n">
        <v>653.58</v>
      </c>
      <c r="L185" s="13" t="n">
        <v>653.58</v>
      </c>
      <c r="M185" s="13" t="n">
        <v>653.58</v>
      </c>
      <c r="N185" s="13" t="n">
        <v>653.58</v>
      </c>
      <c r="O185" s="13" t="n">
        <v>653.58</v>
      </c>
      <c r="P185" s="13" t="n">
        <v>653.58</v>
      </c>
      <c r="Q185" s="13" t="n">
        <v>653.58</v>
      </c>
      <c r="R185" s="13" t="n">
        <v>653.58</v>
      </c>
      <c r="S185" s="13" t="n">
        <v>653.58</v>
      </c>
      <c r="T185" s="13" t="n">
        <v>653.58</v>
      </c>
      <c r="U185" s="13" t="n">
        <v>350</v>
      </c>
      <c r="V185" s="13" t="n">
        <v>0</v>
      </c>
      <c r="W185" s="13" t="n">
        <f aca="false">U185+V185</f>
        <v>350</v>
      </c>
    </row>
    <row r="186" customFormat="false" ht="15" hidden="false" customHeight="false" outlineLevel="0" collapsed="false">
      <c r="A186" s="14" t="s">
        <v>2868</v>
      </c>
      <c r="B186" s="14" t="s">
        <v>2718</v>
      </c>
      <c r="C186" s="14" t="s">
        <v>960</v>
      </c>
      <c r="D186" s="14" t="s">
        <v>99</v>
      </c>
      <c r="E186" s="15" t="n">
        <v>900000</v>
      </c>
      <c r="F186" s="15" t="n">
        <v>11666.8</v>
      </c>
      <c r="G186" s="15" t="n">
        <v>1458.35</v>
      </c>
      <c r="H186" s="15" t="n">
        <v>1458.35</v>
      </c>
      <c r="I186" s="15" t="n">
        <f aca="false">SUM(K186:T186)</f>
        <v>8750.1</v>
      </c>
      <c r="J186" s="15" t="n">
        <f aca="false">F186-(G186+H186+I186)</f>
        <v>0</v>
      </c>
      <c r="K186" s="15" t="n">
        <v>875.01</v>
      </c>
      <c r="L186" s="15" t="n">
        <v>875.01</v>
      </c>
      <c r="M186" s="15" t="n">
        <v>875.01</v>
      </c>
      <c r="N186" s="15" t="n">
        <v>875.01</v>
      </c>
      <c r="O186" s="15" t="n">
        <v>875.01</v>
      </c>
      <c r="P186" s="15" t="n">
        <v>875.01</v>
      </c>
      <c r="Q186" s="15" t="n">
        <v>875.01</v>
      </c>
      <c r="R186" s="15" t="n">
        <v>875.01</v>
      </c>
      <c r="S186" s="15" t="n">
        <v>875.01</v>
      </c>
      <c r="T186" s="15" t="n">
        <v>875.01</v>
      </c>
      <c r="U186" s="15" t="n">
        <v>350</v>
      </c>
      <c r="V186" s="15" t="n">
        <v>0</v>
      </c>
      <c r="W186" s="15" t="n">
        <f aca="false">U186+V186</f>
        <v>350</v>
      </c>
    </row>
    <row r="187" customFormat="false" ht="15" hidden="false" customHeight="false" outlineLevel="0" collapsed="false">
      <c r="A187" s="3" t="s">
        <v>2869</v>
      </c>
      <c r="B187" s="3" t="s">
        <v>2670</v>
      </c>
      <c r="C187" s="3" t="s">
        <v>1281</v>
      </c>
      <c r="D187" s="3" t="s">
        <v>153</v>
      </c>
      <c r="E187" s="13" t="n">
        <v>850000</v>
      </c>
      <c r="F187" s="13" t="n">
        <v>18354.02</v>
      </c>
      <c r="G187" s="13" t="n">
        <v>2294.25</v>
      </c>
      <c r="H187" s="13" t="n">
        <v>2294.25</v>
      </c>
      <c r="I187" s="13" t="n">
        <f aca="false">SUM(K187:T187)</f>
        <v>13765.5</v>
      </c>
      <c r="J187" s="13" t="n">
        <f aca="false">F187-(G187+H187+I187)</f>
        <v>0.0200000000004366</v>
      </c>
      <c r="K187" s="13" t="n">
        <v>1376.55</v>
      </c>
      <c r="L187" s="13" t="n">
        <v>1376.55</v>
      </c>
      <c r="M187" s="13" t="n">
        <v>1376.55</v>
      </c>
      <c r="N187" s="13" t="n">
        <v>1376.55</v>
      </c>
      <c r="O187" s="13" t="n">
        <v>1376.55</v>
      </c>
      <c r="P187" s="13" t="n">
        <v>1376.55</v>
      </c>
      <c r="Q187" s="13" t="n">
        <v>1376.55</v>
      </c>
      <c r="R187" s="13" t="n">
        <v>1376.55</v>
      </c>
      <c r="S187" s="13" t="n">
        <v>1376.55</v>
      </c>
      <c r="T187" s="13" t="n">
        <v>1376.55</v>
      </c>
      <c r="U187" s="13" t="n">
        <v>350</v>
      </c>
      <c r="V187" s="13" t="n">
        <v>0</v>
      </c>
      <c r="W187" s="13" t="n">
        <f aca="false">U187+V187</f>
        <v>350</v>
      </c>
    </row>
    <row r="188" customFormat="false" ht="15" hidden="false" customHeight="false" outlineLevel="0" collapsed="false">
      <c r="A188" s="14" t="s">
        <v>2870</v>
      </c>
      <c r="B188" s="14" t="s">
        <v>2695</v>
      </c>
      <c r="C188" s="14" t="s">
        <v>742</v>
      </c>
      <c r="D188" s="14" t="s">
        <v>85</v>
      </c>
      <c r="E188" s="15" t="n">
        <v>455000</v>
      </c>
      <c r="F188" s="15" t="n">
        <v>6955.75</v>
      </c>
      <c r="G188" s="15" t="n">
        <v>869.47</v>
      </c>
      <c r="H188" s="15" t="n">
        <v>869.47</v>
      </c>
      <c r="I188" s="15" t="n">
        <f aca="false">SUM(K188:T188)</f>
        <v>5216.8</v>
      </c>
      <c r="J188" s="15" t="n">
        <f aca="false">F188-(G188+H188+I188)</f>
        <v>0.0100000000002183</v>
      </c>
      <c r="K188" s="15" t="n">
        <v>521.68</v>
      </c>
      <c r="L188" s="15" t="n">
        <v>521.68</v>
      </c>
      <c r="M188" s="15" t="n">
        <v>521.68</v>
      </c>
      <c r="N188" s="15" t="n">
        <v>521.68</v>
      </c>
      <c r="O188" s="15" t="n">
        <v>521.68</v>
      </c>
      <c r="P188" s="15" t="n">
        <v>521.68</v>
      </c>
      <c r="Q188" s="15" t="n">
        <v>521.68</v>
      </c>
      <c r="R188" s="15" t="n">
        <v>521.68</v>
      </c>
      <c r="S188" s="15" t="n">
        <v>521.68</v>
      </c>
      <c r="T188" s="15" t="n">
        <v>521.68</v>
      </c>
      <c r="U188" s="15" t="n">
        <v>350</v>
      </c>
      <c r="V188" s="15" t="n">
        <v>0</v>
      </c>
      <c r="W188" s="15" t="n">
        <f aca="false">U188+V188</f>
        <v>350</v>
      </c>
    </row>
    <row r="189" customFormat="false" ht="15" hidden="false" customHeight="false" outlineLevel="0" collapsed="false">
      <c r="A189" s="3" t="s">
        <v>2871</v>
      </c>
      <c r="B189" s="3" t="s">
        <v>2718</v>
      </c>
      <c r="C189" s="3" t="s">
        <v>1521</v>
      </c>
      <c r="D189" s="3" t="s">
        <v>93</v>
      </c>
      <c r="E189" s="13" t="n">
        <v>565000</v>
      </c>
      <c r="F189" s="13" t="n">
        <v>4560.2</v>
      </c>
      <c r="G189" s="13" t="n">
        <v>570.02</v>
      </c>
      <c r="H189" s="13" t="n">
        <v>570.02</v>
      </c>
      <c r="I189" s="13" t="n">
        <f aca="false">SUM(K189:T189)</f>
        <v>3420.1</v>
      </c>
      <c r="J189" s="13" t="n">
        <f aca="false">F189-(G189+H189+I189)</f>
        <v>0.0599999999994907</v>
      </c>
      <c r="K189" s="13" t="n">
        <v>342.01</v>
      </c>
      <c r="L189" s="13" t="n">
        <v>342.01</v>
      </c>
      <c r="M189" s="13" t="n">
        <v>342.01</v>
      </c>
      <c r="N189" s="13" t="n">
        <v>342.01</v>
      </c>
      <c r="O189" s="13" t="n">
        <v>342.01</v>
      </c>
      <c r="P189" s="13" t="n">
        <v>342.01</v>
      </c>
      <c r="Q189" s="13" t="n">
        <v>342.01</v>
      </c>
      <c r="R189" s="13" t="n">
        <v>342.01</v>
      </c>
      <c r="S189" s="13" t="n">
        <v>342.01</v>
      </c>
      <c r="T189" s="13" t="n">
        <v>342.01</v>
      </c>
      <c r="U189" s="13" t="n">
        <v>350</v>
      </c>
      <c r="V189" s="13" t="n">
        <v>0</v>
      </c>
      <c r="W189" s="13" t="n">
        <f aca="false">U189+V189</f>
        <v>350</v>
      </c>
    </row>
    <row r="190" customFormat="false" ht="15" hidden="false" customHeight="false" outlineLevel="0" collapsed="false">
      <c r="A190" s="14" t="s">
        <v>2872</v>
      </c>
      <c r="B190" s="14" t="s">
        <v>2688</v>
      </c>
      <c r="C190" s="14" t="s">
        <v>822</v>
      </c>
      <c r="D190" s="14" t="s">
        <v>102</v>
      </c>
      <c r="E190" s="15" t="n">
        <v>990000</v>
      </c>
      <c r="F190" s="15" t="n">
        <v>15860.38</v>
      </c>
      <c r="G190" s="15" t="n">
        <v>1982.55</v>
      </c>
      <c r="H190" s="15" t="n">
        <v>1982.55</v>
      </c>
      <c r="I190" s="15" t="n">
        <f aca="false">SUM(K190:T190)</f>
        <v>11895.3</v>
      </c>
      <c r="J190" s="15" t="n">
        <f aca="false">F190-(G190+H190+I190)</f>
        <v>-0.0200000000022555</v>
      </c>
      <c r="K190" s="15" t="n">
        <v>1189.53</v>
      </c>
      <c r="L190" s="15" t="n">
        <v>1189.53</v>
      </c>
      <c r="M190" s="15" t="n">
        <v>1189.53</v>
      </c>
      <c r="N190" s="15" t="n">
        <v>1189.53</v>
      </c>
      <c r="O190" s="15" t="n">
        <v>1189.53</v>
      </c>
      <c r="P190" s="15" t="n">
        <v>1189.53</v>
      </c>
      <c r="Q190" s="15" t="n">
        <v>1189.53</v>
      </c>
      <c r="R190" s="15" t="n">
        <v>1189.53</v>
      </c>
      <c r="S190" s="15" t="n">
        <v>1189.53</v>
      </c>
      <c r="T190" s="15" t="n">
        <v>1189.53</v>
      </c>
      <c r="U190" s="15" t="n">
        <v>350</v>
      </c>
      <c r="V190" s="15" t="n">
        <v>0</v>
      </c>
      <c r="W190" s="15" t="n">
        <f aca="false">U190+V190</f>
        <v>350</v>
      </c>
    </row>
    <row r="191" customFormat="false" ht="15" hidden="false" customHeight="false" outlineLevel="0" collapsed="false">
      <c r="A191" s="3" t="s">
        <v>2873</v>
      </c>
      <c r="B191" s="3" t="s">
        <v>2668</v>
      </c>
      <c r="C191" s="3" t="s">
        <v>1603</v>
      </c>
      <c r="D191" s="3" t="s">
        <v>338</v>
      </c>
      <c r="E191" s="13" t="n">
        <v>145000</v>
      </c>
      <c r="F191" s="13" t="n">
        <v>1502.87</v>
      </c>
      <c r="G191" s="13" t="n">
        <v>187.86</v>
      </c>
      <c r="H191" s="13" t="n">
        <v>187.86</v>
      </c>
      <c r="I191" s="13" t="n">
        <f aca="false">SUM(K191:T191)</f>
        <v>1127.2</v>
      </c>
      <c r="J191" s="13" t="n">
        <f aca="false">F191-(G191+H191+I191)</f>
        <v>-0.0500000000001819</v>
      </c>
      <c r="K191" s="13" t="n">
        <v>112.72</v>
      </c>
      <c r="L191" s="13" t="n">
        <v>112.72</v>
      </c>
      <c r="M191" s="13" t="n">
        <v>112.72</v>
      </c>
      <c r="N191" s="13" t="n">
        <v>112.72</v>
      </c>
      <c r="O191" s="13" t="n">
        <v>112.72</v>
      </c>
      <c r="P191" s="13" t="n">
        <v>112.72</v>
      </c>
      <c r="Q191" s="13" t="n">
        <v>112.72</v>
      </c>
      <c r="R191" s="13" t="n">
        <v>112.72</v>
      </c>
      <c r="S191" s="13" t="n">
        <v>112.72</v>
      </c>
      <c r="T191" s="13" t="n">
        <v>112.72</v>
      </c>
      <c r="U191" s="13" t="n">
        <v>350</v>
      </c>
      <c r="V191" s="13" t="n">
        <v>0</v>
      </c>
      <c r="W191" s="13" t="n">
        <f aca="false">U191+V191</f>
        <v>350</v>
      </c>
    </row>
    <row r="192" customFormat="false" ht="15" hidden="false" customHeight="false" outlineLevel="0" collapsed="false">
      <c r="A192" s="14" t="s">
        <v>2874</v>
      </c>
      <c r="B192" s="14" t="s">
        <v>2715</v>
      </c>
      <c r="C192" s="14" t="s">
        <v>643</v>
      </c>
      <c r="D192" s="14" t="s">
        <v>222</v>
      </c>
      <c r="E192" s="15" t="n">
        <v>360000</v>
      </c>
      <c r="F192" s="15" t="n">
        <v>4355.25</v>
      </c>
      <c r="G192" s="15" t="n">
        <v>544.41</v>
      </c>
      <c r="H192" s="15" t="n">
        <v>544.41</v>
      </c>
      <c r="I192" s="15" t="n">
        <f aca="false">SUM(K192:T192)</f>
        <v>3266.4</v>
      </c>
      <c r="J192" s="15" t="n">
        <f aca="false">F192-(G192+H192+I192)</f>
        <v>0.0300000000006548</v>
      </c>
      <c r="K192" s="15" t="n">
        <v>326.64</v>
      </c>
      <c r="L192" s="15" t="n">
        <v>326.64</v>
      </c>
      <c r="M192" s="15" t="n">
        <v>326.64</v>
      </c>
      <c r="N192" s="15" t="n">
        <v>326.64</v>
      </c>
      <c r="O192" s="15" t="n">
        <v>326.64</v>
      </c>
      <c r="P192" s="15" t="n">
        <v>326.64</v>
      </c>
      <c r="Q192" s="15" t="n">
        <v>326.64</v>
      </c>
      <c r="R192" s="15" t="n">
        <v>326.64</v>
      </c>
      <c r="S192" s="15" t="n">
        <v>326.64</v>
      </c>
      <c r="T192" s="15" t="n">
        <v>326.64</v>
      </c>
      <c r="U192" s="15" t="n">
        <v>350</v>
      </c>
      <c r="V192" s="15" t="n">
        <v>0</v>
      </c>
      <c r="W192" s="15" t="n">
        <f aca="false">U192+V192</f>
        <v>350</v>
      </c>
    </row>
    <row r="193" customFormat="false" ht="15" hidden="false" customHeight="false" outlineLevel="0" collapsed="false">
      <c r="A193" s="3" t="s">
        <v>2875</v>
      </c>
      <c r="B193" s="3" t="s">
        <v>2682</v>
      </c>
      <c r="C193" s="3" t="s">
        <v>427</v>
      </c>
      <c r="D193" s="3" t="s">
        <v>112</v>
      </c>
      <c r="E193" s="13" t="n">
        <v>365000</v>
      </c>
      <c r="F193" s="13" t="n">
        <v>3813.6</v>
      </c>
      <c r="G193" s="13" t="n">
        <v>476.7</v>
      </c>
      <c r="H193" s="13" t="n">
        <v>476.7</v>
      </c>
      <c r="I193" s="13" t="n">
        <f aca="false">SUM(K193:T193)</f>
        <v>2860.2</v>
      </c>
      <c r="J193" s="13" t="n">
        <f aca="false">F193-(G193+H193+I193)</f>
        <v>0</v>
      </c>
      <c r="K193" s="13" t="n">
        <v>286.02</v>
      </c>
      <c r="L193" s="13" t="n">
        <v>286.02</v>
      </c>
      <c r="M193" s="13" t="n">
        <v>286.02</v>
      </c>
      <c r="N193" s="13" t="n">
        <v>286.02</v>
      </c>
      <c r="O193" s="13" t="n">
        <v>286.02</v>
      </c>
      <c r="P193" s="13" t="n">
        <v>286.02</v>
      </c>
      <c r="Q193" s="13" t="n">
        <v>286.02</v>
      </c>
      <c r="R193" s="13" t="n">
        <v>286.02</v>
      </c>
      <c r="S193" s="13" t="n">
        <v>286.02</v>
      </c>
      <c r="T193" s="13" t="n">
        <v>286.02</v>
      </c>
      <c r="U193" s="13" t="n">
        <v>350</v>
      </c>
      <c r="V193" s="13" t="n">
        <v>0</v>
      </c>
      <c r="W193" s="13" t="n">
        <f aca="false">U193+V193</f>
        <v>350</v>
      </c>
    </row>
    <row r="194" customFormat="false" ht="15" hidden="false" customHeight="false" outlineLevel="0" collapsed="false">
      <c r="A194" s="14" t="s">
        <v>2876</v>
      </c>
      <c r="B194" s="14" t="s">
        <v>2695</v>
      </c>
      <c r="C194" s="14" t="s">
        <v>521</v>
      </c>
      <c r="D194" s="14" t="s">
        <v>138</v>
      </c>
      <c r="E194" s="15" t="n">
        <v>140000</v>
      </c>
      <c r="F194" s="15" t="n">
        <v>2172.06</v>
      </c>
      <c r="G194" s="15" t="n">
        <v>271.51</v>
      </c>
      <c r="H194" s="15" t="n">
        <v>271.51</v>
      </c>
      <c r="I194" s="15" t="n">
        <f aca="false">SUM(K194:T194)</f>
        <v>1629</v>
      </c>
      <c r="J194" s="15" t="n">
        <f aca="false">F194-(G194+H194+I194)</f>
        <v>0.0399999999995089</v>
      </c>
      <c r="K194" s="15" t="n">
        <v>162.9</v>
      </c>
      <c r="L194" s="15" t="n">
        <v>162.9</v>
      </c>
      <c r="M194" s="15" t="n">
        <v>162.9</v>
      </c>
      <c r="N194" s="15" t="n">
        <v>162.9</v>
      </c>
      <c r="O194" s="15" t="n">
        <v>162.9</v>
      </c>
      <c r="P194" s="15" t="n">
        <v>162.9</v>
      </c>
      <c r="Q194" s="15" t="n">
        <v>162.9</v>
      </c>
      <c r="R194" s="15" t="n">
        <v>162.9</v>
      </c>
      <c r="S194" s="15" t="n">
        <v>162.9</v>
      </c>
      <c r="T194" s="15" t="n">
        <v>162.9</v>
      </c>
      <c r="U194" s="15" t="n">
        <v>350</v>
      </c>
      <c r="V194" s="15" t="n">
        <v>0</v>
      </c>
      <c r="W194" s="15" t="n">
        <f aca="false">U194+V194</f>
        <v>350</v>
      </c>
    </row>
    <row r="195" customFormat="false" ht="15" hidden="false" customHeight="false" outlineLevel="0" collapsed="false">
      <c r="A195" s="3" t="s">
        <v>2877</v>
      </c>
      <c r="B195" s="3" t="s">
        <v>2702</v>
      </c>
      <c r="C195" s="3" t="s">
        <v>1408</v>
      </c>
      <c r="D195" s="3" t="s">
        <v>698</v>
      </c>
      <c r="E195" s="13" t="n">
        <v>590000</v>
      </c>
      <c r="F195" s="13" t="n">
        <v>5096.81</v>
      </c>
      <c r="G195" s="13" t="n">
        <v>637.1</v>
      </c>
      <c r="H195" s="13" t="n">
        <v>637.1</v>
      </c>
      <c r="I195" s="13" t="n">
        <f aca="false">SUM(K195:T195)</f>
        <v>3822.6</v>
      </c>
      <c r="J195" s="13" t="n">
        <f aca="false">F195-(G195+H195+I195)</f>
        <v>0.0100000000002183</v>
      </c>
      <c r="K195" s="13" t="n">
        <v>382.26</v>
      </c>
      <c r="L195" s="13" t="n">
        <v>382.26</v>
      </c>
      <c r="M195" s="13" t="n">
        <v>382.26</v>
      </c>
      <c r="N195" s="13" t="n">
        <v>382.26</v>
      </c>
      <c r="O195" s="13" t="n">
        <v>382.26</v>
      </c>
      <c r="P195" s="13" t="n">
        <v>382.26</v>
      </c>
      <c r="Q195" s="13" t="n">
        <v>382.26</v>
      </c>
      <c r="R195" s="13" t="n">
        <v>382.26</v>
      </c>
      <c r="S195" s="13" t="n">
        <v>382.26</v>
      </c>
      <c r="T195" s="13" t="n">
        <v>382.26</v>
      </c>
      <c r="U195" s="13" t="n">
        <v>350</v>
      </c>
      <c r="V195" s="13" t="n">
        <v>0</v>
      </c>
      <c r="W195" s="13" t="n">
        <f aca="false">U195+V195</f>
        <v>350</v>
      </c>
    </row>
    <row r="196" customFormat="false" ht="15" hidden="false" customHeight="false" outlineLevel="0" collapsed="false">
      <c r="A196" s="14" t="s">
        <v>2878</v>
      </c>
      <c r="B196" s="14" t="s">
        <v>2690</v>
      </c>
      <c r="C196" s="14" t="s">
        <v>1678</v>
      </c>
      <c r="D196" s="14" t="s">
        <v>256</v>
      </c>
      <c r="E196" s="15" t="n">
        <v>680000</v>
      </c>
      <c r="F196" s="15" t="n">
        <v>8620.47</v>
      </c>
      <c r="G196" s="15" t="n">
        <v>1077.56</v>
      </c>
      <c r="H196" s="15" t="n">
        <v>1077.56</v>
      </c>
      <c r="I196" s="15" t="n">
        <f aca="false">SUM(K196:T196)</f>
        <v>6465.4</v>
      </c>
      <c r="J196" s="15" t="n">
        <f aca="false">F196-(G196+H196+I196)</f>
        <v>-0.0500000000010914</v>
      </c>
      <c r="K196" s="15" t="n">
        <v>646.54</v>
      </c>
      <c r="L196" s="15" t="n">
        <v>646.54</v>
      </c>
      <c r="M196" s="15" t="n">
        <v>646.54</v>
      </c>
      <c r="N196" s="15" t="n">
        <v>646.54</v>
      </c>
      <c r="O196" s="15" t="n">
        <v>646.54</v>
      </c>
      <c r="P196" s="15" t="n">
        <v>646.54</v>
      </c>
      <c r="Q196" s="15" t="n">
        <v>646.54</v>
      </c>
      <c r="R196" s="15" t="n">
        <v>646.54</v>
      </c>
      <c r="S196" s="15" t="n">
        <v>646.54</v>
      </c>
      <c r="T196" s="15" t="n">
        <v>646.54</v>
      </c>
      <c r="U196" s="15" t="n">
        <v>350</v>
      </c>
      <c r="V196" s="15" t="n">
        <v>0</v>
      </c>
      <c r="W196" s="15" t="n">
        <f aca="false">U196+V196</f>
        <v>350</v>
      </c>
    </row>
    <row r="197" customFormat="false" ht="15" hidden="false" customHeight="false" outlineLevel="0" collapsed="false">
      <c r="A197" s="3" t="s">
        <v>2879</v>
      </c>
      <c r="B197" s="3" t="s">
        <v>2670</v>
      </c>
      <c r="C197" s="3" t="s">
        <v>1172</v>
      </c>
      <c r="D197" s="3" t="s">
        <v>153</v>
      </c>
      <c r="E197" s="13" t="n">
        <v>555000</v>
      </c>
      <c r="F197" s="13" t="n">
        <v>5424.38</v>
      </c>
      <c r="G197" s="13" t="n">
        <v>678.05</v>
      </c>
      <c r="H197" s="13" t="n">
        <v>678.05</v>
      </c>
      <c r="I197" s="13" t="n">
        <f aca="false">SUM(K197:T197)</f>
        <v>4068.3</v>
      </c>
      <c r="J197" s="13" t="n">
        <f aca="false">F197-(G197+H197+I197)</f>
        <v>-0.0199999999995271</v>
      </c>
      <c r="K197" s="13" t="n">
        <v>406.83</v>
      </c>
      <c r="L197" s="13" t="n">
        <v>406.83</v>
      </c>
      <c r="M197" s="13" t="n">
        <v>406.83</v>
      </c>
      <c r="N197" s="13" t="n">
        <v>406.83</v>
      </c>
      <c r="O197" s="13" t="n">
        <v>406.83</v>
      </c>
      <c r="P197" s="13" t="n">
        <v>406.83</v>
      </c>
      <c r="Q197" s="13" t="n">
        <v>406.83</v>
      </c>
      <c r="R197" s="13" t="n">
        <v>406.83</v>
      </c>
      <c r="S197" s="13" t="n">
        <v>406.83</v>
      </c>
      <c r="T197" s="13" t="n">
        <v>406.83</v>
      </c>
      <c r="U197" s="13" t="n">
        <v>350</v>
      </c>
      <c r="V197" s="13" t="n">
        <v>0</v>
      </c>
      <c r="W197" s="13" t="n">
        <f aca="false">U197+V197</f>
        <v>350</v>
      </c>
    </row>
    <row r="198" customFormat="false" ht="15" hidden="false" customHeight="false" outlineLevel="0" collapsed="false">
      <c r="A198" s="14" t="s">
        <v>2880</v>
      </c>
      <c r="B198" s="14" t="s">
        <v>2690</v>
      </c>
      <c r="C198" s="14" t="s">
        <v>2166</v>
      </c>
      <c r="D198" s="14" t="s">
        <v>138</v>
      </c>
      <c r="E198" s="15" t="n">
        <v>1270000</v>
      </c>
      <c r="F198" s="15" t="n">
        <v>17133.59</v>
      </c>
      <c r="G198" s="15" t="n">
        <v>2141.7</v>
      </c>
      <c r="H198" s="15" t="n">
        <v>2141.7</v>
      </c>
      <c r="I198" s="15" t="n">
        <f aca="false">SUM(K198:T198)</f>
        <v>12850.2</v>
      </c>
      <c r="J198" s="15" t="n">
        <f aca="false">F198-(G198+H198+I198)</f>
        <v>-0.00999999999839929</v>
      </c>
      <c r="K198" s="15" t="n">
        <v>1285.02</v>
      </c>
      <c r="L198" s="15" t="n">
        <v>1285.02</v>
      </c>
      <c r="M198" s="15" t="n">
        <v>1285.02</v>
      </c>
      <c r="N198" s="15" t="n">
        <v>1285.02</v>
      </c>
      <c r="O198" s="15" t="n">
        <v>1285.02</v>
      </c>
      <c r="P198" s="15" t="n">
        <v>1285.02</v>
      </c>
      <c r="Q198" s="15" t="n">
        <v>1285.02</v>
      </c>
      <c r="R198" s="15" t="n">
        <v>1285.02</v>
      </c>
      <c r="S198" s="15" t="n">
        <v>1285.02</v>
      </c>
      <c r="T198" s="15" t="n">
        <v>1285.02</v>
      </c>
      <c r="U198" s="15" t="n">
        <v>350</v>
      </c>
      <c r="V198" s="15" t="n">
        <v>250</v>
      </c>
      <c r="W198" s="15" t="n">
        <f aca="false">U198+V198</f>
        <v>600</v>
      </c>
    </row>
    <row r="199" customFormat="false" ht="15" hidden="false" customHeight="false" outlineLevel="0" collapsed="false">
      <c r="A199" s="3" t="s">
        <v>2881</v>
      </c>
      <c r="B199" s="3" t="s">
        <v>2695</v>
      </c>
      <c r="C199" s="3" t="s">
        <v>440</v>
      </c>
      <c r="D199" s="3" t="s">
        <v>99</v>
      </c>
      <c r="E199" s="13" t="n">
        <v>360000</v>
      </c>
      <c r="F199" s="13" t="n">
        <v>5384.67</v>
      </c>
      <c r="G199" s="13" t="n">
        <v>673.08</v>
      </c>
      <c r="H199" s="13" t="n">
        <v>673.08</v>
      </c>
      <c r="I199" s="13" t="n">
        <f aca="false">SUM(K199:T199)</f>
        <v>4038.5</v>
      </c>
      <c r="J199" s="13" t="n">
        <f aca="false">F199-(G199+H199+I199)</f>
        <v>0.0100000000002183</v>
      </c>
      <c r="K199" s="13" t="n">
        <v>403.85</v>
      </c>
      <c r="L199" s="13" t="n">
        <v>403.85</v>
      </c>
      <c r="M199" s="13" t="n">
        <v>403.85</v>
      </c>
      <c r="N199" s="13" t="n">
        <v>403.85</v>
      </c>
      <c r="O199" s="13" t="n">
        <v>403.85</v>
      </c>
      <c r="P199" s="13" t="n">
        <v>403.85</v>
      </c>
      <c r="Q199" s="13" t="n">
        <v>403.85</v>
      </c>
      <c r="R199" s="13" t="n">
        <v>403.85</v>
      </c>
      <c r="S199" s="13" t="n">
        <v>403.85</v>
      </c>
      <c r="T199" s="13" t="n">
        <v>403.85</v>
      </c>
      <c r="U199" s="13" t="n">
        <v>350</v>
      </c>
      <c r="V199" s="13" t="n">
        <v>0</v>
      </c>
      <c r="W199" s="13" t="n">
        <f aca="false">U199+V199</f>
        <v>350</v>
      </c>
    </row>
    <row r="200" customFormat="false" ht="15" hidden="false" customHeight="false" outlineLevel="0" collapsed="false">
      <c r="A200" s="14" t="s">
        <v>2882</v>
      </c>
      <c r="B200" s="14" t="s">
        <v>2682</v>
      </c>
      <c r="C200" s="14" t="s">
        <v>982</v>
      </c>
      <c r="D200" s="14" t="s">
        <v>132</v>
      </c>
      <c r="E200" s="15" t="n">
        <v>675000</v>
      </c>
      <c r="F200" s="15" t="n">
        <v>4256.27</v>
      </c>
      <c r="G200" s="15" t="n">
        <v>532.03</v>
      </c>
      <c r="H200" s="15" t="n">
        <v>532.03</v>
      </c>
      <c r="I200" s="15" t="n">
        <f aca="false">SUM(K200:T200)</f>
        <v>3192.2</v>
      </c>
      <c r="J200" s="15" t="n">
        <f aca="false">F200-(G200+H200+I200)</f>
        <v>0.0100000000002183</v>
      </c>
      <c r="K200" s="15" t="n">
        <v>319.22</v>
      </c>
      <c r="L200" s="15" t="n">
        <v>319.22</v>
      </c>
      <c r="M200" s="15" t="n">
        <v>319.22</v>
      </c>
      <c r="N200" s="15" t="n">
        <v>319.22</v>
      </c>
      <c r="O200" s="15" t="n">
        <v>319.22</v>
      </c>
      <c r="P200" s="15" t="n">
        <v>319.22</v>
      </c>
      <c r="Q200" s="15" t="n">
        <v>319.22</v>
      </c>
      <c r="R200" s="15" t="n">
        <v>319.22</v>
      </c>
      <c r="S200" s="15" t="n">
        <v>319.22</v>
      </c>
      <c r="T200" s="15" t="n">
        <v>319.22</v>
      </c>
      <c r="U200" s="15" t="n">
        <v>350</v>
      </c>
      <c r="V200" s="15" t="n">
        <v>0</v>
      </c>
      <c r="W200" s="15" t="n">
        <f aca="false">U200+V200</f>
        <v>350</v>
      </c>
    </row>
    <row r="201" customFormat="false" ht="15" hidden="false" customHeight="false" outlineLevel="0" collapsed="false">
      <c r="A201" s="3" t="s">
        <v>2883</v>
      </c>
      <c r="B201" s="3" t="s">
        <v>2655</v>
      </c>
      <c r="C201" s="3" t="s">
        <v>970</v>
      </c>
      <c r="D201" s="3" t="s">
        <v>406</v>
      </c>
      <c r="E201" s="13" t="n">
        <v>1275000</v>
      </c>
      <c r="F201" s="13" t="n">
        <v>9563.41</v>
      </c>
      <c r="G201" s="13" t="n">
        <v>1195.43</v>
      </c>
      <c r="H201" s="13" t="n">
        <v>1195.43</v>
      </c>
      <c r="I201" s="13" t="n">
        <f aca="false">SUM(K201:T201)</f>
        <v>7172.6</v>
      </c>
      <c r="J201" s="13" t="n">
        <f aca="false">F201-(G201+H201+I201)</f>
        <v>-0.0500000000010914</v>
      </c>
      <c r="K201" s="13" t="n">
        <v>717.26</v>
      </c>
      <c r="L201" s="13" t="n">
        <v>717.26</v>
      </c>
      <c r="M201" s="13" t="n">
        <v>717.26</v>
      </c>
      <c r="N201" s="13" t="n">
        <v>717.26</v>
      </c>
      <c r="O201" s="13" t="n">
        <v>717.26</v>
      </c>
      <c r="P201" s="13" t="n">
        <v>717.26</v>
      </c>
      <c r="Q201" s="13" t="n">
        <v>717.26</v>
      </c>
      <c r="R201" s="13" t="n">
        <v>717.26</v>
      </c>
      <c r="S201" s="13" t="n">
        <v>717.26</v>
      </c>
      <c r="T201" s="13" t="n">
        <v>717.26</v>
      </c>
      <c r="U201" s="13" t="n">
        <v>350</v>
      </c>
      <c r="V201" s="13" t="n">
        <v>250</v>
      </c>
      <c r="W201" s="13" t="n">
        <f aca="false">U201+V201</f>
        <v>600</v>
      </c>
    </row>
    <row r="202" customFormat="false" ht="15" hidden="false" customHeight="false" outlineLevel="0" collapsed="false">
      <c r="A202" s="14" t="s">
        <v>2884</v>
      </c>
      <c r="B202" s="14" t="s">
        <v>2695</v>
      </c>
      <c r="C202" s="14" t="s">
        <v>710</v>
      </c>
      <c r="D202" s="14" t="s">
        <v>256</v>
      </c>
      <c r="E202" s="15" t="n">
        <v>410000</v>
      </c>
      <c r="F202" s="15" t="n">
        <v>9195.81</v>
      </c>
      <c r="G202" s="15" t="n">
        <v>1149.48</v>
      </c>
      <c r="H202" s="15" t="n">
        <v>1149.48</v>
      </c>
      <c r="I202" s="15" t="n">
        <f aca="false">SUM(K202:T202)</f>
        <v>6896.9</v>
      </c>
      <c r="J202" s="15" t="n">
        <f aca="false">F202-(G202+H202+I202)</f>
        <v>-0.0500000000010914</v>
      </c>
      <c r="K202" s="15" t="n">
        <v>689.69</v>
      </c>
      <c r="L202" s="15" t="n">
        <v>689.69</v>
      </c>
      <c r="M202" s="15" t="n">
        <v>689.69</v>
      </c>
      <c r="N202" s="15" t="n">
        <v>689.69</v>
      </c>
      <c r="O202" s="15" t="n">
        <v>689.69</v>
      </c>
      <c r="P202" s="15" t="n">
        <v>689.69</v>
      </c>
      <c r="Q202" s="15" t="n">
        <v>689.69</v>
      </c>
      <c r="R202" s="15" t="n">
        <v>689.69</v>
      </c>
      <c r="S202" s="15" t="n">
        <v>689.69</v>
      </c>
      <c r="T202" s="15" t="n">
        <v>689.69</v>
      </c>
      <c r="U202" s="15" t="n">
        <v>350</v>
      </c>
      <c r="V202" s="15" t="n">
        <v>0</v>
      </c>
      <c r="W202" s="15" t="n">
        <f aca="false">U202+V202</f>
        <v>350</v>
      </c>
    </row>
    <row r="203" customFormat="false" ht="15" hidden="false" customHeight="false" outlineLevel="0" collapsed="false">
      <c r="A203" s="3" t="s">
        <v>2885</v>
      </c>
      <c r="B203" s="3" t="s">
        <v>2704</v>
      </c>
      <c r="C203" s="3" t="s">
        <v>250</v>
      </c>
      <c r="D203" s="3" t="s">
        <v>251</v>
      </c>
      <c r="E203" s="13" t="n">
        <v>310000</v>
      </c>
      <c r="F203" s="13" t="n">
        <v>3818.55</v>
      </c>
      <c r="G203" s="13" t="n">
        <v>477.32</v>
      </c>
      <c r="H203" s="13" t="n">
        <v>477.32</v>
      </c>
      <c r="I203" s="13" t="n">
        <f aca="false">SUM(K203:T203)</f>
        <v>2863.9</v>
      </c>
      <c r="J203" s="13" t="n">
        <f aca="false">F203-(G203+H203+I203)</f>
        <v>0.010000000000673</v>
      </c>
      <c r="K203" s="13" t="n">
        <v>286.39</v>
      </c>
      <c r="L203" s="13" t="n">
        <v>286.39</v>
      </c>
      <c r="M203" s="13" t="n">
        <v>286.39</v>
      </c>
      <c r="N203" s="13" t="n">
        <v>286.39</v>
      </c>
      <c r="O203" s="13" t="n">
        <v>286.39</v>
      </c>
      <c r="P203" s="13" t="n">
        <v>286.39</v>
      </c>
      <c r="Q203" s="13" t="n">
        <v>286.39</v>
      </c>
      <c r="R203" s="13" t="n">
        <v>286.39</v>
      </c>
      <c r="S203" s="13" t="n">
        <v>286.39</v>
      </c>
      <c r="T203" s="13" t="n">
        <v>286.39</v>
      </c>
      <c r="U203" s="13" t="n">
        <v>350</v>
      </c>
      <c r="V203" s="13" t="n">
        <v>0</v>
      </c>
      <c r="W203" s="13" t="n">
        <f aca="false">U203+V203</f>
        <v>350</v>
      </c>
    </row>
    <row r="204" customFormat="false" ht="15" hidden="false" customHeight="false" outlineLevel="0" collapsed="false">
      <c r="A204" s="14" t="s">
        <v>2886</v>
      </c>
      <c r="B204" s="14" t="s">
        <v>2682</v>
      </c>
      <c r="C204" s="14" t="s">
        <v>543</v>
      </c>
      <c r="D204" s="14" t="s">
        <v>132</v>
      </c>
      <c r="E204" s="15" t="n">
        <v>980000</v>
      </c>
      <c r="F204" s="15" t="n">
        <v>9341.07</v>
      </c>
      <c r="G204" s="15" t="n">
        <v>1167.63</v>
      </c>
      <c r="H204" s="15" t="n">
        <v>1167.63</v>
      </c>
      <c r="I204" s="15" t="n">
        <f aca="false">SUM(K204:T204)</f>
        <v>7005.8</v>
      </c>
      <c r="J204" s="15" t="n">
        <f aca="false">F204-(G204+H204+I204)</f>
        <v>0.00999999999839929</v>
      </c>
      <c r="K204" s="15" t="n">
        <v>700.58</v>
      </c>
      <c r="L204" s="15" t="n">
        <v>700.58</v>
      </c>
      <c r="M204" s="15" t="n">
        <v>700.58</v>
      </c>
      <c r="N204" s="15" t="n">
        <v>700.58</v>
      </c>
      <c r="O204" s="15" t="n">
        <v>700.58</v>
      </c>
      <c r="P204" s="15" t="n">
        <v>700.58</v>
      </c>
      <c r="Q204" s="15" t="n">
        <v>700.58</v>
      </c>
      <c r="R204" s="15" t="n">
        <v>700.58</v>
      </c>
      <c r="S204" s="15" t="n">
        <v>700.58</v>
      </c>
      <c r="T204" s="15" t="n">
        <v>700.58</v>
      </c>
      <c r="U204" s="15" t="n">
        <v>350</v>
      </c>
      <c r="V204" s="15" t="n">
        <v>0</v>
      </c>
      <c r="W204" s="15" t="n">
        <f aca="false">U204+V204</f>
        <v>350</v>
      </c>
    </row>
    <row r="205" customFormat="false" ht="15" hidden="false" customHeight="false" outlineLevel="0" collapsed="false">
      <c r="A205" s="3" t="s">
        <v>2887</v>
      </c>
      <c r="B205" s="3" t="s">
        <v>2655</v>
      </c>
      <c r="C205" s="3" t="s">
        <v>919</v>
      </c>
      <c r="D205" s="3" t="s">
        <v>89</v>
      </c>
      <c r="E205" s="13" t="n">
        <v>470000</v>
      </c>
      <c r="F205" s="13" t="n">
        <v>4466.12</v>
      </c>
      <c r="G205" s="13" t="n">
        <v>558.26</v>
      </c>
      <c r="H205" s="13" t="n">
        <v>558.26</v>
      </c>
      <c r="I205" s="13" t="n">
        <f aca="false">SUM(K205:T205)</f>
        <v>3349.6</v>
      </c>
      <c r="J205" s="13" t="n">
        <f aca="false">F205-(G205+H205+I205)</f>
        <v>0</v>
      </c>
      <c r="K205" s="13" t="n">
        <v>334.96</v>
      </c>
      <c r="L205" s="13" t="n">
        <v>334.96</v>
      </c>
      <c r="M205" s="13" t="n">
        <v>334.96</v>
      </c>
      <c r="N205" s="13" t="n">
        <v>334.96</v>
      </c>
      <c r="O205" s="13" t="n">
        <v>334.96</v>
      </c>
      <c r="P205" s="13" t="n">
        <v>334.96</v>
      </c>
      <c r="Q205" s="13" t="n">
        <v>334.96</v>
      </c>
      <c r="R205" s="13" t="n">
        <v>334.96</v>
      </c>
      <c r="S205" s="13" t="n">
        <v>334.96</v>
      </c>
      <c r="T205" s="13" t="n">
        <v>334.96</v>
      </c>
      <c r="U205" s="13" t="n">
        <v>350</v>
      </c>
      <c r="V205" s="13" t="n">
        <v>0</v>
      </c>
      <c r="W205" s="13" t="n">
        <f aca="false">U205+V205</f>
        <v>350</v>
      </c>
    </row>
    <row r="206" customFormat="false" ht="15" hidden="false" customHeight="false" outlineLevel="0" collapsed="false">
      <c r="A206" s="14" t="s">
        <v>2888</v>
      </c>
      <c r="B206" s="14" t="s">
        <v>2864</v>
      </c>
      <c r="C206" s="14" t="s">
        <v>1413</v>
      </c>
      <c r="D206" s="14" t="s">
        <v>132</v>
      </c>
      <c r="E206" s="15" t="n">
        <v>1135000</v>
      </c>
      <c r="F206" s="15" t="n">
        <v>13315.05</v>
      </c>
      <c r="G206" s="15" t="n">
        <v>1664.38</v>
      </c>
      <c r="H206" s="15" t="n">
        <v>1664.38</v>
      </c>
      <c r="I206" s="15" t="n">
        <f aca="false">SUM(K206:T206)</f>
        <v>9986.3</v>
      </c>
      <c r="J206" s="15" t="n">
        <f aca="false">F206-(G206+H206+I206)</f>
        <v>-0.0100000000002183</v>
      </c>
      <c r="K206" s="15" t="n">
        <v>998.63</v>
      </c>
      <c r="L206" s="15" t="n">
        <v>998.63</v>
      </c>
      <c r="M206" s="15" t="n">
        <v>998.63</v>
      </c>
      <c r="N206" s="15" t="n">
        <v>998.63</v>
      </c>
      <c r="O206" s="15" t="n">
        <v>998.63</v>
      </c>
      <c r="P206" s="15" t="n">
        <v>998.63</v>
      </c>
      <c r="Q206" s="15" t="n">
        <v>998.63</v>
      </c>
      <c r="R206" s="15" t="n">
        <v>998.63</v>
      </c>
      <c r="S206" s="15" t="n">
        <v>998.63</v>
      </c>
      <c r="T206" s="15" t="n">
        <v>998.63</v>
      </c>
      <c r="U206" s="15" t="n">
        <v>350</v>
      </c>
      <c r="V206" s="15" t="n">
        <v>250</v>
      </c>
      <c r="W206" s="15" t="n">
        <f aca="false">U206+V206</f>
        <v>600</v>
      </c>
    </row>
    <row r="207" customFormat="false" ht="15" hidden="false" customHeight="false" outlineLevel="0" collapsed="false">
      <c r="A207" s="3" t="s">
        <v>2889</v>
      </c>
      <c r="B207" s="3" t="s">
        <v>2655</v>
      </c>
      <c r="C207" s="3" t="s">
        <v>1236</v>
      </c>
      <c r="D207" s="3" t="s">
        <v>157</v>
      </c>
      <c r="E207" s="13" t="n">
        <v>1825000</v>
      </c>
      <c r="F207" s="13" t="n">
        <v>20901.18</v>
      </c>
      <c r="G207" s="13" t="n">
        <v>2612.65</v>
      </c>
      <c r="H207" s="13" t="n">
        <v>2612.65</v>
      </c>
      <c r="I207" s="13" t="n">
        <f aca="false">SUM(K207:T207)</f>
        <v>15675.9</v>
      </c>
      <c r="J207" s="13" t="n">
        <f aca="false">F207-(G207+H207+I207)</f>
        <v>-0.0200000000004366</v>
      </c>
      <c r="K207" s="13" t="n">
        <v>1567.59</v>
      </c>
      <c r="L207" s="13" t="n">
        <v>1567.59</v>
      </c>
      <c r="M207" s="13" t="n">
        <v>1567.59</v>
      </c>
      <c r="N207" s="13" t="n">
        <v>1567.59</v>
      </c>
      <c r="O207" s="13" t="n">
        <v>1567.59</v>
      </c>
      <c r="P207" s="13" t="n">
        <v>1567.59</v>
      </c>
      <c r="Q207" s="13" t="n">
        <v>1567.59</v>
      </c>
      <c r="R207" s="13" t="n">
        <v>1567.59</v>
      </c>
      <c r="S207" s="13" t="n">
        <v>1567.59</v>
      </c>
      <c r="T207" s="13" t="n">
        <v>1567.59</v>
      </c>
      <c r="U207" s="13" t="n">
        <v>350</v>
      </c>
      <c r="V207" s="13" t="n">
        <v>250</v>
      </c>
      <c r="W207" s="13" t="n">
        <f aca="false">U207+V207</f>
        <v>600</v>
      </c>
    </row>
    <row r="208" customFormat="false" ht="15" hidden="false" customHeight="false" outlineLevel="0" collapsed="false">
      <c r="A208" s="14" t="s">
        <v>2890</v>
      </c>
      <c r="B208" s="14" t="s">
        <v>2718</v>
      </c>
      <c r="C208" s="14" t="s">
        <v>1258</v>
      </c>
      <c r="D208" s="14" t="s">
        <v>430</v>
      </c>
      <c r="E208" s="15" t="n">
        <v>910000</v>
      </c>
      <c r="F208" s="15" t="n">
        <v>8587.1</v>
      </c>
      <c r="G208" s="15" t="n">
        <v>1073.39</v>
      </c>
      <c r="H208" s="15" t="n">
        <v>1073.39</v>
      </c>
      <c r="I208" s="15" t="n">
        <f aca="false">SUM(K208:T208)</f>
        <v>6440.3</v>
      </c>
      <c r="J208" s="15" t="n">
        <f aca="false">F208-(G208+H208+I208)</f>
        <v>0.0200000000004366</v>
      </c>
      <c r="K208" s="15" t="n">
        <v>644.03</v>
      </c>
      <c r="L208" s="15" t="n">
        <v>644.03</v>
      </c>
      <c r="M208" s="15" t="n">
        <v>644.03</v>
      </c>
      <c r="N208" s="15" t="n">
        <v>644.03</v>
      </c>
      <c r="O208" s="15" t="n">
        <v>644.03</v>
      </c>
      <c r="P208" s="15" t="n">
        <v>644.03</v>
      </c>
      <c r="Q208" s="15" t="n">
        <v>644.03</v>
      </c>
      <c r="R208" s="15" t="n">
        <v>644.03</v>
      </c>
      <c r="S208" s="15" t="n">
        <v>644.03</v>
      </c>
      <c r="T208" s="15" t="n">
        <v>644.03</v>
      </c>
      <c r="U208" s="15" t="n">
        <v>350</v>
      </c>
      <c r="V208" s="15" t="n">
        <v>0</v>
      </c>
      <c r="W208" s="15" t="n">
        <f aca="false">U208+V208</f>
        <v>350</v>
      </c>
    </row>
    <row r="209" customFormat="false" ht="15" hidden="false" customHeight="false" outlineLevel="0" collapsed="false">
      <c r="A209" s="8" t="s">
        <v>459</v>
      </c>
      <c r="E209" s="9" t="n">
        <f aca="false">SUM(E5:E208)</f>
        <v>137100000</v>
      </c>
      <c r="F209" s="9" t="n">
        <f aca="false">SUM(F5:F208)</f>
        <v>1622960.73</v>
      </c>
      <c r="G209" s="9" t="n">
        <f aca="false">SUM(G5:G208)</f>
        <v>202870.06</v>
      </c>
      <c r="H209" s="9" t="n">
        <f aca="false">SUM(H5:H208)</f>
        <v>202870.06</v>
      </c>
      <c r="I209" s="9" t="n">
        <f aca="false">SUM(I5:I208)</f>
        <v>1217220.8</v>
      </c>
      <c r="J209" s="9" t="n">
        <f aca="false">SUM(J5:J208)</f>
        <v>-0.190000000003238</v>
      </c>
      <c r="K209" s="9" t="n">
        <f aca="false">SUM(K5:K208)</f>
        <v>121722.08</v>
      </c>
      <c r="L209" s="9" t="n">
        <f aca="false">SUM(L5:L208)</f>
        <v>121722.08</v>
      </c>
      <c r="M209" s="9" t="n">
        <f aca="false">SUM(M5:M208)</f>
        <v>121722.08</v>
      </c>
      <c r="N209" s="9" t="n">
        <f aca="false">SUM(N5:N208)</f>
        <v>121722.08</v>
      </c>
      <c r="O209" s="9" t="n">
        <f aca="false">SUM(O5:O208)</f>
        <v>121722.08</v>
      </c>
      <c r="P209" s="9" t="n">
        <f aca="false">SUM(P5:P208)</f>
        <v>121722.08</v>
      </c>
      <c r="Q209" s="9" t="n">
        <f aca="false">SUM(Q5:Q208)</f>
        <v>121722.08</v>
      </c>
      <c r="R209" s="9" t="n">
        <f aca="false">SUM(R5:R208)</f>
        <v>121722.08</v>
      </c>
      <c r="S209" s="9" t="n">
        <f aca="false">SUM(S5:S208)</f>
        <v>121722.08</v>
      </c>
      <c r="T209" s="9" t="n">
        <f aca="false">SUM(T5:T208)</f>
        <v>121722.08</v>
      </c>
      <c r="U209" s="9" t="n">
        <f aca="false">SUM(U5:U208)</f>
        <v>71400</v>
      </c>
      <c r="V209" s="9" t="n">
        <f aca="false">SUM(V5:V208)</f>
        <v>10250</v>
      </c>
      <c r="W209" s="9" t="n">
        <f aca="false">SUM(W5:W208)</f>
        <v>81650</v>
      </c>
    </row>
    <row r="210" customFormat="false" ht="15" hidden="false" customHeight="false" outlineLevel="0" collapsed="false">
      <c r="A210" s="4" t="s">
        <v>460</v>
      </c>
      <c r="F210" s="16" t="n">
        <f aca="false">F209-(G209+H209+I209+J209)</f>
        <v>0</v>
      </c>
    </row>
    <row r="211" customFormat="false" ht="15" hidden="false" customHeight="false" outlineLevel="0" collapsed="false">
      <c r="A211" s="4" t="s">
        <v>461</v>
      </c>
      <c r="I211" s="16" t="n">
        <f aca="false">I209-SUM(K209:T209)</f>
        <v>0</v>
      </c>
    </row>
  </sheetData>
  <autoFilter ref="A4:W2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21" min="11" style="0" width="11"/>
    <col collapsed="false" customWidth="true" hidden="false" outlineLevel="0" max="22" min="22" style="0" width="13"/>
    <col collapsed="false" customWidth="true" hidden="false" outlineLevel="0" max="23" min="23" style="0" width="11"/>
  </cols>
  <sheetData>
    <row r="1" customFormat="false" ht="17.35" hidden="false" customHeight="false" outlineLevel="0" collapsed="false">
      <c r="A1" s="1" t="s">
        <v>2891</v>
      </c>
    </row>
    <row r="2" customFormat="false" ht="15" hidden="false" customHeight="false" outlineLevel="0" collapsed="false">
      <c r="A2" s="4" t="s">
        <v>60</v>
      </c>
    </row>
    <row r="4" customFormat="false" ht="15" hidden="false" customHeight="false" outlineLevel="0" collapsed="false">
      <c r="A4" s="5" t="s">
        <v>61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15</v>
      </c>
      <c r="G4" s="5" t="s">
        <v>16</v>
      </c>
      <c r="H4" s="5" t="s">
        <v>17</v>
      </c>
      <c r="I4" s="5" t="s">
        <v>18</v>
      </c>
      <c r="J4" s="5" t="s">
        <v>19</v>
      </c>
      <c r="K4" s="5" t="s">
        <v>20</v>
      </c>
      <c r="L4" s="5" t="s">
        <v>21</v>
      </c>
      <c r="M4" s="5" t="s">
        <v>22</v>
      </c>
      <c r="N4" s="5" t="s">
        <v>23</v>
      </c>
      <c r="O4" s="5" t="s">
        <v>24</v>
      </c>
      <c r="P4" s="5" t="s">
        <v>25</v>
      </c>
      <c r="Q4" s="5" t="s">
        <v>26</v>
      </c>
      <c r="R4" s="5" t="s">
        <v>27</v>
      </c>
      <c r="S4" s="5" t="s">
        <v>28</v>
      </c>
      <c r="T4" s="5" t="s">
        <v>29</v>
      </c>
      <c r="U4" s="5" t="s">
        <v>30</v>
      </c>
      <c r="V4" s="5" t="s">
        <v>31</v>
      </c>
      <c r="W4" s="5" t="s">
        <v>32</v>
      </c>
    </row>
    <row r="5" customFormat="false" ht="15" hidden="false" customHeight="false" outlineLevel="0" collapsed="false">
      <c r="A5" s="3" t="s">
        <v>2892</v>
      </c>
      <c r="B5" s="3" t="s">
        <v>2893</v>
      </c>
      <c r="C5" s="3" t="s">
        <v>777</v>
      </c>
      <c r="D5" s="3" t="s">
        <v>93</v>
      </c>
      <c r="E5" s="13" t="n">
        <v>1160000</v>
      </c>
      <c r="F5" s="13" t="n">
        <v>11784.27</v>
      </c>
      <c r="G5" s="13" t="n">
        <v>1473.03</v>
      </c>
      <c r="H5" s="13" t="n">
        <v>1473.03</v>
      </c>
      <c r="I5" s="13" t="n">
        <f aca="false">SUM(K5:T5)</f>
        <v>8838.2</v>
      </c>
      <c r="J5" s="13" t="n">
        <f aca="false">F5-(G5+H5+I5)</f>
        <v>0.0100000000002183</v>
      </c>
      <c r="K5" s="13" t="n">
        <v>883.82</v>
      </c>
      <c r="L5" s="13" t="n">
        <v>883.82</v>
      </c>
      <c r="M5" s="13" t="n">
        <v>883.82</v>
      </c>
      <c r="N5" s="13" t="n">
        <v>883.82</v>
      </c>
      <c r="O5" s="13" t="n">
        <v>883.82</v>
      </c>
      <c r="P5" s="13" t="n">
        <v>883.82</v>
      </c>
      <c r="Q5" s="13" t="n">
        <v>883.82</v>
      </c>
      <c r="R5" s="13" t="n">
        <v>883.82</v>
      </c>
      <c r="S5" s="13" t="n">
        <v>883.82</v>
      </c>
      <c r="T5" s="13" t="n">
        <v>883.82</v>
      </c>
      <c r="U5" s="13" t="n">
        <v>350</v>
      </c>
      <c r="V5" s="13" t="n">
        <v>250</v>
      </c>
      <c r="W5" s="13" t="n">
        <f aca="false">U5+V5</f>
        <v>600</v>
      </c>
    </row>
    <row r="6" customFormat="false" ht="15" hidden="false" customHeight="false" outlineLevel="0" collapsed="false">
      <c r="A6" s="14" t="s">
        <v>2894</v>
      </c>
      <c r="B6" s="14" t="s">
        <v>2895</v>
      </c>
      <c r="C6" s="14" t="s">
        <v>670</v>
      </c>
      <c r="D6" s="14" t="s">
        <v>69</v>
      </c>
      <c r="E6" s="15" t="n">
        <v>860000</v>
      </c>
      <c r="F6" s="15" t="n">
        <v>7824.48</v>
      </c>
      <c r="G6" s="15" t="n">
        <v>978.06</v>
      </c>
      <c r="H6" s="15" t="n">
        <v>978.06</v>
      </c>
      <c r="I6" s="15" t="n">
        <f aca="false">SUM(K6:T6)</f>
        <v>5868.4</v>
      </c>
      <c r="J6" s="15" t="n">
        <f aca="false">F6-(G6+H6+I6)</f>
        <v>-0.0400000000008731</v>
      </c>
      <c r="K6" s="15" t="n">
        <v>586.84</v>
      </c>
      <c r="L6" s="15" t="n">
        <v>586.84</v>
      </c>
      <c r="M6" s="15" t="n">
        <v>586.84</v>
      </c>
      <c r="N6" s="15" t="n">
        <v>586.84</v>
      </c>
      <c r="O6" s="15" t="n">
        <v>586.84</v>
      </c>
      <c r="P6" s="15" t="n">
        <v>586.84</v>
      </c>
      <c r="Q6" s="15" t="n">
        <v>586.84</v>
      </c>
      <c r="R6" s="15" t="n">
        <v>586.84</v>
      </c>
      <c r="S6" s="15" t="n">
        <v>586.84</v>
      </c>
      <c r="T6" s="15" t="n">
        <v>586.84</v>
      </c>
      <c r="U6" s="15" t="n">
        <v>350</v>
      </c>
      <c r="V6" s="15" t="n">
        <v>0</v>
      </c>
      <c r="W6" s="15" t="n">
        <f aca="false">U6+V6</f>
        <v>350</v>
      </c>
    </row>
    <row r="7" customFormat="false" ht="15" hidden="false" customHeight="false" outlineLevel="0" collapsed="false">
      <c r="A7" s="3" t="s">
        <v>2896</v>
      </c>
      <c r="B7" s="3" t="s">
        <v>2897</v>
      </c>
      <c r="C7" s="3" t="s">
        <v>982</v>
      </c>
      <c r="D7" s="3" t="s">
        <v>377</v>
      </c>
      <c r="E7" s="13" t="n">
        <v>535000</v>
      </c>
      <c r="F7" s="13" t="n">
        <v>6724.25</v>
      </c>
      <c r="G7" s="13" t="n">
        <v>840.53</v>
      </c>
      <c r="H7" s="13" t="n">
        <v>840.53</v>
      </c>
      <c r="I7" s="13" t="n">
        <f aca="false">SUM(K7:T7)</f>
        <v>5043.2</v>
      </c>
      <c r="J7" s="13" t="n">
        <f aca="false">F7-(G7+H7+I7)</f>
        <v>-0.0100000000002183</v>
      </c>
      <c r="K7" s="13" t="n">
        <v>504.32</v>
      </c>
      <c r="L7" s="13" t="n">
        <v>504.32</v>
      </c>
      <c r="M7" s="13" t="n">
        <v>504.32</v>
      </c>
      <c r="N7" s="13" t="n">
        <v>504.32</v>
      </c>
      <c r="O7" s="13" t="n">
        <v>504.32</v>
      </c>
      <c r="P7" s="13" t="n">
        <v>504.32</v>
      </c>
      <c r="Q7" s="13" t="n">
        <v>504.32</v>
      </c>
      <c r="R7" s="13" t="n">
        <v>504.32</v>
      </c>
      <c r="S7" s="13" t="n">
        <v>504.32</v>
      </c>
      <c r="T7" s="13" t="n">
        <v>504.32</v>
      </c>
      <c r="U7" s="13" t="n">
        <v>350</v>
      </c>
      <c r="V7" s="13" t="n">
        <v>0</v>
      </c>
      <c r="W7" s="13" t="n">
        <f aca="false">U7+V7</f>
        <v>350</v>
      </c>
    </row>
    <row r="8" customFormat="false" ht="15" hidden="false" customHeight="false" outlineLevel="0" collapsed="false">
      <c r="A8" s="14" t="s">
        <v>2898</v>
      </c>
      <c r="B8" s="14" t="s">
        <v>2899</v>
      </c>
      <c r="C8" s="14" t="s">
        <v>2604</v>
      </c>
      <c r="D8" s="14" t="s">
        <v>189</v>
      </c>
      <c r="E8" s="15" t="n">
        <v>645000</v>
      </c>
      <c r="F8" s="15" t="n">
        <v>6654.85</v>
      </c>
      <c r="G8" s="15" t="n">
        <v>831.86</v>
      </c>
      <c r="H8" s="15" t="n">
        <v>831.86</v>
      </c>
      <c r="I8" s="15" t="n">
        <f aca="false">SUM(K8:T8)</f>
        <v>4991.1</v>
      </c>
      <c r="J8" s="15" t="n">
        <f aca="false">F8-(G8+H8+I8)</f>
        <v>0.0300000000006548</v>
      </c>
      <c r="K8" s="15" t="n">
        <v>499.11</v>
      </c>
      <c r="L8" s="15" t="n">
        <v>499.11</v>
      </c>
      <c r="M8" s="15" t="n">
        <v>499.11</v>
      </c>
      <c r="N8" s="15" t="n">
        <v>499.11</v>
      </c>
      <c r="O8" s="15" t="n">
        <v>499.11</v>
      </c>
      <c r="P8" s="15" t="n">
        <v>499.11</v>
      </c>
      <c r="Q8" s="15" t="n">
        <v>499.11</v>
      </c>
      <c r="R8" s="15" t="n">
        <v>499.11</v>
      </c>
      <c r="S8" s="15" t="n">
        <v>499.11</v>
      </c>
      <c r="T8" s="15" t="n">
        <v>499.11</v>
      </c>
      <c r="U8" s="15" t="n">
        <v>350</v>
      </c>
      <c r="V8" s="15" t="n">
        <v>0</v>
      </c>
      <c r="W8" s="15" t="n">
        <f aca="false">U8+V8</f>
        <v>350</v>
      </c>
    </row>
    <row r="9" customFormat="false" ht="15" hidden="false" customHeight="false" outlineLevel="0" collapsed="false">
      <c r="A9" s="3" t="s">
        <v>2900</v>
      </c>
      <c r="B9" s="3" t="s">
        <v>2901</v>
      </c>
      <c r="C9" s="3" t="s">
        <v>551</v>
      </c>
      <c r="D9" s="3" t="s">
        <v>153</v>
      </c>
      <c r="E9" s="13" t="n">
        <v>1730000</v>
      </c>
      <c r="F9" s="13" t="n">
        <v>30955.64</v>
      </c>
      <c r="G9" s="13" t="n">
        <v>3869.45</v>
      </c>
      <c r="H9" s="13" t="n">
        <v>3869.45</v>
      </c>
      <c r="I9" s="13" t="n">
        <f aca="false">SUM(K9:T9)</f>
        <v>23216.7</v>
      </c>
      <c r="J9" s="13" t="n">
        <f aca="false">F9-(G9+H9+I9)</f>
        <v>0.0400000000008731</v>
      </c>
      <c r="K9" s="13" t="n">
        <v>2321.67</v>
      </c>
      <c r="L9" s="13" t="n">
        <v>2321.67</v>
      </c>
      <c r="M9" s="13" t="n">
        <v>2321.67</v>
      </c>
      <c r="N9" s="13" t="n">
        <v>2321.67</v>
      </c>
      <c r="O9" s="13" t="n">
        <v>2321.67</v>
      </c>
      <c r="P9" s="13" t="n">
        <v>2321.67</v>
      </c>
      <c r="Q9" s="13" t="n">
        <v>2321.67</v>
      </c>
      <c r="R9" s="13" t="n">
        <v>2321.67</v>
      </c>
      <c r="S9" s="13" t="n">
        <v>2321.67</v>
      </c>
      <c r="T9" s="13" t="n">
        <v>2321.67</v>
      </c>
      <c r="U9" s="13" t="n">
        <v>350</v>
      </c>
      <c r="V9" s="13" t="n">
        <v>250</v>
      </c>
      <c r="W9" s="13" t="n">
        <f aca="false">U9+V9</f>
        <v>600</v>
      </c>
    </row>
    <row r="10" customFormat="false" ht="15" hidden="false" customHeight="false" outlineLevel="0" collapsed="false">
      <c r="A10" s="14" t="s">
        <v>2902</v>
      </c>
      <c r="B10" s="14" t="s">
        <v>2901</v>
      </c>
      <c r="C10" s="14" t="s">
        <v>666</v>
      </c>
      <c r="D10" s="14" t="s">
        <v>203</v>
      </c>
      <c r="E10" s="15" t="n">
        <v>565000</v>
      </c>
      <c r="F10" s="15" t="n">
        <v>6041.42</v>
      </c>
      <c r="G10" s="15" t="n">
        <v>755.18</v>
      </c>
      <c r="H10" s="15" t="n">
        <v>755.18</v>
      </c>
      <c r="I10" s="15" t="n">
        <f aca="false">SUM(K10:T10)</f>
        <v>4531.1</v>
      </c>
      <c r="J10" s="15" t="n">
        <f aca="false">F10-(G10+H10+I10)</f>
        <v>-0.0399999999999636</v>
      </c>
      <c r="K10" s="15" t="n">
        <v>453.11</v>
      </c>
      <c r="L10" s="15" t="n">
        <v>453.11</v>
      </c>
      <c r="M10" s="15" t="n">
        <v>453.11</v>
      </c>
      <c r="N10" s="15" t="n">
        <v>453.11</v>
      </c>
      <c r="O10" s="15" t="n">
        <v>453.11</v>
      </c>
      <c r="P10" s="15" t="n">
        <v>453.11</v>
      </c>
      <c r="Q10" s="15" t="n">
        <v>453.11</v>
      </c>
      <c r="R10" s="15" t="n">
        <v>453.11</v>
      </c>
      <c r="S10" s="15" t="n">
        <v>453.11</v>
      </c>
      <c r="T10" s="15" t="n">
        <v>453.11</v>
      </c>
      <c r="U10" s="15" t="n">
        <v>350</v>
      </c>
      <c r="V10" s="15" t="n">
        <v>0</v>
      </c>
      <c r="W10" s="15" t="n">
        <f aca="false">U10+V10</f>
        <v>350</v>
      </c>
    </row>
    <row r="11" customFormat="false" ht="15" hidden="false" customHeight="false" outlineLevel="0" collapsed="false">
      <c r="A11" s="3" t="s">
        <v>2903</v>
      </c>
      <c r="B11" s="3" t="s">
        <v>2904</v>
      </c>
      <c r="C11" s="3" t="s">
        <v>1655</v>
      </c>
      <c r="D11" s="3" t="s">
        <v>112</v>
      </c>
      <c r="E11" s="13" t="n">
        <v>1310000</v>
      </c>
      <c r="F11" s="13" t="n">
        <v>9877.1</v>
      </c>
      <c r="G11" s="13" t="n">
        <v>1234.64</v>
      </c>
      <c r="H11" s="13" t="n">
        <v>1234.64</v>
      </c>
      <c r="I11" s="13" t="n">
        <f aca="false">SUM(K11:T11)</f>
        <v>7407.8</v>
      </c>
      <c r="J11" s="13" t="n">
        <f aca="false">F11-(G11+H11+I11)</f>
        <v>0.0200000000004366</v>
      </c>
      <c r="K11" s="13" t="n">
        <v>740.78</v>
      </c>
      <c r="L11" s="13" t="n">
        <v>740.78</v>
      </c>
      <c r="M11" s="13" t="n">
        <v>740.78</v>
      </c>
      <c r="N11" s="13" t="n">
        <v>740.78</v>
      </c>
      <c r="O11" s="13" t="n">
        <v>740.78</v>
      </c>
      <c r="P11" s="13" t="n">
        <v>740.78</v>
      </c>
      <c r="Q11" s="13" t="n">
        <v>740.78</v>
      </c>
      <c r="R11" s="13" t="n">
        <v>740.78</v>
      </c>
      <c r="S11" s="13" t="n">
        <v>740.78</v>
      </c>
      <c r="T11" s="13" t="n">
        <v>740.78</v>
      </c>
      <c r="U11" s="13" t="n">
        <v>350</v>
      </c>
      <c r="V11" s="13" t="n">
        <v>250</v>
      </c>
      <c r="W11" s="13" t="n">
        <f aca="false">U11+V11</f>
        <v>600</v>
      </c>
    </row>
    <row r="12" customFormat="false" ht="15" hidden="false" customHeight="false" outlineLevel="0" collapsed="false">
      <c r="A12" s="14" t="s">
        <v>2905</v>
      </c>
      <c r="B12" s="14" t="s">
        <v>2906</v>
      </c>
      <c r="C12" s="14" t="s">
        <v>1273</v>
      </c>
      <c r="D12" s="14" t="s">
        <v>352</v>
      </c>
      <c r="E12" s="15" t="n">
        <v>505000</v>
      </c>
      <c r="F12" s="15" t="n">
        <v>5352.48</v>
      </c>
      <c r="G12" s="15" t="n">
        <v>669.06</v>
      </c>
      <c r="H12" s="15" t="n">
        <v>669.06</v>
      </c>
      <c r="I12" s="15" t="n">
        <f aca="false">SUM(K12:T12)</f>
        <v>4014.4</v>
      </c>
      <c r="J12" s="15" t="n">
        <f aca="false">F12-(G12+H12+I12)</f>
        <v>-0.0400000000008731</v>
      </c>
      <c r="K12" s="15" t="n">
        <v>401.44</v>
      </c>
      <c r="L12" s="15" t="n">
        <v>401.44</v>
      </c>
      <c r="M12" s="15" t="n">
        <v>401.44</v>
      </c>
      <c r="N12" s="15" t="n">
        <v>401.44</v>
      </c>
      <c r="O12" s="15" t="n">
        <v>401.44</v>
      </c>
      <c r="P12" s="15" t="n">
        <v>401.44</v>
      </c>
      <c r="Q12" s="15" t="n">
        <v>401.44</v>
      </c>
      <c r="R12" s="15" t="n">
        <v>401.44</v>
      </c>
      <c r="S12" s="15" t="n">
        <v>401.44</v>
      </c>
      <c r="T12" s="15" t="n">
        <v>401.44</v>
      </c>
      <c r="U12" s="15" t="n">
        <v>350</v>
      </c>
      <c r="V12" s="15" t="n">
        <v>0</v>
      </c>
      <c r="W12" s="15" t="n">
        <f aca="false">U12+V12</f>
        <v>350</v>
      </c>
    </row>
    <row r="13" customFormat="false" ht="15" hidden="false" customHeight="false" outlineLevel="0" collapsed="false">
      <c r="A13" s="3" t="s">
        <v>2907</v>
      </c>
      <c r="B13" s="3" t="s">
        <v>2908</v>
      </c>
      <c r="C13" s="3" t="s">
        <v>896</v>
      </c>
      <c r="D13" s="3" t="s">
        <v>138</v>
      </c>
      <c r="E13" s="13" t="n">
        <v>335000</v>
      </c>
      <c r="F13" s="13" t="n">
        <v>4169.42</v>
      </c>
      <c r="G13" s="13" t="n">
        <v>521.18</v>
      </c>
      <c r="H13" s="13" t="n">
        <v>521.18</v>
      </c>
      <c r="I13" s="13" t="n">
        <f aca="false">SUM(K13:T13)</f>
        <v>3127.1</v>
      </c>
      <c r="J13" s="13" t="n">
        <f aca="false">F13-(G13+H13+I13)</f>
        <v>-0.0399999999999636</v>
      </c>
      <c r="K13" s="13" t="n">
        <v>312.71</v>
      </c>
      <c r="L13" s="13" t="n">
        <v>312.71</v>
      </c>
      <c r="M13" s="13" t="n">
        <v>312.71</v>
      </c>
      <c r="N13" s="13" t="n">
        <v>312.71</v>
      </c>
      <c r="O13" s="13" t="n">
        <v>312.71</v>
      </c>
      <c r="P13" s="13" t="n">
        <v>312.71</v>
      </c>
      <c r="Q13" s="13" t="n">
        <v>312.71</v>
      </c>
      <c r="R13" s="13" t="n">
        <v>312.71</v>
      </c>
      <c r="S13" s="13" t="n">
        <v>312.71</v>
      </c>
      <c r="T13" s="13" t="n">
        <v>312.71</v>
      </c>
      <c r="U13" s="13" t="n">
        <v>350</v>
      </c>
      <c r="V13" s="13" t="n">
        <v>0</v>
      </c>
      <c r="W13" s="13" t="n">
        <f aca="false">U13+V13</f>
        <v>350</v>
      </c>
    </row>
    <row r="14" customFormat="false" ht="15" hidden="false" customHeight="false" outlineLevel="0" collapsed="false">
      <c r="A14" s="14" t="s">
        <v>2909</v>
      </c>
      <c r="B14" s="14" t="s">
        <v>2899</v>
      </c>
      <c r="C14" s="14" t="s">
        <v>300</v>
      </c>
      <c r="D14" s="14" t="s">
        <v>125</v>
      </c>
      <c r="E14" s="15" t="n">
        <v>1950000</v>
      </c>
      <c r="F14" s="15" t="n">
        <v>21610.65</v>
      </c>
      <c r="G14" s="15" t="n">
        <v>2701.33</v>
      </c>
      <c r="H14" s="15" t="n">
        <v>2701.33</v>
      </c>
      <c r="I14" s="15" t="n">
        <f aca="false">SUM(K14:T14)</f>
        <v>16208</v>
      </c>
      <c r="J14" s="15" t="n">
        <f aca="false">F14-(G14+H14+I14)</f>
        <v>-0.00999999999476131</v>
      </c>
      <c r="K14" s="15" t="n">
        <v>1620.8</v>
      </c>
      <c r="L14" s="15" t="n">
        <v>1620.8</v>
      </c>
      <c r="M14" s="15" t="n">
        <v>1620.8</v>
      </c>
      <c r="N14" s="15" t="n">
        <v>1620.8</v>
      </c>
      <c r="O14" s="15" t="n">
        <v>1620.8</v>
      </c>
      <c r="P14" s="15" t="n">
        <v>1620.8</v>
      </c>
      <c r="Q14" s="15" t="n">
        <v>1620.8</v>
      </c>
      <c r="R14" s="15" t="n">
        <v>1620.8</v>
      </c>
      <c r="S14" s="15" t="n">
        <v>1620.8</v>
      </c>
      <c r="T14" s="15" t="n">
        <v>1620.8</v>
      </c>
      <c r="U14" s="15" t="n">
        <v>350</v>
      </c>
      <c r="V14" s="15" t="n">
        <v>250</v>
      </c>
      <c r="W14" s="15" t="n">
        <f aca="false">U14+V14</f>
        <v>600</v>
      </c>
    </row>
    <row r="15" customFormat="false" ht="15" hidden="false" customHeight="false" outlineLevel="0" collapsed="false">
      <c r="A15" s="3" t="s">
        <v>2910</v>
      </c>
      <c r="B15" s="3" t="s">
        <v>2906</v>
      </c>
      <c r="C15" s="3" t="s">
        <v>434</v>
      </c>
      <c r="D15" s="3" t="s">
        <v>377</v>
      </c>
      <c r="E15" s="13" t="n">
        <v>535000</v>
      </c>
      <c r="F15" s="13" t="n">
        <v>6724.25</v>
      </c>
      <c r="G15" s="13" t="n">
        <v>840.53</v>
      </c>
      <c r="H15" s="13" t="n">
        <v>840.53</v>
      </c>
      <c r="I15" s="13" t="n">
        <f aca="false">SUM(K15:T15)</f>
        <v>5043.2</v>
      </c>
      <c r="J15" s="13" t="n">
        <f aca="false">F15-(G15+H15+I15)</f>
        <v>-0.0100000000002183</v>
      </c>
      <c r="K15" s="13" t="n">
        <v>504.32</v>
      </c>
      <c r="L15" s="13" t="n">
        <v>504.32</v>
      </c>
      <c r="M15" s="13" t="n">
        <v>504.32</v>
      </c>
      <c r="N15" s="13" t="n">
        <v>504.32</v>
      </c>
      <c r="O15" s="13" t="n">
        <v>504.32</v>
      </c>
      <c r="P15" s="13" t="n">
        <v>504.32</v>
      </c>
      <c r="Q15" s="13" t="n">
        <v>504.32</v>
      </c>
      <c r="R15" s="13" t="n">
        <v>504.32</v>
      </c>
      <c r="S15" s="13" t="n">
        <v>504.32</v>
      </c>
      <c r="T15" s="13" t="n">
        <v>504.32</v>
      </c>
      <c r="U15" s="13" t="n">
        <v>350</v>
      </c>
      <c r="V15" s="13" t="n">
        <v>0</v>
      </c>
      <c r="W15" s="13" t="n">
        <f aca="false">U15+V15</f>
        <v>350</v>
      </c>
    </row>
    <row r="16" customFormat="false" ht="15" hidden="false" customHeight="false" outlineLevel="0" collapsed="false">
      <c r="A16" s="14" t="s">
        <v>2911</v>
      </c>
      <c r="B16" s="14" t="s">
        <v>2912</v>
      </c>
      <c r="C16" s="14" t="s">
        <v>538</v>
      </c>
      <c r="D16" s="14" t="s">
        <v>180</v>
      </c>
      <c r="E16" s="15" t="n">
        <v>220000</v>
      </c>
      <c r="F16" s="15" t="n">
        <v>4033.38</v>
      </c>
      <c r="G16" s="15" t="n">
        <v>504.17</v>
      </c>
      <c r="H16" s="15" t="n">
        <v>504.17</v>
      </c>
      <c r="I16" s="15" t="n">
        <f aca="false">SUM(K16:T16)</f>
        <v>3025</v>
      </c>
      <c r="J16" s="15" t="n">
        <f aca="false">F16-(G16+H16+I16)</f>
        <v>0.0399999999999636</v>
      </c>
      <c r="K16" s="15" t="n">
        <v>302.5</v>
      </c>
      <c r="L16" s="15" t="n">
        <v>302.5</v>
      </c>
      <c r="M16" s="15" t="n">
        <v>302.5</v>
      </c>
      <c r="N16" s="15" t="n">
        <v>302.5</v>
      </c>
      <c r="O16" s="15" t="n">
        <v>302.5</v>
      </c>
      <c r="P16" s="15" t="n">
        <v>302.5</v>
      </c>
      <c r="Q16" s="15" t="n">
        <v>302.5</v>
      </c>
      <c r="R16" s="15" t="n">
        <v>302.5</v>
      </c>
      <c r="S16" s="15" t="n">
        <v>302.5</v>
      </c>
      <c r="T16" s="15" t="n">
        <v>302.5</v>
      </c>
      <c r="U16" s="15" t="n">
        <v>350</v>
      </c>
      <c r="V16" s="15" t="n">
        <v>0</v>
      </c>
      <c r="W16" s="15" t="n">
        <f aca="false">U16+V16</f>
        <v>350</v>
      </c>
    </row>
    <row r="17" customFormat="false" ht="15" hidden="false" customHeight="false" outlineLevel="0" collapsed="false">
      <c r="A17" s="3" t="s">
        <v>2913</v>
      </c>
      <c r="B17" s="3" t="s">
        <v>2914</v>
      </c>
      <c r="C17" s="3" t="s">
        <v>1204</v>
      </c>
      <c r="D17" s="3" t="s">
        <v>203</v>
      </c>
      <c r="E17" s="13" t="n">
        <v>395000</v>
      </c>
      <c r="F17" s="13" t="n">
        <v>4873.44</v>
      </c>
      <c r="G17" s="13" t="n">
        <v>609.18</v>
      </c>
      <c r="H17" s="13" t="n">
        <v>609.18</v>
      </c>
      <c r="I17" s="13" t="n">
        <f aca="false">SUM(K17:T17)</f>
        <v>3655.1</v>
      </c>
      <c r="J17" s="13" t="n">
        <f aca="false">F17-(G17+H17+I17)</f>
        <v>-0.0200000000004366</v>
      </c>
      <c r="K17" s="13" t="n">
        <v>365.51</v>
      </c>
      <c r="L17" s="13" t="n">
        <v>365.51</v>
      </c>
      <c r="M17" s="13" t="n">
        <v>365.51</v>
      </c>
      <c r="N17" s="13" t="n">
        <v>365.51</v>
      </c>
      <c r="O17" s="13" t="n">
        <v>365.51</v>
      </c>
      <c r="P17" s="13" t="n">
        <v>365.51</v>
      </c>
      <c r="Q17" s="13" t="n">
        <v>365.51</v>
      </c>
      <c r="R17" s="13" t="n">
        <v>365.51</v>
      </c>
      <c r="S17" s="13" t="n">
        <v>365.51</v>
      </c>
      <c r="T17" s="13" t="n">
        <v>365.51</v>
      </c>
      <c r="U17" s="13" t="n">
        <v>350</v>
      </c>
      <c r="V17" s="13" t="n">
        <v>0</v>
      </c>
      <c r="W17" s="13" t="n">
        <f aca="false">U17+V17</f>
        <v>350</v>
      </c>
    </row>
    <row r="18" customFormat="false" ht="15" hidden="false" customHeight="false" outlineLevel="0" collapsed="false">
      <c r="A18" s="14" t="s">
        <v>2915</v>
      </c>
      <c r="B18" s="14" t="s">
        <v>2916</v>
      </c>
      <c r="C18" s="14" t="s">
        <v>1264</v>
      </c>
      <c r="D18" s="14" t="s">
        <v>911</v>
      </c>
      <c r="E18" s="15" t="n">
        <v>1265000</v>
      </c>
      <c r="F18" s="15" t="n">
        <v>13405.87</v>
      </c>
      <c r="G18" s="15" t="n">
        <v>1675.73</v>
      </c>
      <c r="H18" s="15" t="n">
        <v>1675.73</v>
      </c>
      <c r="I18" s="15" t="n">
        <f aca="false">SUM(K18:T18)</f>
        <v>10054.4</v>
      </c>
      <c r="J18" s="15" t="n">
        <f aca="false">F18-(G18+H18+I18)</f>
        <v>0.0100000000002183</v>
      </c>
      <c r="K18" s="15" t="n">
        <v>1005.44</v>
      </c>
      <c r="L18" s="15" t="n">
        <v>1005.44</v>
      </c>
      <c r="M18" s="15" t="n">
        <v>1005.44</v>
      </c>
      <c r="N18" s="15" t="n">
        <v>1005.44</v>
      </c>
      <c r="O18" s="15" t="n">
        <v>1005.44</v>
      </c>
      <c r="P18" s="15" t="n">
        <v>1005.44</v>
      </c>
      <c r="Q18" s="15" t="n">
        <v>1005.44</v>
      </c>
      <c r="R18" s="15" t="n">
        <v>1005.44</v>
      </c>
      <c r="S18" s="15" t="n">
        <v>1005.44</v>
      </c>
      <c r="T18" s="15" t="n">
        <v>1005.44</v>
      </c>
      <c r="U18" s="15" t="n">
        <v>350</v>
      </c>
      <c r="V18" s="15" t="n">
        <v>250</v>
      </c>
      <c r="W18" s="15" t="n">
        <f aca="false">U18+V18</f>
        <v>600</v>
      </c>
    </row>
    <row r="19" customFormat="false" ht="15" hidden="false" customHeight="false" outlineLevel="0" collapsed="false">
      <c r="A19" s="3" t="s">
        <v>2917</v>
      </c>
      <c r="B19" s="3" t="s">
        <v>2918</v>
      </c>
      <c r="C19" s="3" t="s">
        <v>673</v>
      </c>
      <c r="D19" s="3" t="s">
        <v>81</v>
      </c>
      <c r="E19" s="13" t="n">
        <v>570000</v>
      </c>
      <c r="F19" s="13" t="n">
        <v>6843.37</v>
      </c>
      <c r="G19" s="13" t="n">
        <v>855.42</v>
      </c>
      <c r="H19" s="13" t="n">
        <v>855.42</v>
      </c>
      <c r="I19" s="13" t="n">
        <f aca="false">SUM(K19:T19)</f>
        <v>5132.5</v>
      </c>
      <c r="J19" s="13" t="n">
        <f aca="false">F19-(G19+H19+I19)</f>
        <v>0.0299999999997453</v>
      </c>
      <c r="K19" s="13" t="n">
        <v>513.25</v>
      </c>
      <c r="L19" s="13" t="n">
        <v>513.25</v>
      </c>
      <c r="M19" s="13" t="n">
        <v>513.25</v>
      </c>
      <c r="N19" s="13" t="n">
        <v>513.25</v>
      </c>
      <c r="O19" s="13" t="n">
        <v>513.25</v>
      </c>
      <c r="P19" s="13" t="n">
        <v>513.25</v>
      </c>
      <c r="Q19" s="13" t="n">
        <v>513.25</v>
      </c>
      <c r="R19" s="13" t="n">
        <v>513.25</v>
      </c>
      <c r="S19" s="13" t="n">
        <v>513.25</v>
      </c>
      <c r="T19" s="13" t="n">
        <v>513.25</v>
      </c>
      <c r="U19" s="13" t="n">
        <v>350</v>
      </c>
      <c r="V19" s="13" t="n">
        <v>0</v>
      </c>
      <c r="W19" s="13" t="n">
        <f aca="false">U19+V19</f>
        <v>350</v>
      </c>
    </row>
    <row r="20" customFormat="false" ht="15" hidden="false" customHeight="false" outlineLevel="0" collapsed="false">
      <c r="A20" s="14" t="s">
        <v>2919</v>
      </c>
      <c r="B20" s="14" t="s">
        <v>2920</v>
      </c>
      <c r="C20" s="14" t="s">
        <v>673</v>
      </c>
      <c r="D20" s="14" t="s">
        <v>121</v>
      </c>
      <c r="E20" s="15" t="n">
        <v>545000</v>
      </c>
      <c r="F20" s="15" t="n">
        <v>6236.51</v>
      </c>
      <c r="G20" s="15" t="n">
        <v>779.56</v>
      </c>
      <c r="H20" s="15" t="n">
        <v>779.56</v>
      </c>
      <c r="I20" s="15" t="n">
        <f aca="false">SUM(K20:T20)</f>
        <v>4677.4</v>
      </c>
      <c r="J20" s="15" t="n">
        <f aca="false">F20-(G20+H20+I20)</f>
        <v>-0.00999999999930878</v>
      </c>
      <c r="K20" s="15" t="n">
        <v>467.74</v>
      </c>
      <c r="L20" s="15" t="n">
        <v>467.74</v>
      </c>
      <c r="M20" s="15" t="n">
        <v>467.74</v>
      </c>
      <c r="N20" s="15" t="n">
        <v>467.74</v>
      </c>
      <c r="O20" s="15" t="n">
        <v>467.74</v>
      </c>
      <c r="P20" s="15" t="n">
        <v>467.74</v>
      </c>
      <c r="Q20" s="15" t="n">
        <v>467.74</v>
      </c>
      <c r="R20" s="15" t="n">
        <v>467.74</v>
      </c>
      <c r="S20" s="15" t="n">
        <v>467.74</v>
      </c>
      <c r="T20" s="15" t="n">
        <v>467.74</v>
      </c>
      <c r="U20" s="15" t="n">
        <v>350</v>
      </c>
      <c r="V20" s="15" t="n">
        <v>0</v>
      </c>
      <c r="W20" s="15" t="n">
        <f aca="false">U20+V20</f>
        <v>350</v>
      </c>
    </row>
    <row r="21" customFormat="false" ht="15" hidden="false" customHeight="false" outlineLevel="0" collapsed="false">
      <c r="A21" s="3" t="s">
        <v>2921</v>
      </c>
      <c r="B21" s="3" t="s">
        <v>2897</v>
      </c>
      <c r="C21" s="3" t="s">
        <v>272</v>
      </c>
      <c r="D21" s="3" t="s">
        <v>157</v>
      </c>
      <c r="E21" s="13" t="n">
        <v>1035000</v>
      </c>
      <c r="F21" s="13" t="n">
        <v>16966.44</v>
      </c>
      <c r="G21" s="13" t="n">
        <v>2120.8</v>
      </c>
      <c r="H21" s="13" t="n">
        <v>2120.8</v>
      </c>
      <c r="I21" s="13" t="n">
        <f aca="false">SUM(K21:T21)</f>
        <v>12724.8</v>
      </c>
      <c r="J21" s="13" t="n">
        <f aca="false">F21-(G21+H21+I21)</f>
        <v>0.0399999999972351</v>
      </c>
      <c r="K21" s="13" t="n">
        <v>1272.48</v>
      </c>
      <c r="L21" s="13" t="n">
        <v>1272.48</v>
      </c>
      <c r="M21" s="13" t="n">
        <v>1272.48</v>
      </c>
      <c r="N21" s="13" t="n">
        <v>1272.48</v>
      </c>
      <c r="O21" s="13" t="n">
        <v>1272.48</v>
      </c>
      <c r="P21" s="13" t="n">
        <v>1272.48</v>
      </c>
      <c r="Q21" s="13" t="n">
        <v>1272.48</v>
      </c>
      <c r="R21" s="13" t="n">
        <v>1272.48</v>
      </c>
      <c r="S21" s="13" t="n">
        <v>1272.48</v>
      </c>
      <c r="T21" s="13" t="n">
        <v>1272.48</v>
      </c>
      <c r="U21" s="13" t="n">
        <v>350</v>
      </c>
      <c r="V21" s="13" t="n">
        <v>250</v>
      </c>
      <c r="W21" s="13" t="n">
        <f aca="false">U21+V21</f>
        <v>600</v>
      </c>
    </row>
    <row r="22" customFormat="false" ht="15" hidden="false" customHeight="false" outlineLevel="0" collapsed="false">
      <c r="A22" s="14" t="s">
        <v>2922</v>
      </c>
      <c r="B22" s="14" t="s">
        <v>2923</v>
      </c>
      <c r="C22" s="14" t="s">
        <v>1221</v>
      </c>
      <c r="D22" s="14" t="s">
        <v>377</v>
      </c>
      <c r="E22" s="15" t="n">
        <v>685000</v>
      </c>
      <c r="F22" s="15" t="n">
        <v>8609.55</v>
      </c>
      <c r="G22" s="15" t="n">
        <v>1076.19</v>
      </c>
      <c r="H22" s="15" t="n">
        <v>1076.19</v>
      </c>
      <c r="I22" s="15" t="n">
        <f aca="false">SUM(K22:T22)</f>
        <v>6457.2</v>
      </c>
      <c r="J22" s="15" t="n">
        <f aca="false">F22-(G22+H22+I22)</f>
        <v>-0.0300000000024738</v>
      </c>
      <c r="K22" s="15" t="n">
        <v>645.72</v>
      </c>
      <c r="L22" s="15" t="n">
        <v>645.72</v>
      </c>
      <c r="M22" s="15" t="n">
        <v>645.72</v>
      </c>
      <c r="N22" s="15" t="n">
        <v>645.72</v>
      </c>
      <c r="O22" s="15" t="n">
        <v>645.72</v>
      </c>
      <c r="P22" s="15" t="n">
        <v>645.72</v>
      </c>
      <c r="Q22" s="15" t="n">
        <v>645.72</v>
      </c>
      <c r="R22" s="15" t="n">
        <v>645.72</v>
      </c>
      <c r="S22" s="15" t="n">
        <v>645.72</v>
      </c>
      <c r="T22" s="15" t="n">
        <v>645.72</v>
      </c>
      <c r="U22" s="15" t="n">
        <v>350</v>
      </c>
      <c r="V22" s="15" t="n">
        <v>0</v>
      </c>
      <c r="W22" s="15" t="n">
        <f aca="false">U22+V22</f>
        <v>350</v>
      </c>
    </row>
    <row r="23" customFormat="false" ht="15" hidden="false" customHeight="false" outlineLevel="0" collapsed="false">
      <c r="A23" s="3" t="s">
        <v>2924</v>
      </c>
      <c r="B23" s="3" t="s">
        <v>2925</v>
      </c>
      <c r="C23" s="3" t="s">
        <v>608</v>
      </c>
      <c r="D23" s="3" t="s">
        <v>99</v>
      </c>
      <c r="E23" s="13" t="n">
        <v>520000</v>
      </c>
      <c r="F23" s="13" t="n">
        <v>6633.27</v>
      </c>
      <c r="G23" s="13" t="n">
        <v>829.16</v>
      </c>
      <c r="H23" s="13" t="n">
        <v>829.16</v>
      </c>
      <c r="I23" s="13" t="n">
        <f aca="false">SUM(K23:T23)</f>
        <v>4975</v>
      </c>
      <c r="J23" s="13" t="n">
        <f aca="false">F23-(G23+H23+I23)</f>
        <v>-0.0499999999992724</v>
      </c>
      <c r="K23" s="13" t="n">
        <v>497.5</v>
      </c>
      <c r="L23" s="13" t="n">
        <v>497.5</v>
      </c>
      <c r="M23" s="13" t="n">
        <v>497.5</v>
      </c>
      <c r="N23" s="13" t="n">
        <v>497.5</v>
      </c>
      <c r="O23" s="13" t="n">
        <v>497.5</v>
      </c>
      <c r="P23" s="13" t="n">
        <v>497.5</v>
      </c>
      <c r="Q23" s="13" t="n">
        <v>497.5</v>
      </c>
      <c r="R23" s="13" t="n">
        <v>497.5</v>
      </c>
      <c r="S23" s="13" t="n">
        <v>497.5</v>
      </c>
      <c r="T23" s="13" t="n">
        <v>497.5</v>
      </c>
      <c r="U23" s="13" t="n">
        <v>350</v>
      </c>
      <c r="V23" s="13" t="n">
        <v>0</v>
      </c>
      <c r="W23" s="13" t="n">
        <f aca="false">U23+V23</f>
        <v>350</v>
      </c>
    </row>
    <row r="24" customFormat="false" ht="15" hidden="false" customHeight="false" outlineLevel="0" collapsed="false">
      <c r="A24" s="14" t="s">
        <v>2926</v>
      </c>
      <c r="B24" s="14" t="s">
        <v>2925</v>
      </c>
      <c r="C24" s="14" t="s">
        <v>1146</v>
      </c>
      <c r="D24" s="14" t="s">
        <v>99</v>
      </c>
      <c r="E24" s="15" t="n">
        <v>1560000</v>
      </c>
      <c r="F24" s="15" t="n">
        <v>16838.3</v>
      </c>
      <c r="G24" s="15" t="n">
        <v>2104.79</v>
      </c>
      <c r="H24" s="15" t="n">
        <v>2104.79</v>
      </c>
      <c r="I24" s="15" t="n">
        <f aca="false">SUM(K24:T24)</f>
        <v>12628.7</v>
      </c>
      <c r="J24" s="15" t="n">
        <f aca="false">F24-(G24+H24+I24)</f>
        <v>0.0200000000004366</v>
      </c>
      <c r="K24" s="15" t="n">
        <v>1262.87</v>
      </c>
      <c r="L24" s="15" t="n">
        <v>1262.87</v>
      </c>
      <c r="M24" s="15" t="n">
        <v>1262.87</v>
      </c>
      <c r="N24" s="15" t="n">
        <v>1262.87</v>
      </c>
      <c r="O24" s="15" t="n">
        <v>1262.87</v>
      </c>
      <c r="P24" s="15" t="n">
        <v>1262.87</v>
      </c>
      <c r="Q24" s="15" t="n">
        <v>1262.87</v>
      </c>
      <c r="R24" s="15" t="n">
        <v>1262.87</v>
      </c>
      <c r="S24" s="15" t="n">
        <v>1262.87</v>
      </c>
      <c r="T24" s="15" t="n">
        <v>1262.87</v>
      </c>
      <c r="U24" s="15" t="n">
        <v>350</v>
      </c>
      <c r="V24" s="15" t="n">
        <v>250</v>
      </c>
      <c r="W24" s="15" t="n">
        <f aca="false">U24+V24</f>
        <v>600</v>
      </c>
    </row>
    <row r="25" customFormat="false" ht="15" hidden="false" customHeight="false" outlineLevel="0" collapsed="false">
      <c r="A25" s="3" t="s">
        <v>2927</v>
      </c>
      <c r="B25" s="3" t="s">
        <v>2928</v>
      </c>
      <c r="C25" s="3" t="s">
        <v>660</v>
      </c>
      <c r="D25" s="3" t="s">
        <v>85</v>
      </c>
      <c r="E25" s="13" t="n">
        <v>555000</v>
      </c>
      <c r="F25" s="13" t="n">
        <v>7235.91</v>
      </c>
      <c r="G25" s="13" t="n">
        <v>904.49</v>
      </c>
      <c r="H25" s="13" t="n">
        <v>904.49</v>
      </c>
      <c r="I25" s="13" t="n">
        <f aca="false">SUM(K25:T25)</f>
        <v>5426.9</v>
      </c>
      <c r="J25" s="13" t="n">
        <f aca="false">F25-(G25+H25+I25)</f>
        <v>0.0299999999988358</v>
      </c>
      <c r="K25" s="13" t="n">
        <v>542.69</v>
      </c>
      <c r="L25" s="13" t="n">
        <v>542.69</v>
      </c>
      <c r="M25" s="13" t="n">
        <v>542.69</v>
      </c>
      <c r="N25" s="13" t="n">
        <v>542.69</v>
      </c>
      <c r="O25" s="13" t="n">
        <v>542.69</v>
      </c>
      <c r="P25" s="13" t="n">
        <v>542.69</v>
      </c>
      <c r="Q25" s="13" t="n">
        <v>542.69</v>
      </c>
      <c r="R25" s="13" t="n">
        <v>542.69</v>
      </c>
      <c r="S25" s="13" t="n">
        <v>542.69</v>
      </c>
      <c r="T25" s="13" t="n">
        <v>542.69</v>
      </c>
      <c r="U25" s="13" t="n">
        <v>350</v>
      </c>
      <c r="V25" s="13" t="n">
        <v>0</v>
      </c>
      <c r="W25" s="13" t="n">
        <f aca="false">U25+V25</f>
        <v>350</v>
      </c>
    </row>
    <row r="26" customFormat="false" ht="15" hidden="false" customHeight="false" outlineLevel="0" collapsed="false">
      <c r="A26" s="14" t="s">
        <v>2929</v>
      </c>
      <c r="B26" s="14" t="s">
        <v>2930</v>
      </c>
      <c r="C26" s="14" t="s">
        <v>391</v>
      </c>
      <c r="D26" s="14" t="s">
        <v>172</v>
      </c>
      <c r="E26" s="15" t="n">
        <v>435000</v>
      </c>
      <c r="F26" s="15" t="n">
        <v>3133.55</v>
      </c>
      <c r="G26" s="15" t="n">
        <v>391.69</v>
      </c>
      <c r="H26" s="15" t="n">
        <v>391.69</v>
      </c>
      <c r="I26" s="15" t="n">
        <f aca="false">SUM(K26:T26)</f>
        <v>2350.2</v>
      </c>
      <c r="J26" s="15" t="n">
        <f aca="false">F26-(G26+H26+I26)</f>
        <v>-0.0300000000002001</v>
      </c>
      <c r="K26" s="15" t="n">
        <v>235.02</v>
      </c>
      <c r="L26" s="15" t="n">
        <v>235.02</v>
      </c>
      <c r="M26" s="15" t="n">
        <v>235.02</v>
      </c>
      <c r="N26" s="15" t="n">
        <v>235.02</v>
      </c>
      <c r="O26" s="15" t="n">
        <v>235.02</v>
      </c>
      <c r="P26" s="15" t="n">
        <v>235.02</v>
      </c>
      <c r="Q26" s="15" t="n">
        <v>235.02</v>
      </c>
      <c r="R26" s="15" t="n">
        <v>235.02</v>
      </c>
      <c r="S26" s="15" t="n">
        <v>235.02</v>
      </c>
      <c r="T26" s="15" t="n">
        <v>235.02</v>
      </c>
      <c r="U26" s="15" t="n">
        <v>350</v>
      </c>
      <c r="V26" s="15" t="n">
        <v>0</v>
      </c>
      <c r="W26" s="15" t="n">
        <f aca="false">U26+V26</f>
        <v>350</v>
      </c>
    </row>
    <row r="27" customFormat="false" ht="15" hidden="false" customHeight="false" outlineLevel="0" collapsed="false">
      <c r="A27" s="3" t="s">
        <v>2931</v>
      </c>
      <c r="B27" s="3" t="s">
        <v>2932</v>
      </c>
      <c r="C27" s="3" t="s">
        <v>1643</v>
      </c>
      <c r="D27" s="3" t="s">
        <v>93</v>
      </c>
      <c r="E27" s="13" t="n">
        <v>645000</v>
      </c>
      <c r="F27" s="13" t="n">
        <v>5122.83</v>
      </c>
      <c r="G27" s="13" t="n">
        <v>640.35</v>
      </c>
      <c r="H27" s="13" t="n">
        <v>640.35</v>
      </c>
      <c r="I27" s="13" t="n">
        <f aca="false">SUM(K27:T27)</f>
        <v>3842.1</v>
      </c>
      <c r="J27" s="13" t="n">
        <f aca="false">F27-(G27+H27+I27)</f>
        <v>0.0299999999997453</v>
      </c>
      <c r="K27" s="13" t="n">
        <v>384.21</v>
      </c>
      <c r="L27" s="13" t="n">
        <v>384.21</v>
      </c>
      <c r="M27" s="13" t="n">
        <v>384.21</v>
      </c>
      <c r="N27" s="13" t="n">
        <v>384.21</v>
      </c>
      <c r="O27" s="13" t="n">
        <v>384.21</v>
      </c>
      <c r="P27" s="13" t="n">
        <v>384.21</v>
      </c>
      <c r="Q27" s="13" t="n">
        <v>384.21</v>
      </c>
      <c r="R27" s="13" t="n">
        <v>384.21</v>
      </c>
      <c r="S27" s="13" t="n">
        <v>384.21</v>
      </c>
      <c r="T27" s="13" t="n">
        <v>384.21</v>
      </c>
      <c r="U27" s="13" t="n">
        <v>350</v>
      </c>
      <c r="V27" s="13" t="n">
        <v>0</v>
      </c>
      <c r="W27" s="13" t="n">
        <f aca="false">U27+V27</f>
        <v>350</v>
      </c>
    </row>
    <row r="28" customFormat="false" ht="15" hidden="false" customHeight="false" outlineLevel="0" collapsed="false">
      <c r="A28" s="14" t="s">
        <v>2933</v>
      </c>
      <c r="B28" s="14" t="s">
        <v>2934</v>
      </c>
      <c r="C28" s="14" t="s">
        <v>1308</v>
      </c>
      <c r="D28" s="14" t="s">
        <v>85</v>
      </c>
      <c r="E28" s="15" t="n">
        <v>345000</v>
      </c>
      <c r="F28" s="15" t="n">
        <v>5189.99</v>
      </c>
      <c r="G28" s="15" t="n">
        <v>648.75</v>
      </c>
      <c r="H28" s="15" t="n">
        <v>648.75</v>
      </c>
      <c r="I28" s="15" t="n">
        <f aca="false">SUM(K28:T28)</f>
        <v>3892.5</v>
      </c>
      <c r="J28" s="15" t="n">
        <f aca="false">F28-(G28+H28+I28)</f>
        <v>-0.0100000000002183</v>
      </c>
      <c r="K28" s="15" t="n">
        <v>389.25</v>
      </c>
      <c r="L28" s="15" t="n">
        <v>389.25</v>
      </c>
      <c r="M28" s="15" t="n">
        <v>389.25</v>
      </c>
      <c r="N28" s="15" t="n">
        <v>389.25</v>
      </c>
      <c r="O28" s="15" t="n">
        <v>389.25</v>
      </c>
      <c r="P28" s="15" t="n">
        <v>389.25</v>
      </c>
      <c r="Q28" s="15" t="n">
        <v>389.25</v>
      </c>
      <c r="R28" s="15" t="n">
        <v>389.25</v>
      </c>
      <c r="S28" s="15" t="n">
        <v>389.25</v>
      </c>
      <c r="T28" s="15" t="n">
        <v>389.25</v>
      </c>
      <c r="U28" s="15" t="n">
        <v>350</v>
      </c>
      <c r="V28" s="15" t="n">
        <v>0</v>
      </c>
      <c r="W28" s="15" t="n">
        <f aca="false">U28+V28</f>
        <v>350</v>
      </c>
    </row>
    <row r="29" customFormat="false" ht="15" hidden="false" customHeight="false" outlineLevel="0" collapsed="false">
      <c r="A29" s="3" t="s">
        <v>2935</v>
      </c>
      <c r="B29" s="3" t="s">
        <v>2936</v>
      </c>
      <c r="C29" s="3" t="s">
        <v>162</v>
      </c>
      <c r="D29" s="3" t="s">
        <v>430</v>
      </c>
      <c r="E29" s="13" t="n">
        <v>275000</v>
      </c>
      <c r="F29" s="13" t="n">
        <v>2946.46</v>
      </c>
      <c r="G29" s="13" t="n">
        <v>368.31</v>
      </c>
      <c r="H29" s="13" t="n">
        <v>368.31</v>
      </c>
      <c r="I29" s="13" t="n">
        <f aca="false">SUM(K29:T29)</f>
        <v>2209.8</v>
      </c>
      <c r="J29" s="13" t="n">
        <f aca="false">F29-(G29+H29+I29)</f>
        <v>0.0400000000004184</v>
      </c>
      <c r="K29" s="13" t="n">
        <v>220.98</v>
      </c>
      <c r="L29" s="13" t="n">
        <v>220.98</v>
      </c>
      <c r="M29" s="13" t="n">
        <v>220.98</v>
      </c>
      <c r="N29" s="13" t="n">
        <v>220.98</v>
      </c>
      <c r="O29" s="13" t="n">
        <v>220.98</v>
      </c>
      <c r="P29" s="13" t="n">
        <v>220.98</v>
      </c>
      <c r="Q29" s="13" t="n">
        <v>220.98</v>
      </c>
      <c r="R29" s="13" t="n">
        <v>220.98</v>
      </c>
      <c r="S29" s="13" t="n">
        <v>220.98</v>
      </c>
      <c r="T29" s="13" t="n">
        <v>220.98</v>
      </c>
      <c r="U29" s="13" t="n">
        <v>350</v>
      </c>
      <c r="V29" s="13" t="n">
        <v>0</v>
      </c>
      <c r="W29" s="13" t="n">
        <f aca="false">U29+V29</f>
        <v>350</v>
      </c>
    </row>
    <row r="30" customFormat="false" ht="15" hidden="false" customHeight="false" outlineLevel="0" collapsed="false">
      <c r="A30" s="14" t="s">
        <v>2937</v>
      </c>
      <c r="B30" s="14" t="s">
        <v>2938</v>
      </c>
      <c r="C30" s="14" t="s">
        <v>456</v>
      </c>
      <c r="D30" s="14" t="s">
        <v>279</v>
      </c>
      <c r="E30" s="15" t="n">
        <v>365000</v>
      </c>
      <c r="F30" s="15" t="n">
        <v>3594.74</v>
      </c>
      <c r="G30" s="15" t="n">
        <v>449.34</v>
      </c>
      <c r="H30" s="15" t="n">
        <v>449.34</v>
      </c>
      <c r="I30" s="15" t="n">
        <f aca="false">SUM(K30:T30)</f>
        <v>2696.1</v>
      </c>
      <c r="J30" s="15" t="n">
        <f aca="false">F30-(G30+H30+I30)</f>
        <v>-0.0400000000004184</v>
      </c>
      <c r="K30" s="15" t="n">
        <v>269.61</v>
      </c>
      <c r="L30" s="15" t="n">
        <v>269.61</v>
      </c>
      <c r="M30" s="15" t="n">
        <v>269.61</v>
      </c>
      <c r="N30" s="15" t="n">
        <v>269.61</v>
      </c>
      <c r="O30" s="15" t="n">
        <v>269.61</v>
      </c>
      <c r="P30" s="15" t="n">
        <v>269.61</v>
      </c>
      <c r="Q30" s="15" t="n">
        <v>269.61</v>
      </c>
      <c r="R30" s="15" t="n">
        <v>269.61</v>
      </c>
      <c r="S30" s="15" t="n">
        <v>269.61</v>
      </c>
      <c r="T30" s="15" t="n">
        <v>269.61</v>
      </c>
      <c r="U30" s="15" t="n">
        <v>350</v>
      </c>
      <c r="V30" s="15" t="n">
        <v>0</v>
      </c>
      <c r="W30" s="15" t="n">
        <f aca="false">U30+V30</f>
        <v>350</v>
      </c>
    </row>
    <row r="31" customFormat="false" ht="15" hidden="false" customHeight="false" outlineLevel="0" collapsed="false">
      <c r="A31" s="3" t="s">
        <v>2939</v>
      </c>
      <c r="B31" s="3" t="s">
        <v>2912</v>
      </c>
      <c r="C31" s="3" t="s">
        <v>2347</v>
      </c>
      <c r="D31" s="3" t="s">
        <v>93</v>
      </c>
      <c r="E31" s="13" t="n">
        <v>815000</v>
      </c>
      <c r="F31" s="13" t="n">
        <v>9784.82</v>
      </c>
      <c r="G31" s="13" t="n">
        <v>1223.1</v>
      </c>
      <c r="H31" s="13" t="n">
        <v>1223.1</v>
      </c>
      <c r="I31" s="13" t="n">
        <f aca="false">SUM(K31:T31)</f>
        <v>7338.6</v>
      </c>
      <c r="J31" s="13" t="n">
        <f aca="false">F31-(G31+H31+I31)</f>
        <v>0.0200000000004366</v>
      </c>
      <c r="K31" s="13" t="n">
        <v>733.86</v>
      </c>
      <c r="L31" s="13" t="n">
        <v>733.86</v>
      </c>
      <c r="M31" s="13" t="n">
        <v>733.86</v>
      </c>
      <c r="N31" s="13" t="n">
        <v>733.86</v>
      </c>
      <c r="O31" s="13" t="n">
        <v>733.86</v>
      </c>
      <c r="P31" s="13" t="n">
        <v>733.86</v>
      </c>
      <c r="Q31" s="13" t="n">
        <v>733.86</v>
      </c>
      <c r="R31" s="13" t="n">
        <v>733.86</v>
      </c>
      <c r="S31" s="13" t="n">
        <v>733.86</v>
      </c>
      <c r="T31" s="13" t="n">
        <v>733.86</v>
      </c>
      <c r="U31" s="13" t="n">
        <v>350</v>
      </c>
      <c r="V31" s="13" t="n">
        <v>0</v>
      </c>
      <c r="W31" s="13" t="n">
        <f aca="false">U31+V31</f>
        <v>350</v>
      </c>
    </row>
    <row r="32" customFormat="false" ht="15" hidden="false" customHeight="false" outlineLevel="0" collapsed="false">
      <c r="A32" s="14" t="s">
        <v>2940</v>
      </c>
      <c r="B32" s="14" t="s">
        <v>2906</v>
      </c>
      <c r="C32" s="14" t="s">
        <v>514</v>
      </c>
      <c r="D32" s="14" t="s">
        <v>208</v>
      </c>
      <c r="E32" s="15" t="n">
        <v>520000</v>
      </c>
      <c r="F32" s="15" t="n">
        <v>6340.63</v>
      </c>
      <c r="G32" s="15" t="n">
        <v>792.58</v>
      </c>
      <c r="H32" s="15" t="n">
        <v>792.58</v>
      </c>
      <c r="I32" s="15" t="n">
        <f aca="false">SUM(K32:T32)</f>
        <v>4755.5</v>
      </c>
      <c r="J32" s="15" t="n">
        <f aca="false">F32-(G32+H32+I32)</f>
        <v>-0.0299999999997453</v>
      </c>
      <c r="K32" s="15" t="n">
        <v>475.55</v>
      </c>
      <c r="L32" s="15" t="n">
        <v>475.55</v>
      </c>
      <c r="M32" s="15" t="n">
        <v>475.55</v>
      </c>
      <c r="N32" s="15" t="n">
        <v>475.55</v>
      </c>
      <c r="O32" s="15" t="n">
        <v>475.55</v>
      </c>
      <c r="P32" s="15" t="n">
        <v>475.55</v>
      </c>
      <c r="Q32" s="15" t="n">
        <v>475.55</v>
      </c>
      <c r="R32" s="15" t="n">
        <v>475.55</v>
      </c>
      <c r="S32" s="15" t="n">
        <v>475.55</v>
      </c>
      <c r="T32" s="15" t="n">
        <v>475.55</v>
      </c>
      <c r="U32" s="15" t="n">
        <v>350</v>
      </c>
      <c r="V32" s="15" t="n">
        <v>0</v>
      </c>
      <c r="W32" s="15" t="n">
        <f aca="false">U32+V32</f>
        <v>350</v>
      </c>
    </row>
    <row r="33" customFormat="false" ht="15" hidden="false" customHeight="false" outlineLevel="0" collapsed="false">
      <c r="A33" s="3" t="s">
        <v>2941</v>
      </c>
      <c r="B33" s="3" t="s">
        <v>2912</v>
      </c>
      <c r="C33" s="3" t="s">
        <v>202</v>
      </c>
      <c r="D33" s="3" t="s">
        <v>125</v>
      </c>
      <c r="E33" s="13" t="n">
        <v>1950000</v>
      </c>
      <c r="F33" s="13" t="n">
        <v>14857.33</v>
      </c>
      <c r="G33" s="13" t="n">
        <v>1857.17</v>
      </c>
      <c r="H33" s="13" t="n">
        <v>1857.17</v>
      </c>
      <c r="I33" s="13" t="n">
        <f aca="false">SUM(K33:T33)</f>
        <v>11143</v>
      </c>
      <c r="J33" s="13" t="n">
        <f aca="false">F33-(G33+H33+I33)</f>
        <v>-0.00999999999839929</v>
      </c>
      <c r="K33" s="13" t="n">
        <v>1114.3</v>
      </c>
      <c r="L33" s="13" t="n">
        <v>1114.3</v>
      </c>
      <c r="M33" s="13" t="n">
        <v>1114.3</v>
      </c>
      <c r="N33" s="13" t="n">
        <v>1114.3</v>
      </c>
      <c r="O33" s="13" t="n">
        <v>1114.3</v>
      </c>
      <c r="P33" s="13" t="n">
        <v>1114.3</v>
      </c>
      <c r="Q33" s="13" t="n">
        <v>1114.3</v>
      </c>
      <c r="R33" s="13" t="n">
        <v>1114.3</v>
      </c>
      <c r="S33" s="13" t="n">
        <v>1114.3</v>
      </c>
      <c r="T33" s="13" t="n">
        <v>1114.3</v>
      </c>
      <c r="U33" s="13" t="n">
        <v>350</v>
      </c>
      <c r="V33" s="13" t="n">
        <v>250</v>
      </c>
      <c r="W33" s="13" t="n">
        <f aca="false">U33+V33</f>
        <v>600</v>
      </c>
    </row>
    <row r="34" customFormat="false" ht="15" hidden="false" customHeight="false" outlineLevel="0" collapsed="false">
      <c r="A34" s="14" t="s">
        <v>2942</v>
      </c>
      <c r="B34" s="14" t="s">
        <v>2943</v>
      </c>
      <c r="C34" s="14" t="s">
        <v>727</v>
      </c>
      <c r="D34" s="14" t="s">
        <v>328</v>
      </c>
      <c r="E34" s="15" t="n">
        <v>395000</v>
      </c>
      <c r="F34" s="15" t="n">
        <v>8521.39</v>
      </c>
      <c r="G34" s="15" t="n">
        <v>1065.17</v>
      </c>
      <c r="H34" s="15" t="n">
        <v>1065.17</v>
      </c>
      <c r="I34" s="15" t="n">
        <f aca="false">SUM(K34:T34)</f>
        <v>6391</v>
      </c>
      <c r="J34" s="15" t="n">
        <f aca="false">F34-(G34+H34+I34)</f>
        <v>0.0499999999992724</v>
      </c>
      <c r="K34" s="15" t="n">
        <v>639.1</v>
      </c>
      <c r="L34" s="15" t="n">
        <v>639.1</v>
      </c>
      <c r="M34" s="15" t="n">
        <v>639.1</v>
      </c>
      <c r="N34" s="15" t="n">
        <v>639.1</v>
      </c>
      <c r="O34" s="15" t="n">
        <v>639.1</v>
      </c>
      <c r="P34" s="15" t="n">
        <v>639.1</v>
      </c>
      <c r="Q34" s="15" t="n">
        <v>639.1</v>
      </c>
      <c r="R34" s="15" t="n">
        <v>639.1</v>
      </c>
      <c r="S34" s="15" t="n">
        <v>639.1</v>
      </c>
      <c r="T34" s="15" t="n">
        <v>639.1</v>
      </c>
      <c r="U34" s="15" t="n">
        <v>350</v>
      </c>
      <c r="V34" s="15" t="n">
        <v>0</v>
      </c>
      <c r="W34" s="15" t="n">
        <f aca="false">U34+V34</f>
        <v>350</v>
      </c>
    </row>
    <row r="35" customFormat="false" ht="15" hidden="false" customHeight="false" outlineLevel="0" collapsed="false">
      <c r="A35" s="3" t="s">
        <v>2944</v>
      </c>
      <c r="B35" s="3" t="s">
        <v>2945</v>
      </c>
      <c r="C35" s="3" t="s">
        <v>1234</v>
      </c>
      <c r="D35" s="3" t="s">
        <v>430</v>
      </c>
      <c r="E35" s="13" t="n">
        <v>385000</v>
      </c>
      <c r="F35" s="13" t="n">
        <v>4125.05</v>
      </c>
      <c r="G35" s="13" t="n">
        <v>515.63</v>
      </c>
      <c r="H35" s="13" t="n">
        <v>515.63</v>
      </c>
      <c r="I35" s="13" t="n">
        <f aca="false">SUM(K35:T35)</f>
        <v>3093.8</v>
      </c>
      <c r="J35" s="13" t="n">
        <f aca="false">F35-(G35+H35+I35)</f>
        <v>-0.0100000000002183</v>
      </c>
      <c r="K35" s="13" t="n">
        <v>309.38</v>
      </c>
      <c r="L35" s="13" t="n">
        <v>309.38</v>
      </c>
      <c r="M35" s="13" t="n">
        <v>309.38</v>
      </c>
      <c r="N35" s="13" t="n">
        <v>309.38</v>
      </c>
      <c r="O35" s="13" t="n">
        <v>309.38</v>
      </c>
      <c r="P35" s="13" t="n">
        <v>309.38</v>
      </c>
      <c r="Q35" s="13" t="n">
        <v>309.38</v>
      </c>
      <c r="R35" s="13" t="n">
        <v>309.38</v>
      </c>
      <c r="S35" s="13" t="n">
        <v>309.38</v>
      </c>
      <c r="T35" s="13" t="n">
        <v>309.38</v>
      </c>
      <c r="U35" s="13" t="n">
        <v>350</v>
      </c>
      <c r="V35" s="13" t="n">
        <v>0</v>
      </c>
      <c r="W35" s="13" t="n">
        <f aca="false">U35+V35</f>
        <v>350</v>
      </c>
    </row>
    <row r="36" customFormat="false" ht="15" hidden="false" customHeight="false" outlineLevel="0" collapsed="false">
      <c r="A36" s="14" t="s">
        <v>2946</v>
      </c>
      <c r="B36" s="14" t="s">
        <v>2938</v>
      </c>
      <c r="C36" s="14" t="s">
        <v>2947</v>
      </c>
      <c r="D36" s="14" t="s">
        <v>157</v>
      </c>
      <c r="E36" s="15" t="n">
        <v>380000</v>
      </c>
      <c r="F36" s="15" t="n">
        <v>3737.53</v>
      </c>
      <c r="G36" s="15" t="n">
        <v>467.19</v>
      </c>
      <c r="H36" s="15" t="n">
        <v>467.19</v>
      </c>
      <c r="I36" s="15" t="n">
        <f aca="false">SUM(K36:T36)</f>
        <v>2803.1</v>
      </c>
      <c r="J36" s="15" t="n">
        <f aca="false">F36-(G36+H36+I36)</f>
        <v>0.0500000000001819</v>
      </c>
      <c r="K36" s="15" t="n">
        <v>280.31</v>
      </c>
      <c r="L36" s="15" t="n">
        <v>280.31</v>
      </c>
      <c r="M36" s="15" t="n">
        <v>280.31</v>
      </c>
      <c r="N36" s="15" t="n">
        <v>280.31</v>
      </c>
      <c r="O36" s="15" t="n">
        <v>280.31</v>
      </c>
      <c r="P36" s="15" t="n">
        <v>280.31</v>
      </c>
      <c r="Q36" s="15" t="n">
        <v>280.31</v>
      </c>
      <c r="R36" s="15" t="n">
        <v>280.31</v>
      </c>
      <c r="S36" s="15" t="n">
        <v>280.31</v>
      </c>
      <c r="T36" s="15" t="n">
        <v>280.31</v>
      </c>
      <c r="U36" s="15" t="n">
        <v>350</v>
      </c>
      <c r="V36" s="15" t="n">
        <v>0</v>
      </c>
      <c r="W36" s="15" t="n">
        <f aca="false">U36+V36</f>
        <v>350</v>
      </c>
    </row>
    <row r="37" customFormat="false" ht="15" hidden="false" customHeight="false" outlineLevel="0" collapsed="false">
      <c r="A37" s="3" t="s">
        <v>2948</v>
      </c>
      <c r="B37" s="3" t="s">
        <v>2949</v>
      </c>
      <c r="C37" s="3" t="s">
        <v>657</v>
      </c>
      <c r="D37" s="3" t="s">
        <v>203</v>
      </c>
      <c r="E37" s="13" t="n">
        <v>775000</v>
      </c>
      <c r="F37" s="13" t="n">
        <v>8286.9</v>
      </c>
      <c r="G37" s="13" t="n">
        <v>1035.86</v>
      </c>
      <c r="H37" s="13" t="n">
        <v>1035.86</v>
      </c>
      <c r="I37" s="13" t="n">
        <f aca="false">SUM(K37:T37)</f>
        <v>6215.2</v>
      </c>
      <c r="J37" s="13" t="n">
        <f aca="false">F37-(G37+H37+I37)</f>
        <v>-0.0200000000004366</v>
      </c>
      <c r="K37" s="13" t="n">
        <v>621.52</v>
      </c>
      <c r="L37" s="13" t="n">
        <v>621.52</v>
      </c>
      <c r="M37" s="13" t="n">
        <v>621.52</v>
      </c>
      <c r="N37" s="13" t="n">
        <v>621.52</v>
      </c>
      <c r="O37" s="13" t="n">
        <v>621.52</v>
      </c>
      <c r="P37" s="13" t="n">
        <v>621.52</v>
      </c>
      <c r="Q37" s="13" t="n">
        <v>621.52</v>
      </c>
      <c r="R37" s="13" t="n">
        <v>621.52</v>
      </c>
      <c r="S37" s="13" t="n">
        <v>621.52</v>
      </c>
      <c r="T37" s="13" t="n">
        <v>621.52</v>
      </c>
      <c r="U37" s="13" t="n">
        <v>350</v>
      </c>
      <c r="V37" s="13" t="n">
        <v>0</v>
      </c>
      <c r="W37" s="13" t="n">
        <f aca="false">U37+V37</f>
        <v>350</v>
      </c>
    </row>
    <row r="38" customFormat="false" ht="15" hidden="false" customHeight="false" outlineLevel="0" collapsed="false">
      <c r="A38" s="14" t="s">
        <v>2950</v>
      </c>
      <c r="B38" s="14" t="s">
        <v>2943</v>
      </c>
      <c r="C38" s="14" t="s">
        <v>1088</v>
      </c>
      <c r="D38" s="14" t="s">
        <v>222</v>
      </c>
      <c r="E38" s="15" t="n">
        <v>280000</v>
      </c>
      <c r="F38" s="15" t="n">
        <v>3333.37</v>
      </c>
      <c r="G38" s="15" t="n">
        <v>416.67</v>
      </c>
      <c r="H38" s="15" t="n">
        <v>416.67</v>
      </c>
      <c r="I38" s="15" t="n">
        <f aca="false">SUM(K38:T38)</f>
        <v>2500</v>
      </c>
      <c r="J38" s="15" t="n">
        <f aca="false">F38-(G38+H38+I38)</f>
        <v>0.0299999999997453</v>
      </c>
      <c r="K38" s="15" t="n">
        <v>250</v>
      </c>
      <c r="L38" s="15" t="n">
        <v>250</v>
      </c>
      <c r="M38" s="15" t="n">
        <v>250</v>
      </c>
      <c r="N38" s="15" t="n">
        <v>250</v>
      </c>
      <c r="O38" s="15" t="n">
        <v>250</v>
      </c>
      <c r="P38" s="15" t="n">
        <v>250</v>
      </c>
      <c r="Q38" s="15" t="n">
        <v>250</v>
      </c>
      <c r="R38" s="15" t="n">
        <v>250</v>
      </c>
      <c r="S38" s="15" t="n">
        <v>250</v>
      </c>
      <c r="T38" s="15" t="n">
        <v>250</v>
      </c>
      <c r="U38" s="15" t="n">
        <v>350</v>
      </c>
      <c r="V38" s="15" t="n">
        <v>0</v>
      </c>
      <c r="W38" s="15" t="n">
        <f aca="false">U38+V38</f>
        <v>350</v>
      </c>
    </row>
    <row r="39" customFormat="false" ht="15" hidden="false" customHeight="false" outlineLevel="0" collapsed="false">
      <c r="A39" s="3" t="s">
        <v>2951</v>
      </c>
      <c r="B39" s="3" t="s">
        <v>2897</v>
      </c>
      <c r="C39" s="3" t="s">
        <v>321</v>
      </c>
      <c r="D39" s="3" t="s">
        <v>230</v>
      </c>
      <c r="E39" s="13" t="n">
        <v>945000</v>
      </c>
      <c r="F39" s="13" t="n">
        <v>6166.44</v>
      </c>
      <c r="G39" s="13" t="n">
        <v>770.8</v>
      </c>
      <c r="H39" s="13" t="n">
        <v>770.8</v>
      </c>
      <c r="I39" s="13" t="n">
        <f aca="false">SUM(K39:T39)</f>
        <v>4624.8</v>
      </c>
      <c r="J39" s="13" t="n">
        <f aca="false">F39-(G39+H39+I39)</f>
        <v>0.0399999999999636</v>
      </c>
      <c r="K39" s="13" t="n">
        <v>462.48</v>
      </c>
      <c r="L39" s="13" t="n">
        <v>462.48</v>
      </c>
      <c r="M39" s="13" t="n">
        <v>462.48</v>
      </c>
      <c r="N39" s="13" t="n">
        <v>462.48</v>
      </c>
      <c r="O39" s="13" t="n">
        <v>462.48</v>
      </c>
      <c r="P39" s="13" t="n">
        <v>462.48</v>
      </c>
      <c r="Q39" s="13" t="n">
        <v>462.48</v>
      </c>
      <c r="R39" s="13" t="n">
        <v>462.48</v>
      </c>
      <c r="S39" s="13" t="n">
        <v>462.48</v>
      </c>
      <c r="T39" s="13" t="n">
        <v>462.48</v>
      </c>
      <c r="U39" s="13" t="n">
        <v>350</v>
      </c>
      <c r="V39" s="13" t="n">
        <v>0</v>
      </c>
      <c r="W39" s="13" t="n">
        <f aca="false">U39+V39</f>
        <v>350</v>
      </c>
    </row>
    <row r="40" customFormat="false" ht="15" hidden="false" customHeight="false" outlineLevel="0" collapsed="false">
      <c r="A40" s="14" t="s">
        <v>2952</v>
      </c>
      <c r="B40" s="14" t="s">
        <v>2949</v>
      </c>
      <c r="C40" s="14" t="s">
        <v>289</v>
      </c>
      <c r="D40" s="14" t="s">
        <v>109</v>
      </c>
      <c r="E40" s="15" t="n">
        <v>1110000</v>
      </c>
      <c r="F40" s="15" t="n">
        <v>16017.51</v>
      </c>
      <c r="G40" s="15" t="n">
        <v>2002.19</v>
      </c>
      <c r="H40" s="15" t="n">
        <v>2002.19</v>
      </c>
      <c r="I40" s="15" t="n">
        <f aca="false">SUM(K40:T40)</f>
        <v>12013.1</v>
      </c>
      <c r="J40" s="15" t="n">
        <f aca="false">F40-(G40+H40+I40)</f>
        <v>0.0300000000006548</v>
      </c>
      <c r="K40" s="15" t="n">
        <v>1201.31</v>
      </c>
      <c r="L40" s="15" t="n">
        <v>1201.31</v>
      </c>
      <c r="M40" s="15" t="n">
        <v>1201.31</v>
      </c>
      <c r="N40" s="15" t="n">
        <v>1201.31</v>
      </c>
      <c r="O40" s="15" t="n">
        <v>1201.31</v>
      </c>
      <c r="P40" s="15" t="n">
        <v>1201.31</v>
      </c>
      <c r="Q40" s="15" t="n">
        <v>1201.31</v>
      </c>
      <c r="R40" s="15" t="n">
        <v>1201.31</v>
      </c>
      <c r="S40" s="15" t="n">
        <v>1201.31</v>
      </c>
      <c r="T40" s="15" t="n">
        <v>1201.31</v>
      </c>
      <c r="U40" s="15" t="n">
        <v>350</v>
      </c>
      <c r="V40" s="15" t="n">
        <v>250</v>
      </c>
      <c r="W40" s="15" t="n">
        <f aca="false">U40+V40</f>
        <v>600</v>
      </c>
    </row>
    <row r="41" customFormat="false" ht="15" hidden="false" customHeight="false" outlineLevel="0" collapsed="false">
      <c r="A41" s="3" t="s">
        <v>2953</v>
      </c>
      <c r="B41" s="3" t="s">
        <v>2932</v>
      </c>
      <c r="C41" s="3" t="s">
        <v>1785</v>
      </c>
      <c r="D41" s="3" t="s">
        <v>132</v>
      </c>
      <c r="E41" s="13" t="n">
        <v>710000</v>
      </c>
      <c r="F41" s="13" t="n">
        <v>6659.53</v>
      </c>
      <c r="G41" s="13" t="n">
        <v>832.44</v>
      </c>
      <c r="H41" s="13" t="n">
        <v>832.44</v>
      </c>
      <c r="I41" s="13" t="n">
        <f aca="false">SUM(K41:T41)</f>
        <v>4994.6</v>
      </c>
      <c r="J41" s="13" t="n">
        <f aca="false">F41-(G41+H41+I41)</f>
        <v>0.0500000000001819</v>
      </c>
      <c r="K41" s="13" t="n">
        <v>499.46</v>
      </c>
      <c r="L41" s="13" t="n">
        <v>499.46</v>
      </c>
      <c r="M41" s="13" t="n">
        <v>499.46</v>
      </c>
      <c r="N41" s="13" t="n">
        <v>499.46</v>
      </c>
      <c r="O41" s="13" t="n">
        <v>499.46</v>
      </c>
      <c r="P41" s="13" t="n">
        <v>499.46</v>
      </c>
      <c r="Q41" s="13" t="n">
        <v>499.46</v>
      </c>
      <c r="R41" s="13" t="n">
        <v>499.46</v>
      </c>
      <c r="S41" s="13" t="n">
        <v>499.46</v>
      </c>
      <c r="T41" s="13" t="n">
        <v>499.46</v>
      </c>
      <c r="U41" s="13" t="n">
        <v>350</v>
      </c>
      <c r="V41" s="13" t="n">
        <v>0</v>
      </c>
      <c r="W41" s="13" t="n">
        <f aca="false">U41+V41</f>
        <v>350</v>
      </c>
    </row>
    <row r="42" customFormat="false" ht="15" hidden="false" customHeight="false" outlineLevel="0" collapsed="false">
      <c r="A42" s="14" t="s">
        <v>2954</v>
      </c>
      <c r="B42" s="14" t="s">
        <v>2955</v>
      </c>
      <c r="C42" s="14" t="s">
        <v>419</v>
      </c>
      <c r="D42" s="14" t="s">
        <v>246</v>
      </c>
      <c r="E42" s="15" t="n">
        <v>650000</v>
      </c>
      <c r="F42" s="15" t="n">
        <v>10692.77</v>
      </c>
      <c r="G42" s="15" t="n">
        <v>1336.6</v>
      </c>
      <c r="H42" s="15" t="n">
        <v>1336.6</v>
      </c>
      <c r="I42" s="15" t="n">
        <f aca="false">SUM(K42:T42)</f>
        <v>8019.6</v>
      </c>
      <c r="J42" s="15" t="n">
        <f aca="false">F42-(G42+H42+I42)</f>
        <v>-0.0299999999988358</v>
      </c>
      <c r="K42" s="15" t="n">
        <v>801.96</v>
      </c>
      <c r="L42" s="15" t="n">
        <v>801.96</v>
      </c>
      <c r="M42" s="15" t="n">
        <v>801.96</v>
      </c>
      <c r="N42" s="15" t="n">
        <v>801.96</v>
      </c>
      <c r="O42" s="15" t="n">
        <v>801.96</v>
      </c>
      <c r="P42" s="15" t="n">
        <v>801.96</v>
      </c>
      <c r="Q42" s="15" t="n">
        <v>801.96</v>
      </c>
      <c r="R42" s="15" t="n">
        <v>801.96</v>
      </c>
      <c r="S42" s="15" t="n">
        <v>801.96</v>
      </c>
      <c r="T42" s="15" t="n">
        <v>801.96</v>
      </c>
      <c r="U42" s="15" t="n">
        <v>350</v>
      </c>
      <c r="V42" s="15" t="n">
        <v>0</v>
      </c>
      <c r="W42" s="15" t="n">
        <f aca="false">U42+V42</f>
        <v>350</v>
      </c>
    </row>
    <row r="43" customFormat="false" ht="15" hidden="false" customHeight="false" outlineLevel="0" collapsed="false">
      <c r="A43" s="3" t="s">
        <v>2956</v>
      </c>
      <c r="B43" s="3" t="s">
        <v>2895</v>
      </c>
      <c r="C43" s="3" t="s">
        <v>645</v>
      </c>
      <c r="D43" s="3" t="s">
        <v>377</v>
      </c>
      <c r="E43" s="13" t="n">
        <v>855000</v>
      </c>
      <c r="F43" s="13" t="n">
        <v>7109.05</v>
      </c>
      <c r="G43" s="13" t="n">
        <v>888.63</v>
      </c>
      <c r="H43" s="13" t="n">
        <v>888.63</v>
      </c>
      <c r="I43" s="13" t="n">
        <f aca="false">SUM(K43:T43)</f>
        <v>5331.8</v>
      </c>
      <c r="J43" s="13" t="n">
        <f aca="false">F43-(G43+H43+I43)</f>
        <v>-0.0100000000002183</v>
      </c>
      <c r="K43" s="13" t="n">
        <v>533.18</v>
      </c>
      <c r="L43" s="13" t="n">
        <v>533.18</v>
      </c>
      <c r="M43" s="13" t="n">
        <v>533.18</v>
      </c>
      <c r="N43" s="13" t="n">
        <v>533.18</v>
      </c>
      <c r="O43" s="13" t="n">
        <v>533.18</v>
      </c>
      <c r="P43" s="13" t="n">
        <v>533.18</v>
      </c>
      <c r="Q43" s="13" t="n">
        <v>533.18</v>
      </c>
      <c r="R43" s="13" t="n">
        <v>533.18</v>
      </c>
      <c r="S43" s="13" t="n">
        <v>533.18</v>
      </c>
      <c r="T43" s="13" t="n">
        <v>533.18</v>
      </c>
      <c r="U43" s="13" t="n">
        <v>350</v>
      </c>
      <c r="V43" s="13" t="n">
        <v>0</v>
      </c>
      <c r="W43" s="13" t="n">
        <f aca="false">U43+V43</f>
        <v>350</v>
      </c>
    </row>
    <row r="44" customFormat="false" ht="15" hidden="false" customHeight="false" outlineLevel="0" collapsed="false">
      <c r="A44" s="14" t="s">
        <v>2957</v>
      </c>
      <c r="B44" s="14" t="s">
        <v>2897</v>
      </c>
      <c r="C44" s="14" t="s">
        <v>2393</v>
      </c>
      <c r="D44" s="14" t="s">
        <v>81</v>
      </c>
      <c r="E44" s="15" t="n">
        <v>465000</v>
      </c>
      <c r="F44" s="15" t="n">
        <v>6441.64</v>
      </c>
      <c r="G44" s="15" t="n">
        <v>805.21</v>
      </c>
      <c r="H44" s="15" t="n">
        <v>805.21</v>
      </c>
      <c r="I44" s="15" t="n">
        <f aca="false">SUM(K44:T44)</f>
        <v>4831.2</v>
      </c>
      <c r="J44" s="15" t="n">
        <f aca="false">F44-(G44+H44+I44)</f>
        <v>0.0200000000004366</v>
      </c>
      <c r="K44" s="15" t="n">
        <v>483.12</v>
      </c>
      <c r="L44" s="15" t="n">
        <v>483.12</v>
      </c>
      <c r="M44" s="15" t="n">
        <v>483.12</v>
      </c>
      <c r="N44" s="15" t="n">
        <v>483.12</v>
      </c>
      <c r="O44" s="15" t="n">
        <v>483.12</v>
      </c>
      <c r="P44" s="15" t="n">
        <v>483.12</v>
      </c>
      <c r="Q44" s="15" t="n">
        <v>483.12</v>
      </c>
      <c r="R44" s="15" t="n">
        <v>483.12</v>
      </c>
      <c r="S44" s="15" t="n">
        <v>483.12</v>
      </c>
      <c r="T44" s="15" t="n">
        <v>483.12</v>
      </c>
      <c r="U44" s="15" t="n">
        <v>350</v>
      </c>
      <c r="V44" s="15" t="n">
        <v>0</v>
      </c>
      <c r="W44" s="15" t="n">
        <f aca="false">U44+V44</f>
        <v>350</v>
      </c>
    </row>
    <row r="45" customFormat="false" ht="15" hidden="false" customHeight="false" outlineLevel="0" collapsed="false">
      <c r="A45" s="3" t="s">
        <v>2958</v>
      </c>
      <c r="B45" s="3" t="s">
        <v>2955</v>
      </c>
      <c r="C45" s="3" t="s">
        <v>1210</v>
      </c>
      <c r="D45" s="3" t="s">
        <v>185</v>
      </c>
      <c r="E45" s="13" t="n">
        <v>195000</v>
      </c>
      <c r="F45" s="13" t="n">
        <v>4035.67</v>
      </c>
      <c r="G45" s="13" t="n">
        <v>504.46</v>
      </c>
      <c r="H45" s="13" t="n">
        <v>504.46</v>
      </c>
      <c r="I45" s="13" t="n">
        <f aca="false">SUM(K45:T45)</f>
        <v>3026.8</v>
      </c>
      <c r="J45" s="13" t="n">
        <f aca="false">F45-(G45+H45+I45)</f>
        <v>-0.0499999999997272</v>
      </c>
      <c r="K45" s="13" t="n">
        <v>302.68</v>
      </c>
      <c r="L45" s="13" t="n">
        <v>302.68</v>
      </c>
      <c r="M45" s="13" t="n">
        <v>302.68</v>
      </c>
      <c r="N45" s="13" t="n">
        <v>302.68</v>
      </c>
      <c r="O45" s="13" t="n">
        <v>302.68</v>
      </c>
      <c r="P45" s="13" t="n">
        <v>302.68</v>
      </c>
      <c r="Q45" s="13" t="n">
        <v>302.68</v>
      </c>
      <c r="R45" s="13" t="n">
        <v>302.68</v>
      </c>
      <c r="S45" s="13" t="n">
        <v>302.68</v>
      </c>
      <c r="T45" s="13" t="n">
        <v>302.68</v>
      </c>
      <c r="U45" s="13" t="n">
        <v>350</v>
      </c>
      <c r="V45" s="13" t="n">
        <v>0</v>
      </c>
      <c r="W45" s="13" t="n">
        <f aca="false">U45+V45</f>
        <v>350</v>
      </c>
    </row>
    <row r="46" customFormat="false" ht="15" hidden="false" customHeight="false" outlineLevel="0" collapsed="false">
      <c r="A46" s="14" t="s">
        <v>2959</v>
      </c>
      <c r="B46" s="14" t="s">
        <v>2895</v>
      </c>
      <c r="C46" s="14" t="s">
        <v>1437</v>
      </c>
      <c r="D46" s="14" t="s">
        <v>166</v>
      </c>
      <c r="E46" s="15" t="n">
        <v>275000</v>
      </c>
      <c r="F46" s="15" t="n">
        <v>4017.91</v>
      </c>
      <c r="G46" s="15" t="n">
        <v>502.24</v>
      </c>
      <c r="H46" s="15" t="n">
        <v>502.24</v>
      </c>
      <c r="I46" s="15" t="n">
        <f aca="false">SUM(K46:T46)</f>
        <v>3013.4</v>
      </c>
      <c r="J46" s="15" t="n">
        <f aca="false">F46-(G46+H46+I46)</f>
        <v>0.0299999999997453</v>
      </c>
      <c r="K46" s="15" t="n">
        <v>301.34</v>
      </c>
      <c r="L46" s="15" t="n">
        <v>301.34</v>
      </c>
      <c r="M46" s="15" t="n">
        <v>301.34</v>
      </c>
      <c r="N46" s="15" t="n">
        <v>301.34</v>
      </c>
      <c r="O46" s="15" t="n">
        <v>301.34</v>
      </c>
      <c r="P46" s="15" t="n">
        <v>301.34</v>
      </c>
      <c r="Q46" s="15" t="n">
        <v>301.34</v>
      </c>
      <c r="R46" s="15" t="n">
        <v>301.34</v>
      </c>
      <c r="S46" s="15" t="n">
        <v>301.34</v>
      </c>
      <c r="T46" s="15" t="n">
        <v>301.34</v>
      </c>
      <c r="U46" s="15" t="n">
        <v>350</v>
      </c>
      <c r="V46" s="15" t="n">
        <v>0</v>
      </c>
      <c r="W46" s="15" t="n">
        <f aca="false">U46+V46</f>
        <v>350</v>
      </c>
    </row>
    <row r="47" customFormat="false" ht="15" hidden="false" customHeight="false" outlineLevel="0" collapsed="false">
      <c r="A47" s="3" t="s">
        <v>2960</v>
      </c>
      <c r="B47" s="3" t="s">
        <v>2936</v>
      </c>
      <c r="C47" s="3" t="s">
        <v>710</v>
      </c>
      <c r="D47" s="3" t="s">
        <v>189</v>
      </c>
      <c r="E47" s="13" t="n">
        <v>440000</v>
      </c>
      <c r="F47" s="13" t="n">
        <v>5238.16</v>
      </c>
      <c r="G47" s="13" t="n">
        <v>654.77</v>
      </c>
      <c r="H47" s="13" t="n">
        <v>654.77</v>
      </c>
      <c r="I47" s="13" t="n">
        <f aca="false">SUM(K47:T47)</f>
        <v>3928.6</v>
      </c>
      <c r="J47" s="13" t="n">
        <f aca="false">F47-(G47+H47+I47)</f>
        <v>0.0199999999995271</v>
      </c>
      <c r="K47" s="13" t="n">
        <v>392.86</v>
      </c>
      <c r="L47" s="13" t="n">
        <v>392.86</v>
      </c>
      <c r="M47" s="13" t="n">
        <v>392.86</v>
      </c>
      <c r="N47" s="13" t="n">
        <v>392.86</v>
      </c>
      <c r="O47" s="13" t="n">
        <v>392.86</v>
      </c>
      <c r="P47" s="13" t="n">
        <v>392.86</v>
      </c>
      <c r="Q47" s="13" t="n">
        <v>392.86</v>
      </c>
      <c r="R47" s="13" t="n">
        <v>392.86</v>
      </c>
      <c r="S47" s="13" t="n">
        <v>392.86</v>
      </c>
      <c r="T47" s="13" t="n">
        <v>392.86</v>
      </c>
      <c r="U47" s="13" t="n">
        <v>350</v>
      </c>
      <c r="V47" s="13" t="n">
        <v>0</v>
      </c>
      <c r="W47" s="13" t="n">
        <f aca="false">U47+V47</f>
        <v>350</v>
      </c>
    </row>
    <row r="48" customFormat="false" ht="15" hidden="false" customHeight="false" outlineLevel="0" collapsed="false">
      <c r="A48" s="14" t="s">
        <v>2961</v>
      </c>
      <c r="B48" s="14" t="s">
        <v>2962</v>
      </c>
      <c r="C48" s="14" t="s">
        <v>896</v>
      </c>
      <c r="D48" s="14" t="s">
        <v>448</v>
      </c>
      <c r="E48" s="15" t="n">
        <v>1950000</v>
      </c>
      <c r="F48" s="15" t="n">
        <v>16404.96</v>
      </c>
      <c r="G48" s="15" t="n">
        <v>2050.62</v>
      </c>
      <c r="H48" s="15" t="n">
        <v>2050.62</v>
      </c>
      <c r="I48" s="15" t="n">
        <f aca="false">SUM(K48:T48)</f>
        <v>12303.7</v>
      </c>
      <c r="J48" s="15" t="n">
        <f aca="false">F48-(G48+H48+I48)</f>
        <v>0.0200000000040745</v>
      </c>
      <c r="K48" s="15" t="n">
        <v>1230.37</v>
      </c>
      <c r="L48" s="15" t="n">
        <v>1230.37</v>
      </c>
      <c r="M48" s="15" t="n">
        <v>1230.37</v>
      </c>
      <c r="N48" s="15" t="n">
        <v>1230.37</v>
      </c>
      <c r="O48" s="15" t="n">
        <v>1230.37</v>
      </c>
      <c r="P48" s="15" t="n">
        <v>1230.37</v>
      </c>
      <c r="Q48" s="15" t="n">
        <v>1230.37</v>
      </c>
      <c r="R48" s="15" t="n">
        <v>1230.37</v>
      </c>
      <c r="S48" s="15" t="n">
        <v>1230.37</v>
      </c>
      <c r="T48" s="15" t="n">
        <v>1230.37</v>
      </c>
      <c r="U48" s="15" t="n">
        <v>350</v>
      </c>
      <c r="V48" s="15" t="n">
        <v>250</v>
      </c>
      <c r="W48" s="15" t="n">
        <f aca="false">U48+V48</f>
        <v>600</v>
      </c>
    </row>
    <row r="49" customFormat="false" ht="15" hidden="false" customHeight="false" outlineLevel="0" collapsed="false">
      <c r="A49" s="3" t="s">
        <v>2963</v>
      </c>
      <c r="B49" s="3" t="s">
        <v>2916</v>
      </c>
      <c r="C49" s="3" t="s">
        <v>835</v>
      </c>
      <c r="D49" s="3" t="s">
        <v>147</v>
      </c>
      <c r="E49" s="13" t="n">
        <v>515000</v>
      </c>
      <c r="F49" s="13" t="n">
        <v>3419.25</v>
      </c>
      <c r="G49" s="13" t="n">
        <v>427.41</v>
      </c>
      <c r="H49" s="13" t="n">
        <v>427.41</v>
      </c>
      <c r="I49" s="13" t="n">
        <f aca="false">SUM(K49:T49)</f>
        <v>2564.4</v>
      </c>
      <c r="J49" s="13" t="n">
        <f aca="false">F49-(G49+H49+I49)</f>
        <v>0.0299999999997453</v>
      </c>
      <c r="K49" s="13" t="n">
        <v>256.44</v>
      </c>
      <c r="L49" s="13" t="n">
        <v>256.44</v>
      </c>
      <c r="M49" s="13" t="n">
        <v>256.44</v>
      </c>
      <c r="N49" s="13" t="n">
        <v>256.44</v>
      </c>
      <c r="O49" s="13" t="n">
        <v>256.44</v>
      </c>
      <c r="P49" s="13" t="n">
        <v>256.44</v>
      </c>
      <c r="Q49" s="13" t="n">
        <v>256.44</v>
      </c>
      <c r="R49" s="13" t="n">
        <v>256.44</v>
      </c>
      <c r="S49" s="13" t="n">
        <v>256.44</v>
      </c>
      <c r="T49" s="13" t="n">
        <v>256.44</v>
      </c>
      <c r="U49" s="13" t="n">
        <v>350</v>
      </c>
      <c r="V49" s="13" t="n">
        <v>0</v>
      </c>
      <c r="W49" s="13" t="n">
        <f aca="false">U49+V49</f>
        <v>350</v>
      </c>
    </row>
    <row r="50" customFormat="false" ht="15" hidden="false" customHeight="false" outlineLevel="0" collapsed="false">
      <c r="A50" s="14" t="s">
        <v>2964</v>
      </c>
      <c r="B50" s="14" t="s">
        <v>2943</v>
      </c>
      <c r="C50" s="14" t="s">
        <v>1998</v>
      </c>
      <c r="D50" s="14" t="s">
        <v>189</v>
      </c>
      <c r="E50" s="15" t="n">
        <v>1525000</v>
      </c>
      <c r="F50" s="15" t="n">
        <v>19365.31</v>
      </c>
      <c r="G50" s="15" t="n">
        <v>2420.66</v>
      </c>
      <c r="H50" s="15" t="n">
        <v>2420.66</v>
      </c>
      <c r="I50" s="15" t="n">
        <f aca="false">SUM(K50:T50)</f>
        <v>14524</v>
      </c>
      <c r="J50" s="15" t="n">
        <f aca="false">F50-(G50+H50+I50)</f>
        <v>-0.00999999999839929</v>
      </c>
      <c r="K50" s="15" t="n">
        <v>1452.4</v>
      </c>
      <c r="L50" s="15" t="n">
        <v>1452.4</v>
      </c>
      <c r="M50" s="15" t="n">
        <v>1452.4</v>
      </c>
      <c r="N50" s="15" t="n">
        <v>1452.4</v>
      </c>
      <c r="O50" s="15" t="n">
        <v>1452.4</v>
      </c>
      <c r="P50" s="15" t="n">
        <v>1452.4</v>
      </c>
      <c r="Q50" s="15" t="n">
        <v>1452.4</v>
      </c>
      <c r="R50" s="15" t="n">
        <v>1452.4</v>
      </c>
      <c r="S50" s="15" t="n">
        <v>1452.4</v>
      </c>
      <c r="T50" s="15" t="n">
        <v>1452.4</v>
      </c>
      <c r="U50" s="15" t="n">
        <v>350</v>
      </c>
      <c r="V50" s="15" t="n">
        <v>250</v>
      </c>
      <c r="W50" s="15" t="n">
        <f aca="false">U50+V50</f>
        <v>600</v>
      </c>
    </row>
    <row r="51" customFormat="false" ht="15" hidden="false" customHeight="false" outlineLevel="0" collapsed="false">
      <c r="A51" s="3" t="s">
        <v>2965</v>
      </c>
      <c r="B51" s="3" t="s">
        <v>2966</v>
      </c>
      <c r="C51" s="3" t="s">
        <v>1308</v>
      </c>
      <c r="D51" s="3" t="s">
        <v>328</v>
      </c>
      <c r="E51" s="13" t="n">
        <v>375000</v>
      </c>
      <c r="F51" s="13" t="n">
        <v>5276.03</v>
      </c>
      <c r="G51" s="13" t="n">
        <v>659.5</v>
      </c>
      <c r="H51" s="13" t="n">
        <v>659.5</v>
      </c>
      <c r="I51" s="13" t="n">
        <f aca="false">SUM(K51:T51)</f>
        <v>3957</v>
      </c>
      <c r="J51" s="13" t="n">
        <f aca="false">F51-(G51+H51+I51)</f>
        <v>0.0299999999997453</v>
      </c>
      <c r="K51" s="13" t="n">
        <v>395.7</v>
      </c>
      <c r="L51" s="13" t="n">
        <v>395.7</v>
      </c>
      <c r="M51" s="13" t="n">
        <v>395.7</v>
      </c>
      <c r="N51" s="13" t="n">
        <v>395.7</v>
      </c>
      <c r="O51" s="13" t="n">
        <v>395.7</v>
      </c>
      <c r="P51" s="13" t="n">
        <v>395.7</v>
      </c>
      <c r="Q51" s="13" t="n">
        <v>395.7</v>
      </c>
      <c r="R51" s="13" t="n">
        <v>395.7</v>
      </c>
      <c r="S51" s="13" t="n">
        <v>395.7</v>
      </c>
      <c r="T51" s="13" t="n">
        <v>395.7</v>
      </c>
      <c r="U51" s="13" t="n">
        <v>350</v>
      </c>
      <c r="V51" s="13" t="n">
        <v>0</v>
      </c>
      <c r="W51" s="13" t="n">
        <f aca="false">U51+V51</f>
        <v>350</v>
      </c>
    </row>
    <row r="52" customFormat="false" ht="15" hidden="false" customHeight="false" outlineLevel="0" collapsed="false">
      <c r="A52" s="14" t="s">
        <v>2967</v>
      </c>
      <c r="B52" s="14" t="s">
        <v>2968</v>
      </c>
      <c r="C52" s="14" t="s">
        <v>935</v>
      </c>
      <c r="D52" s="14" t="s">
        <v>338</v>
      </c>
      <c r="E52" s="15" t="n">
        <v>1285000</v>
      </c>
      <c r="F52" s="15" t="n">
        <v>12646.18</v>
      </c>
      <c r="G52" s="15" t="n">
        <v>1580.77</v>
      </c>
      <c r="H52" s="15" t="n">
        <v>1580.77</v>
      </c>
      <c r="I52" s="15" t="n">
        <f aca="false">SUM(K52:T52)</f>
        <v>9484.6</v>
      </c>
      <c r="J52" s="15" t="n">
        <f aca="false">F52-(G52+H52+I52)</f>
        <v>0.0400000000008731</v>
      </c>
      <c r="K52" s="15" t="n">
        <v>948.46</v>
      </c>
      <c r="L52" s="15" t="n">
        <v>948.46</v>
      </c>
      <c r="M52" s="15" t="n">
        <v>948.46</v>
      </c>
      <c r="N52" s="15" t="n">
        <v>948.46</v>
      </c>
      <c r="O52" s="15" t="n">
        <v>948.46</v>
      </c>
      <c r="P52" s="15" t="n">
        <v>948.46</v>
      </c>
      <c r="Q52" s="15" t="n">
        <v>948.46</v>
      </c>
      <c r="R52" s="15" t="n">
        <v>948.46</v>
      </c>
      <c r="S52" s="15" t="n">
        <v>948.46</v>
      </c>
      <c r="T52" s="15" t="n">
        <v>948.46</v>
      </c>
      <c r="U52" s="15" t="n">
        <v>350</v>
      </c>
      <c r="V52" s="15" t="n">
        <v>250</v>
      </c>
      <c r="W52" s="15" t="n">
        <f aca="false">U52+V52</f>
        <v>600</v>
      </c>
    </row>
    <row r="53" customFormat="false" ht="15" hidden="false" customHeight="false" outlineLevel="0" collapsed="false">
      <c r="A53" s="3" t="s">
        <v>2969</v>
      </c>
      <c r="B53" s="3" t="s">
        <v>2955</v>
      </c>
      <c r="C53" s="3" t="s">
        <v>68</v>
      </c>
      <c r="D53" s="3" t="s">
        <v>325</v>
      </c>
      <c r="E53" s="13" t="n">
        <v>1115000</v>
      </c>
      <c r="F53" s="13" t="n">
        <v>12212.05</v>
      </c>
      <c r="G53" s="13" t="n">
        <v>1526.51</v>
      </c>
      <c r="H53" s="13" t="n">
        <v>1526.51</v>
      </c>
      <c r="I53" s="13" t="n">
        <f aca="false">SUM(K53:T53)</f>
        <v>9159</v>
      </c>
      <c r="J53" s="13" t="n">
        <f aca="false">F53-(G53+H53+I53)</f>
        <v>0.0299999999988358</v>
      </c>
      <c r="K53" s="13" t="n">
        <v>915.9</v>
      </c>
      <c r="L53" s="13" t="n">
        <v>915.9</v>
      </c>
      <c r="M53" s="13" t="n">
        <v>915.9</v>
      </c>
      <c r="N53" s="13" t="n">
        <v>915.9</v>
      </c>
      <c r="O53" s="13" t="n">
        <v>915.9</v>
      </c>
      <c r="P53" s="13" t="n">
        <v>915.9</v>
      </c>
      <c r="Q53" s="13" t="n">
        <v>915.9</v>
      </c>
      <c r="R53" s="13" t="n">
        <v>915.9</v>
      </c>
      <c r="S53" s="13" t="n">
        <v>915.9</v>
      </c>
      <c r="T53" s="13" t="n">
        <v>915.9</v>
      </c>
      <c r="U53" s="13" t="n">
        <v>350</v>
      </c>
      <c r="V53" s="13" t="n">
        <v>250</v>
      </c>
      <c r="W53" s="13" t="n">
        <f aca="false">U53+V53</f>
        <v>600</v>
      </c>
    </row>
    <row r="54" customFormat="false" ht="15" hidden="false" customHeight="false" outlineLevel="0" collapsed="false">
      <c r="A54" s="14" t="s">
        <v>2970</v>
      </c>
      <c r="B54" s="14" t="s">
        <v>2971</v>
      </c>
      <c r="C54" s="14" t="s">
        <v>541</v>
      </c>
      <c r="D54" s="14" t="s">
        <v>180</v>
      </c>
      <c r="E54" s="15" t="n">
        <v>835000</v>
      </c>
      <c r="F54" s="15" t="n">
        <v>13850.57</v>
      </c>
      <c r="G54" s="15" t="n">
        <v>1731.32</v>
      </c>
      <c r="H54" s="15" t="n">
        <v>1731.32</v>
      </c>
      <c r="I54" s="15" t="n">
        <f aca="false">SUM(K54:T54)</f>
        <v>10387.9</v>
      </c>
      <c r="J54" s="15" t="n">
        <f aca="false">F54-(G54+H54+I54)</f>
        <v>0.0299999999988358</v>
      </c>
      <c r="K54" s="15" t="n">
        <v>1038.79</v>
      </c>
      <c r="L54" s="15" t="n">
        <v>1038.79</v>
      </c>
      <c r="M54" s="15" t="n">
        <v>1038.79</v>
      </c>
      <c r="N54" s="15" t="n">
        <v>1038.79</v>
      </c>
      <c r="O54" s="15" t="n">
        <v>1038.79</v>
      </c>
      <c r="P54" s="15" t="n">
        <v>1038.79</v>
      </c>
      <c r="Q54" s="15" t="n">
        <v>1038.79</v>
      </c>
      <c r="R54" s="15" t="n">
        <v>1038.79</v>
      </c>
      <c r="S54" s="15" t="n">
        <v>1038.79</v>
      </c>
      <c r="T54" s="15" t="n">
        <v>1038.79</v>
      </c>
      <c r="U54" s="15" t="n">
        <v>350</v>
      </c>
      <c r="V54" s="15" t="n">
        <v>0</v>
      </c>
      <c r="W54" s="15" t="n">
        <f aca="false">U54+V54</f>
        <v>350</v>
      </c>
    </row>
    <row r="55" customFormat="false" ht="15" hidden="false" customHeight="false" outlineLevel="0" collapsed="false">
      <c r="A55" s="3" t="s">
        <v>2972</v>
      </c>
      <c r="B55" s="3" t="s">
        <v>2936</v>
      </c>
      <c r="C55" s="3" t="s">
        <v>686</v>
      </c>
      <c r="D55" s="3" t="s">
        <v>93</v>
      </c>
      <c r="E55" s="13" t="n">
        <v>300000</v>
      </c>
      <c r="F55" s="13" t="n">
        <v>4155.89</v>
      </c>
      <c r="G55" s="13" t="n">
        <v>519.49</v>
      </c>
      <c r="H55" s="13" t="n">
        <v>519.49</v>
      </c>
      <c r="I55" s="13" t="n">
        <f aca="false">SUM(K55:T55)</f>
        <v>3116.9</v>
      </c>
      <c r="J55" s="13" t="n">
        <f aca="false">F55-(G55+H55+I55)</f>
        <v>0.0100000000002183</v>
      </c>
      <c r="K55" s="13" t="n">
        <v>311.69</v>
      </c>
      <c r="L55" s="13" t="n">
        <v>311.69</v>
      </c>
      <c r="M55" s="13" t="n">
        <v>311.69</v>
      </c>
      <c r="N55" s="13" t="n">
        <v>311.69</v>
      </c>
      <c r="O55" s="13" t="n">
        <v>311.69</v>
      </c>
      <c r="P55" s="13" t="n">
        <v>311.69</v>
      </c>
      <c r="Q55" s="13" t="n">
        <v>311.69</v>
      </c>
      <c r="R55" s="13" t="n">
        <v>311.69</v>
      </c>
      <c r="S55" s="13" t="n">
        <v>311.69</v>
      </c>
      <c r="T55" s="13" t="n">
        <v>311.69</v>
      </c>
      <c r="U55" s="13" t="n">
        <v>350</v>
      </c>
      <c r="V55" s="13" t="n">
        <v>0</v>
      </c>
      <c r="W55" s="13" t="n">
        <f aca="false">U55+V55</f>
        <v>350</v>
      </c>
    </row>
    <row r="56" customFormat="false" ht="15" hidden="false" customHeight="false" outlineLevel="0" collapsed="false">
      <c r="A56" s="14" t="s">
        <v>2973</v>
      </c>
      <c r="B56" s="14" t="s">
        <v>2938</v>
      </c>
      <c r="C56" s="14" t="s">
        <v>296</v>
      </c>
      <c r="D56" s="14" t="s">
        <v>208</v>
      </c>
      <c r="E56" s="15" t="n">
        <v>800000</v>
      </c>
      <c r="F56" s="15" t="n">
        <v>9754.81</v>
      </c>
      <c r="G56" s="15" t="n">
        <v>1219.35</v>
      </c>
      <c r="H56" s="15" t="n">
        <v>1219.35</v>
      </c>
      <c r="I56" s="15" t="n">
        <f aca="false">SUM(K56:T56)</f>
        <v>7316.1</v>
      </c>
      <c r="J56" s="15" t="n">
        <f aca="false">F56-(G56+H56+I56)</f>
        <v>0.0100000000002183</v>
      </c>
      <c r="K56" s="15" t="n">
        <v>731.61</v>
      </c>
      <c r="L56" s="15" t="n">
        <v>731.61</v>
      </c>
      <c r="M56" s="15" t="n">
        <v>731.61</v>
      </c>
      <c r="N56" s="15" t="n">
        <v>731.61</v>
      </c>
      <c r="O56" s="15" t="n">
        <v>731.61</v>
      </c>
      <c r="P56" s="15" t="n">
        <v>731.61</v>
      </c>
      <c r="Q56" s="15" t="n">
        <v>731.61</v>
      </c>
      <c r="R56" s="15" t="n">
        <v>731.61</v>
      </c>
      <c r="S56" s="15" t="n">
        <v>731.61</v>
      </c>
      <c r="T56" s="15" t="n">
        <v>731.61</v>
      </c>
      <c r="U56" s="15" t="n">
        <v>350</v>
      </c>
      <c r="V56" s="15" t="n">
        <v>0</v>
      </c>
      <c r="W56" s="15" t="n">
        <f aca="false">U56+V56</f>
        <v>350</v>
      </c>
    </row>
    <row r="57" customFormat="false" ht="15" hidden="false" customHeight="false" outlineLevel="0" collapsed="false">
      <c r="A57" s="3" t="s">
        <v>2974</v>
      </c>
      <c r="B57" s="3" t="s">
        <v>2895</v>
      </c>
      <c r="C57" s="3" t="s">
        <v>1432</v>
      </c>
      <c r="D57" s="3" t="s">
        <v>138</v>
      </c>
      <c r="E57" s="13" t="n">
        <v>515000</v>
      </c>
      <c r="F57" s="13" t="n">
        <v>5555.08</v>
      </c>
      <c r="G57" s="13" t="n">
        <v>694.38</v>
      </c>
      <c r="H57" s="13" t="n">
        <v>694.38</v>
      </c>
      <c r="I57" s="13" t="n">
        <f aca="false">SUM(K57:T57)</f>
        <v>4166.3</v>
      </c>
      <c r="J57" s="13" t="n">
        <f aca="false">F57-(G57+H57+I57)</f>
        <v>0.0199999999995271</v>
      </c>
      <c r="K57" s="13" t="n">
        <v>416.63</v>
      </c>
      <c r="L57" s="13" t="n">
        <v>416.63</v>
      </c>
      <c r="M57" s="13" t="n">
        <v>416.63</v>
      </c>
      <c r="N57" s="13" t="n">
        <v>416.63</v>
      </c>
      <c r="O57" s="13" t="n">
        <v>416.63</v>
      </c>
      <c r="P57" s="13" t="n">
        <v>416.63</v>
      </c>
      <c r="Q57" s="13" t="n">
        <v>416.63</v>
      </c>
      <c r="R57" s="13" t="n">
        <v>416.63</v>
      </c>
      <c r="S57" s="13" t="n">
        <v>416.63</v>
      </c>
      <c r="T57" s="13" t="n">
        <v>416.63</v>
      </c>
      <c r="U57" s="13" t="n">
        <v>350</v>
      </c>
      <c r="V57" s="13" t="n">
        <v>0</v>
      </c>
      <c r="W57" s="13" t="n">
        <f aca="false">U57+V57</f>
        <v>350</v>
      </c>
    </row>
    <row r="58" customFormat="false" ht="15" hidden="false" customHeight="false" outlineLevel="0" collapsed="false">
      <c r="A58" s="14" t="s">
        <v>2975</v>
      </c>
      <c r="B58" s="14" t="s">
        <v>2904</v>
      </c>
      <c r="C58" s="14" t="s">
        <v>1112</v>
      </c>
      <c r="D58" s="14" t="s">
        <v>193</v>
      </c>
      <c r="E58" s="15" t="n">
        <v>920000</v>
      </c>
      <c r="F58" s="15" t="n">
        <v>6305.99</v>
      </c>
      <c r="G58" s="15" t="n">
        <v>788.25</v>
      </c>
      <c r="H58" s="15" t="n">
        <v>788.25</v>
      </c>
      <c r="I58" s="15" t="n">
        <f aca="false">SUM(K58:T58)</f>
        <v>4729.5</v>
      </c>
      <c r="J58" s="15" t="n">
        <f aca="false">F58-(G58+H58+I58)</f>
        <v>-0.0100000000002183</v>
      </c>
      <c r="K58" s="15" t="n">
        <v>472.95</v>
      </c>
      <c r="L58" s="15" t="n">
        <v>472.95</v>
      </c>
      <c r="M58" s="15" t="n">
        <v>472.95</v>
      </c>
      <c r="N58" s="15" t="n">
        <v>472.95</v>
      </c>
      <c r="O58" s="15" t="n">
        <v>472.95</v>
      </c>
      <c r="P58" s="15" t="n">
        <v>472.95</v>
      </c>
      <c r="Q58" s="15" t="n">
        <v>472.95</v>
      </c>
      <c r="R58" s="15" t="n">
        <v>472.95</v>
      </c>
      <c r="S58" s="15" t="n">
        <v>472.95</v>
      </c>
      <c r="T58" s="15" t="n">
        <v>472.95</v>
      </c>
      <c r="U58" s="15" t="n">
        <v>350</v>
      </c>
      <c r="V58" s="15" t="n">
        <v>0</v>
      </c>
      <c r="W58" s="15" t="n">
        <f aca="false">U58+V58</f>
        <v>350</v>
      </c>
    </row>
    <row r="59" customFormat="false" ht="15" hidden="false" customHeight="false" outlineLevel="0" collapsed="false">
      <c r="A59" s="3" t="s">
        <v>2976</v>
      </c>
      <c r="B59" s="3" t="s">
        <v>2918</v>
      </c>
      <c r="C59" s="3" t="s">
        <v>1258</v>
      </c>
      <c r="D59" s="3" t="s">
        <v>911</v>
      </c>
      <c r="E59" s="13" t="n">
        <v>220000</v>
      </c>
      <c r="F59" s="13" t="n">
        <v>3154.33</v>
      </c>
      <c r="G59" s="13" t="n">
        <v>394.29</v>
      </c>
      <c r="H59" s="13" t="n">
        <v>394.29</v>
      </c>
      <c r="I59" s="13" t="n">
        <f aca="false">SUM(K59:T59)</f>
        <v>2365.7</v>
      </c>
      <c r="J59" s="13" t="n">
        <f aca="false">F59-(G59+H59+I59)</f>
        <v>0.0499999999997272</v>
      </c>
      <c r="K59" s="13" t="n">
        <v>236.57</v>
      </c>
      <c r="L59" s="13" t="n">
        <v>236.57</v>
      </c>
      <c r="M59" s="13" t="n">
        <v>236.57</v>
      </c>
      <c r="N59" s="13" t="n">
        <v>236.57</v>
      </c>
      <c r="O59" s="13" t="n">
        <v>236.57</v>
      </c>
      <c r="P59" s="13" t="n">
        <v>236.57</v>
      </c>
      <c r="Q59" s="13" t="n">
        <v>236.57</v>
      </c>
      <c r="R59" s="13" t="n">
        <v>236.57</v>
      </c>
      <c r="S59" s="13" t="n">
        <v>236.57</v>
      </c>
      <c r="T59" s="13" t="n">
        <v>236.57</v>
      </c>
      <c r="U59" s="13" t="n">
        <v>350</v>
      </c>
      <c r="V59" s="13" t="n">
        <v>0</v>
      </c>
      <c r="W59" s="13" t="n">
        <f aca="false">U59+V59</f>
        <v>350</v>
      </c>
    </row>
    <row r="60" customFormat="false" ht="15" hidden="false" customHeight="false" outlineLevel="0" collapsed="false">
      <c r="A60" s="14" t="s">
        <v>2977</v>
      </c>
      <c r="B60" s="14" t="s">
        <v>2943</v>
      </c>
      <c r="C60" s="14" t="s">
        <v>1242</v>
      </c>
      <c r="D60" s="14" t="s">
        <v>256</v>
      </c>
      <c r="E60" s="15" t="n">
        <v>900000</v>
      </c>
      <c r="F60" s="15" t="n">
        <v>11227.41</v>
      </c>
      <c r="G60" s="15" t="n">
        <v>1403.43</v>
      </c>
      <c r="H60" s="15" t="n">
        <v>1403.43</v>
      </c>
      <c r="I60" s="15" t="n">
        <f aca="false">SUM(K60:T60)</f>
        <v>8420.6</v>
      </c>
      <c r="J60" s="15" t="n">
        <f aca="false">F60-(G60+H60+I60)</f>
        <v>-0.0499999999992724</v>
      </c>
      <c r="K60" s="15" t="n">
        <v>842.06</v>
      </c>
      <c r="L60" s="15" t="n">
        <v>842.06</v>
      </c>
      <c r="M60" s="15" t="n">
        <v>842.06</v>
      </c>
      <c r="N60" s="15" t="n">
        <v>842.06</v>
      </c>
      <c r="O60" s="15" t="n">
        <v>842.06</v>
      </c>
      <c r="P60" s="15" t="n">
        <v>842.06</v>
      </c>
      <c r="Q60" s="15" t="n">
        <v>842.06</v>
      </c>
      <c r="R60" s="15" t="n">
        <v>842.06</v>
      </c>
      <c r="S60" s="15" t="n">
        <v>842.06</v>
      </c>
      <c r="T60" s="15" t="n">
        <v>842.06</v>
      </c>
      <c r="U60" s="15" t="n">
        <v>350</v>
      </c>
      <c r="V60" s="15" t="n">
        <v>0</v>
      </c>
      <c r="W60" s="15" t="n">
        <f aca="false">U60+V60</f>
        <v>350</v>
      </c>
    </row>
    <row r="61" customFormat="false" ht="15" hidden="false" customHeight="false" outlineLevel="0" collapsed="false">
      <c r="A61" s="3" t="s">
        <v>2978</v>
      </c>
      <c r="B61" s="3" t="s">
        <v>2918</v>
      </c>
      <c r="C61" s="3" t="s">
        <v>554</v>
      </c>
      <c r="D61" s="3" t="s">
        <v>73</v>
      </c>
      <c r="E61" s="13" t="n">
        <v>890000</v>
      </c>
      <c r="F61" s="13" t="n">
        <v>9767</v>
      </c>
      <c r="G61" s="13" t="n">
        <v>1220.88</v>
      </c>
      <c r="H61" s="13" t="n">
        <v>1220.88</v>
      </c>
      <c r="I61" s="13" t="n">
        <f aca="false">SUM(K61:T61)</f>
        <v>7325.2</v>
      </c>
      <c r="J61" s="13" t="n">
        <f aca="false">F61-(G61+H61+I61)</f>
        <v>0.0399999999990541</v>
      </c>
      <c r="K61" s="13" t="n">
        <v>732.52</v>
      </c>
      <c r="L61" s="13" t="n">
        <v>732.52</v>
      </c>
      <c r="M61" s="13" t="n">
        <v>732.52</v>
      </c>
      <c r="N61" s="13" t="n">
        <v>732.52</v>
      </c>
      <c r="O61" s="13" t="n">
        <v>732.52</v>
      </c>
      <c r="P61" s="13" t="n">
        <v>732.52</v>
      </c>
      <c r="Q61" s="13" t="n">
        <v>732.52</v>
      </c>
      <c r="R61" s="13" t="n">
        <v>732.52</v>
      </c>
      <c r="S61" s="13" t="n">
        <v>732.52</v>
      </c>
      <c r="T61" s="13" t="n">
        <v>732.52</v>
      </c>
      <c r="U61" s="13" t="n">
        <v>350</v>
      </c>
      <c r="V61" s="13" t="n">
        <v>0</v>
      </c>
      <c r="W61" s="13" t="n">
        <f aca="false">U61+V61</f>
        <v>350</v>
      </c>
    </row>
    <row r="62" customFormat="false" ht="15" hidden="false" customHeight="false" outlineLevel="0" collapsed="false">
      <c r="A62" s="14" t="s">
        <v>2979</v>
      </c>
      <c r="B62" s="14" t="s">
        <v>2966</v>
      </c>
      <c r="C62" s="14" t="s">
        <v>432</v>
      </c>
      <c r="D62" s="14" t="s">
        <v>197</v>
      </c>
      <c r="E62" s="15" t="n">
        <v>990000</v>
      </c>
      <c r="F62" s="15" t="n">
        <v>14793.04</v>
      </c>
      <c r="G62" s="15" t="n">
        <v>1849.13</v>
      </c>
      <c r="H62" s="15" t="n">
        <v>1849.13</v>
      </c>
      <c r="I62" s="15" t="n">
        <f aca="false">SUM(K62:T62)</f>
        <v>11094.8</v>
      </c>
      <c r="J62" s="15" t="n">
        <f aca="false">F62-(G62+H62+I62)</f>
        <v>-0.0199999999986176</v>
      </c>
      <c r="K62" s="15" t="n">
        <v>1109.48</v>
      </c>
      <c r="L62" s="15" t="n">
        <v>1109.48</v>
      </c>
      <c r="M62" s="15" t="n">
        <v>1109.48</v>
      </c>
      <c r="N62" s="15" t="n">
        <v>1109.48</v>
      </c>
      <c r="O62" s="15" t="n">
        <v>1109.48</v>
      </c>
      <c r="P62" s="15" t="n">
        <v>1109.48</v>
      </c>
      <c r="Q62" s="15" t="n">
        <v>1109.48</v>
      </c>
      <c r="R62" s="15" t="n">
        <v>1109.48</v>
      </c>
      <c r="S62" s="15" t="n">
        <v>1109.48</v>
      </c>
      <c r="T62" s="15" t="n">
        <v>1109.48</v>
      </c>
      <c r="U62" s="15" t="n">
        <v>350</v>
      </c>
      <c r="V62" s="15" t="n">
        <v>0</v>
      </c>
      <c r="W62" s="15" t="n">
        <f aca="false">U62+V62</f>
        <v>350</v>
      </c>
    </row>
    <row r="63" customFormat="false" ht="15" hidden="false" customHeight="false" outlineLevel="0" collapsed="false">
      <c r="A63" s="3" t="s">
        <v>2980</v>
      </c>
      <c r="B63" s="3" t="s">
        <v>2981</v>
      </c>
      <c r="C63" s="3" t="s">
        <v>2250</v>
      </c>
      <c r="D63" s="3" t="s">
        <v>85</v>
      </c>
      <c r="E63" s="13" t="n">
        <v>145000</v>
      </c>
      <c r="F63" s="13" t="n">
        <v>1657.79</v>
      </c>
      <c r="G63" s="13" t="n">
        <v>207.22</v>
      </c>
      <c r="H63" s="13" t="n">
        <v>207.22</v>
      </c>
      <c r="I63" s="13" t="n">
        <f aca="false">SUM(K63:T63)</f>
        <v>1243.3</v>
      </c>
      <c r="J63" s="13" t="n">
        <f aca="false">F63-(G63+H63+I63)</f>
        <v>0.0499999999999545</v>
      </c>
      <c r="K63" s="13" t="n">
        <v>124.33</v>
      </c>
      <c r="L63" s="13" t="n">
        <v>124.33</v>
      </c>
      <c r="M63" s="13" t="n">
        <v>124.33</v>
      </c>
      <c r="N63" s="13" t="n">
        <v>124.33</v>
      </c>
      <c r="O63" s="13" t="n">
        <v>124.33</v>
      </c>
      <c r="P63" s="13" t="n">
        <v>124.33</v>
      </c>
      <c r="Q63" s="13" t="n">
        <v>124.33</v>
      </c>
      <c r="R63" s="13" t="n">
        <v>124.33</v>
      </c>
      <c r="S63" s="13" t="n">
        <v>124.33</v>
      </c>
      <c r="T63" s="13" t="n">
        <v>124.33</v>
      </c>
      <c r="U63" s="13" t="n">
        <v>350</v>
      </c>
      <c r="V63" s="13" t="n">
        <v>0</v>
      </c>
      <c r="W63" s="13" t="n">
        <f aca="false">U63+V63</f>
        <v>350</v>
      </c>
    </row>
    <row r="64" customFormat="false" ht="15" hidden="false" customHeight="false" outlineLevel="0" collapsed="false">
      <c r="A64" s="14" t="s">
        <v>2982</v>
      </c>
      <c r="B64" s="14" t="s">
        <v>2966</v>
      </c>
      <c r="C64" s="14" t="s">
        <v>1625</v>
      </c>
      <c r="D64" s="14" t="s">
        <v>138</v>
      </c>
      <c r="E64" s="15" t="n">
        <v>765000</v>
      </c>
      <c r="F64" s="15" t="n">
        <v>8251.73</v>
      </c>
      <c r="G64" s="15" t="n">
        <v>1031.47</v>
      </c>
      <c r="H64" s="15" t="n">
        <v>1031.47</v>
      </c>
      <c r="I64" s="15" t="n">
        <f aca="false">SUM(K64:T64)</f>
        <v>6188.8</v>
      </c>
      <c r="J64" s="15" t="n">
        <f aca="false">F64-(G64+H64+I64)</f>
        <v>-0.0100000000002183</v>
      </c>
      <c r="K64" s="15" t="n">
        <v>618.88</v>
      </c>
      <c r="L64" s="15" t="n">
        <v>618.88</v>
      </c>
      <c r="M64" s="15" t="n">
        <v>618.88</v>
      </c>
      <c r="N64" s="15" t="n">
        <v>618.88</v>
      </c>
      <c r="O64" s="15" t="n">
        <v>618.88</v>
      </c>
      <c r="P64" s="15" t="n">
        <v>618.88</v>
      </c>
      <c r="Q64" s="15" t="n">
        <v>618.88</v>
      </c>
      <c r="R64" s="15" t="n">
        <v>618.88</v>
      </c>
      <c r="S64" s="15" t="n">
        <v>618.88</v>
      </c>
      <c r="T64" s="15" t="n">
        <v>618.88</v>
      </c>
      <c r="U64" s="15" t="n">
        <v>350</v>
      </c>
      <c r="V64" s="15" t="n">
        <v>0</v>
      </c>
      <c r="W64" s="15" t="n">
        <f aca="false">U64+V64</f>
        <v>350</v>
      </c>
    </row>
    <row r="65" customFormat="false" ht="15" hidden="false" customHeight="false" outlineLevel="0" collapsed="false">
      <c r="A65" s="3" t="s">
        <v>2983</v>
      </c>
      <c r="B65" s="3" t="s">
        <v>2897</v>
      </c>
      <c r="C65" s="3" t="s">
        <v>793</v>
      </c>
      <c r="D65" s="3" t="s">
        <v>112</v>
      </c>
      <c r="E65" s="13" t="n">
        <v>1245000</v>
      </c>
      <c r="F65" s="13" t="n">
        <v>5802.88</v>
      </c>
      <c r="G65" s="13" t="n">
        <v>725.36</v>
      </c>
      <c r="H65" s="13" t="n">
        <v>725.36</v>
      </c>
      <c r="I65" s="13" t="n">
        <f aca="false">SUM(K65:T65)</f>
        <v>4352.2</v>
      </c>
      <c r="J65" s="13" t="n">
        <f aca="false">F65-(G65+H65+I65)</f>
        <v>-0.0400000000008731</v>
      </c>
      <c r="K65" s="13" t="n">
        <v>435.22</v>
      </c>
      <c r="L65" s="13" t="n">
        <v>435.22</v>
      </c>
      <c r="M65" s="13" t="n">
        <v>435.22</v>
      </c>
      <c r="N65" s="13" t="n">
        <v>435.22</v>
      </c>
      <c r="O65" s="13" t="n">
        <v>435.22</v>
      </c>
      <c r="P65" s="13" t="n">
        <v>435.22</v>
      </c>
      <c r="Q65" s="13" t="n">
        <v>435.22</v>
      </c>
      <c r="R65" s="13" t="n">
        <v>435.22</v>
      </c>
      <c r="S65" s="13" t="n">
        <v>435.22</v>
      </c>
      <c r="T65" s="13" t="n">
        <v>435.22</v>
      </c>
      <c r="U65" s="13" t="n">
        <v>350</v>
      </c>
      <c r="V65" s="13" t="n">
        <v>250</v>
      </c>
      <c r="W65" s="13" t="n">
        <f aca="false">U65+V65</f>
        <v>600</v>
      </c>
    </row>
    <row r="66" customFormat="false" ht="15" hidden="false" customHeight="false" outlineLevel="0" collapsed="false">
      <c r="A66" s="14" t="s">
        <v>2984</v>
      </c>
      <c r="B66" s="14" t="s">
        <v>2916</v>
      </c>
      <c r="C66" s="14" t="s">
        <v>2985</v>
      </c>
      <c r="D66" s="14" t="s">
        <v>189</v>
      </c>
      <c r="E66" s="15" t="n">
        <v>305000</v>
      </c>
      <c r="F66" s="15" t="n">
        <v>3631</v>
      </c>
      <c r="G66" s="15" t="n">
        <v>453.88</v>
      </c>
      <c r="H66" s="15" t="n">
        <v>453.88</v>
      </c>
      <c r="I66" s="15" t="n">
        <f aca="false">SUM(K66:T66)</f>
        <v>2723.2</v>
      </c>
      <c r="J66" s="15" t="n">
        <f aca="false">F66-(G66+H66+I66)</f>
        <v>0.0399999999999636</v>
      </c>
      <c r="K66" s="15" t="n">
        <v>272.32</v>
      </c>
      <c r="L66" s="15" t="n">
        <v>272.32</v>
      </c>
      <c r="M66" s="15" t="n">
        <v>272.32</v>
      </c>
      <c r="N66" s="15" t="n">
        <v>272.32</v>
      </c>
      <c r="O66" s="15" t="n">
        <v>272.32</v>
      </c>
      <c r="P66" s="15" t="n">
        <v>272.32</v>
      </c>
      <c r="Q66" s="15" t="n">
        <v>272.32</v>
      </c>
      <c r="R66" s="15" t="n">
        <v>272.32</v>
      </c>
      <c r="S66" s="15" t="n">
        <v>272.32</v>
      </c>
      <c r="T66" s="15" t="n">
        <v>272.32</v>
      </c>
      <c r="U66" s="15" t="n">
        <v>350</v>
      </c>
      <c r="V66" s="15" t="n">
        <v>0</v>
      </c>
      <c r="W66" s="15" t="n">
        <f aca="false">U66+V66</f>
        <v>350</v>
      </c>
    </row>
    <row r="67" customFormat="false" ht="15" hidden="false" customHeight="false" outlineLevel="0" collapsed="false">
      <c r="A67" s="3" t="s">
        <v>2986</v>
      </c>
      <c r="B67" s="3" t="s">
        <v>2897</v>
      </c>
      <c r="C67" s="3" t="s">
        <v>1413</v>
      </c>
      <c r="D67" s="3" t="s">
        <v>352</v>
      </c>
      <c r="E67" s="13" t="n">
        <v>760000</v>
      </c>
      <c r="F67" s="13" t="n">
        <v>8055.22</v>
      </c>
      <c r="G67" s="13" t="n">
        <v>1006.9</v>
      </c>
      <c r="H67" s="13" t="n">
        <v>1006.9</v>
      </c>
      <c r="I67" s="13" t="n">
        <f aca="false">SUM(K67:T67)</f>
        <v>6041.4</v>
      </c>
      <c r="J67" s="13" t="n">
        <f aca="false">F67-(G67+H67+I67)</f>
        <v>0.0199999999995271</v>
      </c>
      <c r="K67" s="13" t="n">
        <v>604.14</v>
      </c>
      <c r="L67" s="13" t="n">
        <v>604.14</v>
      </c>
      <c r="M67" s="13" t="n">
        <v>604.14</v>
      </c>
      <c r="N67" s="13" t="n">
        <v>604.14</v>
      </c>
      <c r="O67" s="13" t="n">
        <v>604.14</v>
      </c>
      <c r="P67" s="13" t="n">
        <v>604.14</v>
      </c>
      <c r="Q67" s="13" t="n">
        <v>604.14</v>
      </c>
      <c r="R67" s="13" t="n">
        <v>604.14</v>
      </c>
      <c r="S67" s="13" t="n">
        <v>604.14</v>
      </c>
      <c r="T67" s="13" t="n">
        <v>604.14</v>
      </c>
      <c r="U67" s="13" t="n">
        <v>350</v>
      </c>
      <c r="V67" s="13" t="n">
        <v>0</v>
      </c>
      <c r="W67" s="13" t="n">
        <f aca="false">U67+V67</f>
        <v>350</v>
      </c>
    </row>
    <row r="68" customFormat="false" ht="15" hidden="false" customHeight="false" outlineLevel="0" collapsed="false">
      <c r="A68" s="14" t="s">
        <v>2987</v>
      </c>
      <c r="B68" s="14" t="s">
        <v>2962</v>
      </c>
      <c r="C68" s="14" t="s">
        <v>845</v>
      </c>
      <c r="D68" s="14" t="s">
        <v>233</v>
      </c>
      <c r="E68" s="15" t="n">
        <v>585000</v>
      </c>
      <c r="F68" s="15" t="n">
        <v>5377.34</v>
      </c>
      <c r="G68" s="15" t="n">
        <v>672.17</v>
      </c>
      <c r="H68" s="15" t="n">
        <v>672.17</v>
      </c>
      <c r="I68" s="15" t="n">
        <f aca="false">SUM(K68:T68)</f>
        <v>4033</v>
      </c>
      <c r="J68" s="15" t="n">
        <f aca="false">F68-(G68+H68+I68)</f>
        <v>0</v>
      </c>
      <c r="K68" s="15" t="n">
        <v>403.3</v>
      </c>
      <c r="L68" s="15" t="n">
        <v>403.3</v>
      </c>
      <c r="M68" s="15" t="n">
        <v>403.3</v>
      </c>
      <c r="N68" s="15" t="n">
        <v>403.3</v>
      </c>
      <c r="O68" s="15" t="n">
        <v>403.3</v>
      </c>
      <c r="P68" s="15" t="n">
        <v>403.3</v>
      </c>
      <c r="Q68" s="15" t="n">
        <v>403.3</v>
      </c>
      <c r="R68" s="15" t="n">
        <v>403.3</v>
      </c>
      <c r="S68" s="15" t="n">
        <v>403.3</v>
      </c>
      <c r="T68" s="15" t="n">
        <v>403.3</v>
      </c>
      <c r="U68" s="15" t="n">
        <v>350</v>
      </c>
      <c r="V68" s="15" t="n">
        <v>0</v>
      </c>
      <c r="W68" s="15" t="n">
        <f aca="false">U68+V68</f>
        <v>350</v>
      </c>
    </row>
    <row r="69" customFormat="false" ht="15" hidden="false" customHeight="false" outlineLevel="0" collapsed="false">
      <c r="A69" s="3" t="s">
        <v>2988</v>
      </c>
      <c r="B69" s="3" t="s">
        <v>2943</v>
      </c>
      <c r="C69" s="3" t="s">
        <v>660</v>
      </c>
      <c r="D69" s="3" t="s">
        <v>185</v>
      </c>
      <c r="E69" s="13" t="n">
        <v>430000</v>
      </c>
      <c r="F69" s="13" t="n">
        <v>7207.09</v>
      </c>
      <c r="G69" s="13" t="n">
        <v>900.89</v>
      </c>
      <c r="H69" s="13" t="n">
        <v>900.89</v>
      </c>
      <c r="I69" s="13" t="n">
        <f aca="false">SUM(K69:T69)</f>
        <v>5405.3</v>
      </c>
      <c r="J69" s="13" t="n">
        <f aca="false">F69-(G69+H69+I69)</f>
        <v>0.0100000000011278</v>
      </c>
      <c r="K69" s="13" t="n">
        <v>540.53</v>
      </c>
      <c r="L69" s="13" t="n">
        <v>540.53</v>
      </c>
      <c r="M69" s="13" t="n">
        <v>540.53</v>
      </c>
      <c r="N69" s="13" t="n">
        <v>540.53</v>
      </c>
      <c r="O69" s="13" t="n">
        <v>540.53</v>
      </c>
      <c r="P69" s="13" t="n">
        <v>540.53</v>
      </c>
      <c r="Q69" s="13" t="n">
        <v>540.53</v>
      </c>
      <c r="R69" s="13" t="n">
        <v>540.53</v>
      </c>
      <c r="S69" s="13" t="n">
        <v>540.53</v>
      </c>
      <c r="T69" s="13" t="n">
        <v>540.53</v>
      </c>
      <c r="U69" s="13" t="n">
        <v>350</v>
      </c>
      <c r="V69" s="13" t="n">
        <v>0</v>
      </c>
      <c r="W69" s="13" t="n">
        <f aca="false">U69+V69</f>
        <v>350</v>
      </c>
    </row>
    <row r="70" customFormat="false" ht="15" hidden="false" customHeight="false" outlineLevel="0" collapsed="false">
      <c r="A70" s="14" t="s">
        <v>2989</v>
      </c>
      <c r="B70" s="14" t="s">
        <v>2914</v>
      </c>
      <c r="C70" s="14" t="s">
        <v>267</v>
      </c>
      <c r="D70" s="14" t="s">
        <v>132</v>
      </c>
      <c r="E70" s="15" t="n">
        <v>395000</v>
      </c>
      <c r="F70" s="15" t="n">
        <v>4274.94</v>
      </c>
      <c r="G70" s="15" t="n">
        <v>534.37</v>
      </c>
      <c r="H70" s="15" t="n">
        <v>534.37</v>
      </c>
      <c r="I70" s="15" t="n">
        <f aca="false">SUM(K70:T70)</f>
        <v>3206.2</v>
      </c>
      <c r="J70" s="15" t="n">
        <f aca="false">F70-(G70+H70+I70)</f>
        <v>0</v>
      </c>
      <c r="K70" s="15" t="n">
        <v>320.62</v>
      </c>
      <c r="L70" s="15" t="n">
        <v>320.62</v>
      </c>
      <c r="M70" s="15" t="n">
        <v>320.62</v>
      </c>
      <c r="N70" s="15" t="n">
        <v>320.62</v>
      </c>
      <c r="O70" s="15" t="n">
        <v>320.62</v>
      </c>
      <c r="P70" s="15" t="n">
        <v>320.62</v>
      </c>
      <c r="Q70" s="15" t="n">
        <v>320.62</v>
      </c>
      <c r="R70" s="15" t="n">
        <v>320.62</v>
      </c>
      <c r="S70" s="15" t="n">
        <v>320.62</v>
      </c>
      <c r="T70" s="15" t="n">
        <v>320.62</v>
      </c>
      <c r="U70" s="15" t="n">
        <v>350</v>
      </c>
      <c r="V70" s="15" t="n">
        <v>0</v>
      </c>
      <c r="W70" s="15" t="n">
        <f aca="false">U70+V70</f>
        <v>350</v>
      </c>
    </row>
    <row r="71" customFormat="false" ht="15" hidden="false" customHeight="false" outlineLevel="0" collapsed="false">
      <c r="A71" s="3" t="s">
        <v>2990</v>
      </c>
      <c r="B71" s="3" t="s">
        <v>2955</v>
      </c>
      <c r="C71" s="3" t="s">
        <v>1191</v>
      </c>
      <c r="D71" s="3" t="s">
        <v>208</v>
      </c>
      <c r="E71" s="13" t="n">
        <v>910000</v>
      </c>
      <c r="F71" s="13" t="n">
        <v>7340.49</v>
      </c>
      <c r="G71" s="13" t="n">
        <v>917.56</v>
      </c>
      <c r="H71" s="13" t="n">
        <v>917.56</v>
      </c>
      <c r="I71" s="13" t="n">
        <f aca="false">SUM(K71:T71)</f>
        <v>5505.4</v>
      </c>
      <c r="J71" s="13" t="n">
        <f aca="false">F71-(G71+H71+I71)</f>
        <v>-0.0299999999997453</v>
      </c>
      <c r="K71" s="13" t="n">
        <v>550.54</v>
      </c>
      <c r="L71" s="13" t="n">
        <v>550.54</v>
      </c>
      <c r="M71" s="13" t="n">
        <v>550.54</v>
      </c>
      <c r="N71" s="13" t="n">
        <v>550.54</v>
      </c>
      <c r="O71" s="13" t="n">
        <v>550.54</v>
      </c>
      <c r="P71" s="13" t="n">
        <v>550.54</v>
      </c>
      <c r="Q71" s="13" t="n">
        <v>550.54</v>
      </c>
      <c r="R71" s="13" t="n">
        <v>550.54</v>
      </c>
      <c r="S71" s="13" t="n">
        <v>550.54</v>
      </c>
      <c r="T71" s="13" t="n">
        <v>550.54</v>
      </c>
      <c r="U71" s="13" t="n">
        <v>350</v>
      </c>
      <c r="V71" s="13" t="n">
        <v>0</v>
      </c>
      <c r="W71" s="13" t="n">
        <f aca="false">U71+V71</f>
        <v>350</v>
      </c>
    </row>
    <row r="72" customFormat="false" ht="15" hidden="false" customHeight="false" outlineLevel="0" collapsed="false">
      <c r="A72" s="14" t="s">
        <v>2991</v>
      </c>
      <c r="B72" s="14" t="s">
        <v>2981</v>
      </c>
      <c r="C72" s="14" t="s">
        <v>387</v>
      </c>
      <c r="D72" s="14" t="s">
        <v>157</v>
      </c>
      <c r="E72" s="15" t="n">
        <v>195000</v>
      </c>
      <c r="F72" s="15" t="n">
        <v>3676.06</v>
      </c>
      <c r="G72" s="15" t="n">
        <v>459.51</v>
      </c>
      <c r="H72" s="15" t="n">
        <v>459.51</v>
      </c>
      <c r="I72" s="15" t="n">
        <f aca="false">SUM(K72:T72)</f>
        <v>2757</v>
      </c>
      <c r="J72" s="15" t="n">
        <f aca="false">F72-(G72+H72+I72)</f>
        <v>0.0400000000004184</v>
      </c>
      <c r="K72" s="15" t="n">
        <v>275.7</v>
      </c>
      <c r="L72" s="15" t="n">
        <v>275.7</v>
      </c>
      <c r="M72" s="15" t="n">
        <v>275.7</v>
      </c>
      <c r="N72" s="15" t="n">
        <v>275.7</v>
      </c>
      <c r="O72" s="15" t="n">
        <v>275.7</v>
      </c>
      <c r="P72" s="15" t="n">
        <v>275.7</v>
      </c>
      <c r="Q72" s="15" t="n">
        <v>275.7</v>
      </c>
      <c r="R72" s="15" t="n">
        <v>275.7</v>
      </c>
      <c r="S72" s="15" t="n">
        <v>275.7</v>
      </c>
      <c r="T72" s="15" t="n">
        <v>275.7</v>
      </c>
      <c r="U72" s="15" t="n">
        <v>350</v>
      </c>
      <c r="V72" s="15" t="n">
        <v>0</v>
      </c>
      <c r="W72" s="15" t="n">
        <f aca="false">U72+V72</f>
        <v>350</v>
      </c>
    </row>
    <row r="73" customFormat="false" ht="15" hidden="false" customHeight="false" outlineLevel="0" collapsed="false">
      <c r="A73" s="3" t="s">
        <v>2992</v>
      </c>
      <c r="B73" s="3" t="s">
        <v>2916</v>
      </c>
      <c r="C73" s="3" t="s">
        <v>150</v>
      </c>
      <c r="D73" s="3" t="s">
        <v>382</v>
      </c>
      <c r="E73" s="13" t="n">
        <v>630000</v>
      </c>
      <c r="F73" s="13" t="n">
        <v>6618.26</v>
      </c>
      <c r="G73" s="13" t="n">
        <v>827.28</v>
      </c>
      <c r="H73" s="13" t="n">
        <v>827.28</v>
      </c>
      <c r="I73" s="13" t="n">
        <f aca="false">SUM(K73:T73)</f>
        <v>4963.7</v>
      </c>
      <c r="J73" s="13" t="n">
        <f aca="false">F73-(G73+H73+I73)</f>
        <v>0</v>
      </c>
      <c r="K73" s="13" t="n">
        <v>496.37</v>
      </c>
      <c r="L73" s="13" t="n">
        <v>496.37</v>
      </c>
      <c r="M73" s="13" t="n">
        <v>496.37</v>
      </c>
      <c r="N73" s="13" t="n">
        <v>496.37</v>
      </c>
      <c r="O73" s="13" t="n">
        <v>496.37</v>
      </c>
      <c r="P73" s="13" t="n">
        <v>496.37</v>
      </c>
      <c r="Q73" s="13" t="n">
        <v>496.37</v>
      </c>
      <c r="R73" s="13" t="n">
        <v>496.37</v>
      </c>
      <c r="S73" s="13" t="n">
        <v>496.37</v>
      </c>
      <c r="T73" s="13" t="n">
        <v>496.37</v>
      </c>
      <c r="U73" s="13" t="n">
        <v>350</v>
      </c>
      <c r="V73" s="13" t="n">
        <v>0</v>
      </c>
      <c r="W73" s="13" t="n">
        <f aca="false">U73+V73</f>
        <v>350</v>
      </c>
    </row>
    <row r="74" customFormat="false" ht="15" hidden="false" customHeight="false" outlineLevel="0" collapsed="false">
      <c r="A74" s="14" t="s">
        <v>2993</v>
      </c>
      <c r="B74" s="14" t="s">
        <v>2918</v>
      </c>
      <c r="C74" s="14" t="s">
        <v>80</v>
      </c>
      <c r="D74" s="14" t="s">
        <v>85</v>
      </c>
      <c r="E74" s="15" t="n">
        <v>485000</v>
      </c>
      <c r="F74" s="15" t="n">
        <v>11187.33</v>
      </c>
      <c r="G74" s="15" t="n">
        <v>1398.42</v>
      </c>
      <c r="H74" s="15" t="n">
        <v>1398.42</v>
      </c>
      <c r="I74" s="15" t="n">
        <f aca="false">SUM(K74:T74)</f>
        <v>8390.5</v>
      </c>
      <c r="J74" s="15" t="n">
        <f aca="false">F74-(G74+H74+I74)</f>
        <v>-0.0100000000002183</v>
      </c>
      <c r="K74" s="15" t="n">
        <v>839.05</v>
      </c>
      <c r="L74" s="15" t="n">
        <v>839.05</v>
      </c>
      <c r="M74" s="15" t="n">
        <v>839.05</v>
      </c>
      <c r="N74" s="15" t="n">
        <v>839.05</v>
      </c>
      <c r="O74" s="15" t="n">
        <v>839.05</v>
      </c>
      <c r="P74" s="15" t="n">
        <v>839.05</v>
      </c>
      <c r="Q74" s="15" t="n">
        <v>839.05</v>
      </c>
      <c r="R74" s="15" t="n">
        <v>839.05</v>
      </c>
      <c r="S74" s="15" t="n">
        <v>839.05</v>
      </c>
      <c r="T74" s="15" t="n">
        <v>839.05</v>
      </c>
      <c r="U74" s="15" t="n">
        <v>350</v>
      </c>
      <c r="V74" s="15" t="n">
        <v>0</v>
      </c>
      <c r="W74" s="15" t="n">
        <f aca="false">U74+V74</f>
        <v>350</v>
      </c>
    </row>
    <row r="75" customFormat="false" ht="15" hidden="false" customHeight="false" outlineLevel="0" collapsed="false">
      <c r="A75" s="3" t="s">
        <v>2994</v>
      </c>
      <c r="B75" s="3" t="s">
        <v>2920</v>
      </c>
      <c r="C75" s="3" t="s">
        <v>276</v>
      </c>
      <c r="D75" s="3" t="s">
        <v>112</v>
      </c>
      <c r="E75" s="13" t="n">
        <v>600000</v>
      </c>
      <c r="F75" s="13" t="n">
        <v>7813.95</v>
      </c>
      <c r="G75" s="13" t="n">
        <v>976.74</v>
      </c>
      <c r="H75" s="13" t="n">
        <v>976.74</v>
      </c>
      <c r="I75" s="13" t="n">
        <f aca="false">SUM(K75:T75)</f>
        <v>5860.5</v>
      </c>
      <c r="J75" s="13" t="n">
        <f aca="false">F75-(G75+H75+I75)</f>
        <v>-0.0299999999997453</v>
      </c>
      <c r="K75" s="13" t="n">
        <v>586.05</v>
      </c>
      <c r="L75" s="13" t="n">
        <v>586.05</v>
      </c>
      <c r="M75" s="13" t="n">
        <v>586.05</v>
      </c>
      <c r="N75" s="13" t="n">
        <v>586.05</v>
      </c>
      <c r="O75" s="13" t="n">
        <v>586.05</v>
      </c>
      <c r="P75" s="13" t="n">
        <v>586.05</v>
      </c>
      <c r="Q75" s="13" t="n">
        <v>586.05</v>
      </c>
      <c r="R75" s="13" t="n">
        <v>586.05</v>
      </c>
      <c r="S75" s="13" t="n">
        <v>586.05</v>
      </c>
      <c r="T75" s="13" t="n">
        <v>586.05</v>
      </c>
      <c r="U75" s="13" t="n">
        <v>350</v>
      </c>
      <c r="V75" s="13" t="n">
        <v>0</v>
      </c>
      <c r="W75" s="13" t="n">
        <f aca="false">U75+V75</f>
        <v>350</v>
      </c>
    </row>
    <row r="76" customFormat="false" ht="15" hidden="false" customHeight="false" outlineLevel="0" collapsed="false">
      <c r="A76" s="14" t="s">
        <v>2995</v>
      </c>
      <c r="B76" s="14" t="s">
        <v>2971</v>
      </c>
      <c r="C76" s="14" t="s">
        <v>817</v>
      </c>
      <c r="D76" s="14" t="s">
        <v>118</v>
      </c>
      <c r="E76" s="15" t="n">
        <v>1010000</v>
      </c>
      <c r="F76" s="15" t="n">
        <v>9859.64</v>
      </c>
      <c r="G76" s="15" t="n">
        <v>1232.45</v>
      </c>
      <c r="H76" s="15" t="n">
        <v>1232.45</v>
      </c>
      <c r="I76" s="15" t="n">
        <f aca="false">SUM(K76:T76)</f>
        <v>7394.7</v>
      </c>
      <c r="J76" s="15" t="n">
        <f aca="false">F76-(G76+H76+I76)</f>
        <v>0.0399999999990541</v>
      </c>
      <c r="K76" s="15" t="n">
        <v>739.47</v>
      </c>
      <c r="L76" s="15" t="n">
        <v>739.47</v>
      </c>
      <c r="M76" s="15" t="n">
        <v>739.47</v>
      </c>
      <c r="N76" s="15" t="n">
        <v>739.47</v>
      </c>
      <c r="O76" s="15" t="n">
        <v>739.47</v>
      </c>
      <c r="P76" s="15" t="n">
        <v>739.47</v>
      </c>
      <c r="Q76" s="15" t="n">
        <v>739.47</v>
      </c>
      <c r="R76" s="15" t="n">
        <v>739.47</v>
      </c>
      <c r="S76" s="15" t="n">
        <v>739.47</v>
      </c>
      <c r="T76" s="15" t="n">
        <v>739.47</v>
      </c>
      <c r="U76" s="15" t="n">
        <v>350</v>
      </c>
      <c r="V76" s="15" t="n">
        <v>250</v>
      </c>
      <c r="W76" s="15" t="n">
        <f aca="false">U76+V76</f>
        <v>600</v>
      </c>
    </row>
    <row r="77" customFormat="false" ht="15" hidden="false" customHeight="false" outlineLevel="0" collapsed="false">
      <c r="A77" s="3" t="s">
        <v>2996</v>
      </c>
      <c r="B77" s="3" t="s">
        <v>2920</v>
      </c>
      <c r="C77" s="3" t="s">
        <v>742</v>
      </c>
      <c r="D77" s="3" t="s">
        <v>147</v>
      </c>
      <c r="E77" s="13" t="n">
        <v>310000</v>
      </c>
      <c r="F77" s="13" t="n">
        <v>2297.52</v>
      </c>
      <c r="G77" s="13" t="n">
        <v>287.19</v>
      </c>
      <c r="H77" s="13" t="n">
        <v>287.19</v>
      </c>
      <c r="I77" s="13" t="n">
        <f aca="false">SUM(K77:T77)</f>
        <v>1723.1</v>
      </c>
      <c r="J77" s="13" t="n">
        <f aca="false">F77-(G77+H77+I77)</f>
        <v>0.0399999999999636</v>
      </c>
      <c r="K77" s="13" t="n">
        <v>172.31</v>
      </c>
      <c r="L77" s="13" t="n">
        <v>172.31</v>
      </c>
      <c r="M77" s="13" t="n">
        <v>172.31</v>
      </c>
      <c r="N77" s="13" t="n">
        <v>172.31</v>
      </c>
      <c r="O77" s="13" t="n">
        <v>172.31</v>
      </c>
      <c r="P77" s="13" t="n">
        <v>172.31</v>
      </c>
      <c r="Q77" s="13" t="n">
        <v>172.31</v>
      </c>
      <c r="R77" s="13" t="n">
        <v>172.31</v>
      </c>
      <c r="S77" s="13" t="n">
        <v>172.31</v>
      </c>
      <c r="T77" s="13" t="n">
        <v>172.31</v>
      </c>
      <c r="U77" s="13" t="n">
        <v>350</v>
      </c>
      <c r="V77" s="13" t="n">
        <v>0</v>
      </c>
      <c r="W77" s="13" t="n">
        <f aca="false">U77+V77</f>
        <v>350</v>
      </c>
    </row>
    <row r="78" customFormat="false" ht="15" hidden="false" customHeight="false" outlineLevel="0" collapsed="false">
      <c r="A78" s="14" t="s">
        <v>2997</v>
      </c>
      <c r="B78" s="14" t="s">
        <v>2914</v>
      </c>
      <c r="C78" s="14" t="s">
        <v>1120</v>
      </c>
      <c r="D78" s="14" t="s">
        <v>298</v>
      </c>
      <c r="E78" s="15" t="n">
        <v>455000</v>
      </c>
      <c r="F78" s="15" t="n">
        <v>6204.62</v>
      </c>
      <c r="G78" s="15" t="n">
        <v>775.58</v>
      </c>
      <c r="H78" s="15" t="n">
        <v>775.58</v>
      </c>
      <c r="I78" s="15" t="n">
        <f aca="false">SUM(K78:T78)</f>
        <v>4653.5</v>
      </c>
      <c r="J78" s="15" t="n">
        <f aca="false">F78-(G78+H78+I78)</f>
        <v>-0.0400000000008731</v>
      </c>
      <c r="K78" s="15" t="n">
        <v>465.35</v>
      </c>
      <c r="L78" s="15" t="n">
        <v>465.35</v>
      </c>
      <c r="M78" s="15" t="n">
        <v>465.35</v>
      </c>
      <c r="N78" s="15" t="n">
        <v>465.35</v>
      </c>
      <c r="O78" s="15" t="n">
        <v>465.35</v>
      </c>
      <c r="P78" s="15" t="n">
        <v>465.35</v>
      </c>
      <c r="Q78" s="15" t="n">
        <v>465.35</v>
      </c>
      <c r="R78" s="15" t="n">
        <v>465.35</v>
      </c>
      <c r="S78" s="15" t="n">
        <v>465.35</v>
      </c>
      <c r="T78" s="15" t="n">
        <v>465.35</v>
      </c>
      <c r="U78" s="15" t="n">
        <v>350</v>
      </c>
      <c r="V78" s="15" t="n">
        <v>0</v>
      </c>
      <c r="W78" s="15" t="n">
        <f aca="false">U78+V78</f>
        <v>350</v>
      </c>
    </row>
    <row r="79" customFormat="false" ht="15" hidden="false" customHeight="false" outlineLevel="0" collapsed="false">
      <c r="A79" s="3" t="s">
        <v>2998</v>
      </c>
      <c r="B79" s="3" t="s">
        <v>2897</v>
      </c>
      <c r="C79" s="3" t="s">
        <v>351</v>
      </c>
      <c r="D79" s="3" t="s">
        <v>93</v>
      </c>
      <c r="E79" s="13" t="n">
        <v>835000</v>
      </c>
      <c r="F79" s="13" t="n">
        <v>6631.89</v>
      </c>
      <c r="G79" s="13" t="n">
        <v>828.99</v>
      </c>
      <c r="H79" s="13" t="n">
        <v>828.99</v>
      </c>
      <c r="I79" s="13" t="n">
        <f aca="false">SUM(K79:T79)</f>
        <v>4973.9</v>
      </c>
      <c r="J79" s="13" t="n">
        <f aca="false">F79-(G79+H79+I79)</f>
        <v>0.00999999999930878</v>
      </c>
      <c r="K79" s="13" t="n">
        <v>497.39</v>
      </c>
      <c r="L79" s="13" t="n">
        <v>497.39</v>
      </c>
      <c r="M79" s="13" t="n">
        <v>497.39</v>
      </c>
      <c r="N79" s="13" t="n">
        <v>497.39</v>
      </c>
      <c r="O79" s="13" t="n">
        <v>497.39</v>
      </c>
      <c r="P79" s="13" t="n">
        <v>497.39</v>
      </c>
      <c r="Q79" s="13" t="n">
        <v>497.39</v>
      </c>
      <c r="R79" s="13" t="n">
        <v>497.39</v>
      </c>
      <c r="S79" s="13" t="n">
        <v>497.39</v>
      </c>
      <c r="T79" s="13" t="n">
        <v>497.39</v>
      </c>
      <c r="U79" s="13" t="n">
        <v>350</v>
      </c>
      <c r="V79" s="13" t="n">
        <v>0</v>
      </c>
      <c r="W79" s="13" t="n">
        <f aca="false">U79+V79</f>
        <v>350</v>
      </c>
    </row>
    <row r="80" customFormat="false" ht="15" hidden="false" customHeight="false" outlineLevel="0" collapsed="false">
      <c r="A80" s="14" t="s">
        <v>2999</v>
      </c>
      <c r="B80" s="14" t="s">
        <v>2912</v>
      </c>
      <c r="C80" s="14" t="s">
        <v>1178</v>
      </c>
      <c r="D80" s="14" t="s">
        <v>73</v>
      </c>
      <c r="E80" s="15" t="n">
        <v>635000</v>
      </c>
      <c r="F80" s="15" t="n">
        <v>6968.59</v>
      </c>
      <c r="G80" s="15" t="n">
        <v>871.07</v>
      </c>
      <c r="H80" s="15" t="n">
        <v>871.07</v>
      </c>
      <c r="I80" s="15" t="n">
        <f aca="false">SUM(K80:T80)</f>
        <v>5226.4</v>
      </c>
      <c r="J80" s="15" t="n">
        <f aca="false">F80-(G80+H80+I80)</f>
        <v>0.0499999999992724</v>
      </c>
      <c r="K80" s="15" t="n">
        <v>522.64</v>
      </c>
      <c r="L80" s="15" t="n">
        <v>522.64</v>
      </c>
      <c r="M80" s="15" t="n">
        <v>522.64</v>
      </c>
      <c r="N80" s="15" t="n">
        <v>522.64</v>
      </c>
      <c r="O80" s="15" t="n">
        <v>522.64</v>
      </c>
      <c r="P80" s="15" t="n">
        <v>522.64</v>
      </c>
      <c r="Q80" s="15" t="n">
        <v>522.64</v>
      </c>
      <c r="R80" s="15" t="n">
        <v>522.64</v>
      </c>
      <c r="S80" s="15" t="n">
        <v>522.64</v>
      </c>
      <c r="T80" s="15" t="n">
        <v>522.64</v>
      </c>
      <c r="U80" s="15" t="n">
        <v>350</v>
      </c>
      <c r="V80" s="15" t="n">
        <v>0</v>
      </c>
      <c r="W80" s="15" t="n">
        <f aca="false">U80+V80</f>
        <v>350</v>
      </c>
    </row>
    <row r="81" customFormat="false" ht="15" hidden="false" customHeight="false" outlineLevel="0" collapsed="false">
      <c r="A81" s="3" t="s">
        <v>3000</v>
      </c>
      <c r="B81" s="3" t="s">
        <v>2918</v>
      </c>
      <c r="C81" s="3" t="s">
        <v>533</v>
      </c>
      <c r="D81" s="3" t="s">
        <v>180</v>
      </c>
      <c r="E81" s="13" t="n">
        <v>410000</v>
      </c>
      <c r="F81" s="13" t="n">
        <v>5369.11</v>
      </c>
      <c r="G81" s="13" t="n">
        <v>671.14</v>
      </c>
      <c r="H81" s="13" t="n">
        <v>671.14</v>
      </c>
      <c r="I81" s="13" t="n">
        <f aca="false">SUM(K81:T81)</f>
        <v>4026.8</v>
      </c>
      <c r="J81" s="13" t="n">
        <f aca="false">F81-(G81+H81+I81)</f>
        <v>0.0299999999997453</v>
      </c>
      <c r="K81" s="13" t="n">
        <v>402.68</v>
      </c>
      <c r="L81" s="13" t="n">
        <v>402.68</v>
      </c>
      <c r="M81" s="13" t="n">
        <v>402.68</v>
      </c>
      <c r="N81" s="13" t="n">
        <v>402.68</v>
      </c>
      <c r="O81" s="13" t="n">
        <v>402.68</v>
      </c>
      <c r="P81" s="13" t="n">
        <v>402.68</v>
      </c>
      <c r="Q81" s="13" t="n">
        <v>402.68</v>
      </c>
      <c r="R81" s="13" t="n">
        <v>402.68</v>
      </c>
      <c r="S81" s="13" t="n">
        <v>402.68</v>
      </c>
      <c r="T81" s="13" t="n">
        <v>402.68</v>
      </c>
      <c r="U81" s="13" t="n">
        <v>350</v>
      </c>
      <c r="V81" s="13" t="n">
        <v>0</v>
      </c>
      <c r="W81" s="13" t="n">
        <f aca="false">U81+V81</f>
        <v>350</v>
      </c>
    </row>
    <row r="82" customFormat="false" ht="15" hidden="false" customHeight="false" outlineLevel="0" collapsed="false">
      <c r="A82" s="14" t="s">
        <v>3001</v>
      </c>
      <c r="B82" s="14" t="s">
        <v>2918</v>
      </c>
      <c r="C82" s="14" t="s">
        <v>1168</v>
      </c>
      <c r="D82" s="14" t="s">
        <v>99</v>
      </c>
      <c r="E82" s="15" t="n">
        <v>275000</v>
      </c>
      <c r="F82" s="15" t="n">
        <v>4047.67</v>
      </c>
      <c r="G82" s="15" t="n">
        <v>505.96</v>
      </c>
      <c r="H82" s="15" t="n">
        <v>505.96</v>
      </c>
      <c r="I82" s="15" t="n">
        <f aca="false">SUM(K82:T82)</f>
        <v>3035.8</v>
      </c>
      <c r="J82" s="15" t="n">
        <f aca="false">F82-(G82+H82+I82)</f>
        <v>-0.0499999999997272</v>
      </c>
      <c r="K82" s="15" t="n">
        <v>303.58</v>
      </c>
      <c r="L82" s="15" t="n">
        <v>303.58</v>
      </c>
      <c r="M82" s="15" t="n">
        <v>303.58</v>
      </c>
      <c r="N82" s="15" t="n">
        <v>303.58</v>
      </c>
      <c r="O82" s="15" t="n">
        <v>303.58</v>
      </c>
      <c r="P82" s="15" t="n">
        <v>303.58</v>
      </c>
      <c r="Q82" s="15" t="n">
        <v>303.58</v>
      </c>
      <c r="R82" s="15" t="n">
        <v>303.58</v>
      </c>
      <c r="S82" s="15" t="n">
        <v>303.58</v>
      </c>
      <c r="T82" s="15" t="n">
        <v>303.58</v>
      </c>
      <c r="U82" s="15" t="n">
        <v>350</v>
      </c>
      <c r="V82" s="15" t="n">
        <v>0</v>
      </c>
      <c r="W82" s="15" t="n">
        <f aca="false">U82+V82</f>
        <v>350</v>
      </c>
    </row>
    <row r="83" customFormat="false" ht="15" hidden="false" customHeight="false" outlineLevel="0" collapsed="false">
      <c r="A83" s="3" t="s">
        <v>3002</v>
      </c>
      <c r="B83" s="3" t="s">
        <v>2968</v>
      </c>
      <c r="C83" s="3" t="s">
        <v>345</v>
      </c>
      <c r="D83" s="3" t="s">
        <v>138</v>
      </c>
      <c r="E83" s="13" t="n">
        <v>660000</v>
      </c>
      <c r="F83" s="13" t="n">
        <v>4709.58</v>
      </c>
      <c r="G83" s="13" t="n">
        <v>588.7</v>
      </c>
      <c r="H83" s="13" t="n">
        <v>588.7</v>
      </c>
      <c r="I83" s="13" t="n">
        <f aca="false">SUM(K83:T83)</f>
        <v>3532.2</v>
      </c>
      <c r="J83" s="13" t="n">
        <f aca="false">F83-(G83+H83+I83)</f>
        <v>-0.0200000000004366</v>
      </c>
      <c r="K83" s="13" t="n">
        <v>353.22</v>
      </c>
      <c r="L83" s="13" t="n">
        <v>353.22</v>
      </c>
      <c r="M83" s="13" t="n">
        <v>353.22</v>
      </c>
      <c r="N83" s="13" t="n">
        <v>353.22</v>
      </c>
      <c r="O83" s="13" t="n">
        <v>353.22</v>
      </c>
      <c r="P83" s="13" t="n">
        <v>353.22</v>
      </c>
      <c r="Q83" s="13" t="n">
        <v>353.22</v>
      </c>
      <c r="R83" s="13" t="n">
        <v>353.22</v>
      </c>
      <c r="S83" s="13" t="n">
        <v>353.22</v>
      </c>
      <c r="T83" s="13" t="n">
        <v>353.22</v>
      </c>
      <c r="U83" s="13" t="n">
        <v>350</v>
      </c>
      <c r="V83" s="13" t="n">
        <v>0</v>
      </c>
      <c r="W83" s="13" t="n">
        <f aca="false">U83+V83</f>
        <v>350</v>
      </c>
    </row>
    <row r="84" customFormat="false" ht="15" hidden="false" customHeight="false" outlineLevel="0" collapsed="false">
      <c r="A84" s="14" t="s">
        <v>3003</v>
      </c>
      <c r="B84" s="14" t="s">
        <v>2918</v>
      </c>
      <c r="C84" s="14" t="s">
        <v>1163</v>
      </c>
      <c r="D84" s="14" t="s">
        <v>698</v>
      </c>
      <c r="E84" s="15" t="n">
        <v>1030000</v>
      </c>
      <c r="F84" s="15" t="n">
        <v>11199.34</v>
      </c>
      <c r="G84" s="15" t="n">
        <v>1399.92</v>
      </c>
      <c r="H84" s="15" t="n">
        <v>1399.92</v>
      </c>
      <c r="I84" s="15" t="n">
        <f aca="false">SUM(K84:T84)</f>
        <v>8399.5</v>
      </c>
      <c r="J84" s="15" t="n">
        <f aca="false">F84-(G84+H84+I84)</f>
        <v>0</v>
      </c>
      <c r="K84" s="15" t="n">
        <v>839.95</v>
      </c>
      <c r="L84" s="15" t="n">
        <v>839.95</v>
      </c>
      <c r="M84" s="15" t="n">
        <v>839.95</v>
      </c>
      <c r="N84" s="15" t="n">
        <v>839.95</v>
      </c>
      <c r="O84" s="15" t="n">
        <v>839.95</v>
      </c>
      <c r="P84" s="15" t="n">
        <v>839.95</v>
      </c>
      <c r="Q84" s="15" t="n">
        <v>839.95</v>
      </c>
      <c r="R84" s="15" t="n">
        <v>839.95</v>
      </c>
      <c r="S84" s="15" t="n">
        <v>839.95</v>
      </c>
      <c r="T84" s="15" t="n">
        <v>839.95</v>
      </c>
      <c r="U84" s="15" t="n">
        <v>350</v>
      </c>
      <c r="V84" s="15" t="n">
        <v>250</v>
      </c>
      <c r="W84" s="15" t="n">
        <f aca="false">U84+V84</f>
        <v>600</v>
      </c>
    </row>
    <row r="85" customFormat="false" ht="15" hidden="false" customHeight="false" outlineLevel="0" collapsed="false">
      <c r="A85" s="3" t="s">
        <v>3004</v>
      </c>
      <c r="B85" s="3" t="s">
        <v>2934</v>
      </c>
      <c r="C85" s="3" t="s">
        <v>664</v>
      </c>
      <c r="D85" s="3" t="s">
        <v>185</v>
      </c>
      <c r="E85" s="13" t="n">
        <v>920000</v>
      </c>
      <c r="F85" s="13" t="n">
        <v>8715.55</v>
      </c>
      <c r="G85" s="13" t="n">
        <v>1089.44</v>
      </c>
      <c r="H85" s="13" t="n">
        <v>1089.44</v>
      </c>
      <c r="I85" s="13" t="n">
        <f aca="false">SUM(K85:T85)</f>
        <v>6536.7</v>
      </c>
      <c r="J85" s="13" t="n">
        <f aca="false">F85-(G85+H85+I85)</f>
        <v>-0.0300000000006548</v>
      </c>
      <c r="K85" s="13" t="n">
        <v>653.67</v>
      </c>
      <c r="L85" s="13" t="n">
        <v>653.67</v>
      </c>
      <c r="M85" s="13" t="n">
        <v>653.67</v>
      </c>
      <c r="N85" s="13" t="n">
        <v>653.67</v>
      </c>
      <c r="O85" s="13" t="n">
        <v>653.67</v>
      </c>
      <c r="P85" s="13" t="n">
        <v>653.67</v>
      </c>
      <c r="Q85" s="13" t="n">
        <v>653.67</v>
      </c>
      <c r="R85" s="13" t="n">
        <v>653.67</v>
      </c>
      <c r="S85" s="13" t="n">
        <v>653.67</v>
      </c>
      <c r="T85" s="13" t="n">
        <v>653.67</v>
      </c>
      <c r="U85" s="13" t="n">
        <v>350</v>
      </c>
      <c r="V85" s="13" t="n">
        <v>0</v>
      </c>
      <c r="W85" s="13" t="n">
        <f aca="false">U85+V85</f>
        <v>350</v>
      </c>
    </row>
    <row r="86" customFormat="false" ht="15" hidden="false" customHeight="false" outlineLevel="0" collapsed="false">
      <c r="A86" s="14" t="s">
        <v>3005</v>
      </c>
      <c r="B86" s="14" t="s">
        <v>2918</v>
      </c>
      <c r="C86" s="14" t="s">
        <v>1292</v>
      </c>
      <c r="D86" s="14" t="s">
        <v>208</v>
      </c>
      <c r="E86" s="15" t="n">
        <v>580000</v>
      </c>
      <c r="F86" s="15" t="n">
        <v>4678.56</v>
      </c>
      <c r="G86" s="15" t="n">
        <v>584.82</v>
      </c>
      <c r="H86" s="15" t="n">
        <v>584.82</v>
      </c>
      <c r="I86" s="15" t="n">
        <f aca="false">SUM(K86:T86)</f>
        <v>3508.9</v>
      </c>
      <c r="J86" s="15" t="n">
        <f aca="false">F86-(G86+H86+I86)</f>
        <v>0.0200000000004366</v>
      </c>
      <c r="K86" s="15" t="n">
        <v>350.89</v>
      </c>
      <c r="L86" s="15" t="n">
        <v>350.89</v>
      </c>
      <c r="M86" s="15" t="n">
        <v>350.89</v>
      </c>
      <c r="N86" s="15" t="n">
        <v>350.89</v>
      </c>
      <c r="O86" s="15" t="n">
        <v>350.89</v>
      </c>
      <c r="P86" s="15" t="n">
        <v>350.89</v>
      </c>
      <c r="Q86" s="15" t="n">
        <v>350.89</v>
      </c>
      <c r="R86" s="15" t="n">
        <v>350.89</v>
      </c>
      <c r="S86" s="15" t="n">
        <v>350.89</v>
      </c>
      <c r="T86" s="15" t="n">
        <v>350.89</v>
      </c>
      <c r="U86" s="15" t="n">
        <v>350</v>
      </c>
      <c r="V86" s="15" t="n">
        <v>0</v>
      </c>
      <c r="W86" s="15" t="n">
        <f aca="false">U86+V86</f>
        <v>350</v>
      </c>
    </row>
    <row r="87" customFormat="false" ht="15" hidden="false" customHeight="false" outlineLevel="0" collapsed="false">
      <c r="A87" s="3" t="s">
        <v>3006</v>
      </c>
      <c r="B87" s="3" t="s">
        <v>2936</v>
      </c>
      <c r="C87" s="3" t="s">
        <v>827</v>
      </c>
      <c r="D87" s="3" t="s">
        <v>89</v>
      </c>
      <c r="E87" s="13" t="n">
        <v>505000</v>
      </c>
      <c r="F87" s="13" t="n">
        <v>6394.55</v>
      </c>
      <c r="G87" s="13" t="n">
        <v>799.32</v>
      </c>
      <c r="H87" s="13" t="n">
        <v>799.32</v>
      </c>
      <c r="I87" s="13" t="n">
        <f aca="false">SUM(K87:T87)</f>
        <v>4795.9</v>
      </c>
      <c r="J87" s="13" t="n">
        <f aca="false">F87-(G87+H87+I87)</f>
        <v>0.0100000000002183</v>
      </c>
      <c r="K87" s="13" t="n">
        <v>479.59</v>
      </c>
      <c r="L87" s="13" t="n">
        <v>479.59</v>
      </c>
      <c r="M87" s="13" t="n">
        <v>479.59</v>
      </c>
      <c r="N87" s="13" t="n">
        <v>479.59</v>
      </c>
      <c r="O87" s="13" t="n">
        <v>479.59</v>
      </c>
      <c r="P87" s="13" t="n">
        <v>479.59</v>
      </c>
      <c r="Q87" s="13" t="n">
        <v>479.59</v>
      </c>
      <c r="R87" s="13" t="n">
        <v>479.59</v>
      </c>
      <c r="S87" s="13" t="n">
        <v>479.59</v>
      </c>
      <c r="T87" s="13" t="n">
        <v>479.59</v>
      </c>
      <c r="U87" s="13" t="n">
        <v>350</v>
      </c>
      <c r="V87" s="13" t="n">
        <v>0</v>
      </c>
      <c r="W87" s="13" t="n">
        <f aca="false">U87+V87</f>
        <v>350</v>
      </c>
    </row>
    <row r="88" customFormat="false" ht="15" hidden="false" customHeight="false" outlineLevel="0" collapsed="false">
      <c r="A88" s="14" t="s">
        <v>3007</v>
      </c>
      <c r="B88" s="14" t="s">
        <v>2920</v>
      </c>
      <c r="C88" s="14" t="s">
        <v>1168</v>
      </c>
      <c r="D88" s="14" t="s">
        <v>153</v>
      </c>
      <c r="E88" s="15" t="n">
        <v>430000</v>
      </c>
      <c r="F88" s="15" t="n">
        <v>11060.38</v>
      </c>
      <c r="G88" s="15" t="n">
        <v>1382.55</v>
      </c>
      <c r="H88" s="15" t="n">
        <v>1382.55</v>
      </c>
      <c r="I88" s="15" t="n">
        <f aca="false">SUM(K88:T88)</f>
        <v>8295.3</v>
      </c>
      <c r="J88" s="15" t="n">
        <f aca="false">F88-(G88+H88+I88)</f>
        <v>-0.0200000000004366</v>
      </c>
      <c r="K88" s="15" t="n">
        <v>829.53</v>
      </c>
      <c r="L88" s="15" t="n">
        <v>829.53</v>
      </c>
      <c r="M88" s="15" t="n">
        <v>829.53</v>
      </c>
      <c r="N88" s="15" t="n">
        <v>829.53</v>
      </c>
      <c r="O88" s="15" t="n">
        <v>829.53</v>
      </c>
      <c r="P88" s="15" t="n">
        <v>829.53</v>
      </c>
      <c r="Q88" s="15" t="n">
        <v>829.53</v>
      </c>
      <c r="R88" s="15" t="n">
        <v>829.53</v>
      </c>
      <c r="S88" s="15" t="n">
        <v>829.53</v>
      </c>
      <c r="T88" s="15" t="n">
        <v>829.53</v>
      </c>
      <c r="U88" s="15" t="n">
        <v>350</v>
      </c>
      <c r="V88" s="15" t="n">
        <v>0</v>
      </c>
      <c r="W88" s="15" t="n">
        <f aca="false">U88+V88</f>
        <v>350</v>
      </c>
    </row>
    <row r="89" customFormat="false" ht="15" hidden="false" customHeight="false" outlineLevel="0" collapsed="false">
      <c r="A89" s="3" t="s">
        <v>3008</v>
      </c>
      <c r="B89" s="3" t="s">
        <v>2908</v>
      </c>
      <c r="C89" s="3" t="s">
        <v>1990</v>
      </c>
      <c r="D89" s="3" t="s">
        <v>406</v>
      </c>
      <c r="E89" s="13" t="n">
        <v>500000</v>
      </c>
      <c r="F89" s="13" t="n">
        <v>4361.52</v>
      </c>
      <c r="G89" s="13" t="n">
        <v>545.19</v>
      </c>
      <c r="H89" s="13" t="n">
        <v>545.19</v>
      </c>
      <c r="I89" s="13" t="n">
        <f aca="false">SUM(K89:T89)</f>
        <v>3271.1</v>
      </c>
      <c r="J89" s="13" t="n">
        <f aca="false">F89-(G89+H89+I89)</f>
        <v>0.0399999999999636</v>
      </c>
      <c r="K89" s="13" t="n">
        <v>327.11</v>
      </c>
      <c r="L89" s="13" t="n">
        <v>327.11</v>
      </c>
      <c r="M89" s="13" t="n">
        <v>327.11</v>
      </c>
      <c r="N89" s="13" t="n">
        <v>327.11</v>
      </c>
      <c r="O89" s="13" t="n">
        <v>327.11</v>
      </c>
      <c r="P89" s="13" t="n">
        <v>327.11</v>
      </c>
      <c r="Q89" s="13" t="n">
        <v>327.11</v>
      </c>
      <c r="R89" s="13" t="n">
        <v>327.11</v>
      </c>
      <c r="S89" s="13" t="n">
        <v>327.11</v>
      </c>
      <c r="T89" s="13" t="n">
        <v>327.11</v>
      </c>
      <c r="U89" s="13" t="n">
        <v>350</v>
      </c>
      <c r="V89" s="13" t="n">
        <v>0</v>
      </c>
      <c r="W89" s="13" t="n">
        <f aca="false">U89+V89</f>
        <v>350</v>
      </c>
    </row>
    <row r="90" customFormat="false" ht="15" hidden="false" customHeight="false" outlineLevel="0" collapsed="false">
      <c r="A90" s="14" t="s">
        <v>3009</v>
      </c>
      <c r="B90" s="14" t="s">
        <v>2981</v>
      </c>
      <c r="C90" s="14" t="s">
        <v>1063</v>
      </c>
      <c r="D90" s="14" t="s">
        <v>157</v>
      </c>
      <c r="E90" s="15" t="n">
        <v>700000</v>
      </c>
      <c r="F90" s="15" t="n">
        <v>9323.35</v>
      </c>
      <c r="G90" s="15" t="n">
        <v>1165.42</v>
      </c>
      <c r="H90" s="15" t="n">
        <v>1165.42</v>
      </c>
      <c r="I90" s="15" t="n">
        <f aca="false">SUM(K90:T90)</f>
        <v>6992.5</v>
      </c>
      <c r="J90" s="15" t="n">
        <f aca="false">F90-(G90+H90+I90)</f>
        <v>0.0100000000002183</v>
      </c>
      <c r="K90" s="15" t="n">
        <v>699.25</v>
      </c>
      <c r="L90" s="15" t="n">
        <v>699.25</v>
      </c>
      <c r="M90" s="15" t="n">
        <v>699.25</v>
      </c>
      <c r="N90" s="15" t="n">
        <v>699.25</v>
      </c>
      <c r="O90" s="15" t="n">
        <v>699.25</v>
      </c>
      <c r="P90" s="15" t="n">
        <v>699.25</v>
      </c>
      <c r="Q90" s="15" t="n">
        <v>699.25</v>
      </c>
      <c r="R90" s="15" t="n">
        <v>699.25</v>
      </c>
      <c r="S90" s="15" t="n">
        <v>699.25</v>
      </c>
      <c r="T90" s="15" t="n">
        <v>699.25</v>
      </c>
      <c r="U90" s="15" t="n">
        <v>350</v>
      </c>
      <c r="V90" s="15" t="n">
        <v>0</v>
      </c>
      <c r="W90" s="15" t="n">
        <f aca="false">U90+V90</f>
        <v>350</v>
      </c>
    </row>
    <row r="91" customFormat="false" ht="15" hidden="false" customHeight="false" outlineLevel="0" collapsed="false">
      <c r="A91" s="3" t="s">
        <v>3010</v>
      </c>
      <c r="B91" s="3" t="s">
        <v>2945</v>
      </c>
      <c r="C91" s="3" t="s">
        <v>850</v>
      </c>
      <c r="D91" s="3" t="s">
        <v>279</v>
      </c>
      <c r="E91" s="13" t="n">
        <v>260000</v>
      </c>
      <c r="F91" s="13" t="n">
        <v>3926.31</v>
      </c>
      <c r="G91" s="13" t="n">
        <v>490.79</v>
      </c>
      <c r="H91" s="13" t="n">
        <v>490.79</v>
      </c>
      <c r="I91" s="13" t="n">
        <f aca="false">SUM(K91:T91)</f>
        <v>2944.7</v>
      </c>
      <c r="J91" s="13" t="n">
        <f aca="false">F91-(G91+H91+I91)</f>
        <v>0.0299999999992906</v>
      </c>
      <c r="K91" s="13" t="n">
        <v>294.47</v>
      </c>
      <c r="L91" s="13" t="n">
        <v>294.47</v>
      </c>
      <c r="M91" s="13" t="n">
        <v>294.47</v>
      </c>
      <c r="N91" s="13" t="n">
        <v>294.47</v>
      </c>
      <c r="O91" s="13" t="n">
        <v>294.47</v>
      </c>
      <c r="P91" s="13" t="n">
        <v>294.47</v>
      </c>
      <c r="Q91" s="13" t="n">
        <v>294.47</v>
      </c>
      <c r="R91" s="13" t="n">
        <v>294.47</v>
      </c>
      <c r="S91" s="13" t="n">
        <v>294.47</v>
      </c>
      <c r="T91" s="13" t="n">
        <v>294.47</v>
      </c>
      <c r="U91" s="13" t="n">
        <v>350</v>
      </c>
      <c r="V91" s="13" t="n">
        <v>0</v>
      </c>
      <c r="W91" s="13" t="n">
        <f aca="false">U91+V91</f>
        <v>350</v>
      </c>
    </row>
    <row r="92" customFormat="false" ht="15" hidden="false" customHeight="false" outlineLevel="0" collapsed="false">
      <c r="A92" s="14" t="s">
        <v>3011</v>
      </c>
      <c r="B92" s="14" t="s">
        <v>2914</v>
      </c>
      <c r="C92" s="14" t="s">
        <v>1480</v>
      </c>
      <c r="D92" s="14" t="s">
        <v>911</v>
      </c>
      <c r="E92" s="15" t="n">
        <v>435000</v>
      </c>
      <c r="F92" s="15" t="n">
        <v>7796.2</v>
      </c>
      <c r="G92" s="15" t="n">
        <v>974.52</v>
      </c>
      <c r="H92" s="15" t="n">
        <v>974.52</v>
      </c>
      <c r="I92" s="15" t="n">
        <f aca="false">SUM(K92:T92)</f>
        <v>5847.1</v>
      </c>
      <c r="J92" s="15" t="n">
        <f aca="false">F92-(G92+H92+I92)</f>
        <v>0.0599999999994907</v>
      </c>
      <c r="K92" s="15" t="n">
        <v>584.71</v>
      </c>
      <c r="L92" s="15" t="n">
        <v>584.71</v>
      </c>
      <c r="M92" s="15" t="n">
        <v>584.71</v>
      </c>
      <c r="N92" s="15" t="n">
        <v>584.71</v>
      </c>
      <c r="O92" s="15" t="n">
        <v>584.71</v>
      </c>
      <c r="P92" s="15" t="n">
        <v>584.71</v>
      </c>
      <c r="Q92" s="15" t="n">
        <v>584.71</v>
      </c>
      <c r="R92" s="15" t="n">
        <v>584.71</v>
      </c>
      <c r="S92" s="15" t="n">
        <v>584.71</v>
      </c>
      <c r="T92" s="15" t="n">
        <v>584.71</v>
      </c>
      <c r="U92" s="15" t="n">
        <v>350</v>
      </c>
      <c r="V92" s="15" t="n">
        <v>0</v>
      </c>
      <c r="W92" s="15" t="n">
        <f aca="false">U92+V92</f>
        <v>350</v>
      </c>
    </row>
    <row r="93" customFormat="false" ht="15" hidden="false" customHeight="false" outlineLevel="0" collapsed="false">
      <c r="A93" s="3" t="s">
        <v>3012</v>
      </c>
      <c r="B93" s="3" t="s">
        <v>2923</v>
      </c>
      <c r="C93" s="3" t="s">
        <v>1779</v>
      </c>
      <c r="D93" s="3" t="s">
        <v>325</v>
      </c>
      <c r="E93" s="13" t="n">
        <v>485000</v>
      </c>
      <c r="F93" s="13" t="n">
        <v>7243.6</v>
      </c>
      <c r="G93" s="13" t="n">
        <v>905.45</v>
      </c>
      <c r="H93" s="13" t="n">
        <v>905.45</v>
      </c>
      <c r="I93" s="13" t="n">
        <f aca="false">SUM(K93:T93)</f>
        <v>5432.7</v>
      </c>
      <c r="J93" s="13" t="n">
        <f aca="false">F93-(G93+H93+I93)</f>
        <v>0</v>
      </c>
      <c r="K93" s="13" t="n">
        <v>543.27</v>
      </c>
      <c r="L93" s="13" t="n">
        <v>543.27</v>
      </c>
      <c r="M93" s="13" t="n">
        <v>543.27</v>
      </c>
      <c r="N93" s="13" t="n">
        <v>543.27</v>
      </c>
      <c r="O93" s="13" t="n">
        <v>543.27</v>
      </c>
      <c r="P93" s="13" t="n">
        <v>543.27</v>
      </c>
      <c r="Q93" s="13" t="n">
        <v>543.27</v>
      </c>
      <c r="R93" s="13" t="n">
        <v>543.27</v>
      </c>
      <c r="S93" s="13" t="n">
        <v>543.27</v>
      </c>
      <c r="T93" s="13" t="n">
        <v>543.27</v>
      </c>
      <c r="U93" s="13" t="n">
        <v>350</v>
      </c>
      <c r="V93" s="13" t="n">
        <v>0</v>
      </c>
      <c r="W93" s="13" t="n">
        <f aca="false">U93+V93</f>
        <v>350</v>
      </c>
    </row>
    <row r="94" customFormat="false" ht="15" hidden="false" customHeight="false" outlineLevel="0" collapsed="false">
      <c r="A94" s="14" t="s">
        <v>3013</v>
      </c>
      <c r="B94" s="14" t="s">
        <v>2938</v>
      </c>
      <c r="C94" s="14" t="s">
        <v>1474</v>
      </c>
      <c r="D94" s="14" t="s">
        <v>163</v>
      </c>
      <c r="E94" s="15" t="n">
        <v>585000</v>
      </c>
      <c r="F94" s="15" t="n">
        <v>8179.97</v>
      </c>
      <c r="G94" s="15" t="n">
        <v>1022.5</v>
      </c>
      <c r="H94" s="15" t="n">
        <v>1022.5</v>
      </c>
      <c r="I94" s="15" t="n">
        <f aca="false">SUM(K94:T94)</f>
        <v>6135</v>
      </c>
      <c r="J94" s="15" t="n">
        <f aca="false">F94-(G94+H94+I94)</f>
        <v>-0.0299999999997453</v>
      </c>
      <c r="K94" s="15" t="n">
        <v>613.5</v>
      </c>
      <c r="L94" s="15" t="n">
        <v>613.5</v>
      </c>
      <c r="M94" s="15" t="n">
        <v>613.5</v>
      </c>
      <c r="N94" s="15" t="n">
        <v>613.5</v>
      </c>
      <c r="O94" s="15" t="n">
        <v>613.5</v>
      </c>
      <c r="P94" s="15" t="n">
        <v>613.5</v>
      </c>
      <c r="Q94" s="15" t="n">
        <v>613.5</v>
      </c>
      <c r="R94" s="15" t="n">
        <v>613.5</v>
      </c>
      <c r="S94" s="15" t="n">
        <v>613.5</v>
      </c>
      <c r="T94" s="15" t="n">
        <v>613.5</v>
      </c>
      <c r="U94" s="15" t="n">
        <v>350</v>
      </c>
      <c r="V94" s="15" t="n">
        <v>0</v>
      </c>
      <c r="W94" s="15" t="n">
        <f aca="false">U94+V94</f>
        <v>350</v>
      </c>
    </row>
    <row r="95" customFormat="false" ht="15" hidden="false" customHeight="false" outlineLevel="0" collapsed="false">
      <c r="A95" s="3" t="s">
        <v>3014</v>
      </c>
      <c r="B95" s="3" t="s">
        <v>2916</v>
      </c>
      <c r="C95" s="3" t="s">
        <v>511</v>
      </c>
      <c r="D95" s="3" t="s">
        <v>203</v>
      </c>
      <c r="E95" s="13" t="n">
        <v>525000</v>
      </c>
      <c r="F95" s="13" t="n">
        <v>5613.7</v>
      </c>
      <c r="G95" s="13" t="n">
        <v>701.71</v>
      </c>
      <c r="H95" s="13" t="n">
        <v>701.71</v>
      </c>
      <c r="I95" s="13" t="n">
        <f aca="false">SUM(K95:T95)</f>
        <v>4210.3</v>
      </c>
      <c r="J95" s="13" t="n">
        <f aca="false">F95-(G95+H95+I95)</f>
        <v>-0.0199999999995271</v>
      </c>
      <c r="K95" s="13" t="n">
        <v>421.03</v>
      </c>
      <c r="L95" s="13" t="n">
        <v>421.03</v>
      </c>
      <c r="M95" s="13" t="n">
        <v>421.03</v>
      </c>
      <c r="N95" s="13" t="n">
        <v>421.03</v>
      </c>
      <c r="O95" s="13" t="n">
        <v>421.03</v>
      </c>
      <c r="P95" s="13" t="n">
        <v>421.03</v>
      </c>
      <c r="Q95" s="13" t="n">
        <v>421.03</v>
      </c>
      <c r="R95" s="13" t="n">
        <v>421.03</v>
      </c>
      <c r="S95" s="13" t="n">
        <v>421.03</v>
      </c>
      <c r="T95" s="13" t="n">
        <v>421.03</v>
      </c>
      <c r="U95" s="13" t="n">
        <v>350</v>
      </c>
      <c r="V95" s="13" t="n">
        <v>0</v>
      </c>
      <c r="W95" s="13" t="n">
        <f aca="false">U95+V95</f>
        <v>350</v>
      </c>
    </row>
    <row r="96" customFormat="false" ht="15" hidden="false" customHeight="false" outlineLevel="0" collapsed="false">
      <c r="A96" s="14" t="s">
        <v>3015</v>
      </c>
      <c r="B96" s="14" t="s">
        <v>2918</v>
      </c>
      <c r="C96" s="14" t="s">
        <v>662</v>
      </c>
      <c r="D96" s="14" t="s">
        <v>93</v>
      </c>
      <c r="E96" s="15" t="n">
        <v>410000</v>
      </c>
      <c r="F96" s="15" t="n">
        <v>5679.73</v>
      </c>
      <c r="G96" s="15" t="n">
        <v>709.97</v>
      </c>
      <c r="H96" s="15" t="n">
        <v>709.97</v>
      </c>
      <c r="I96" s="15" t="n">
        <f aca="false">SUM(K96:T96)</f>
        <v>4259.8</v>
      </c>
      <c r="J96" s="15" t="n">
        <f aca="false">F96-(G96+H96+I96)</f>
        <v>-0.0100000000002183</v>
      </c>
      <c r="K96" s="15" t="n">
        <v>425.98</v>
      </c>
      <c r="L96" s="15" t="n">
        <v>425.98</v>
      </c>
      <c r="M96" s="15" t="n">
        <v>425.98</v>
      </c>
      <c r="N96" s="15" t="n">
        <v>425.98</v>
      </c>
      <c r="O96" s="15" t="n">
        <v>425.98</v>
      </c>
      <c r="P96" s="15" t="n">
        <v>425.98</v>
      </c>
      <c r="Q96" s="15" t="n">
        <v>425.98</v>
      </c>
      <c r="R96" s="15" t="n">
        <v>425.98</v>
      </c>
      <c r="S96" s="15" t="n">
        <v>425.98</v>
      </c>
      <c r="T96" s="15" t="n">
        <v>425.98</v>
      </c>
      <c r="U96" s="15" t="n">
        <v>350</v>
      </c>
      <c r="V96" s="15" t="n">
        <v>0</v>
      </c>
      <c r="W96" s="15" t="n">
        <f aca="false">U96+V96</f>
        <v>350</v>
      </c>
    </row>
    <row r="97" customFormat="false" ht="15" hidden="false" customHeight="false" outlineLevel="0" collapsed="false">
      <c r="A97" s="3" t="s">
        <v>3016</v>
      </c>
      <c r="B97" s="3" t="s">
        <v>2966</v>
      </c>
      <c r="C97" s="3" t="s">
        <v>436</v>
      </c>
      <c r="D97" s="3" t="s">
        <v>89</v>
      </c>
      <c r="E97" s="13" t="n">
        <v>450000</v>
      </c>
      <c r="F97" s="13" t="n">
        <v>10081.29</v>
      </c>
      <c r="G97" s="13" t="n">
        <v>1260.16</v>
      </c>
      <c r="H97" s="13" t="n">
        <v>1260.16</v>
      </c>
      <c r="I97" s="13" t="n">
        <f aca="false">SUM(K97:T97)</f>
        <v>7561</v>
      </c>
      <c r="J97" s="13" t="n">
        <f aca="false">F97-(G97+H97+I97)</f>
        <v>-0.0300000000006548</v>
      </c>
      <c r="K97" s="13" t="n">
        <v>756.1</v>
      </c>
      <c r="L97" s="13" t="n">
        <v>756.1</v>
      </c>
      <c r="M97" s="13" t="n">
        <v>756.1</v>
      </c>
      <c r="N97" s="13" t="n">
        <v>756.1</v>
      </c>
      <c r="O97" s="13" t="n">
        <v>756.1</v>
      </c>
      <c r="P97" s="13" t="n">
        <v>756.1</v>
      </c>
      <c r="Q97" s="13" t="n">
        <v>756.1</v>
      </c>
      <c r="R97" s="13" t="n">
        <v>756.1</v>
      </c>
      <c r="S97" s="13" t="n">
        <v>756.1</v>
      </c>
      <c r="T97" s="13" t="n">
        <v>756.1</v>
      </c>
      <c r="U97" s="13" t="n">
        <v>350</v>
      </c>
      <c r="V97" s="13" t="n">
        <v>0</v>
      </c>
      <c r="W97" s="13" t="n">
        <f aca="false">U97+V97</f>
        <v>350</v>
      </c>
    </row>
    <row r="98" customFormat="false" ht="15" hidden="false" customHeight="false" outlineLevel="0" collapsed="false">
      <c r="A98" s="14" t="s">
        <v>3017</v>
      </c>
      <c r="B98" s="14" t="s">
        <v>2966</v>
      </c>
      <c r="C98" s="14" t="s">
        <v>1963</v>
      </c>
      <c r="D98" s="14" t="s">
        <v>99</v>
      </c>
      <c r="E98" s="15" t="n">
        <v>1175000</v>
      </c>
      <c r="F98" s="15" t="n">
        <v>12682.69</v>
      </c>
      <c r="G98" s="15" t="n">
        <v>1585.34</v>
      </c>
      <c r="H98" s="15" t="n">
        <v>1585.34</v>
      </c>
      <c r="I98" s="15" t="n">
        <f aca="false">SUM(K98:T98)</f>
        <v>9512</v>
      </c>
      <c r="J98" s="15" t="n">
        <f aca="false">F98-(G98+H98+I98)</f>
        <v>0.00999999999839929</v>
      </c>
      <c r="K98" s="15" t="n">
        <v>951.2</v>
      </c>
      <c r="L98" s="15" t="n">
        <v>951.2</v>
      </c>
      <c r="M98" s="15" t="n">
        <v>951.2</v>
      </c>
      <c r="N98" s="15" t="n">
        <v>951.2</v>
      </c>
      <c r="O98" s="15" t="n">
        <v>951.2</v>
      </c>
      <c r="P98" s="15" t="n">
        <v>951.2</v>
      </c>
      <c r="Q98" s="15" t="n">
        <v>951.2</v>
      </c>
      <c r="R98" s="15" t="n">
        <v>951.2</v>
      </c>
      <c r="S98" s="15" t="n">
        <v>951.2</v>
      </c>
      <c r="T98" s="15" t="n">
        <v>951.2</v>
      </c>
      <c r="U98" s="15" t="n">
        <v>350</v>
      </c>
      <c r="V98" s="15" t="n">
        <v>250</v>
      </c>
      <c r="W98" s="15" t="n">
        <f aca="false">U98+V98</f>
        <v>600</v>
      </c>
    </row>
    <row r="99" customFormat="false" ht="15" hidden="false" customHeight="false" outlineLevel="0" collapsed="false">
      <c r="A99" s="3" t="s">
        <v>3018</v>
      </c>
      <c r="B99" s="3" t="s">
        <v>2904</v>
      </c>
      <c r="C99" s="3" t="s">
        <v>1292</v>
      </c>
      <c r="D99" s="3" t="s">
        <v>147</v>
      </c>
      <c r="E99" s="13" t="n">
        <v>1120000</v>
      </c>
      <c r="F99" s="13" t="n">
        <v>6571.39</v>
      </c>
      <c r="G99" s="13" t="n">
        <v>821.42</v>
      </c>
      <c r="H99" s="13" t="n">
        <v>821.42</v>
      </c>
      <c r="I99" s="13" t="n">
        <f aca="false">SUM(K99:T99)</f>
        <v>4928.5</v>
      </c>
      <c r="J99" s="13" t="n">
        <f aca="false">F99-(G99+H99+I99)</f>
        <v>0.0499999999992724</v>
      </c>
      <c r="K99" s="13" t="n">
        <v>492.85</v>
      </c>
      <c r="L99" s="13" t="n">
        <v>492.85</v>
      </c>
      <c r="M99" s="13" t="n">
        <v>492.85</v>
      </c>
      <c r="N99" s="13" t="n">
        <v>492.85</v>
      </c>
      <c r="O99" s="13" t="n">
        <v>492.85</v>
      </c>
      <c r="P99" s="13" t="n">
        <v>492.85</v>
      </c>
      <c r="Q99" s="13" t="n">
        <v>492.85</v>
      </c>
      <c r="R99" s="13" t="n">
        <v>492.85</v>
      </c>
      <c r="S99" s="13" t="n">
        <v>492.85</v>
      </c>
      <c r="T99" s="13" t="n">
        <v>492.85</v>
      </c>
      <c r="U99" s="13" t="n">
        <v>350</v>
      </c>
      <c r="V99" s="13" t="n">
        <v>250</v>
      </c>
      <c r="W99" s="13" t="n">
        <f aca="false">U99+V99</f>
        <v>600</v>
      </c>
    </row>
    <row r="100" customFormat="false" ht="15" hidden="false" customHeight="false" outlineLevel="0" collapsed="false">
      <c r="A100" s="14" t="s">
        <v>3019</v>
      </c>
      <c r="B100" s="14" t="s">
        <v>2914</v>
      </c>
      <c r="C100" s="14" t="s">
        <v>182</v>
      </c>
      <c r="D100" s="14" t="s">
        <v>251</v>
      </c>
      <c r="E100" s="15" t="n">
        <v>1200000</v>
      </c>
      <c r="F100" s="15" t="n">
        <v>10666.8</v>
      </c>
      <c r="G100" s="15" t="n">
        <v>1333.35</v>
      </c>
      <c r="H100" s="15" t="n">
        <v>1333.35</v>
      </c>
      <c r="I100" s="15" t="n">
        <f aca="false">SUM(K100:T100)</f>
        <v>8000.1</v>
      </c>
      <c r="J100" s="15" t="n">
        <f aca="false">F100-(G100+H100+I100)</f>
        <v>0</v>
      </c>
      <c r="K100" s="15" t="n">
        <v>800.01</v>
      </c>
      <c r="L100" s="15" t="n">
        <v>800.01</v>
      </c>
      <c r="M100" s="15" t="n">
        <v>800.01</v>
      </c>
      <c r="N100" s="15" t="n">
        <v>800.01</v>
      </c>
      <c r="O100" s="15" t="n">
        <v>800.01</v>
      </c>
      <c r="P100" s="15" t="n">
        <v>800.01</v>
      </c>
      <c r="Q100" s="15" t="n">
        <v>800.01</v>
      </c>
      <c r="R100" s="15" t="n">
        <v>800.01</v>
      </c>
      <c r="S100" s="15" t="n">
        <v>800.01</v>
      </c>
      <c r="T100" s="15" t="n">
        <v>800.01</v>
      </c>
      <c r="U100" s="15" t="n">
        <v>350</v>
      </c>
      <c r="V100" s="15" t="n">
        <v>250</v>
      </c>
      <c r="W100" s="15" t="n">
        <f aca="false">U100+V100</f>
        <v>600</v>
      </c>
    </row>
    <row r="101" customFormat="false" ht="15" hidden="false" customHeight="false" outlineLevel="0" collapsed="false">
      <c r="A101" s="3" t="s">
        <v>3020</v>
      </c>
      <c r="B101" s="3" t="s">
        <v>2938</v>
      </c>
      <c r="C101" s="3" t="s">
        <v>1023</v>
      </c>
      <c r="D101" s="3" t="s">
        <v>338</v>
      </c>
      <c r="E101" s="13" t="n">
        <v>510000</v>
      </c>
      <c r="F101" s="13" t="n">
        <v>5931.67</v>
      </c>
      <c r="G101" s="13" t="n">
        <v>741.46</v>
      </c>
      <c r="H101" s="13" t="n">
        <v>741.46</v>
      </c>
      <c r="I101" s="13" t="n">
        <f aca="false">SUM(K101:T101)</f>
        <v>4448.8</v>
      </c>
      <c r="J101" s="13" t="n">
        <f aca="false">F101-(G101+H101+I101)</f>
        <v>-0.0500000000001819</v>
      </c>
      <c r="K101" s="13" t="n">
        <v>444.88</v>
      </c>
      <c r="L101" s="13" t="n">
        <v>444.88</v>
      </c>
      <c r="M101" s="13" t="n">
        <v>444.88</v>
      </c>
      <c r="N101" s="13" t="n">
        <v>444.88</v>
      </c>
      <c r="O101" s="13" t="n">
        <v>444.88</v>
      </c>
      <c r="P101" s="13" t="n">
        <v>444.88</v>
      </c>
      <c r="Q101" s="13" t="n">
        <v>444.88</v>
      </c>
      <c r="R101" s="13" t="n">
        <v>444.88</v>
      </c>
      <c r="S101" s="13" t="n">
        <v>444.88</v>
      </c>
      <c r="T101" s="13" t="n">
        <v>444.88</v>
      </c>
      <c r="U101" s="13" t="n">
        <v>350</v>
      </c>
      <c r="V101" s="13" t="n">
        <v>0</v>
      </c>
      <c r="W101" s="13" t="n">
        <f aca="false">U101+V101</f>
        <v>350</v>
      </c>
    </row>
    <row r="102" customFormat="false" ht="15" hidden="false" customHeight="false" outlineLevel="0" collapsed="false">
      <c r="A102" s="14" t="s">
        <v>3021</v>
      </c>
      <c r="B102" s="14" t="s">
        <v>2955</v>
      </c>
      <c r="C102" s="14" t="s">
        <v>368</v>
      </c>
      <c r="D102" s="14" t="s">
        <v>222</v>
      </c>
      <c r="E102" s="15" t="n">
        <v>660000</v>
      </c>
      <c r="F102" s="15" t="n">
        <v>3981</v>
      </c>
      <c r="G102" s="15" t="n">
        <v>497.62</v>
      </c>
      <c r="H102" s="15" t="n">
        <v>497.62</v>
      </c>
      <c r="I102" s="15" t="n">
        <f aca="false">SUM(K102:T102)</f>
        <v>2985.7</v>
      </c>
      <c r="J102" s="15" t="n">
        <f aca="false">F102-(G102+H102+I102)</f>
        <v>0.0599999999994907</v>
      </c>
      <c r="K102" s="15" t="n">
        <v>298.57</v>
      </c>
      <c r="L102" s="15" t="n">
        <v>298.57</v>
      </c>
      <c r="M102" s="15" t="n">
        <v>298.57</v>
      </c>
      <c r="N102" s="15" t="n">
        <v>298.57</v>
      </c>
      <c r="O102" s="15" t="n">
        <v>298.57</v>
      </c>
      <c r="P102" s="15" t="n">
        <v>298.57</v>
      </c>
      <c r="Q102" s="15" t="n">
        <v>298.57</v>
      </c>
      <c r="R102" s="15" t="n">
        <v>298.57</v>
      </c>
      <c r="S102" s="15" t="n">
        <v>298.57</v>
      </c>
      <c r="T102" s="15" t="n">
        <v>298.57</v>
      </c>
      <c r="U102" s="15" t="n">
        <v>350</v>
      </c>
      <c r="V102" s="15" t="n">
        <v>0</v>
      </c>
      <c r="W102" s="15" t="n">
        <f aca="false">U102+V102</f>
        <v>350</v>
      </c>
    </row>
    <row r="103" customFormat="false" ht="15" hidden="false" customHeight="false" outlineLevel="0" collapsed="false">
      <c r="A103" s="3" t="s">
        <v>3022</v>
      </c>
      <c r="B103" s="3" t="s">
        <v>2968</v>
      </c>
      <c r="C103" s="3" t="s">
        <v>1960</v>
      </c>
      <c r="D103" s="3" t="s">
        <v>377</v>
      </c>
      <c r="E103" s="13" t="n">
        <v>1950000</v>
      </c>
      <c r="F103" s="13" t="n">
        <v>30164.87</v>
      </c>
      <c r="G103" s="13" t="n">
        <v>3770.61</v>
      </c>
      <c r="H103" s="13" t="n">
        <v>3770.61</v>
      </c>
      <c r="I103" s="13" t="n">
        <f aca="false">SUM(K103:T103)</f>
        <v>22623.7</v>
      </c>
      <c r="J103" s="13" t="n">
        <f aca="false">F103-(G103+H103+I103)</f>
        <v>-0.0499999999992724</v>
      </c>
      <c r="K103" s="13" t="n">
        <v>2262.37</v>
      </c>
      <c r="L103" s="13" t="n">
        <v>2262.37</v>
      </c>
      <c r="M103" s="13" t="n">
        <v>2262.37</v>
      </c>
      <c r="N103" s="13" t="n">
        <v>2262.37</v>
      </c>
      <c r="O103" s="13" t="n">
        <v>2262.37</v>
      </c>
      <c r="P103" s="13" t="n">
        <v>2262.37</v>
      </c>
      <c r="Q103" s="13" t="n">
        <v>2262.37</v>
      </c>
      <c r="R103" s="13" t="n">
        <v>2262.37</v>
      </c>
      <c r="S103" s="13" t="n">
        <v>2262.37</v>
      </c>
      <c r="T103" s="13" t="n">
        <v>2262.37</v>
      </c>
      <c r="U103" s="13" t="n">
        <v>350</v>
      </c>
      <c r="V103" s="13" t="n">
        <v>250</v>
      </c>
      <c r="W103" s="13" t="n">
        <f aca="false">U103+V103</f>
        <v>600</v>
      </c>
    </row>
    <row r="104" customFormat="false" ht="15" hidden="false" customHeight="false" outlineLevel="0" collapsed="false">
      <c r="A104" s="14" t="s">
        <v>3023</v>
      </c>
      <c r="B104" s="14" t="s">
        <v>2918</v>
      </c>
      <c r="C104" s="14" t="s">
        <v>372</v>
      </c>
      <c r="D104" s="14" t="s">
        <v>93</v>
      </c>
      <c r="E104" s="15" t="n">
        <v>160000</v>
      </c>
      <c r="F104" s="15" t="n">
        <v>1684.53</v>
      </c>
      <c r="G104" s="15" t="n">
        <v>210.57</v>
      </c>
      <c r="H104" s="15" t="n">
        <v>210.57</v>
      </c>
      <c r="I104" s="15" t="n">
        <f aca="false">SUM(K104:T104)</f>
        <v>1263.4</v>
      </c>
      <c r="J104" s="15" t="n">
        <f aca="false">F104-(G104+H104+I104)</f>
        <v>-0.00999999999999091</v>
      </c>
      <c r="K104" s="15" t="n">
        <v>126.34</v>
      </c>
      <c r="L104" s="15" t="n">
        <v>126.34</v>
      </c>
      <c r="M104" s="15" t="n">
        <v>126.34</v>
      </c>
      <c r="N104" s="15" t="n">
        <v>126.34</v>
      </c>
      <c r="O104" s="15" t="n">
        <v>126.34</v>
      </c>
      <c r="P104" s="15" t="n">
        <v>126.34</v>
      </c>
      <c r="Q104" s="15" t="n">
        <v>126.34</v>
      </c>
      <c r="R104" s="15" t="n">
        <v>126.34</v>
      </c>
      <c r="S104" s="15" t="n">
        <v>126.34</v>
      </c>
      <c r="T104" s="15" t="n">
        <v>126.34</v>
      </c>
      <c r="U104" s="15" t="n">
        <v>350</v>
      </c>
      <c r="V104" s="15" t="n">
        <v>0</v>
      </c>
      <c r="W104" s="15" t="n">
        <f aca="false">U104+V104</f>
        <v>350</v>
      </c>
    </row>
    <row r="105" customFormat="false" ht="15" hidden="false" customHeight="false" outlineLevel="0" collapsed="false">
      <c r="A105" s="3" t="s">
        <v>3024</v>
      </c>
      <c r="B105" s="3" t="s">
        <v>2971</v>
      </c>
      <c r="C105" s="3" t="s">
        <v>381</v>
      </c>
      <c r="D105" s="3" t="s">
        <v>93</v>
      </c>
      <c r="E105" s="13" t="n">
        <v>1950000</v>
      </c>
      <c r="F105" s="13" t="n">
        <v>28814.2</v>
      </c>
      <c r="G105" s="13" t="n">
        <v>3601.78</v>
      </c>
      <c r="H105" s="13" t="n">
        <v>3601.78</v>
      </c>
      <c r="I105" s="13" t="n">
        <f aca="false">SUM(K105:T105)</f>
        <v>21610.7</v>
      </c>
      <c r="J105" s="13" t="n">
        <f aca="false">F105-(G105+H105+I105)</f>
        <v>-0.0600000000013097</v>
      </c>
      <c r="K105" s="13" t="n">
        <v>2161.07</v>
      </c>
      <c r="L105" s="13" t="n">
        <v>2161.07</v>
      </c>
      <c r="M105" s="13" t="n">
        <v>2161.07</v>
      </c>
      <c r="N105" s="13" t="n">
        <v>2161.07</v>
      </c>
      <c r="O105" s="13" t="n">
        <v>2161.07</v>
      </c>
      <c r="P105" s="13" t="n">
        <v>2161.07</v>
      </c>
      <c r="Q105" s="13" t="n">
        <v>2161.07</v>
      </c>
      <c r="R105" s="13" t="n">
        <v>2161.07</v>
      </c>
      <c r="S105" s="13" t="n">
        <v>2161.07</v>
      </c>
      <c r="T105" s="13" t="n">
        <v>2161.07</v>
      </c>
      <c r="U105" s="13" t="n">
        <v>350</v>
      </c>
      <c r="V105" s="13" t="n">
        <v>250</v>
      </c>
      <c r="W105" s="13" t="n">
        <f aca="false">U105+V105</f>
        <v>600</v>
      </c>
    </row>
    <row r="106" customFormat="false" ht="15" hidden="false" customHeight="false" outlineLevel="0" collapsed="false">
      <c r="A106" s="14" t="s">
        <v>3025</v>
      </c>
      <c r="B106" s="14" t="s">
        <v>2895</v>
      </c>
      <c r="C106" s="14" t="s">
        <v>389</v>
      </c>
      <c r="D106" s="14" t="s">
        <v>325</v>
      </c>
      <c r="E106" s="15" t="n">
        <v>570000</v>
      </c>
      <c r="F106" s="15" t="n">
        <v>7378.01</v>
      </c>
      <c r="G106" s="15" t="n">
        <v>922.25</v>
      </c>
      <c r="H106" s="15" t="n">
        <v>922.25</v>
      </c>
      <c r="I106" s="15" t="n">
        <f aca="false">SUM(K106:T106)</f>
        <v>5533.5</v>
      </c>
      <c r="J106" s="15" t="n">
        <f aca="false">F106-(G106+H106+I106)</f>
        <v>0.00999999999930878</v>
      </c>
      <c r="K106" s="15" t="n">
        <v>553.35</v>
      </c>
      <c r="L106" s="15" t="n">
        <v>553.35</v>
      </c>
      <c r="M106" s="15" t="n">
        <v>553.35</v>
      </c>
      <c r="N106" s="15" t="n">
        <v>553.35</v>
      </c>
      <c r="O106" s="15" t="n">
        <v>553.35</v>
      </c>
      <c r="P106" s="15" t="n">
        <v>553.35</v>
      </c>
      <c r="Q106" s="15" t="n">
        <v>553.35</v>
      </c>
      <c r="R106" s="15" t="n">
        <v>553.35</v>
      </c>
      <c r="S106" s="15" t="n">
        <v>553.35</v>
      </c>
      <c r="T106" s="15" t="n">
        <v>553.35</v>
      </c>
      <c r="U106" s="15" t="n">
        <v>350</v>
      </c>
      <c r="V106" s="15" t="n">
        <v>0</v>
      </c>
      <c r="W106" s="15" t="n">
        <f aca="false">U106+V106</f>
        <v>350</v>
      </c>
    </row>
    <row r="107" customFormat="false" ht="15" hidden="false" customHeight="false" outlineLevel="0" collapsed="false">
      <c r="A107" s="3" t="s">
        <v>3026</v>
      </c>
      <c r="B107" s="3" t="s">
        <v>2938</v>
      </c>
      <c r="C107" s="3" t="s">
        <v>843</v>
      </c>
      <c r="D107" s="3" t="s">
        <v>406</v>
      </c>
      <c r="E107" s="13" t="n">
        <v>1680000</v>
      </c>
      <c r="F107" s="13" t="n">
        <v>18036.58</v>
      </c>
      <c r="G107" s="13" t="n">
        <v>2254.57</v>
      </c>
      <c r="H107" s="13" t="n">
        <v>2254.57</v>
      </c>
      <c r="I107" s="13" t="n">
        <f aca="false">SUM(K107:T107)</f>
        <v>13527.4</v>
      </c>
      <c r="J107" s="13" t="n">
        <f aca="false">F107-(G107+H107+I107)</f>
        <v>0.0400000000008731</v>
      </c>
      <c r="K107" s="13" t="n">
        <v>1352.74</v>
      </c>
      <c r="L107" s="13" t="n">
        <v>1352.74</v>
      </c>
      <c r="M107" s="13" t="n">
        <v>1352.74</v>
      </c>
      <c r="N107" s="13" t="n">
        <v>1352.74</v>
      </c>
      <c r="O107" s="13" t="n">
        <v>1352.74</v>
      </c>
      <c r="P107" s="13" t="n">
        <v>1352.74</v>
      </c>
      <c r="Q107" s="13" t="n">
        <v>1352.74</v>
      </c>
      <c r="R107" s="13" t="n">
        <v>1352.74</v>
      </c>
      <c r="S107" s="13" t="n">
        <v>1352.74</v>
      </c>
      <c r="T107" s="13" t="n">
        <v>1352.74</v>
      </c>
      <c r="U107" s="13" t="n">
        <v>350</v>
      </c>
      <c r="V107" s="13" t="n">
        <v>250</v>
      </c>
      <c r="W107" s="13" t="n">
        <f aca="false">U107+V107</f>
        <v>600</v>
      </c>
    </row>
    <row r="108" customFormat="false" ht="15" hidden="false" customHeight="false" outlineLevel="0" collapsed="false">
      <c r="A108" s="14" t="s">
        <v>3027</v>
      </c>
      <c r="B108" s="14" t="s">
        <v>2949</v>
      </c>
      <c r="C108" s="14" t="s">
        <v>1017</v>
      </c>
      <c r="D108" s="14" t="s">
        <v>93</v>
      </c>
      <c r="E108" s="15" t="n">
        <v>365000</v>
      </c>
      <c r="F108" s="15" t="n">
        <v>5056.34</v>
      </c>
      <c r="G108" s="15" t="n">
        <v>632.04</v>
      </c>
      <c r="H108" s="15" t="n">
        <v>632.04</v>
      </c>
      <c r="I108" s="15" t="n">
        <f aca="false">SUM(K108:T108)</f>
        <v>3792.3</v>
      </c>
      <c r="J108" s="15" t="n">
        <f aca="false">F108-(G108+H108+I108)</f>
        <v>-0.0399999999999636</v>
      </c>
      <c r="K108" s="15" t="n">
        <v>379.23</v>
      </c>
      <c r="L108" s="15" t="n">
        <v>379.23</v>
      </c>
      <c r="M108" s="15" t="n">
        <v>379.23</v>
      </c>
      <c r="N108" s="15" t="n">
        <v>379.23</v>
      </c>
      <c r="O108" s="15" t="n">
        <v>379.23</v>
      </c>
      <c r="P108" s="15" t="n">
        <v>379.23</v>
      </c>
      <c r="Q108" s="15" t="n">
        <v>379.23</v>
      </c>
      <c r="R108" s="15" t="n">
        <v>379.23</v>
      </c>
      <c r="S108" s="15" t="n">
        <v>379.23</v>
      </c>
      <c r="T108" s="15" t="n">
        <v>379.23</v>
      </c>
      <c r="U108" s="15" t="n">
        <v>350</v>
      </c>
      <c r="V108" s="15" t="n">
        <v>0</v>
      </c>
      <c r="W108" s="15" t="n">
        <f aca="false">U108+V108</f>
        <v>350</v>
      </c>
    </row>
    <row r="109" customFormat="false" ht="15" hidden="false" customHeight="false" outlineLevel="0" collapsed="false">
      <c r="A109" s="3" t="s">
        <v>3028</v>
      </c>
      <c r="B109" s="3" t="s">
        <v>2981</v>
      </c>
      <c r="C109" s="3" t="s">
        <v>248</v>
      </c>
      <c r="D109" s="3" t="s">
        <v>185</v>
      </c>
      <c r="E109" s="13" t="n">
        <v>1305000</v>
      </c>
      <c r="F109" s="13" t="n">
        <v>10460.84</v>
      </c>
      <c r="G109" s="13" t="n">
        <v>1307.61</v>
      </c>
      <c r="H109" s="13" t="n">
        <v>1307.61</v>
      </c>
      <c r="I109" s="13" t="n">
        <f aca="false">SUM(K109:T109)</f>
        <v>7845.6</v>
      </c>
      <c r="J109" s="13" t="n">
        <f aca="false">F109-(G109+H109+I109)</f>
        <v>0.0200000000022555</v>
      </c>
      <c r="K109" s="13" t="n">
        <v>784.56</v>
      </c>
      <c r="L109" s="13" t="n">
        <v>784.56</v>
      </c>
      <c r="M109" s="13" t="n">
        <v>784.56</v>
      </c>
      <c r="N109" s="13" t="n">
        <v>784.56</v>
      </c>
      <c r="O109" s="13" t="n">
        <v>784.56</v>
      </c>
      <c r="P109" s="13" t="n">
        <v>784.56</v>
      </c>
      <c r="Q109" s="13" t="n">
        <v>784.56</v>
      </c>
      <c r="R109" s="13" t="n">
        <v>784.56</v>
      </c>
      <c r="S109" s="13" t="n">
        <v>784.56</v>
      </c>
      <c r="T109" s="13" t="n">
        <v>784.56</v>
      </c>
      <c r="U109" s="13" t="n">
        <v>350</v>
      </c>
      <c r="V109" s="13" t="n">
        <v>250</v>
      </c>
      <c r="W109" s="13" t="n">
        <f aca="false">U109+V109</f>
        <v>600</v>
      </c>
    </row>
    <row r="110" customFormat="false" ht="15" hidden="false" customHeight="false" outlineLevel="0" collapsed="false">
      <c r="A110" s="14" t="s">
        <v>3029</v>
      </c>
      <c r="B110" s="14" t="s">
        <v>2981</v>
      </c>
      <c r="C110" s="14" t="s">
        <v>314</v>
      </c>
      <c r="D110" s="14" t="s">
        <v>138</v>
      </c>
      <c r="E110" s="15" t="n">
        <v>930000</v>
      </c>
      <c r="F110" s="15" t="n">
        <v>10031.51</v>
      </c>
      <c r="G110" s="15" t="n">
        <v>1253.94</v>
      </c>
      <c r="H110" s="15" t="n">
        <v>1253.94</v>
      </c>
      <c r="I110" s="15" t="n">
        <f aca="false">SUM(K110:T110)</f>
        <v>7523.6</v>
      </c>
      <c r="J110" s="15" t="n">
        <f aca="false">F110-(G110+H110+I110)</f>
        <v>0.0300000000006548</v>
      </c>
      <c r="K110" s="15" t="n">
        <v>752.36</v>
      </c>
      <c r="L110" s="15" t="n">
        <v>752.36</v>
      </c>
      <c r="M110" s="15" t="n">
        <v>752.36</v>
      </c>
      <c r="N110" s="15" t="n">
        <v>752.36</v>
      </c>
      <c r="O110" s="15" t="n">
        <v>752.36</v>
      </c>
      <c r="P110" s="15" t="n">
        <v>752.36</v>
      </c>
      <c r="Q110" s="15" t="n">
        <v>752.36</v>
      </c>
      <c r="R110" s="15" t="n">
        <v>752.36</v>
      </c>
      <c r="S110" s="15" t="n">
        <v>752.36</v>
      </c>
      <c r="T110" s="15" t="n">
        <v>752.36</v>
      </c>
      <c r="U110" s="15" t="n">
        <v>350</v>
      </c>
      <c r="V110" s="15" t="n">
        <v>0</v>
      </c>
      <c r="W110" s="15" t="n">
        <f aca="false">U110+V110</f>
        <v>350</v>
      </c>
    </row>
    <row r="111" customFormat="false" ht="15" hidden="false" customHeight="false" outlineLevel="0" collapsed="false">
      <c r="A111" s="3" t="s">
        <v>3030</v>
      </c>
      <c r="B111" s="3" t="s">
        <v>2934</v>
      </c>
      <c r="C111" s="3" t="s">
        <v>345</v>
      </c>
      <c r="D111" s="3" t="s">
        <v>157</v>
      </c>
      <c r="E111" s="13" t="n">
        <v>525000</v>
      </c>
      <c r="F111" s="13" t="n">
        <v>10219.82</v>
      </c>
      <c r="G111" s="13" t="n">
        <v>1277.48</v>
      </c>
      <c r="H111" s="13" t="n">
        <v>1277.48</v>
      </c>
      <c r="I111" s="13" t="n">
        <f aca="false">SUM(K111:T111)</f>
        <v>7664.9</v>
      </c>
      <c r="J111" s="13" t="n">
        <f aca="false">F111-(G111+H111+I111)</f>
        <v>-0.0400000000008731</v>
      </c>
      <c r="K111" s="13" t="n">
        <v>766.49</v>
      </c>
      <c r="L111" s="13" t="n">
        <v>766.49</v>
      </c>
      <c r="M111" s="13" t="n">
        <v>766.49</v>
      </c>
      <c r="N111" s="13" t="n">
        <v>766.49</v>
      </c>
      <c r="O111" s="13" t="n">
        <v>766.49</v>
      </c>
      <c r="P111" s="13" t="n">
        <v>766.49</v>
      </c>
      <c r="Q111" s="13" t="n">
        <v>766.49</v>
      </c>
      <c r="R111" s="13" t="n">
        <v>766.49</v>
      </c>
      <c r="S111" s="13" t="n">
        <v>766.49</v>
      </c>
      <c r="T111" s="13" t="n">
        <v>766.49</v>
      </c>
      <c r="U111" s="13" t="n">
        <v>350</v>
      </c>
      <c r="V111" s="13" t="n">
        <v>0</v>
      </c>
      <c r="W111" s="13" t="n">
        <f aca="false">U111+V111</f>
        <v>350</v>
      </c>
    </row>
    <row r="112" customFormat="false" ht="15" hidden="false" customHeight="false" outlineLevel="0" collapsed="false">
      <c r="A112" s="14" t="s">
        <v>3031</v>
      </c>
      <c r="B112" s="14" t="s">
        <v>2932</v>
      </c>
      <c r="C112" s="14" t="s">
        <v>1144</v>
      </c>
      <c r="D112" s="14" t="s">
        <v>325</v>
      </c>
      <c r="E112" s="15" t="n">
        <v>210000</v>
      </c>
      <c r="F112" s="15" t="n">
        <v>4390.96</v>
      </c>
      <c r="G112" s="15" t="n">
        <v>548.87</v>
      </c>
      <c r="H112" s="15" t="n">
        <v>548.87</v>
      </c>
      <c r="I112" s="15" t="n">
        <f aca="false">SUM(K112:T112)</f>
        <v>3293.2</v>
      </c>
      <c r="J112" s="15" t="n">
        <f aca="false">F112-(G112+H112+I112)</f>
        <v>0.0199999999995271</v>
      </c>
      <c r="K112" s="15" t="n">
        <v>329.32</v>
      </c>
      <c r="L112" s="15" t="n">
        <v>329.32</v>
      </c>
      <c r="M112" s="15" t="n">
        <v>329.32</v>
      </c>
      <c r="N112" s="15" t="n">
        <v>329.32</v>
      </c>
      <c r="O112" s="15" t="n">
        <v>329.32</v>
      </c>
      <c r="P112" s="15" t="n">
        <v>329.32</v>
      </c>
      <c r="Q112" s="15" t="n">
        <v>329.32</v>
      </c>
      <c r="R112" s="15" t="n">
        <v>329.32</v>
      </c>
      <c r="S112" s="15" t="n">
        <v>329.32</v>
      </c>
      <c r="T112" s="15" t="n">
        <v>329.32</v>
      </c>
      <c r="U112" s="15" t="n">
        <v>350</v>
      </c>
      <c r="V112" s="15" t="n">
        <v>0</v>
      </c>
      <c r="W112" s="15" t="n">
        <f aca="false">U112+V112</f>
        <v>350</v>
      </c>
    </row>
    <row r="113" customFormat="false" ht="15" hidden="false" customHeight="false" outlineLevel="0" collapsed="false">
      <c r="A113" s="3" t="s">
        <v>3032</v>
      </c>
      <c r="B113" s="3" t="s">
        <v>2968</v>
      </c>
      <c r="C113" s="3" t="s">
        <v>310</v>
      </c>
      <c r="D113" s="3" t="s">
        <v>147</v>
      </c>
      <c r="E113" s="13" t="n">
        <v>370000</v>
      </c>
      <c r="F113" s="13" t="n">
        <v>4284.68</v>
      </c>
      <c r="G113" s="13" t="n">
        <v>535.59</v>
      </c>
      <c r="H113" s="13" t="n">
        <v>535.59</v>
      </c>
      <c r="I113" s="13" t="n">
        <f aca="false">SUM(K113:T113)</f>
        <v>3213.5</v>
      </c>
      <c r="J113" s="13" t="n">
        <f aca="false">F113-(G113+H113+I113)</f>
        <v>0</v>
      </c>
      <c r="K113" s="13" t="n">
        <v>321.35</v>
      </c>
      <c r="L113" s="13" t="n">
        <v>321.35</v>
      </c>
      <c r="M113" s="13" t="n">
        <v>321.35</v>
      </c>
      <c r="N113" s="13" t="n">
        <v>321.35</v>
      </c>
      <c r="O113" s="13" t="n">
        <v>321.35</v>
      </c>
      <c r="P113" s="13" t="n">
        <v>321.35</v>
      </c>
      <c r="Q113" s="13" t="n">
        <v>321.35</v>
      </c>
      <c r="R113" s="13" t="n">
        <v>321.35</v>
      </c>
      <c r="S113" s="13" t="n">
        <v>321.35</v>
      </c>
      <c r="T113" s="13" t="n">
        <v>321.35</v>
      </c>
      <c r="U113" s="13" t="n">
        <v>350</v>
      </c>
      <c r="V113" s="13" t="n">
        <v>0</v>
      </c>
      <c r="W113" s="13" t="n">
        <f aca="false">U113+V113</f>
        <v>350</v>
      </c>
    </row>
    <row r="114" customFormat="false" ht="15" hidden="false" customHeight="false" outlineLevel="0" collapsed="false">
      <c r="A114" s="14" t="s">
        <v>3033</v>
      </c>
      <c r="B114" s="14" t="s">
        <v>2914</v>
      </c>
      <c r="C114" s="14" t="s">
        <v>1963</v>
      </c>
      <c r="D114" s="14" t="s">
        <v>125</v>
      </c>
      <c r="E114" s="15" t="n">
        <v>250000</v>
      </c>
      <c r="F114" s="15" t="n">
        <v>3982.73</v>
      </c>
      <c r="G114" s="15" t="n">
        <v>497.84</v>
      </c>
      <c r="H114" s="15" t="n">
        <v>497.84</v>
      </c>
      <c r="I114" s="15" t="n">
        <f aca="false">SUM(K114:T114)</f>
        <v>2987</v>
      </c>
      <c r="J114" s="15" t="n">
        <f aca="false">F114-(G114+H114+I114)</f>
        <v>0.0500000000006366</v>
      </c>
      <c r="K114" s="15" t="n">
        <v>298.7</v>
      </c>
      <c r="L114" s="15" t="n">
        <v>298.7</v>
      </c>
      <c r="M114" s="15" t="n">
        <v>298.7</v>
      </c>
      <c r="N114" s="15" t="n">
        <v>298.7</v>
      </c>
      <c r="O114" s="15" t="n">
        <v>298.7</v>
      </c>
      <c r="P114" s="15" t="n">
        <v>298.7</v>
      </c>
      <c r="Q114" s="15" t="n">
        <v>298.7</v>
      </c>
      <c r="R114" s="15" t="n">
        <v>298.7</v>
      </c>
      <c r="S114" s="15" t="n">
        <v>298.7</v>
      </c>
      <c r="T114" s="15" t="n">
        <v>298.7</v>
      </c>
      <c r="U114" s="15" t="n">
        <v>350</v>
      </c>
      <c r="V114" s="15" t="n">
        <v>0</v>
      </c>
      <c r="W114" s="15" t="n">
        <f aca="false">U114+V114</f>
        <v>350</v>
      </c>
    </row>
    <row r="115" customFormat="false" ht="15" hidden="false" customHeight="false" outlineLevel="0" collapsed="false">
      <c r="A115" s="3" t="s">
        <v>3034</v>
      </c>
      <c r="B115" s="3" t="s">
        <v>2930</v>
      </c>
      <c r="C115" s="3" t="s">
        <v>3035</v>
      </c>
      <c r="D115" s="3" t="s">
        <v>89</v>
      </c>
      <c r="E115" s="13" t="n">
        <v>775000</v>
      </c>
      <c r="F115" s="13" t="n">
        <v>9813.43</v>
      </c>
      <c r="G115" s="13" t="n">
        <v>1226.68</v>
      </c>
      <c r="H115" s="13" t="n">
        <v>1226.68</v>
      </c>
      <c r="I115" s="13" t="n">
        <f aca="false">SUM(K115:T115)</f>
        <v>7360.1</v>
      </c>
      <c r="J115" s="13" t="n">
        <f aca="false">F115-(G115+H115+I115)</f>
        <v>-0.0300000000006548</v>
      </c>
      <c r="K115" s="13" t="n">
        <v>736.01</v>
      </c>
      <c r="L115" s="13" t="n">
        <v>736.01</v>
      </c>
      <c r="M115" s="13" t="n">
        <v>736.01</v>
      </c>
      <c r="N115" s="13" t="n">
        <v>736.01</v>
      </c>
      <c r="O115" s="13" t="n">
        <v>736.01</v>
      </c>
      <c r="P115" s="13" t="n">
        <v>736.01</v>
      </c>
      <c r="Q115" s="13" t="n">
        <v>736.01</v>
      </c>
      <c r="R115" s="13" t="n">
        <v>736.01</v>
      </c>
      <c r="S115" s="13" t="n">
        <v>736.01</v>
      </c>
      <c r="T115" s="13" t="n">
        <v>736.01</v>
      </c>
      <c r="U115" s="13" t="n">
        <v>350</v>
      </c>
      <c r="V115" s="13" t="n">
        <v>0</v>
      </c>
      <c r="W115" s="13" t="n">
        <f aca="false">U115+V115</f>
        <v>350</v>
      </c>
    </row>
    <row r="116" customFormat="false" ht="15" hidden="false" customHeight="false" outlineLevel="0" collapsed="false">
      <c r="A116" s="14" t="s">
        <v>3036</v>
      </c>
      <c r="B116" s="14" t="s">
        <v>2906</v>
      </c>
      <c r="C116" s="14" t="s">
        <v>434</v>
      </c>
      <c r="D116" s="14" t="s">
        <v>85</v>
      </c>
      <c r="E116" s="15" t="n">
        <v>755000</v>
      </c>
      <c r="F116" s="15" t="n">
        <v>9843.44</v>
      </c>
      <c r="G116" s="15" t="n">
        <v>1230.43</v>
      </c>
      <c r="H116" s="15" t="n">
        <v>1230.43</v>
      </c>
      <c r="I116" s="15" t="n">
        <f aca="false">SUM(K116:T116)</f>
        <v>7382.6</v>
      </c>
      <c r="J116" s="15" t="n">
        <f aca="false">F116-(G116+H116+I116)</f>
        <v>-0.0200000000004366</v>
      </c>
      <c r="K116" s="15" t="n">
        <v>738.26</v>
      </c>
      <c r="L116" s="15" t="n">
        <v>738.26</v>
      </c>
      <c r="M116" s="15" t="n">
        <v>738.26</v>
      </c>
      <c r="N116" s="15" t="n">
        <v>738.26</v>
      </c>
      <c r="O116" s="15" t="n">
        <v>738.26</v>
      </c>
      <c r="P116" s="15" t="n">
        <v>738.26</v>
      </c>
      <c r="Q116" s="15" t="n">
        <v>738.26</v>
      </c>
      <c r="R116" s="15" t="n">
        <v>738.26</v>
      </c>
      <c r="S116" s="15" t="n">
        <v>738.26</v>
      </c>
      <c r="T116" s="15" t="n">
        <v>738.26</v>
      </c>
      <c r="U116" s="15" t="n">
        <v>350</v>
      </c>
      <c r="V116" s="15" t="n">
        <v>0</v>
      </c>
      <c r="W116" s="15" t="n">
        <f aca="false">U116+V116</f>
        <v>350</v>
      </c>
    </row>
    <row r="117" customFormat="false" ht="15" hidden="false" customHeight="false" outlineLevel="0" collapsed="false">
      <c r="A117" s="3" t="s">
        <v>3037</v>
      </c>
      <c r="B117" s="3" t="s">
        <v>2908</v>
      </c>
      <c r="C117" s="3" t="s">
        <v>1101</v>
      </c>
      <c r="D117" s="3" t="s">
        <v>185</v>
      </c>
      <c r="E117" s="13" t="n">
        <v>410000</v>
      </c>
      <c r="F117" s="13" t="n">
        <v>4481.66</v>
      </c>
      <c r="G117" s="13" t="n">
        <v>560.21</v>
      </c>
      <c r="H117" s="13" t="n">
        <v>560.21</v>
      </c>
      <c r="I117" s="13" t="n">
        <f aca="false">SUM(K117:T117)</f>
        <v>3361.2</v>
      </c>
      <c r="J117" s="13" t="n">
        <f aca="false">F117-(G117+H117+I117)</f>
        <v>0.0399999999999636</v>
      </c>
      <c r="K117" s="13" t="n">
        <v>336.12</v>
      </c>
      <c r="L117" s="13" t="n">
        <v>336.12</v>
      </c>
      <c r="M117" s="13" t="n">
        <v>336.12</v>
      </c>
      <c r="N117" s="13" t="n">
        <v>336.12</v>
      </c>
      <c r="O117" s="13" t="n">
        <v>336.12</v>
      </c>
      <c r="P117" s="13" t="n">
        <v>336.12</v>
      </c>
      <c r="Q117" s="13" t="n">
        <v>336.12</v>
      </c>
      <c r="R117" s="13" t="n">
        <v>336.12</v>
      </c>
      <c r="S117" s="13" t="n">
        <v>336.12</v>
      </c>
      <c r="T117" s="13" t="n">
        <v>336.12</v>
      </c>
      <c r="U117" s="13" t="n">
        <v>350</v>
      </c>
      <c r="V117" s="13" t="n">
        <v>0</v>
      </c>
      <c r="W117" s="13" t="n">
        <f aca="false">U117+V117</f>
        <v>350</v>
      </c>
    </row>
    <row r="118" customFormat="false" ht="15" hidden="false" customHeight="false" outlineLevel="0" collapsed="false">
      <c r="A118" s="14" t="s">
        <v>3038</v>
      </c>
      <c r="B118" s="14" t="s">
        <v>2955</v>
      </c>
      <c r="C118" s="14" t="s">
        <v>919</v>
      </c>
      <c r="D118" s="14" t="s">
        <v>233</v>
      </c>
      <c r="E118" s="15" t="n">
        <v>765000</v>
      </c>
      <c r="F118" s="15" t="n">
        <v>10277.4</v>
      </c>
      <c r="G118" s="15" t="n">
        <v>1284.67</v>
      </c>
      <c r="H118" s="15" t="n">
        <v>1284.67</v>
      </c>
      <c r="I118" s="15" t="n">
        <f aca="false">SUM(K118:T118)</f>
        <v>7708</v>
      </c>
      <c r="J118" s="15" t="n">
        <f aca="false">F118-(G118+H118+I118)</f>
        <v>0.0599999999994907</v>
      </c>
      <c r="K118" s="15" t="n">
        <v>770.8</v>
      </c>
      <c r="L118" s="15" t="n">
        <v>770.8</v>
      </c>
      <c r="M118" s="15" t="n">
        <v>770.8</v>
      </c>
      <c r="N118" s="15" t="n">
        <v>770.8</v>
      </c>
      <c r="O118" s="15" t="n">
        <v>770.8</v>
      </c>
      <c r="P118" s="15" t="n">
        <v>770.8</v>
      </c>
      <c r="Q118" s="15" t="n">
        <v>770.8</v>
      </c>
      <c r="R118" s="15" t="n">
        <v>770.8</v>
      </c>
      <c r="S118" s="15" t="n">
        <v>770.8</v>
      </c>
      <c r="T118" s="15" t="n">
        <v>770.8</v>
      </c>
      <c r="U118" s="15" t="n">
        <v>350</v>
      </c>
      <c r="V118" s="15" t="n">
        <v>0</v>
      </c>
      <c r="W118" s="15" t="n">
        <f aca="false">U118+V118</f>
        <v>350</v>
      </c>
    </row>
    <row r="119" customFormat="false" ht="15" hidden="false" customHeight="false" outlineLevel="0" collapsed="false">
      <c r="A119" s="3" t="s">
        <v>3039</v>
      </c>
      <c r="B119" s="3" t="s">
        <v>2893</v>
      </c>
      <c r="C119" s="3" t="s">
        <v>2536</v>
      </c>
      <c r="D119" s="3" t="s">
        <v>172</v>
      </c>
      <c r="E119" s="13" t="n">
        <v>265000</v>
      </c>
      <c r="F119" s="13" t="n">
        <v>3499.72</v>
      </c>
      <c r="G119" s="13" t="n">
        <v>437.46</v>
      </c>
      <c r="H119" s="13" t="n">
        <v>437.46</v>
      </c>
      <c r="I119" s="13" t="n">
        <f aca="false">SUM(K119:T119)</f>
        <v>2624.8</v>
      </c>
      <c r="J119" s="13" t="n">
        <f aca="false">F119-(G119+H119+I119)</f>
        <v>0</v>
      </c>
      <c r="K119" s="13" t="n">
        <v>262.48</v>
      </c>
      <c r="L119" s="13" t="n">
        <v>262.48</v>
      </c>
      <c r="M119" s="13" t="n">
        <v>262.48</v>
      </c>
      <c r="N119" s="13" t="n">
        <v>262.48</v>
      </c>
      <c r="O119" s="13" t="n">
        <v>262.48</v>
      </c>
      <c r="P119" s="13" t="n">
        <v>262.48</v>
      </c>
      <c r="Q119" s="13" t="n">
        <v>262.48</v>
      </c>
      <c r="R119" s="13" t="n">
        <v>262.48</v>
      </c>
      <c r="S119" s="13" t="n">
        <v>262.48</v>
      </c>
      <c r="T119" s="13" t="n">
        <v>262.48</v>
      </c>
      <c r="U119" s="13" t="n">
        <v>350</v>
      </c>
      <c r="V119" s="13" t="n">
        <v>0</v>
      </c>
      <c r="W119" s="13" t="n">
        <f aca="false">U119+V119</f>
        <v>350</v>
      </c>
    </row>
    <row r="120" customFormat="false" ht="15" hidden="false" customHeight="false" outlineLevel="0" collapsed="false">
      <c r="A120" s="14" t="s">
        <v>3040</v>
      </c>
      <c r="B120" s="14" t="s">
        <v>2962</v>
      </c>
      <c r="C120" s="14" t="s">
        <v>1678</v>
      </c>
      <c r="D120" s="14" t="s">
        <v>99</v>
      </c>
      <c r="E120" s="15" t="n">
        <v>290000</v>
      </c>
      <c r="F120" s="15" t="n">
        <v>4268.45</v>
      </c>
      <c r="G120" s="15" t="n">
        <v>533.56</v>
      </c>
      <c r="H120" s="15" t="n">
        <v>533.56</v>
      </c>
      <c r="I120" s="15" t="n">
        <f aca="false">SUM(K120:T120)</f>
        <v>3201.3</v>
      </c>
      <c r="J120" s="15" t="n">
        <f aca="false">F120-(G120+H120+I120)</f>
        <v>0.0299999999997453</v>
      </c>
      <c r="K120" s="15" t="n">
        <v>320.13</v>
      </c>
      <c r="L120" s="15" t="n">
        <v>320.13</v>
      </c>
      <c r="M120" s="15" t="n">
        <v>320.13</v>
      </c>
      <c r="N120" s="15" t="n">
        <v>320.13</v>
      </c>
      <c r="O120" s="15" t="n">
        <v>320.13</v>
      </c>
      <c r="P120" s="15" t="n">
        <v>320.13</v>
      </c>
      <c r="Q120" s="15" t="n">
        <v>320.13</v>
      </c>
      <c r="R120" s="15" t="n">
        <v>320.13</v>
      </c>
      <c r="S120" s="15" t="n">
        <v>320.13</v>
      </c>
      <c r="T120" s="15" t="n">
        <v>320.13</v>
      </c>
      <c r="U120" s="15" t="n">
        <v>350</v>
      </c>
      <c r="V120" s="15" t="n">
        <v>0</v>
      </c>
      <c r="W120" s="15" t="n">
        <f aca="false">U120+V120</f>
        <v>350</v>
      </c>
    </row>
    <row r="121" customFormat="false" ht="15" hidden="false" customHeight="false" outlineLevel="0" collapsed="false">
      <c r="A121" s="3" t="s">
        <v>3041</v>
      </c>
      <c r="B121" s="3" t="s">
        <v>2908</v>
      </c>
      <c r="C121" s="3" t="s">
        <v>2604</v>
      </c>
      <c r="D121" s="3" t="s">
        <v>115</v>
      </c>
      <c r="E121" s="13" t="n">
        <v>570000</v>
      </c>
      <c r="F121" s="13" t="n">
        <v>7057.23</v>
      </c>
      <c r="G121" s="13" t="n">
        <v>882.15</v>
      </c>
      <c r="H121" s="13" t="n">
        <v>882.15</v>
      </c>
      <c r="I121" s="13" t="n">
        <f aca="false">SUM(K121:T121)</f>
        <v>5292.9</v>
      </c>
      <c r="J121" s="13" t="n">
        <f aca="false">F121-(G121+H121+I121)</f>
        <v>0.0299999999997453</v>
      </c>
      <c r="K121" s="13" t="n">
        <v>529.29</v>
      </c>
      <c r="L121" s="13" t="n">
        <v>529.29</v>
      </c>
      <c r="M121" s="13" t="n">
        <v>529.29</v>
      </c>
      <c r="N121" s="13" t="n">
        <v>529.29</v>
      </c>
      <c r="O121" s="13" t="n">
        <v>529.29</v>
      </c>
      <c r="P121" s="13" t="n">
        <v>529.29</v>
      </c>
      <c r="Q121" s="13" t="n">
        <v>529.29</v>
      </c>
      <c r="R121" s="13" t="n">
        <v>529.29</v>
      </c>
      <c r="S121" s="13" t="n">
        <v>529.29</v>
      </c>
      <c r="T121" s="13" t="n">
        <v>529.29</v>
      </c>
      <c r="U121" s="13" t="n">
        <v>350</v>
      </c>
      <c r="V121" s="13" t="n">
        <v>0</v>
      </c>
      <c r="W121" s="13" t="n">
        <f aca="false">U121+V121</f>
        <v>350</v>
      </c>
    </row>
    <row r="122" customFormat="false" ht="15" hidden="false" customHeight="false" outlineLevel="0" collapsed="false">
      <c r="A122" s="14" t="s">
        <v>3042</v>
      </c>
      <c r="B122" s="14" t="s">
        <v>2962</v>
      </c>
      <c r="C122" s="14" t="s">
        <v>1437</v>
      </c>
      <c r="D122" s="14" t="s">
        <v>208</v>
      </c>
      <c r="E122" s="15" t="n">
        <v>925000</v>
      </c>
      <c r="F122" s="15" t="n">
        <v>7461.49</v>
      </c>
      <c r="G122" s="15" t="n">
        <v>932.69</v>
      </c>
      <c r="H122" s="15" t="n">
        <v>932.69</v>
      </c>
      <c r="I122" s="15" t="n">
        <f aca="false">SUM(K122:T122)</f>
        <v>5596.1</v>
      </c>
      <c r="J122" s="15" t="n">
        <f aca="false">F122-(G122+H122+I122)</f>
        <v>0.0100000000002183</v>
      </c>
      <c r="K122" s="15" t="n">
        <v>559.61</v>
      </c>
      <c r="L122" s="15" t="n">
        <v>559.61</v>
      </c>
      <c r="M122" s="15" t="n">
        <v>559.61</v>
      </c>
      <c r="N122" s="15" t="n">
        <v>559.61</v>
      </c>
      <c r="O122" s="15" t="n">
        <v>559.61</v>
      </c>
      <c r="P122" s="15" t="n">
        <v>559.61</v>
      </c>
      <c r="Q122" s="15" t="n">
        <v>559.61</v>
      </c>
      <c r="R122" s="15" t="n">
        <v>559.61</v>
      </c>
      <c r="S122" s="15" t="n">
        <v>559.61</v>
      </c>
      <c r="T122" s="15" t="n">
        <v>559.61</v>
      </c>
      <c r="U122" s="15" t="n">
        <v>350</v>
      </c>
      <c r="V122" s="15" t="n">
        <v>0</v>
      </c>
      <c r="W122" s="15" t="n">
        <f aca="false">U122+V122</f>
        <v>350</v>
      </c>
    </row>
    <row r="123" customFormat="false" ht="15" hidden="false" customHeight="false" outlineLevel="0" collapsed="false">
      <c r="A123" s="3" t="s">
        <v>3043</v>
      </c>
      <c r="B123" s="3" t="s">
        <v>2918</v>
      </c>
      <c r="C123" s="3" t="s">
        <v>538</v>
      </c>
      <c r="D123" s="3" t="s">
        <v>377</v>
      </c>
      <c r="E123" s="13" t="n">
        <v>165000</v>
      </c>
      <c r="F123" s="13" t="n">
        <v>2935.27</v>
      </c>
      <c r="G123" s="13" t="n">
        <v>366.91</v>
      </c>
      <c r="H123" s="13" t="n">
        <v>366.91</v>
      </c>
      <c r="I123" s="13" t="n">
        <f aca="false">SUM(K123:T123)</f>
        <v>2201.5</v>
      </c>
      <c r="J123" s="13" t="n">
        <f aca="false">F123-(G123+H123+I123)</f>
        <v>-0.0500000000001819</v>
      </c>
      <c r="K123" s="13" t="n">
        <v>220.15</v>
      </c>
      <c r="L123" s="13" t="n">
        <v>220.15</v>
      </c>
      <c r="M123" s="13" t="n">
        <v>220.15</v>
      </c>
      <c r="N123" s="13" t="n">
        <v>220.15</v>
      </c>
      <c r="O123" s="13" t="n">
        <v>220.15</v>
      </c>
      <c r="P123" s="13" t="n">
        <v>220.15</v>
      </c>
      <c r="Q123" s="13" t="n">
        <v>220.15</v>
      </c>
      <c r="R123" s="13" t="n">
        <v>220.15</v>
      </c>
      <c r="S123" s="13" t="n">
        <v>220.15</v>
      </c>
      <c r="T123" s="13" t="n">
        <v>220.15</v>
      </c>
      <c r="U123" s="13" t="n">
        <v>350</v>
      </c>
      <c r="V123" s="13" t="n">
        <v>0</v>
      </c>
      <c r="W123" s="13" t="n">
        <f aca="false">U123+V123</f>
        <v>350</v>
      </c>
    </row>
    <row r="124" customFormat="false" ht="15" hidden="false" customHeight="false" outlineLevel="0" collapsed="false">
      <c r="A124" s="14" t="s">
        <v>3044</v>
      </c>
      <c r="B124" s="14" t="s">
        <v>2893</v>
      </c>
      <c r="C124" s="14" t="s">
        <v>111</v>
      </c>
      <c r="D124" s="14" t="s">
        <v>279</v>
      </c>
      <c r="E124" s="15" t="n">
        <v>1350000</v>
      </c>
      <c r="F124" s="15" t="n">
        <v>9750.11</v>
      </c>
      <c r="G124" s="15" t="n">
        <v>1218.76</v>
      </c>
      <c r="H124" s="15" t="n">
        <v>1218.76</v>
      </c>
      <c r="I124" s="15" t="n">
        <f aca="false">SUM(K124:T124)</f>
        <v>7312.6</v>
      </c>
      <c r="J124" s="15" t="n">
        <f aca="false">F124-(G124+H124+I124)</f>
        <v>-0.0100000000002183</v>
      </c>
      <c r="K124" s="15" t="n">
        <v>731.26</v>
      </c>
      <c r="L124" s="15" t="n">
        <v>731.26</v>
      </c>
      <c r="M124" s="15" t="n">
        <v>731.26</v>
      </c>
      <c r="N124" s="15" t="n">
        <v>731.26</v>
      </c>
      <c r="O124" s="15" t="n">
        <v>731.26</v>
      </c>
      <c r="P124" s="15" t="n">
        <v>731.26</v>
      </c>
      <c r="Q124" s="15" t="n">
        <v>731.26</v>
      </c>
      <c r="R124" s="15" t="n">
        <v>731.26</v>
      </c>
      <c r="S124" s="15" t="n">
        <v>731.26</v>
      </c>
      <c r="T124" s="15" t="n">
        <v>731.26</v>
      </c>
      <c r="U124" s="15" t="n">
        <v>350</v>
      </c>
      <c r="V124" s="15" t="n">
        <v>250</v>
      </c>
      <c r="W124" s="15" t="n">
        <f aca="false">U124+V124</f>
        <v>600</v>
      </c>
    </row>
    <row r="125" customFormat="false" ht="15" hidden="false" customHeight="false" outlineLevel="0" collapsed="false">
      <c r="A125" s="3" t="s">
        <v>3045</v>
      </c>
      <c r="B125" s="3" t="s">
        <v>2908</v>
      </c>
      <c r="C125" s="3" t="s">
        <v>421</v>
      </c>
      <c r="D125" s="3" t="s">
        <v>208</v>
      </c>
      <c r="E125" s="13" t="n">
        <v>565000</v>
      </c>
      <c r="F125" s="13" t="n">
        <v>8267.2</v>
      </c>
      <c r="G125" s="13" t="n">
        <v>1033.4</v>
      </c>
      <c r="H125" s="13" t="n">
        <v>1033.4</v>
      </c>
      <c r="I125" s="13" t="n">
        <f aca="false">SUM(K125:T125)</f>
        <v>6200.4</v>
      </c>
      <c r="J125" s="13" t="n">
        <f aca="false">F125-(G125+H125+I125)</f>
        <v>0</v>
      </c>
      <c r="K125" s="13" t="n">
        <v>620.04</v>
      </c>
      <c r="L125" s="13" t="n">
        <v>620.04</v>
      </c>
      <c r="M125" s="13" t="n">
        <v>620.04</v>
      </c>
      <c r="N125" s="13" t="n">
        <v>620.04</v>
      </c>
      <c r="O125" s="13" t="n">
        <v>620.04</v>
      </c>
      <c r="P125" s="13" t="n">
        <v>620.04</v>
      </c>
      <c r="Q125" s="13" t="n">
        <v>620.04</v>
      </c>
      <c r="R125" s="13" t="n">
        <v>620.04</v>
      </c>
      <c r="S125" s="13" t="n">
        <v>620.04</v>
      </c>
      <c r="T125" s="13" t="n">
        <v>620.04</v>
      </c>
      <c r="U125" s="13" t="n">
        <v>350</v>
      </c>
      <c r="V125" s="13" t="n">
        <v>0</v>
      </c>
      <c r="W125" s="13" t="n">
        <f aca="false">U125+V125</f>
        <v>350</v>
      </c>
    </row>
    <row r="126" customFormat="false" ht="15" hidden="false" customHeight="false" outlineLevel="0" collapsed="false">
      <c r="A126" s="14" t="s">
        <v>3046</v>
      </c>
      <c r="B126" s="14" t="s">
        <v>2966</v>
      </c>
      <c r="C126" s="14" t="s">
        <v>1054</v>
      </c>
      <c r="D126" s="14" t="s">
        <v>157</v>
      </c>
      <c r="E126" s="15" t="n">
        <v>195000</v>
      </c>
      <c r="F126" s="15" t="n">
        <v>3676.06</v>
      </c>
      <c r="G126" s="15" t="n">
        <v>459.51</v>
      </c>
      <c r="H126" s="15" t="n">
        <v>459.51</v>
      </c>
      <c r="I126" s="15" t="n">
        <f aca="false">SUM(K126:T126)</f>
        <v>2757</v>
      </c>
      <c r="J126" s="15" t="n">
        <f aca="false">F126-(G126+H126+I126)</f>
        <v>0.0400000000004184</v>
      </c>
      <c r="K126" s="15" t="n">
        <v>275.7</v>
      </c>
      <c r="L126" s="15" t="n">
        <v>275.7</v>
      </c>
      <c r="M126" s="15" t="n">
        <v>275.7</v>
      </c>
      <c r="N126" s="15" t="n">
        <v>275.7</v>
      </c>
      <c r="O126" s="15" t="n">
        <v>275.7</v>
      </c>
      <c r="P126" s="15" t="n">
        <v>275.7</v>
      </c>
      <c r="Q126" s="15" t="n">
        <v>275.7</v>
      </c>
      <c r="R126" s="15" t="n">
        <v>275.7</v>
      </c>
      <c r="S126" s="15" t="n">
        <v>275.7</v>
      </c>
      <c r="T126" s="15" t="n">
        <v>275.7</v>
      </c>
      <c r="U126" s="15" t="n">
        <v>350</v>
      </c>
      <c r="V126" s="15" t="n">
        <v>0</v>
      </c>
      <c r="W126" s="15" t="n">
        <f aca="false">U126+V126</f>
        <v>350</v>
      </c>
    </row>
    <row r="127" customFormat="false" ht="15" hidden="false" customHeight="false" outlineLevel="0" collapsed="false">
      <c r="A127" s="3" t="s">
        <v>3047</v>
      </c>
      <c r="B127" s="3" t="s">
        <v>2918</v>
      </c>
      <c r="C127" s="3" t="s">
        <v>749</v>
      </c>
      <c r="D127" s="3" t="s">
        <v>208</v>
      </c>
      <c r="E127" s="13" t="n">
        <v>635000</v>
      </c>
      <c r="F127" s="13" t="n">
        <v>5122.21</v>
      </c>
      <c r="G127" s="13" t="n">
        <v>640.28</v>
      </c>
      <c r="H127" s="13" t="n">
        <v>640.28</v>
      </c>
      <c r="I127" s="13" t="n">
        <f aca="false">SUM(K127:T127)</f>
        <v>3841.7</v>
      </c>
      <c r="J127" s="13" t="n">
        <f aca="false">F127-(G127+H127+I127)</f>
        <v>-0.0500000000001819</v>
      </c>
      <c r="K127" s="13" t="n">
        <v>384.17</v>
      </c>
      <c r="L127" s="13" t="n">
        <v>384.17</v>
      </c>
      <c r="M127" s="13" t="n">
        <v>384.17</v>
      </c>
      <c r="N127" s="13" t="n">
        <v>384.17</v>
      </c>
      <c r="O127" s="13" t="n">
        <v>384.17</v>
      </c>
      <c r="P127" s="13" t="n">
        <v>384.17</v>
      </c>
      <c r="Q127" s="13" t="n">
        <v>384.17</v>
      </c>
      <c r="R127" s="13" t="n">
        <v>384.17</v>
      </c>
      <c r="S127" s="13" t="n">
        <v>384.17</v>
      </c>
      <c r="T127" s="13" t="n">
        <v>384.17</v>
      </c>
      <c r="U127" s="13" t="n">
        <v>350</v>
      </c>
      <c r="V127" s="13" t="n">
        <v>0</v>
      </c>
      <c r="W127" s="13" t="n">
        <f aca="false">U127+V127</f>
        <v>350</v>
      </c>
    </row>
    <row r="128" customFormat="false" ht="15" hidden="false" customHeight="false" outlineLevel="0" collapsed="false">
      <c r="A128" s="14" t="s">
        <v>3048</v>
      </c>
      <c r="B128" s="14" t="s">
        <v>2932</v>
      </c>
      <c r="C128" s="14" t="s">
        <v>2947</v>
      </c>
      <c r="D128" s="14" t="s">
        <v>93</v>
      </c>
      <c r="E128" s="15" t="n">
        <v>470000</v>
      </c>
      <c r="F128" s="15" t="n">
        <v>6510.9</v>
      </c>
      <c r="G128" s="15" t="n">
        <v>813.86</v>
      </c>
      <c r="H128" s="15" t="n">
        <v>813.86</v>
      </c>
      <c r="I128" s="15" t="n">
        <f aca="false">SUM(K128:T128)</f>
        <v>4883.2</v>
      </c>
      <c r="J128" s="15" t="n">
        <f aca="false">F128-(G128+H128+I128)</f>
        <v>-0.0200000000004366</v>
      </c>
      <c r="K128" s="15" t="n">
        <v>488.32</v>
      </c>
      <c r="L128" s="15" t="n">
        <v>488.32</v>
      </c>
      <c r="M128" s="15" t="n">
        <v>488.32</v>
      </c>
      <c r="N128" s="15" t="n">
        <v>488.32</v>
      </c>
      <c r="O128" s="15" t="n">
        <v>488.32</v>
      </c>
      <c r="P128" s="15" t="n">
        <v>488.32</v>
      </c>
      <c r="Q128" s="15" t="n">
        <v>488.32</v>
      </c>
      <c r="R128" s="15" t="n">
        <v>488.32</v>
      </c>
      <c r="S128" s="15" t="n">
        <v>488.32</v>
      </c>
      <c r="T128" s="15" t="n">
        <v>488.32</v>
      </c>
      <c r="U128" s="15" t="n">
        <v>350</v>
      </c>
      <c r="V128" s="15" t="n">
        <v>0</v>
      </c>
      <c r="W128" s="15" t="n">
        <f aca="false">U128+V128</f>
        <v>350</v>
      </c>
    </row>
    <row r="129" customFormat="false" ht="15" hidden="false" customHeight="false" outlineLevel="0" collapsed="false">
      <c r="A129" s="3" t="s">
        <v>3049</v>
      </c>
      <c r="B129" s="3" t="s">
        <v>2955</v>
      </c>
      <c r="C129" s="3" t="s">
        <v>2042</v>
      </c>
      <c r="D129" s="3" t="s">
        <v>153</v>
      </c>
      <c r="E129" s="13" t="n">
        <v>320000</v>
      </c>
      <c r="F129" s="13" t="n">
        <v>8230.98</v>
      </c>
      <c r="G129" s="13" t="n">
        <v>1028.87</v>
      </c>
      <c r="H129" s="13" t="n">
        <v>1028.87</v>
      </c>
      <c r="I129" s="13" t="n">
        <f aca="false">SUM(K129:T129)</f>
        <v>6173.2</v>
      </c>
      <c r="J129" s="13" t="n">
        <f aca="false">F129-(G129+H129+I129)</f>
        <v>0.0400000000008731</v>
      </c>
      <c r="K129" s="13" t="n">
        <v>617.32</v>
      </c>
      <c r="L129" s="13" t="n">
        <v>617.32</v>
      </c>
      <c r="M129" s="13" t="n">
        <v>617.32</v>
      </c>
      <c r="N129" s="13" t="n">
        <v>617.32</v>
      </c>
      <c r="O129" s="13" t="n">
        <v>617.32</v>
      </c>
      <c r="P129" s="13" t="n">
        <v>617.32</v>
      </c>
      <c r="Q129" s="13" t="n">
        <v>617.32</v>
      </c>
      <c r="R129" s="13" t="n">
        <v>617.32</v>
      </c>
      <c r="S129" s="13" t="n">
        <v>617.32</v>
      </c>
      <c r="T129" s="13" t="n">
        <v>617.32</v>
      </c>
      <c r="U129" s="13" t="n">
        <v>350</v>
      </c>
      <c r="V129" s="13" t="n">
        <v>0</v>
      </c>
      <c r="W129" s="13" t="n">
        <f aca="false">U129+V129</f>
        <v>350</v>
      </c>
    </row>
    <row r="130" customFormat="false" ht="15" hidden="false" customHeight="false" outlineLevel="0" collapsed="false">
      <c r="A130" s="14" t="s">
        <v>3050</v>
      </c>
      <c r="B130" s="14" t="s">
        <v>2971</v>
      </c>
      <c r="C130" s="14" t="s">
        <v>1313</v>
      </c>
      <c r="D130" s="14" t="s">
        <v>73</v>
      </c>
      <c r="E130" s="15" t="n">
        <v>360000</v>
      </c>
      <c r="F130" s="15" t="n">
        <v>4558.5</v>
      </c>
      <c r="G130" s="15" t="n">
        <v>569.81</v>
      </c>
      <c r="H130" s="15" t="n">
        <v>569.81</v>
      </c>
      <c r="I130" s="15" t="n">
        <f aca="false">SUM(K130:T130)</f>
        <v>3418.9</v>
      </c>
      <c r="J130" s="15" t="n">
        <f aca="false">F130-(G130+H130+I130)</f>
        <v>-0.0199999999995271</v>
      </c>
      <c r="K130" s="15" t="n">
        <v>341.89</v>
      </c>
      <c r="L130" s="15" t="n">
        <v>341.89</v>
      </c>
      <c r="M130" s="15" t="n">
        <v>341.89</v>
      </c>
      <c r="N130" s="15" t="n">
        <v>341.89</v>
      </c>
      <c r="O130" s="15" t="n">
        <v>341.89</v>
      </c>
      <c r="P130" s="15" t="n">
        <v>341.89</v>
      </c>
      <c r="Q130" s="15" t="n">
        <v>341.89</v>
      </c>
      <c r="R130" s="15" t="n">
        <v>341.89</v>
      </c>
      <c r="S130" s="15" t="n">
        <v>341.89</v>
      </c>
      <c r="T130" s="15" t="n">
        <v>341.89</v>
      </c>
      <c r="U130" s="15" t="n">
        <v>350</v>
      </c>
      <c r="V130" s="15" t="n">
        <v>0</v>
      </c>
      <c r="W130" s="15" t="n">
        <f aca="false">U130+V130</f>
        <v>350</v>
      </c>
    </row>
    <row r="131" customFormat="false" ht="15" hidden="false" customHeight="false" outlineLevel="0" collapsed="false">
      <c r="A131" s="3" t="s">
        <v>3051</v>
      </c>
      <c r="B131" s="3" t="s">
        <v>2966</v>
      </c>
      <c r="C131" s="3" t="s">
        <v>267</v>
      </c>
      <c r="D131" s="3" t="s">
        <v>125</v>
      </c>
      <c r="E131" s="13" t="n">
        <v>200000</v>
      </c>
      <c r="F131" s="13" t="n">
        <v>2548.95</v>
      </c>
      <c r="G131" s="13" t="n">
        <v>318.62</v>
      </c>
      <c r="H131" s="13" t="n">
        <v>318.62</v>
      </c>
      <c r="I131" s="13" t="n">
        <f aca="false">SUM(K131:T131)</f>
        <v>1911.7</v>
      </c>
      <c r="J131" s="13" t="n">
        <f aca="false">F131-(G131+H131+I131)</f>
        <v>0.00999999999976353</v>
      </c>
      <c r="K131" s="13" t="n">
        <v>191.17</v>
      </c>
      <c r="L131" s="13" t="n">
        <v>191.17</v>
      </c>
      <c r="M131" s="13" t="n">
        <v>191.17</v>
      </c>
      <c r="N131" s="13" t="n">
        <v>191.17</v>
      </c>
      <c r="O131" s="13" t="n">
        <v>191.17</v>
      </c>
      <c r="P131" s="13" t="n">
        <v>191.17</v>
      </c>
      <c r="Q131" s="13" t="n">
        <v>191.17</v>
      </c>
      <c r="R131" s="13" t="n">
        <v>191.17</v>
      </c>
      <c r="S131" s="13" t="n">
        <v>191.17</v>
      </c>
      <c r="T131" s="13" t="n">
        <v>191.17</v>
      </c>
      <c r="U131" s="13" t="n">
        <v>350</v>
      </c>
      <c r="V131" s="13" t="n">
        <v>0</v>
      </c>
      <c r="W131" s="13" t="n">
        <f aca="false">U131+V131</f>
        <v>350</v>
      </c>
    </row>
    <row r="132" customFormat="false" ht="15" hidden="false" customHeight="false" outlineLevel="0" collapsed="false">
      <c r="A132" s="14" t="s">
        <v>3052</v>
      </c>
      <c r="B132" s="14" t="s">
        <v>2938</v>
      </c>
      <c r="C132" s="14" t="s">
        <v>447</v>
      </c>
      <c r="D132" s="14" t="s">
        <v>911</v>
      </c>
      <c r="E132" s="15" t="n">
        <v>1950000</v>
      </c>
      <c r="F132" s="15" t="n">
        <v>24311.98</v>
      </c>
      <c r="G132" s="15" t="n">
        <v>3039</v>
      </c>
      <c r="H132" s="15" t="n">
        <v>3039</v>
      </c>
      <c r="I132" s="15" t="n">
        <f aca="false">SUM(K132:T132)</f>
        <v>18234</v>
      </c>
      <c r="J132" s="15" t="n">
        <f aca="false">F132-(G132+H132+I132)</f>
        <v>-0.0200000000040745</v>
      </c>
      <c r="K132" s="15" t="n">
        <v>1823.4</v>
      </c>
      <c r="L132" s="15" t="n">
        <v>1823.4</v>
      </c>
      <c r="M132" s="15" t="n">
        <v>1823.4</v>
      </c>
      <c r="N132" s="15" t="n">
        <v>1823.4</v>
      </c>
      <c r="O132" s="15" t="n">
        <v>1823.4</v>
      </c>
      <c r="P132" s="15" t="n">
        <v>1823.4</v>
      </c>
      <c r="Q132" s="15" t="n">
        <v>1823.4</v>
      </c>
      <c r="R132" s="15" t="n">
        <v>1823.4</v>
      </c>
      <c r="S132" s="15" t="n">
        <v>1823.4</v>
      </c>
      <c r="T132" s="15" t="n">
        <v>1823.4</v>
      </c>
      <c r="U132" s="15" t="n">
        <v>350</v>
      </c>
      <c r="V132" s="15" t="n">
        <v>250</v>
      </c>
      <c r="W132" s="15" t="n">
        <f aca="false">U132+V132</f>
        <v>600</v>
      </c>
    </row>
    <row r="133" customFormat="false" ht="15" hidden="false" customHeight="false" outlineLevel="0" collapsed="false">
      <c r="A133" s="3" t="s">
        <v>3053</v>
      </c>
      <c r="B133" s="3" t="s">
        <v>2971</v>
      </c>
      <c r="C133" s="3" t="s">
        <v>1641</v>
      </c>
      <c r="D133" s="3" t="s">
        <v>93</v>
      </c>
      <c r="E133" s="13" t="n">
        <v>530000</v>
      </c>
      <c r="F133" s="13" t="n">
        <v>6363.14</v>
      </c>
      <c r="G133" s="13" t="n">
        <v>795.39</v>
      </c>
      <c r="H133" s="13" t="n">
        <v>795.39</v>
      </c>
      <c r="I133" s="13" t="n">
        <f aca="false">SUM(K133:T133)</f>
        <v>4772.4</v>
      </c>
      <c r="J133" s="13" t="n">
        <f aca="false">F133-(G133+H133+I133)</f>
        <v>-0.0399999999990541</v>
      </c>
      <c r="K133" s="13" t="n">
        <v>477.24</v>
      </c>
      <c r="L133" s="13" t="n">
        <v>477.24</v>
      </c>
      <c r="M133" s="13" t="n">
        <v>477.24</v>
      </c>
      <c r="N133" s="13" t="n">
        <v>477.24</v>
      </c>
      <c r="O133" s="13" t="n">
        <v>477.24</v>
      </c>
      <c r="P133" s="13" t="n">
        <v>477.24</v>
      </c>
      <c r="Q133" s="13" t="n">
        <v>477.24</v>
      </c>
      <c r="R133" s="13" t="n">
        <v>477.24</v>
      </c>
      <c r="S133" s="13" t="n">
        <v>477.24</v>
      </c>
      <c r="T133" s="13" t="n">
        <v>477.24</v>
      </c>
      <c r="U133" s="13" t="n">
        <v>350</v>
      </c>
      <c r="V133" s="13" t="n">
        <v>0</v>
      </c>
      <c r="W133" s="13" t="n">
        <f aca="false">U133+V133</f>
        <v>350</v>
      </c>
    </row>
    <row r="134" customFormat="false" ht="15" hidden="false" customHeight="false" outlineLevel="0" collapsed="false">
      <c r="A134" s="14" t="s">
        <v>3054</v>
      </c>
      <c r="B134" s="14" t="s">
        <v>2971</v>
      </c>
      <c r="C134" s="14" t="s">
        <v>570</v>
      </c>
      <c r="D134" s="14" t="s">
        <v>99</v>
      </c>
      <c r="E134" s="15" t="n">
        <v>1075000</v>
      </c>
      <c r="F134" s="15" t="n">
        <v>11603.32</v>
      </c>
      <c r="G134" s="15" t="n">
        <v>1450.41</v>
      </c>
      <c r="H134" s="15" t="n">
        <v>1450.41</v>
      </c>
      <c r="I134" s="15" t="n">
        <f aca="false">SUM(K134:T134)</f>
        <v>8702.5</v>
      </c>
      <c r="J134" s="15" t="n">
        <f aca="false">F134-(G134+H134+I134)</f>
        <v>0</v>
      </c>
      <c r="K134" s="15" t="n">
        <v>870.25</v>
      </c>
      <c r="L134" s="15" t="n">
        <v>870.25</v>
      </c>
      <c r="M134" s="15" t="n">
        <v>870.25</v>
      </c>
      <c r="N134" s="15" t="n">
        <v>870.25</v>
      </c>
      <c r="O134" s="15" t="n">
        <v>870.25</v>
      </c>
      <c r="P134" s="15" t="n">
        <v>870.25</v>
      </c>
      <c r="Q134" s="15" t="n">
        <v>870.25</v>
      </c>
      <c r="R134" s="15" t="n">
        <v>870.25</v>
      </c>
      <c r="S134" s="15" t="n">
        <v>870.25</v>
      </c>
      <c r="T134" s="15" t="n">
        <v>870.25</v>
      </c>
      <c r="U134" s="15" t="n">
        <v>350</v>
      </c>
      <c r="V134" s="15" t="n">
        <v>250</v>
      </c>
      <c r="W134" s="15" t="n">
        <f aca="false">U134+V134</f>
        <v>600</v>
      </c>
    </row>
    <row r="135" customFormat="false" ht="15" hidden="false" customHeight="false" outlineLevel="0" collapsed="false">
      <c r="A135" s="3" t="s">
        <v>3055</v>
      </c>
      <c r="B135" s="3" t="s">
        <v>2916</v>
      </c>
      <c r="C135" s="3" t="s">
        <v>606</v>
      </c>
      <c r="D135" s="3" t="s">
        <v>81</v>
      </c>
      <c r="E135" s="13" t="n">
        <v>250000</v>
      </c>
      <c r="F135" s="13" t="n">
        <v>4063.54</v>
      </c>
      <c r="G135" s="13" t="n">
        <v>507.94</v>
      </c>
      <c r="H135" s="13" t="n">
        <v>507.94</v>
      </c>
      <c r="I135" s="13" t="n">
        <f aca="false">SUM(K135:T135)</f>
        <v>3047.7</v>
      </c>
      <c r="J135" s="13" t="n">
        <f aca="false">F135-(G135+H135+I135)</f>
        <v>-0.0399999999999636</v>
      </c>
      <c r="K135" s="13" t="n">
        <v>304.77</v>
      </c>
      <c r="L135" s="13" t="n">
        <v>304.77</v>
      </c>
      <c r="M135" s="13" t="n">
        <v>304.77</v>
      </c>
      <c r="N135" s="13" t="n">
        <v>304.77</v>
      </c>
      <c r="O135" s="13" t="n">
        <v>304.77</v>
      </c>
      <c r="P135" s="13" t="n">
        <v>304.77</v>
      </c>
      <c r="Q135" s="13" t="n">
        <v>304.77</v>
      </c>
      <c r="R135" s="13" t="n">
        <v>304.77</v>
      </c>
      <c r="S135" s="13" t="n">
        <v>304.77</v>
      </c>
      <c r="T135" s="13" t="n">
        <v>304.77</v>
      </c>
      <c r="U135" s="13" t="n">
        <v>350</v>
      </c>
      <c r="V135" s="13" t="n">
        <v>0</v>
      </c>
      <c r="W135" s="13" t="n">
        <f aca="false">U135+V135</f>
        <v>350</v>
      </c>
    </row>
    <row r="136" customFormat="false" ht="15" hidden="false" customHeight="false" outlineLevel="0" collapsed="false">
      <c r="A136" s="14" t="s">
        <v>3056</v>
      </c>
      <c r="B136" s="14" t="s">
        <v>2962</v>
      </c>
      <c r="C136" s="14" t="s">
        <v>769</v>
      </c>
      <c r="D136" s="14" t="s">
        <v>125</v>
      </c>
      <c r="E136" s="15" t="n">
        <v>340000</v>
      </c>
      <c r="F136" s="15" t="n">
        <v>3532.51</v>
      </c>
      <c r="G136" s="15" t="n">
        <v>441.56</v>
      </c>
      <c r="H136" s="15" t="n">
        <v>441.56</v>
      </c>
      <c r="I136" s="15" t="n">
        <f aca="false">SUM(K136:T136)</f>
        <v>2649.4</v>
      </c>
      <c r="J136" s="15" t="n">
        <f aca="false">F136-(G136+H136+I136)</f>
        <v>-0.00999999999976353</v>
      </c>
      <c r="K136" s="15" t="n">
        <v>264.94</v>
      </c>
      <c r="L136" s="15" t="n">
        <v>264.94</v>
      </c>
      <c r="M136" s="15" t="n">
        <v>264.94</v>
      </c>
      <c r="N136" s="15" t="n">
        <v>264.94</v>
      </c>
      <c r="O136" s="15" t="n">
        <v>264.94</v>
      </c>
      <c r="P136" s="15" t="n">
        <v>264.94</v>
      </c>
      <c r="Q136" s="15" t="n">
        <v>264.94</v>
      </c>
      <c r="R136" s="15" t="n">
        <v>264.94</v>
      </c>
      <c r="S136" s="15" t="n">
        <v>264.94</v>
      </c>
      <c r="T136" s="15" t="n">
        <v>264.94</v>
      </c>
      <c r="U136" s="15" t="n">
        <v>350</v>
      </c>
      <c r="V136" s="15" t="n">
        <v>0</v>
      </c>
      <c r="W136" s="15" t="n">
        <f aca="false">U136+V136</f>
        <v>350</v>
      </c>
    </row>
    <row r="137" customFormat="false" ht="15" hidden="false" customHeight="false" outlineLevel="0" collapsed="false">
      <c r="A137" s="3" t="s">
        <v>3057</v>
      </c>
      <c r="B137" s="3" t="s">
        <v>2897</v>
      </c>
      <c r="C137" s="3" t="s">
        <v>1156</v>
      </c>
      <c r="D137" s="3" t="s">
        <v>180</v>
      </c>
      <c r="E137" s="13" t="n">
        <v>520000</v>
      </c>
      <c r="F137" s="13" t="n">
        <v>5901.66</v>
      </c>
      <c r="G137" s="13" t="n">
        <v>737.71</v>
      </c>
      <c r="H137" s="13" t="n">
        <v>737.71</v>
      </c>
      <c r="I137" s="13" t="n">
        <f aca="false">SUM(K137:T137)</f>
        <v>4426.2</v>
      </c>
      <c r="J137" s="13" t="n">
        <f aca="false">F137-(G137+H137+I137)</f>
        <v>0.0399999999999636</v>
      </c>
      <c r="K137" s="13" t="n">
        <v>442.62</v>
      </c>
      <c r="L137" s="13" t="n">
        <v>442.62</v>
      </c>
      <c r="M137" s="13" t="n">
        <v>442.62</v>
      </c>
      <c r="N137" s="13" t="n">
        <v>442.62</v>
      </c>
      <c r="O137" s="13" t="n">
        <v>442.62</v>
      </c>
      <c r="P137" s="13" t="n">
        <v>442.62</v>
      </c>
      <c r="Q137" s="13" t="n">
        <v>442.62</v>
      </c>
      <c r="R137" s="13" t="n">
        <v>442.62</v>
      </c>
      <c r="S137" s="13" t="n">
        <v>442.62</v>
      </c>
      <c r="T137" s="13" t="n">
        <v>442.62</v>
      </c>
      <c r="U137" s="13" t="n">
        <v>350</v>
      </c>
      <c r="V137" s="13" t="n">
        <v>0</v>
      </c>
      <c r="W137" s="13" t="n">
        <f aca="false">U137+V137</f>
        <v>350</v>
      </c>
    </row>
    <row r="138" customFormat="false" ht="15" hidden="false" customHeight="false" outlineLevel="0" collapsed="false">
      <c r="A138" s="14" t="s">
        <v>3058</v>
      </c>
      <c r="B138" s="14" t="s">
        <v>2923</v>
      </c>
      <c r="C138" s="14" t="s">
        <v>1303</v>
      </c>
      <c r="D138" s="14" t="s">
        <v>85</v>
      </c>
      <c r="E138" s="15" t="n">
        <v>1950000</v>
      </c>
      <c r="F138" s="15" t="n">
        <v>31290.42</v>
      </c>
      <c r="G138" s="15" t="n">
        <v>3911.3</v>
      </c>
      <c r="H138" s="15" t="n">
        <v>3911.3</v>
      </c>
      <c r="I138" s="15" t="n">
        <f aca="false">SUM(K138:T138)</f>
        <v>23467.8</v>
      </c>
      <c r="J138" s="15" t="n">
        <f aca="false">F138-(G138+H138+I138)</f>
        <v>0.0199999999967986</v>
      </c>
      <c r="K138" s="15" t="n">
        <v>2346.78</v>
      </c>
      <c r="L138" s="15" t="n">
        <v>2346.78</v>
      </c>
      <c r="M138" s="15" t="n">
        <v>2346.78</v>
      </c>
      <c r="N138" s="15" t="n">
        <v>2346.78</v>
      </c>
      <c r="O138" s="15" t="n">
        <v>2346.78</v>
      </c>
      <c r="P138" s="15" t="n">
        <v>2346.78</v>
      </c>
      <c r="Q138" s="15" t="n">
        <v>2346.78</v>
      </c>
      <c r="R138" s="15" t="n">
        <v>2346.78</v>
      </c>
      <c r="S138" s="15" t="n">
        <v>2346.78</v>
      </c>
      <c r="T138" s="15" t="n">
        <v>2346.78</v>
      </c>
      <c r="U138" s="15" t="n">
        <v>350</v>
      </c>
      <c r="V138" s="15" t="n">
        <v>250</v>
      </c>
      <c r="W138" s="15" t="n">
        <f aca="false">U138+V138</f>
        <v>600</v>
      </c>
    </row>
    <row r="139" customFormat="false" ht="15" hidden="false" customHeight="false" outlineLevel="0" collapsed="false">
      <c r="A139" s="3" t="s">
        <v>3059</v>
      </c>
      <c r="B139" s="3" t="s">
        <v>2955</v>
      </c>
      <c r="C139" s="3" t="s">
        <v>2282</v>
      </c>
      <c r="D139" s="3" t="s">
        <v>197</v>
      </c>
      <c r="E139" s="13" t="n">
        <v>1070000</v>
      </c>
      <c r="F139" s="13" t="n">
        <v>9256.46</v>
      </c>
      <c r="G139" s="13" t="n">
        <v>1157.06</v>
      </c>
      <c r="H139" s="13" t="n">
        <v>1157.06</v>
      </c>
      <c r="I139" s="13" t="n">
        <f aca="false">SUM(K139:T139)</f>
        <v>6942.3</v>
      </c>
      <c r="J139" s="13" t="n">
        <f aca="false">F139-(G139+H139+I139)</f>
        <v>0.0400000000008731</v>
      </c>
      <c r="K139" s="13" t="n">
        <v>694.23</v>
      </c>
      <c r="L139" s="13" t="n">
        <v>694.23</v>
      </c>
      <c r="M139" s="13" t="n">
        <v>694.23</v>
      </c>
      <c r="N139" s="13" t="n">
        <v>694.23</v>
      </c>
      <c r="O139" s="13" t="n">
        <v>694.23</v>
      </c>
      <c r="P139" s="13" t="n">
        <v>694.23</v>
      </c>
      <c r="Q139" s="13" t="n">
        <v>694.23</v>
      </c>
      <c r="R139" s="13" t="n">
        <v>694.23</v>
      </c>
      <c r="S139" s="13" t="n">
        <v>694.23</v>
      </c>
      <c r="T139" s="13" t="n">
        <v>694.23</v>
      </c>
      <c r="U139" s="13" t="n">
        <v>350</v>
      </c>
      <c r="V139" s="13" t="n">
        <v>250</v>
      </c>
      <c r="W139" s="13" t="n">
        <f aca="false">U139+V139</f>
        <v>600</v>
      </c>
    </row>
    <row r="140" customFormat="false" ht="15" hidden="false" customHeight="false" outlineLevel="0" collapsed="false">
      <c r="A140" s="14" t="s">
        <v>3060</v>
      </c>
      <c r="B140" s="14" t="s">
        <v>2966</v>
      </c>
      <c r="C140" s="14" t="s">
        <v>1127</v>
      </c>
      <c r="D140" s="14" t="s">
        <v>109</v>
      </c>
      <c r="E140" s="15" t="n">
        <v>870000</v>
      </c>
      <c r="F140" s="15" t="n">
        <v>6747.91</v>
      </c>
      <c r="G140" s="15" t="n">
        <v>843.49</v>
      </c>
      <c r="H140" s="15" t="n">
        <v>843.49</v>
      </c>
      <c r="I140" s="15" t="n">
        <f aca="false">SUM(K140:T140)</f>
        <v>5060.9</v>
      </c>
      <c r="J140" s="15" t="n">
        <f aca="false">F140-(G140+H140+I140)</f>
        <v>0.0300000000006548</v>
      </c>
      <c r="K140" s="15" t="n">
        <v>506.09</v>
      </c>
      <c r="L140" s="15" t="n">
        <v>506.09</v>
      </c>
      <c r="M140" s="15" t="n">
        <v>506.09</v>
      </c>
      <c r="N140" s="15" t="n">
        <v>506.09</v>
      </c>
      <c r="O140" s="15" t="n">
        <v>506.09</v>
      </c>
      <c r="P140" s="15" t="n">
        <v>506.09</v>
      </c>
      <c r="Q140" s="15" t="n">
        <v>506.09</v>
      </c>
      <c r="R140" s="15" t="n">
        <v>506.09</v>
      </c>
      <c r="S140" s="15" t="n">
        <v>506.09</v>
      </c>
      <c r="T140" s="15" t="n">
        <v>506.09</v>
      </c>
      <c r="U140" s="15" t="n">
        <v>350</v>
      </c>
      <c r="V140" s="15" t="n">
        <v>0</v>
      </c>
      <c r="W140" s="15" t="n">
        <f aca="false">U140+V140</f>
        <v>350</v>
      </c>
    </row>
    <row r="141" customFormat="false" ht="15" hidden="false" customHeight="false" outlineLevel="0" collapsed="false">
      <c r="A141" s="3" t="s">
        <v>3061</v>
      </c>
      <c r="B141" s="3" t="s">
        <v>2938</v>
      </c>
      <c r="C141" s="3" t="s">
        <v>372</v>
      </c>
      <c r="D141" s="3" t="s">
        <v>328</v>
      </c>
      <c r="E141" s="13" t="n">
        <v>820000</v>
      </c>
      <c r="F141" s="13" t="n">
        <v>9998.67</v>
      </c>
      <c r="G141" s="13" t="n">
        <v>1249.83</v>
      </c>
      <c r="H141" s="13" t="n">
        <v>1249.83</v>
      </c>
      <c r="I141" s="13" t="n">
        <f aca="false">SUM(K141:T141)</f>
        <v>7499</v>
      </c>
      <c r="J141" s="13" t="n">
        <f aca="false">F141-(G141+H141+I141)</f>
        <v>0.0100000000002183</v>
      </c>
      <c r="K141" s="13" t="n">
        <v>749.9</v>
      </c>
      <c r="L141" s="13" t="n">
        <v>749.9</v>
      </c>
      <c r="M141" s="13" t="n">
        <v>749.9</v>
      </c>
      <c r="N141" s="13" t="n">
        <v>749.9</v>
      </c>
      <c r="O141" s="13" t="n">
        <v>749.9</v>
      </c>
      <c r="P141" s="13" t="n">
        <v>749.9</v>
      </c>
      <c r="Q141" s="13" t="n">
        <v>749.9</v>
      </c>
      <c r="R141" s="13" t="n">
        <v>749.9</v>
      </c>
      <c r="S141" s="13" t="n">
        <v>749.9</v>
      </c>
      <c r="T141" s="13" t="n">
        <v>749.9</v>
      </c>
      <c r="U141" s="13" t="n">
        <v>350</v>
      </c>
      <c r="V141" s="13" t="n">
        <v>0</v>
      </c>
      <c r="W141" s="13" t="n">
        <f aca="false">U141+V141</f>
        <v>350</v>
      </c>
    </row>
    <row r="142" customFormat="false" ht="15" hidden="false" customHeight="false" outlineLevel="0" collapsed="false">
      <c r="A142" s="14" t="s">
        <v>3062</v>
      </c>
      <c r="B142" s="14" t="s">
        <v>2901</v>
      </c>
      <c r="C142" s="14" t="s">
        <v>1189</v>
      </c>
      <c r="D142" s="14" t="s">
        <v>180</v>
      </c>
      <c r="E142" s="15" t="n">
        <v>370000</v>
      </c>
      <c r="F142" s="15" t="n">
        <v>4845.3</v>
      </c>
      <c r="G142" s="15" t="n">
        <v>605.66</v>
      </c>
      <c r="H142" s="15" t="n">
        <v>605.66</v>
      </c>
      <c r="I142" s="15" t="n">
        <f aca="false">SUM(K142:T142)</f>
        <v>3634</v>
      </c>
      <c r="J142" s="15" t="n">
        <f aca="false">F142-(G142+H142+I142)</f>
        <v>-0.0199999999995271</v>
      </c>
      <c r="K142" s="15" t="n">
        <v>363.4</v>
      </c>
      <c r="L142" s="15" t="n">
        <v>363.4</v>
      </c>
      <c r="M142" s="15" t="n">
        <v>363.4</v>
      </c>
      <c r="N142" s="15" t="n">
        <v>363.4</v>
      </c>
      <c r="O142" s="15" t="n">
        <v>363.4</v>
      </c>
      <c r="P142" s="15" t="n">
        <v>363.4</v>
      </c>
      <c r="Q142" s="15" t="n">
        <v>363.4</v>
      </c>
      <c r="R142" s="15" t="n">
        <v>363.4</v>
      </c>
      <c r="S142" s="15" t="n">
        <v>363.4</v>
      </c>
      <c r="T142" s="15" t="n">
        <v>363.4</v>
      </c>
      <c r="U142" s="15" t="n">
        <v>350</v>
      </c>
      <c r="V142" s="15" t="n">
        <v>0</v>
      </c>
      <c r="W142" s="15" t="n">
        <f aca="false">U142+V142</f>
        <v>350</v>
      </c>
    </row>
    <row r="143" customFormat="false" ht="15" hidden="false" customHeight="false" outlineLevel="0" collapsed="false">
      <c r="A143" s="3" t="s">
        <v>3063</v>
      </c>
      <c r="B143" s="3" t="s">
        <v>2904</v>
      </c>
      <c r="C143" s="3" t="s">
        <v>1152</v>
      </c>
      <c r="D143" s="3" t="s">
        <v>93</v>
      </c>
      <c r="E143" s="13" t="n">
        <v>1950000</v>
      </c>
      <c r="F143" s="13" t="n">
        <v>12246.04</v>
      </c>
      <c r="G143" s="13" t="n">
        <v>1530.76</v>
      </c>
      <c r="H143" s="13" t="n">
        <v>1530.76</v>
      </c>
      <c r="I143" s="13" t="n">
        <f aca="false">SUM(K143:T143)</f>
        <v>9184.5</v>
      </c>
      <c r="J143" s="13" t="n">
        <f aca="false">F143-(G143+H143+I143)</f>
        <v>0.0199999999986176</v>
      </c>
      <c r="K143" s="13" t="n">
        <v>918.45</v>
      </c>
      <c r="L143" s="13" t="n">
        <v>918.45</v>
      </c>
      <c r="M143" s="13" t="n">
        <v>918.45</v>
      </c>
      <c r="N143" s="13" t="n">
        <v>918.45</v>
      </c>
      <c r="O143" s="13" t="n">
        <v>918.45</v>
      </c>
      <c r="P143" s="13" t="n">
        <v>918.45</v>
      </c>
      <c r="Q143" s="13" t="n">
        <v>918.45</v>
      </c>
      <c r="R143" s="13" t="n">
        <v>918.45</v>
      </c>
      <c r="S143" s="13" t="n">
        <v>918.45</v>
      </c>
      <c r="T143" s="13" t="n">
        <v>918.45</v>
      </c>
      <c r="U143" s="13" t="n">
        <v>350</v>
      </c>
      <c r="V143" s="13" t="n">
        <v>250</v>
      </c>
      <c r="W143" s="13" t="n">
        <f aca="false">U143+V143</f>
        <v>600</v>
      </c>
    </row>
    <row r="144" customFormat="false" ht="15" hidden="false" customHeight="false" outlineLevel="0" collapsed="false">
      <c r="A144" s="14" t="s">
        <v>3064</v>
      </c>
      <c r="B144" s="14" t="s">
        <v>2932</v>
      </c>
      <c r="C144" s="14" t="s">
        <v>454</v>
      </c>
      <c r="D144" s="14" t="s">
        <v>279</v>
      </c>
      <c r="E144" s="15" t="n">
        <v>225000</v>
      </c>
      <c r="F144" s="15" t="n">
        <v>2718.21</v>
      </c>
      <c r="G144" s="15" t="n">
        <v>339.78</v>
      </c>
      <c r="H144" s="15" t="n">
        <v>339.78</v>
      </c>
      <c r="I144" s="15" t="n">
        <f aca="false">SUM(K144:T144)</f>
        <v>2038.7</v>
      </c>
      <c r="J144" s="15" t="n">
        <f aca="false">F144-(G144+H144+I144)</f>
        <v>-0.0499999999997272</v>
      </c>
      <c r="K144" s="15" t="n">
        <v>203.87</v>
      </c>
      <c r="L144" s="15" t="n">
        <v>203.87</v>
      </c>
      <c r="M144" s="15" t="n">
        <v>203.87</v>
      </c>
      <c r="N144" s="15" t="n">
        <v>203.87</v>
      </c>
      <c r="O144" s="15" t="n">
        <v>203.87</v>
      </c>
      <c r="P144" s="15" t="n">
        <v>203.87</v>
      </c>
      <c r="Q144" s="15" t="n">
        <v>203.87</v>
      </c>
      <c r="R144" s="15" t="n">
        <v>203.87</v>
      </c>
      <c r="S144" s="15" t="n">
        <v>203.87</v>
      </c>
      <c r="T144" s="15" t="n">
        <v>203.87</v>
      </c>
      <c r="U144" s="15" t="n">
        <v>350</v>
      </c>
      <c r="V144" s="15" t="n">
        <v>0</v>
      </c>
      <c r="W144" s="15" t="n">
        <f aca="false">U144+V144</f>
        <v>350</v>
      </c>
    </row>
    <row r="145" customFormat="false" ht="15" hidden="false" customHeight="false" outlineLevel="0" collapsed="false">
      <c r="A145" s="3" t="s">
        <v>3065</v>
      </c>
      <c r="B145" s="3" t="s">
        <v>2968</v>
      </c>
      <c r="C145" s="3" t="s">
        <v>165</v>
      </c>
      <c r="D145" s="3" t="s">
        <v>163</v>
      </c>
      <c r="E145" s="13" t="n">
        <v>290000</v>
      </c>
      <c r="F145" s="13" t="n">
        <v>3201.34</v>
      </c>
      <c r="G145" s="13" t="n">
        <v>400.17</v>
      </c>
      <c r="H145" s="13" t="n">
        <v>400.17</v>
      </c>
      <c r="I145" s="13" t="n">
        <f aca="false">SUM(K145:T145)</f>
        <v>2401</v>
      </c>
      <c r="J145" s="13" t="n">
        <f aca="false">F145-(G145+H145+I145)</f>
        <v>0</v>
      </c>
      <c r="K145" s="13" t="n">
        <v>240.1</v>
      </c>
      <c r="L145" s="13" t="n">
        <v>240.1</v>
      </c>
      <c r="M145" s="13" t="n">
        <v>240.1</v>
      </c>
      <c r="N145" s="13" t="n">
        <v>240.1</v>
      </c>
      <c r="O145" s="13" t="n">
        <v>240.1</v>
      </c>
      <c r="P145" s="13" t="n">
        <v>240.1</v>
      </c>
      <c r="Q145" s="13" t="n">
        <v>240.1</v>
      </c>
      <c r="R145" s="13" t="n">
        <v>240.1</v>
      </c>
      <c r="S145" s="13" t="n">
        <v>240.1</v>
      </c>
      <c r="T145" s="13" t="n">
        <v>240.1</v>
      </c>
      <c r="U145" s="13" t="n">
        <v>350</v>
      </c>
      <c r="V145" s="13" t="n">
        <v>0</v>
      </c>
      <c r="W145" s="13" t="n">
        <f aca="false">U145+V145</f>
        <v>350</v>
      </c>
    </row>
    <row r="146" customFormat="false" ht="15" hidden="false" customHeight="false" outlineLevel="0" collapsed="false">
      <c r="A146" s="14" t="s">
        <v>3066</v>
      </c>
      <c r="B146" s="14" t="s">
        <v>2981</v>
      </c>
      <c r="C146" s="14" t="s">
        <v>1526</v>
      </c>
      <c r="D146" s="14" t="s">
        <v>279</v>
      </c>
      <c r="E146" s="15" t="n">
        <v>280000</v>
      </c>
      <c r="F146" s="15" t="n">
        <v>1764.87</v>
      </c>
      <c r="G146" s="15" t="n">
        <v>220.61</v>
      </c>
      <c r="H146" s="15" t="n">
        <v>220.61</v>
      </c>
      <c r="I146" s="15" t="n">
        <f aca="false">SUM(K146:T146)</f>
        <v>1323.7</v>
      </c>
      <c r="J146" s="15" t="n">
        <f aca="false">F146-(G146+H146+I146)</f>
        <v>-0.0499999999999545</v>
      </c>
      <c r="K146" s="15" t="n">
        <v>132.37</v>
      </c>
      <c r="L146" s="15" t="n">
        <v>132.37</v>
      </c>
      <c r="M146" s="15" t="n">
        <v>132.37</v>
      </c>
      <c r="N146" s="15" t="n">
        <v>132.37</v>
      </c>
      <c r="O146" s="15" t="n">
        <v>132.37</v>
      </c>
      <c r="P146" s="15" t="n">
        <v>132.37</v>
      </c>
      <c r="Q146" s="15" t="n">
        <v>132.37</v>
      </c>
      <c r="R146" s="15" t="n">
        <v>132.37</v>
      </c>
      <c r="S146" s="15" t="n">
        <v>132.37</v>
      </c>
      <c r="T146" s="15" t="n">
        <v>132.37</v>
      </c>
      <c r="U146" s="15" t="n">
        <v>350</v>
      </c>
      <c r="V146" s="15" t="n">
        <v>0</v>
      </c>
      <c r="W146" s="15" t="n">
        <f aca="false">U146+V146</f>
        <v>350</v>
      </c>
    </row>
    <row r="147" customFormat="false" ht="15" hidden="false" customHeight="false" outlineLevel="0" collapsed="false">
      <c r="A147" s="3" t="s">
        <v>3067</v>
      </c>
      <c r="B147" s="3" t="s">
        <v>2925</v>
      </c>
      <c r="C147" s="3" t="s">
        <v>283</v>
      </c>
      <c r="D147" s="3" t="s">
        <v>157</v>
      </c>
      <c r="E147" s="13" t="n">
        <v>800000</v>
      </c>
      <c r="F147" s="13" t="n">
        <v>10655.25</v>
      </c>
      <c r="G147" s="13" t="n">
        <v>1331.91</v>
      </c>
      <c r="H147" s="13" t="n">
        <v>1331.91</v>
      </c>
      <c r="I147" s="13" t="n">
        <f aca="false">SUM(K147:T147)</f>
        <v>7991.4</v>
      </c>
      <c r="J147" s="13" t="n">
        <f aca="false">F147-(G147+H147+I147)</f>
        <v>0.0299999999988358</v>
      </c>
      <c r="K147" s="13" t="n">
        <v>799.14</v>
      </c>
      <c r="L147" s="13" t="n">
        <v>799.14</v>
      </c>
      <c r="M147" s="13" t="n">
        <v>799.14</v>
      </c>
      <c r="N147" s="13" t="n">
        <v>799.14</v>
      </c>
      <c r="O147" s="13" t="n">
        <v>799.14</v>
      </c>
      <c r="P147" s="13" t="n">
        <v>799.14</v>
      </c>
      <c r="Q147" s="13" t="n">
        <v>799.14</v>
      </c>
      <c r="R147" s="13" t="n">
        <v>799.14</v>
      </c>
      <c r="S147" s="13" t="n">
        <v>799.14</v>
      </c>
      <c r="T147" s="13" t="n">
        <v>799.14</v>
      </c>
      <c r="U147" s="13" t="n">
        <v>350</v>
      </c>
      <c r="V147" s="13" t="n">
        <v>0</v>
      </c>
      <c r="W147" s="13" t="n">
        <f aca="false">U147+V147</f>
        <v>350</v>
      </c>
    </row>
    <row r="148" customFormat="false" ht="15" hidden="false" customHeight="false" outlineLevel="0" collapsed="false">
      <c r="A148" s="14" t="s">
        <v>3068</v>
      </c>
      <c r="B148" s="14" t="s">
        <v>2916</v>
      </c>
      <c r="C148" s="14" t="s">
        <v>272</v>
      </c>
      <c r="D148" s="14" t="s">
        <v>138</v>
      </c>
      <c r="E148" s="15" t="n">
        <v>390000</v>
      </c>
      <c r="F148" s="15" t="n">
        <v>4853.96</v>
      </c>
      <c r="G148" s="15" t="n">
        <v>606.75</v>
      </c>
      <c r="H148" s="15" t="n">
        <v>606.75</v>
      </c>
      <c r="I148" s="15" t="n">
        <f aca="false">SUM(K148:T148)</f>
        <v>3640.5</v>
      </c>
      <c r="J148" s="15" t="n">
        <f aca="false">F148-(G148+H148+I148)</f>
        <v>-0.0399999999999636</v>
      </c>
      <c r="K148" s="15" t="n">
        <v>364.05</v>
      </c>
      <c r="L148" s="15" t="n">
        <v>364.05</v>
      </c>
      <c r="M148" s="15" t="n">
        <v>364.05</v>
      </c>
      <c r="N148" s="15" t="n">
        <v>364.05</v>
      </c>
      <c r="O148" s="15" t="n">
        <v>364.05</v>
      </c>
      <c r="P148" s="15" t="n">
        <v>364.05</v>
      </c>
      <c r="Q148" s="15" t="n">
        <v>364.05</v>
      </c>
      <c r="R148" s="15" t="n">
        <v>364.05</v>
      </c>
      <c r="S148" s="15" t="n">
        <v>364.05</v>
      </c>
      <c r="T148" s="15" t="n">
        <v>364.05</v>
      </c>
      <c r="U148" s="15" t="n">
        <v>350</v>
      </c>
      <c r="V148" s="15" t="n">
        <v>0</v>
      </c>
      <c r="W148" s="15" t="n">
        <f aca="false">U148+V148</f>
        <v>350</v>
      </c>
    </row>
    <row r="149" customFormat="false" ht="15" hidden="false" customHeight="false" outlineLevel="0" collapsed="false">
      <c r="A149" s="3" t="s">
        <v>3069</v>
      </c>
      <c r="B149" s="3" t="s">
        <v>2968</v>
      </c>
      <c r="C149" s="3" t="s">
        <v>265</v>
      </c>
      <c r="D149" s="3" t="s">
        <v>377</v>
      </c>
      <c r="E149" s="13" t="n">
        <v>520000</v>
      </c>
      <c r="F149" s="13" t="n">
        <v>6535.72</v>
      </c>
      <c r="G149" s="13" t="n">
        <v>816.97</v>
      </c>
      <c r="H149" s="13" t="n">
        <v>816.97</v>
      </c>
      <c r="I149" s="13" t="n">
        <f aca="false">SUM(K149:T149)</f>
        <v>4901.8</v>
      </c>
      <c r="J149" s="13" t="n">
        <f aca="false">F149-(G149+H149+I149)</f>
        <v>-0.0199999999995271</v>
      </c>
      <c r="K149" s="13" t="n">
        <v>490.18</v>
      </c>
      <c r="L149" s="13" t="n">
        <v>490.18</v>
      </c>
      <c r="M149" s="13" t="n">
        <v>490.18</v>
      </c>
      <c r="N149" s="13" t="n">
        <v>490.18</v>
      </c>
      <c r="O149" s="13" t="n">
        <v>490.18</v>
      </c>
      <c r="P149" s="13" t="n">
        <v>490.18</v>
      </c>
      <c r="Q149" s="13" t="n">
        <v>490.18</v>
      </c>
      <c r="R149" s="13" t="n">
        <v>490.18</v>
      </c>
      <c r="S149" s="13" t="n">
        <v>490.18</v>
      </c>
      <c r="T149" s="13" t="n">
        <v>490.18</v>
      </c>
      <c r="U149" s="13" t="n">
        <v>350</v>
      </c>
      <c r="V149" s="13" t="n">
        <v>0</v>
      </c>
      <c r="W149" s="13" t="n">
        <f aca="false">U149+V149</f>
        <v>350</v>
      </c>
    </row>
    <row r="150" customFormat="false" ht="15" hidden="false" customHeight="false" outlineLevel="0" collapsed="false">
      <c r="A150" s="14" t="s">
        <v>3070</v>
      </c>
      <c r="B150" s="14" t="s">
        <v>2912</v>
      </c>
      <c r="C150" s="14" t="s">
        <v>749</v>
      </c>
      <c r="D150" s="14" t="s">
        <v>138</v>
      </c>
      <c r="E150" s="15" t="n">
        <v>505000</v>
      </c>
      <c r="F150" s="15" t="n">
        <v>5447.22</v>
      </c>
      <c r="G150" s="15" t="n">
        <v>680.9</v>
      </c>
      <c r="H150" s="15" t="n">
        <v>680.9</v>
      </c>
      <c r="I150" s="15" t="n">
        <f aca="false">SUM(K150:T150)</f>
        <v>4085.4</v>
      </c>
      <c r="J150" s="15" t="n">
        <f aca="false">F150-(G150+H150+I150)</f>
        <v>0.0200000000004366</v>
      </c>
      <c r="K150" s="15" t="n">
        <v>408.54</v>
      </c>
      <c r="L150" s="15" t="n">
        <v>408.54</v>
      </c>
      <c r="M150" s="15" t="n">
        <v>408.54</v>
      </c>
      <c r="N150" s="15" t="n">
        <v>408.54</v>
      </c>
      <c r="O150" s="15" t="n">
        <v>408.54</v>
      </c>
      <c r="P150" s="15" t="n">
        <v>408.54</v>
      </c>
      <c r="Q150" s="15" t="n">
        <v>408.54</v>
      </c>
      <c r="R150" s="15" t="n">
        <v>408.54</v>
      </c>
      <c r="S150" s="15" t="n">
        <v>408.54</v>
      </c>
      <c r="T150" s="15" t="n">
        <v>408.54</v>
      </c>
      <c r="U150" s="15" t="n">
        <v>350</v>
      </c>
      <c r="V150" s="15" t="n">
        <v>0</v>
      </c>
      <c r="W150" s="15" t="n">
        <f aca="false">U150+V150</f>
        <v>350</v>
      </c>
    </row>
    <row r="151" customFormat="false" ht="15" hidden="false" customHeight="false" outlineLevel="0" collapsed="false">
      <c r="A151" s="3" t="s">
        <v>3071</v>
      </c>
      <c r="B151" s="3" t="s">
        <v>2908</v>
      </c>
      <c r="C151" s="3" t="s">
        <v>1478</v>
      </c>
      <c r="D151" s="3" t="s">
        <v>99</v>
      </c>
      <c r="E151" s="13" t="n">
        <v>885000</v>
      </c>
      <c r="F151" s="13" t="n">
        <v>16499.76</v>
      </c>
      <c r="G151" s="13" t="n">
        <v>2062.47</v>
      </c>
      <c r="H151" s="13" t="n">
        <v>2062.47</v>
      </c>
      <c r="I151" s="13" t="n">
        <f aca="false">SUM(K151:T151)</f>
        <v>12374.8</v>
      </c>
      <c r="J151" s="13" t="n">
        <f aca="false">F151-(G151+H151+I151)</f>
        <v>0.0200000000004366</v>
      </c>
      <c r="K151" s="13" t="n">
        <v>1237.48</v>
      </c>
      <c r="L151" s="13" t="n">
        <v>1237.48</v>
      </c>
      <c r="M151" s="13" t="n">
        <v>1237.48</v>
      </c>
      <c r="N151" s="13" t="n">
        <v>1237.48</v>
      </c>
      <c r="O151" s="13" t="n">
        <v>1237.48</v>
      </c>
      <c r="P151" s="13" t="n">
        <v>1237.48</v>
      </c>
      <c r="Q151" s="13" t="n">
        <v>1237.48</v>
      </c>
      <c r="R151" s="13" t="n">
        <v>1237.48</v>
      </c>
      <c r="S151" s="13" t="n">
        <v>1237.48</v>
      </c>
      <c r="T151" s="13" t="n">
        <v>1237.48</v>
      </c>
      <c r="U151" s="13" t="n">
        <v>350</v>
      </c>
      <c r="V151" s="13" t="n">
        <v>0</v>
      </c>
      <c r="W151" s="13" t="n">
        <f aca="false">U151+V151</f>
        <v>350</v>
      </c>
    </row>
    <row r="152" customFormat="false" ht="15" hidden="false" customHeight="false" outlineLevel="0" collapsed="false">
      <c r="A152" s="14" t="s">
        <v>3072</v>
      </c>
      <c r="B152" s="14" t="s">
        <v>2925</v>
      </c>
      <c r="C152" s="14" t="s">
        <v>1377</v>
      </c>
      <c r="D152" s="14" t="s">
        <v>157</v>
      </c>
      <c r="E152" s="15" t="n">
        <v>1950000</v>
      </c>
      <c r="F152" s="15" t="n">
        <v>31965.76</v>
      </c>
      <c r="G152" s="15" t="n">
        <v>3995.72</v>
      </c>
      <c r="H152" s="15" t="n">
        <v>3995.72</v>
      </c>
      <c r="I152" s="15" t="n">
        <f aca="false">SUM(K152:T152)</f>
        <v>23974.3</v>
      </c>
      <c r="J152" s="15" t="n">
        <f aca="false">F152-(G152+H152+I152)</f>
        <v>0.0200000000004366</v>
      </c>
      <c r="K152" s="15" t="n">
        <v>2397.43</v>
      </c>
      <c r="L152" s="15" t="n">
        <v>2397.43</v>
      </c>
      <c r="M152" s="15" t="n">
        <v>2397.43</v>
      </c>
      <c r="N152" s="15" t="n">
        <v>2397.43</v>
      </c>
      <c r="O152" s="15" t="n">
        <v>2397.43</v>
      </c>
      <c r="P152" s="15" t="n">
        <v>2397.43</v>
      </c>
      <c r="Q152" s="15" t="n">
        <v>2397.43</v>
      </c>
      <c r="R152" s="15" t="n">
        <v>2397.43</v>
      </c>
      <c r="S152" s="15" t="n">
        <v>2397.43</v>
      </c>
      <c r="T152" s="15" t="n">
        <v>2397.43</v>
      </c>
      <c r="U152" s="15" t="n">
        <v>350</v>
      </c>
      <c r="V152" s="15" t="n">
        <v>250</v>
      </c>
      <c r="W152" s="15" t="n">
        <f aca="false">U152+V152</f>
        <v>600</v>
      </c>
    </row>
    <row r="153" customFormat="false" ht="15" hidden="false" customHeight="false" outlineLevel="0" collapsed="false">
      <c r="A153" s="3" t="s">
        <v>3073</v>
      </c>
      <c r="B153" s="3" t="s">
        <v>2897</v>
      </c>
      <c r="C153" s="3" t="s">
        <v>150</v>
      </c>
      <c r="D153" s="3" t="s">
        <v>377</v>
      </c>
      <c r="E153" s="13" t="n">
        <v>995000</v>
      </c>
      <c r="F153" s="13" t="n">
        <v>7311.11</v>
      </c>
      <c r="G153" s="13" t="n">
        <v>913.89</v>
      </c>
      <c r="H153" s="13" t="n">
        <v>913.89</v>
      </c>
      <c r="I153" s="13" t="n">
        <f aca="false">SUM(K153:T153)</f>
        <v>5483.3</v>
      </c>
      <c r="J153" s="13" t="n">
        <f aca="false">F153-(G153+H153+I153)</f>
        <v>0.0299999999997453</v>
      </c>
      <c r="K153" s="13" t="n">
        <v>548.33</v>
      </c>
      <c r="L153" s="13" t="n">
        <v>548.33</v>
      </c>
      <c r="M153" s="13" t="n">
        <v>548.33</v>
      </c>
      <c r="N153" s="13" t="n">
        <v>548.33</v>
      </c>
      <c r="O153" s="13" t="n">
        <v>548.33</v>
      </c>
      <c r="P153" s="13" t="n">
        <v>548.33</v>
      </c>
      <c r="Q153" s="13" t="n">
        <v>548.33</v>
      </c>
      <c r="R153" s="13" t="n">
        <v>548.33</v>
      </c>
      <c r="S153" s="13" t="n">
        <v>548.33</v>
      </c>
      <c r="T153" s="13" t="n">
        <v>548.33</v>
      </c>
      <c r="U153" s="13" t="n">
        <v>350</v>
      </c>
      <c r="V153" s="13" t="n">
        <v>0</v>
      </c>
      <c r="W153" s="13" t="n">
        <f aca="false">U153+V153</f>
        <v>350</v>
      </c>
    </row>
    <row r="154" customFormat="false" ht="15" hidden="false" customHeight="false" outlineLevel="0" collapsed="false">
      <c r="A154" s="14" t="s">
        <v>3074</v>
      </c>
      <c r="B154" s="14" t="s">
        <v>2928</v>
      </c>
      <c r="C154" s="14" t="s">
        <v>1437</v>
      </c>
      <c r="D154" s="14" t="s">
        <v>93</v>
      </c>
      <c r="E154" s="15" t="n">
        <v>805000</v>
      </c>
      <c r="F154" s="15" t="n">
        <v>9664.76</v>
      </c>
      <c r="G154" s="15" t="n">
        <v>1208.1</v>
      </c>
      <c r="H154" s="15" t="n">
        <v>1208.1</v>
      </c>
      <c r="I154" s="15" t="n">
        <f aca="false">SUM(K154:T154)</f>
        <v>7248.6</v>
      </c>
      <c r="J154" s="15" t="n">
        <f aca="false">F154-(G154+H154+I154)</f>
        <v>-0.0399999999990541</v>
      </c>
      <c r="K154" s="15" t="n">
        <v>724.86</v>
      </c>
      <c r="L154" s="15" t="n">
        <v>724.86</v>
      </c>
      <c r="M154" s="15" t="n">
        <v>724.86</v>
      </c>
      <c r="N154" s="15" t="n">
        <v>724.86</v>
      </c>
      <c r="O154" s="15" t="n">
        <v>724.86</v>
      </c>
      <c r="P154" s="15" t="n">
        <v>724.86</v>
      </c>
      <c r="Q154" s="15" t="n">
        <v>724.86</v>
      </c>
      <c r="R154" s="15" t="n">
        <v>724.86</v>
      </c>
      <c r="S154" s="15" t="n">
        <v>724.86</v>
      </c>
      <c r="T154" s="15" t="n">
        <v>724.86</v>
      </c>
      <c r="U154" s="15" t="n">
        <v>350</v>
      </c>
      <c r="V154" s="15" t="n">
        <v>0</v>
      </c>
      <c r="W154" s="15" t="n">
        <f aca="false">U154+V154</f>
        <v>350</v>
      </c>
    </row>
    <row r="155" customFormat="false" ht="15" hidden="false" customHeight="false" outlineLevel="0" collapsed="false">
      <c r="A155" s="3" t="s">
        <v>3075</v>
      </c>
      <c r="B155" s="3" t="s">
        <v>2899</v>
      </c>
      <c r="C155" s="3" t="s">
        <v>370</v>
      </c>
      <c r="D155" s="3" t="s">
        <v>246</v>
      </c>
      <c r="E155" s="13" t="n">
        <v>650000</v>
      </c>
      <c r="F155" s="13" t="n">
        <v>7316.11</v>
      </c>
      <c r="G155" s="13" t="n">
        <v>914.51</v>
      </c>
      <c r="H155" s="13" t="n">
        <v>914.51</v>
      </c>
      <c r="I155" s="13" t="n">
        <f aca="false">SUM(K155:T155)</f>
        <v>5487.1</v>
      </c>
      <c r="J155" s="13" t="n">
        <f aca="false">F155-(G155+H155+I155)</f>
        <v>-0.0100000000011278</v>
      </c>
      <c r="K155" s="13" t="n">
        <v>548.71</v>
      </c>
      <c r="L155" s="13" t="n">
        <v>548.71</v>
      </c>
      <c r="M155" s="13" t="n">
        <v>548.71</v>
      </c>
      <c r="N155" s="13" t="n">
        <v>548.71</v>
      </c>
      <c r="O155" s="13" t="n">
        <v>548.71</v>
      </c>
      <c r="P155" s="13" t="n">
        <v>548.71</v>
      </c>
      <c r="Q155" s="13" t="n">
        <v>548.71</v>
      </c>
      <c r="R155" s="13" t="n">
        <v>548.71</v>
      </c>
      <c r="S155" s="13" t="n">
        <v>548.71</v>
      </c>
      <c r="T155" s="13" t="n">
        <v>548.71</v>
      </c>
      <c r="U155" s="13" t="n">
        <v>350</v>
      </c>
      <c r="V155" s="13" t="n">
        <v>0</v>
      </c>
      <c r="W155" s="13" t="n">
        <f aca="false">U155+V155</f>
        <v>350</v>
      </c>
    </row>
    <row r="156" customFormat="false" ht="15" hidden="false" customHeight="false" outlineLevel="0" collapsed="false">
      <c r="A156" s="14" t="s">
        <v>3076</v>
      </c>
      <c r="B156" s="14" t="s">
        <v>2934</v>
      </c>
      <c r="C156" s="14" t="s">
        <v>641</v>
      </c>
      <c r="D156" s="14" t="s">
        <v>430</v>
      </c>
      <c r="E156" s="15" t="n">
        <v>1045000</v>
      </c>
      <c r="F156" s="15" t="n">
        <v>8210.82</v>
      </c>
      <c r="G156" s="15" t="n">
        <v>1026.35</v>
      </c>
      <c r="H156" s="15" t="n">
        <v>1026.35</v>
      </c>
      <c r="I156" s="15" t="n">
        <f aca="false">SUM(K156:T156)</f>
        <v>6158.1</v>
      </c>
      <c r="J156" s="15" t="n">
        <f aca="false">F156-(G156+H156+I156)</f>
        <v>0.0200000000004366</v>
      </c>
      <c r="K156" s="15" t="n">
        <v>615.81</v>
      </c>
      <c r="L156" s="15" t="n">
        <v>615.81</v>
      </c>
      <c r="M156" s="15" t="n">
        <v>615.81</v>
      </c>
      <c r="N156" s="15" t="n">
        <v>615.81</v>
      </c>
      <c r="O156" s="15" t="n">
        <v>615.81</v>
      </c>
      <c r="P156" s="15" t="n">
        <v>615.81</v>
      </c>
      <c r="Q156" s="15" t="n">
        <v>615.81</v>
      </c>
      <c r="R156" s="15" t="n">
        <v>615.81</v>
      </c>
      <c r="S156" s="15" t="n">
        <v>615.81</v>
      </c>
      <c r="T156" s="15" t="n">
        <v>615.81</v>
      </c>
      <c r="U156" s="15" t="n">
        <v>350</v>
      </c>
      <c r="V156" s="15" t="n">
        <v>250</v>
      </c>
      <c r="W156" s="15" t="n">
        <f aca="false">U156+V156</f>
        <v>600</v>
      </c>
    </row>
    <row r="157" customFormat="false" ht="15" hidden="false" customHeight="false" outlineLevel="0" collapsed="false">
      <c r="A157" s="3" t="s">
        <v>3077</v>
      </c>
      <c r="B157" s="3" t="s">
        <v>2914</v>
      </c>
      <c r="C157" s="3" t="s">
        <v>559</v>
      </c>
      <c r="D157" s="3" t="s">
        <v>125</v>
      </c>
      <c r="E157" s="13" t="n">
        <v>315000</v>
      </c>
      <c r="F157" s="13" t="n">
        <v>3272.77</v>
      </c>
      <c r="G157" s="13" t="n">
        <v>409.1</v>
      </c>
      <c r="H157" s="13" t="n">
        <v>409.1</v>
      </c>
      <c r="I157" s="13" t="n">
        <f aca="false">SUM(K157:T157)</f>
        <v>2454.6</v>
      </c>
      <c r="J157" s="13" t="n">
        <f aca="false">F157-(G157+H157+I157)</f>
        <v>-0.0300000000002001</v>
      </c>
      <c r="K157" s="13" t="n">
        <v>245.46</v>
      </c>
      <c r="L157" s="13" t="n">
        <v>245.46</v>
      </c>
      <c r="M157" s="13" t="n">
        <v>245.46</v>
      </c>
      <c r="N157" s="13" t="n">
        <v>245.46</v>
      </c>
      <c r="O157" s="13" t="n">
        <v>245.46</v>
      </c>
      <c r="P157" s="13" t="n">
        <v>245.46</v>
      </c>
      <c r="Q157" s="13" t="n">
        <v>245.46</v>
      </c>
      <c r="R157" s="13" t="n">
        <v>245.46</v>
      </c>
      <c r="S157" s="13" t="n">
        <v>245.46</v>
      </c>
      <c r="T157" s="13" t="n">
        <v>245.46</v>
      </c>
      <c r="U157" s="13" t="n">
        <v>350</v>
      </c>
      <c r="V157" s="13" t="n">
        <v>0</v>
      </c>
      <c r="W157" s="13" t="n">
        <f aca="false">U157+V157</f>
        <v>350</v>
      </c>
    </row>
    <row r="158" customFormat="false" ht="15" hidden="false" customHeight="false" outlineLevel="0" collapsed="false">
      <c r="A158" s="14" t="s">
        <v>3078</v>
      </c>
      <c r="B158" s="14" t="s">
        <v>2966</v>
      </c>
      <c r="C158" s="14" t="s">
        <v>749</v>
      </c>
      <c r="D158" s="14" t="s">
        <v>312</v>
      </c>
      <c r="E158" s="15" t="n">
        <v>965000</v>
      </c>
      <c r="F158" s="15" t="n">
        <v>10046.99</v>
      </c>
      <c r="G158" s="15" t="n">
        <v>1255.87</v>
      </c>
      <c r="H158" s="15" t="n">
        <v>1255.87</v>
      </c>
      <c r="I158" s="15" t="n">
        <f aca="false">SUM(K158:T158)</f>
        <v>7535.2</v>
      </c>
      <c r="J158" s="15" t="n">
        <f aca="false">F158-(G158+H158+I158)</f>
        <v>0.0499999999992724</v>
      </c>
      <c r="K158" s="15" t="n">
        <v>753.52</v>
      </c>
      <c r="L158" s="15" t="n">
        <v>753.52</v>
      </c>
      <c r="M158" s="15" t="n">
        <v>753.52</v>
      </c>
      <c r="N158" s="15" t="n">
        <v>753.52</v>
      </c>
      <c r="O158" s="15" t="n">
        <v>753.52</v>
      </c>
      <c r="P158" s="15" t="n">
        <v>753.52</v>
      </c>
      <c r="Q158" s="15" t="n">
        <v>753.52</v>
      </c>
      <c r="R158" s="15" t="n">
        <v>753.52</v>
      </c>
      <c r="S158" s="15" t="n">
        <v>753.52</v>
      </c>
      <c r="T158" s="15" t="n">
        <v>753.52</v>
      </c>
      <c r="U158" s="15" t="n">
        <v>350</v>
      </c>
      <c r="V158" s="15" t="n">
        <v>0</v>
      </c>
      <c r="W158" s="15" t="n">
        <f aca="false">U158+V158</f>
        <v>350</v>
      </c>
    </row>
    <row r="159" customFormat="false" ht="15" hidden="false" customHeight="false" outlineLevel="0" collapsed="false">
      <c r="A159" s="3" t="s">
        <v>3079</v>
      </c>
      <c r="B159" s="3" t="s">
        <v>2945</v>
      </c>
      <c r="C159" s="3" t="s">
        <v>374</v>
      </c>
      <c r="D159" s="3" t="s">
        <v>189</v>
      </c>
      <c r="E159" s="13" t="n">
        <v>605000</v>
      </c>
      <c r="F159" s="13" t="n">
        <v>9123.12</v>
      </c>
      <c r="G159" s="13" t="n">
        <v>1140.39</v>
      </c>
      <c r="H159" s="13" t="n">
        <v>1140.39</v>
      </c>
      <c r="I159" s="13" t="n">
        <f aca="false">SUM(K159:T159)</f>
        <v>6842.3</v>
      </c>
      <c r="J159" s="13" t="n">
        <f aca="false">F159-(G159+H159+I159)</f>
        <v>0.0400000000008731</v>
      </c>
      <c r="K159" s="13" t="n">
        <v>684.23</v>
      </c>
      <c r="L159" s="13" t="n">
        <v>684.23</v>
      </c>
      <c r="M159" s="13" t="n">
        <v>684.23</v>
      </c>
      <c r="N159" s="13" t="n">
        <v>684.23</v>
      </c>
      <c r="O159" s="13" t="n">
        <v>684.23</v>
      </c>
      <c r="P159" s="13" t="n">
        <v>684.23</v>
      </c>
      <c r="Q159" s="13" t="n">
        <v>684.23</v>
      </c>
      <c r="R159" s="13" t="n">
        <v>684.23</v>
      </c>
      <c r="S159" s="13" t="n">
        <v>684.23</v>
      </c>
      <c r="T159" s="13" t="n">
        <v>684.23</v>
      </c>
      <c r="U159" s="13" t="n">
        <v>350</v>
      </c>
      <c r="V159" s="13" t="n">
        <v>0</v>
      </c>
      <c r="W159" s="13" t="n">
        <f aca="false">U159+V159</f>
        <v>350</v>
      </c>
    </row>
    <row r="160" customFormat="false" ht="15" hidden="false" customHeight="false" outlineLevel="0" collapsed="false">
      <c r="A160" s="14" t="s">
        <v>3080</v>
      </c>
      <c r="B160" s="14" t="s">
        <v>2981</v>
      </c>
      <c r="C160" s="14" t="s">
        <v>303</v>
      </c>
      <c r="D160" s="14" t="s">
        <v>93</v>
      </c>
      <c r="E160" s="15" t="n">
        <v>590000</v>
      </c>
      <c r="F160" s="15" t="n">
        <v>7083.49</v>
      </c>
      <c r="G160" s="15" t="n">
        <v>885.44</v>
      </c>
      <c r="H160" s="15" t="n">
        <v>885.44</v>
      </c>
      <c r="I160" s="15" t="n">
        <f aca="false">SUM(K160:T160)</f>
        <v>5312.6</v>
      </c>
      <c r="J160" s="15" t="n">
        <f aca="false">F160-(G160+H160+I160)</f>
        <v>0.00999999999930878</v>
      </c>
      <c r="K160" s="15" t="n">
        <v>531.26</v>
      </c>
      <c r="L160" s="15" t="n">
        <v>531.26</v>
      </c>
      <c r="M160" s="15" t="n">
        <v>531.26</v>
      </c>
      <c r="N160" s="15" t="n">
        <v>531.26</v>
      </c>
      <c r="O160" s="15" t="n">
        <v>531.26</v>
      </c>
      <c r="P160" s="15" t="n">
        <v>531.26</v>
      </c>
      <c r="Q160" s="15" t="n">
        <v>531.26</v>
      </c>
      <c r="R160" s="15" t="n">
        <v>531.26</v>
      </c>
      <c r="S160" s="15" t="n">
        <v>531.26</v>
      </c>
      <c r="T160" s="15" t="n">
        <v>531.26</v>
      </c>
      <c r="U160" s="15" t="n">
        <v>350</v>
      </c>
      <c r="V160" s="15" t="n">
        <v>0</v>
      </c>
      <c r="W160" s="15" t="n">
        <f aca="false">U160+V160</f>
        <v>350</v>
      </c>
    </row>
    <row r="161" customFormat="false" ht="15" hidden="false" customHeight="false" outlineLevel="0" collapsed="false">
      <c r="A161" s="3" t="s">
        <v>3081</v>
      </c>
      <c r="B161" s="3" t="s">
        <v>2895</v>
      </c>
      <c r="C161" s="3" t="s">
        <v>1478</v>
      </c>
      <c r="D161" s="3" t="s">
        <v>93</v>
      </c>
      <c r="E161" s="13" t="n">
        <v>680000</v>
      </c>
      <c r="F161" s="13" t="n">
        <v>8164.03</v>
      </c>
      <c r="G161" s="13" t="n">
        <v>1020.5</v>
      </c>
      <c r="H161" s="13" t="n">
        <v>1020.5</v>
      </c>
      <c r="I161" s="13" t="n">
        <f aca="false">SUM(K161:T161)</f>
        <v>6123</v>
      </c>
      <c r="J161" s="13" t="n">
        <f aca="false">F161-(G161+H161+I161)</f>
        <v>0.0299999999997453</v>
      </c>
      <c r="K161" s="13" t="n">
        <v>612.3</v>
      </c>
      <c r="L161" s="13" t="n">
        <v>612.3</v>
      </c>
      <c r="M161" s="13" t="n">
        <v>612.3</v>
      </c>
      <c r="N161" s="13" t="n">
        <v>612.3</v>
      </c>
      <c r="O161" s="13" t="n">
        <v>612.3</v>
      </c>
      <c r="P161" s="13" t="n">
        <v>612.3</v>
      </c>
      <c r="Q161" s="13" t="n">
        <v>612.3</v>
      </c>
      <c r="R161" s="13" t="n">
        <v>612.3</v>
      </c>
      <c r="S161" s="13" t="n">
        <v>612.3</v>
      </c>
      <c r="T161" s="13" t="n">
        <v>612.3</v>
      </c>
      <c r="U161" s="13" t="n">
        <v>350</v>
      </c>
      <c r="V161" s="13" t="n">
        <v>0</v>
      </c>
      <c r="W161" s="13" t="n">
        <f aca="false">U161+V161</f>
        <v>350</v>
      </c>
    </row>
    <row r="162" customFormat="false" ht="15" hidden="false" customHeight="false" outlineLevel="0" collapsed="false">
      <c r="A162" s="14" t="s">
        <v>3082</v>
      </c>
      <c r="B162" s="14" t="s">
        <v>2955</v>
      </c>
      <c r="C162" s="14" t="s">
        <v>713</v>
      </c>
      <c r="D162" s="14" t="s">
        <v>93</v>
      </c>
      <c r="E162" s="15" t="n">
        <v>335000</v>
      </c>
      <c r="F162" s="15" t="n">
        <v>4640.75</v>
      </c>
      <c r="G162" s="15" t="n">
        <v>580.09</v>
      </c>
      <c r="H162" s="15" t="n">
        <v>580.09</v>
      </c>
      <c r="I162" s="15" t="n">
        <f aca="false">SUM(K162:T162)</f>
        <v>3480.6</v>
      </c>
      <c r="J162" s="15" t="n">
        <f aca="false">F162-(G162+H162+I162)</f>
        <v>-0.0299999999997453</v>
      </c>
      <c r="K162" s="15" t="n">
        <v>348.06</v>
      </c>
      <c r="L162" s="15" t="n">
        <v>348.06</v>
      </c>
      <c r="M162" s="15" t="n">
        <v>348.06</v>
      </c>
      <c r="N162" s="15" t="n">
        <v>348.06</v>
      </c>
      <c r="O162" s="15" t="n">
        <v>348.06</v>
      </c>
      <c r="P162" s="15" t="n">
        <v>348.06</v>
      </c>
      <c r="Q162" s="15" t="n">
        <v>348.06</v>
      </c>
      <c r="R162" s="15" t="n">
        <v>348.06</v>
      </c>
      <c r="S162" s="15" t="n">
        <v>348.06</v>
      </c>
      <c r="T162" s="15" t="n">
        <v>348.06</v>
      </c>
      <c r="U162" s="15" t="n">
        <v>350</v>
      </c>
      <c r="V162" s="15" t="n">
        <v>0</v>
      </c>
      <c r="W162" s="15" t="n">
        <f aca="false">U162+V162</f>
        <v>350</v>
      </c>
    </row>
    <row r="163" customFormat="false" ht="15" hidden="false" customHeight="false" outlineLevel="0" collapsed="false">
      <c r="A163" s="3" t="s">
        <v>3083</v>
      </c>
      <c r="B163" s="3" t="s">
        <v>2899</v>
      </c>
      <c r="C163" s="3" t="s">
        <v>84</v>
      </c>
      <c r="D163" s="3" t="s">
        <v>279</v>
      </c>
      <c r="E163" s="13" t="n">
        <v>340000</v>
      </c>
      <c r="F163" s="13" t="n">
        <v>3348.52</v>
      </c>
      <c r="G163" s="13" t="n">
        <v>418.56</v>
      </c>
      <c r="H163" s="13" t="n">
        <v>418.56</v>
      </c>
      <c r="I163" s="13" t="n">
        <f aca="false">SUM(K163:T163)</f>
        <v>2511.4</v>
      </c>
      <c r="J163" s="13" t="n">
        <f aca="false">F163-(G163+H163+I163)</f>
        <v>0</v>
      </c>
      <c r="K163" s="13" t="n">
        <v>251.14</v>
      </c>
      <c r="L163" s="13" t="n">
        <v>251.14</v>
      </c>
      <c r="M163" s="13" t="n">
        <v>251.14</v>
      </c>
      <c r="N163" s="13" t="n">
        <v>251.14</v>
      </c>
      <c r="O163" s="13" t="n">
        <v>251.14</v>
      </c>
      <c r="P163" s="13" t="n">
        <v>251.14</v>
      </c>
      <c r="Q163" s="13" t="n">
        <v>251.14</v>
      </c>
      <c r="R163" s="13" t="n">
        <v>251.14</v>
      </c>
      <c r="S163" s="13" t="n">
        <v>251.14</v>
      </c>
      <c r="T163" s="13" t="n">
        <v>251.14</v>
      </c>
      <c r="U163" s="13" t="n">
        <v>350</v>
      </c>
      <c r="V163" s="13" t="n">
        <v>0</v>
      </c>
      <c r="W163" s="13" t="n">
        <f aca="false">U163+V163</f>
        <v>350</v>
      </c>
    </row>
    <row r="164" customFormat="false" ht="15" hidden="false" customHeight="false" outlineLevel="0" collapsed="false">
      <c r="A164" s="14" t="s">
        <v>3084</v>
      </c>
      <c r="B164" s="14" t="s">
        <v>2918</v>
      </c>
      <c r="C164" s="14" t="s">
        <v>2114</v>
      </c>
      <c r="D164" s="14" t="s">
        <v>698</v>
      </c>
      <c r="E164" s="15" t="n">
        <v>285000</v>
      </c>
      <c r="F164" s="15" t="n">
        <v>4225.7</v>
      </c>
      <c r="G164" s="15" t="n">
        <v>528.21</v>
      </c>
      <c r="H164" s="15" t="n">
        <v>528.21</v>
      </c>
      <c r="I164" s="15" t="n">
        <f aca="false">SUM(K164:T164)</f>
        <v>3169.3</v>
      </c>
      <c r="J164" s="15" t="n">
        <f aca="false">F164-(G164+H164+I164)</f>
        <v>-0.0199999999995271</v>
      </c>
      <c r="K164" s="15" t="n">
        <v>316.93</v>
      </c>
      <c r="L164" s="15" t="n">
        <v>316.93</v>
      </c>
      <c r="M164" s="15" t="n">
        <v>316.93</v>
      </c>
      <c r="N164" s="15" t="n">
        <v>316.93</v>
      </c>
      <c r="O164" s="15" t="n">
        <v>316.93</v>
      </c>
      <c r="P164" s="15" t="n">
        <v>316.93</v>
      </c>
      <c r="Q164" s="15" t="n">
        <v>316.93</v>
      </c>
      <c r="R164" s="15" t="n">
        <v>316.93</v>
      </c>
      <c r="S164" s="15" t="n">
        <v>316.93</v>
      </c>
      <c r="T164" s="15" t="n">
        <v>316.93</v>
      </c>
      <c r="U164" s="15" t="n">
        <v>350</v>
      </c>
      <c r="V164" s="15" t="n">
        <v>0</v>
      </c>
      <c r="W164" s="15" t="n">
        <f aca="false">U164+V164</f>
        <v>350</v>
      </c>
    </row>
    <row r="165" customFormat="false" ht="15" hidden="false" customHeight="false" outlineLevel="0" collapsed="false">
      <c r="A165" s="3" t="s">
        <v>3085</v>
      </c>
      <c r="B165" s="3" t="s">
        <v>2897</v>
      </c>
      <c r="C165" s="3" t="s">
        <v>1313</v>
      </c>
      <c r="D165" s="3" t="s">
        <v>325</v>
      </c>
      <c r="E165" s="13" t="n">
        <v>615000</v>
      </c>
      <c r="F165" s="13" t="n">
        <v>5266.17</v>
      </c>
      <c r="G165" s="13" t="n">
        <v>658.27</v>
      </c>
      <c r="H165" s="13" t="n">
        <v>658.27</v>
      </c>
      <c r="I165" s="13" t="n">
        <f aca="false">SUM(K165:T165)</f>
        <v>3949.6</v>
      </c>
      <c r="J165" s="13" t="n">
        <f aca="false">F165-(G165+H165+I165)</f>
        <v>0.0300000000006548</v>
      </c>
      <c r="K165" s="13" t="n">
        <v>394.96</v>
      </c>
      <c r="L165" s="13" t="n">
        <v>394.96</v>
      </c>
      <c r="M165" s="13" t="n">
        <v>394.96</v>
      </c>
      <c r="N165" s="13" t="n">
        <v>394.96</v>
      </c>
      <c r="O165" s="13" t="n">
        <v>394.96</v>
      </c>
      <c r="P165" s="13" t="n">
        <v>394.96</v>
      </c>
      <c r="Q165" s="13" t="n">
        <v>394.96</v>
      </c>
      <c r="R165" s="13" t="n">
        <v>394.96</v>
      </c>
      <c r="S165" s="13" t="n">
        <v>394.96</v>
      </c>
      <c r="T165" s="13" t="n">
        <v>394.96</v>
      </c>
      <c r="U165" s="13" t="n">
        <v>350</v>
      </c>
      <c r="V165" s="13" t="n">
        <v>0</v>
      </c>
      <c r="W165" s="13" t="n">
        <f aca="false">U165+V165</f>
        <v>350</v>
      </c>
    </row>
    <row r="166" customFormat="false" ht="15" hidden="false" customHeight="false" outlineLevel="0" collapsed="false">
      <c r="A166" s="14" t="s">
        <v>3086</v>
      </c>
      <c r="B166" s="14" t="s">
        <v>2906</v>
      </c>
      <c r="C166" s="14" t="s">
        <v>1905</v>
      </c>
      <c r="D166" s="14" t="s">
        <v>89</v>
      </c>
      <c r="E166" s="15" t="n">
        <v>615000</v>
      </c>
      <c r="F166" s="15" t="n">
        <v>7787.43</v>
      </c>
      <c r="G166" s="15" t="n">
        <v>973.43</v>
      </c>
      <c r="H166" s="15" t="n">
        <v>973.43</v>
      </c>
      <c r="I166" s="15" t="n">
        <f aca="false">SUM(K166:T166)</f>
        <v>5840.6</v>
      </c>
      <c r="J166" s="15" t="n">
        <f aca="false">F166-(G166+H166+I166)</f>
        <v>-0.0299999999979264</v>
      </c>
      <c r="K166" s="15" t="n">
        <v>584.06</v>
      </c>
      <c r="L166" s="15" t="n">
        <v>584.06</v>
      </c>
      <c r="M166" s="15" t="n">
        <v>584.06</v>
      </c>
      <c r="N166" s="15" t="n">
        <v>584.06</v>
      </c>
      <c r="O166" s="15" t="n">
        <v>584.06</v>
      </c>
      <c r="P166" s="15" t="n">
        <v>584.06</v>
      </c>
      <c r="Q166" s="15" t="n">
        <v>584.06</v>
      </c>
      <c r="R166" s="15" t="n">
        <v>584.06</v>
      </c>
      <c r="S166" s="15" t="n">
        <v>584.06</v>
      </c>
      <c r="T166" s="15" t="n">
        <v>584.06</v>
      </c>
      <c r="U166" s="15" t="n">
        <v>350</v>
      </c>
      <c r="V166" s="15" t="n">
        <v>0</v>
      </c>
      <c r="W166" s="15" t="n">
        <f aca="false">U166+V166</f>
        <v>350</v>
      </c>
    </row>
    <row r="167" customFormat="false" ht="15" hidden="false" customHeight="false" outlineLevel="0" collapsed="false">
      <c r="A167" s="3" t="s">
        <v>3087</v>
      </c>
      <c r="B167" s="3" t="s">
        <v>2904</v>
      </c>
      <c r="C167" s="3" t="s">
        <v>289</v>
      </c>
      <c r="D167" s="3" t="s">
        <v>430</v>
      </c>
      <c r="E167" s="13" t="n">
        <v>765000</v>
      </c>
      <c r="F167" s="13" t="n">
        <v>10382.27</v>
      </c>
      <c r="G167" s="13" t="n">
        <v>1297.78</v>
      </c>
      <c r="H167" s="13" t="n">
        <v>1297.78</v>
      </c>
      <c r="I167" s="13" t="n">
        <f aca="false">SUM(K167:T167)</f>
        <v>7786.7</v>
      </c>
      <c r="J167" s="13" t="n">
        <f aca="false">F167-(G167+H167+I167)</f>
        <v>0.0100000000002183</v>
      </c>
      <c r="K167" s="13" t="n">
        <v>778.67</v>
      </c>
      <c r="L167" s="13" t="n">
        <v>778.67</v>
      </c>
      <c r="M167" s="13" t="n">
        <v>778.67</v>
      </c>
      <c r="N167" s="13" t="n">
        <v>778.67</v>
      </c>
      <c r="O167" s="13" t="n">
        <v>778.67</v>
      </c>
      <c r="P167" s="13" t="n">
        <v>778.67</v>
      </c>
      <c r="Q167" s="13" t="n">
        <v>778.67</v>
      </c>
      <c r="R167" s="13" t="n">
        <v>778.67</v>
      </c>
      <c r="S167" s="13" t="n">
        <v>778.67</v>
      </c>
      <c r="T167" s="13" t="n">
        <v>778.67</v>
      </c>
      <c r="U167" s="13" t="n">
        <v>350</v>
      </c>
      <c r="V167" s="13" t="n">
        <v>0</v>
      </c>
      <c r="W167" s="13" t="n">
        <f aca="false">U167+V167</f>
        <v>350</v>
      </c>
    </row>
    <row r="168" customFormat="false" ht="15" hidden="false" customHeight="false" outlineLevel="0" collapsed="false">
      <c r="A168" s="14" t="s">
        <v>3088</v>
      </c>
      <c r="B168" s="14" t="s">
        <v>2981</v>
      </c>
      <c r="C168" s="14" t="s">
        <v>1625</v>
      </c>
      <c r="D168" s="14" t="s">
        <v>189</v>
      </c>
      <c r="E168" s="15" t="n">
        <v>190000</v>
      </c>
      <c r="F168" s="15" t="n">
        <v>2774.63</v>
      </c>
      <c r="G168" s="15" t="n">
        <v>346.83</v>
      </c>
      <c r="H168" s="15" t="n">
        <v>346.83</v>
      </c>
      <c r="I168" s="15" t="n">
        <f aca="false">SUM(K168:T168)</f>
        <v>2081</v>
      </c>
      <c r="J168" s="15" t="n">
        <f aca="false">F168-(G168+H168+I168)</f>
        <v>-0.0299999999997453</v>
      </c>
      <c r="K168" s="15" t="n">
        <v>208.1</v>
      </c>
      <c r="L168" s="15" t="n">
        <v>208.1</v>
      </c>
      <c r="M168" s="15" t="n">
        <v>208.1</v>
      </c>
      <c r="N168" s="15" t="n">
        <v>208.1</v>
      </c>
      <c r="O168" s="15" t="n">
        <v>208.1</v>
      </c>
      <c r="P168" s="15" t="n">
        <v>208.1</v>
      </c>
      <c r="Q168" s="15" t="n">
        <v>208.1</v>
      </c>
      <c r="R168" s="15" t="n">
        <v>208.1</v>
      </c>
      <c r="S168" s="15" t="n">
        <v>208.1</v>
      </c>
      <c r="T168" s="15" t="n">
        <v>208.1</v>
      </c>
      <c r="U168" s="15" t="n">
        <v>350</v>
      </c>
      <c r="V168" s="15" t="n">
        <v>0</v>
      </c>
      <c r="W168" s="15" t="n">
        <f aca="false">U168+V168</f>
        <v>350</v>
      </c>
    </row>
    <row r="169" customFormat="false" ht="15" hidden="false" customHeight="false" outlineLevel="0" collapsed="false">
      <c r="A169" s="3" t="s">
        <v>3089</v>
      </c>
      <c r="B169" s="3" t="s">
        <v>2928</v>
      </c>
      <c r="C169" s="3" t="s">
        <v>340</v>
      </c>
      <c r="D169" s="3" t="s">
        <v>138</v>
      </c>
      <c r="E169" s="13" t="n">
        <v>1545000</v>
      </c>
      <c r="F169" s="13" t="n">
        <v>20511.07</v>
      </c>
      <c r="G169" s="13" t="n">
        <v>2563.88</v>
      </c>
      <c r="H169" s="13" t="n">
        <v>2563.88</v>
      </c>
      <c r="I169" s="13" t="n">
        <f aca="false">SUM(K169:T169)</f>
        <v>15383.3</v>
      </c>
      <c r="J169" s="13" t="n">
        <f aca="false">F169-(G169+H169+I169)</f>
        <v>0.0100000000020373</v>
      </c>
      <c r="K169" s="13" t="n">
        <v>1538.33</v>
      </c>
      <c r="L169" s="13" t="n">
        <v>1538.33</v>
      </c>
      <c r="M169" s="13" t="n">
        <v>1538.33</v>
      </c>
      <c r="N169" s="13" t="n">
        <v>1538.33</v>
      </c>
      <c r="O169" s="13" t="n">
        <v>1538.33</v>
      </c>
      <c r="P169" s="13" t="n">
        <v>1538.33</v>
      </c>
      <c r="Q169" s="13" t="n">
        <v>1538.33</v>
      </c>
      <c r="R169" s="13" t="n">
        <v>1538.33</v>
      </c>
      <c r="S169" s="13" t="n">
        <v>1538.33</v>
      </c>
      <c r="T169" s="13" t="n">
        <v>1538.33</v>
      </c>
      <c r="U169" s="13" t="n">
        <v>350</v>
      </c>
      <c r="V169" s="13" t="n">
        <v>250</v>
      </c>
      <c r="W169" s="13" t="n">
        <f aca="false">U169+V169</f>
        <v>600</v>
      </c>
    </row>
    <row r="170" customFormat="false" ht="15" hidden="false" customHeight="false" outlineLevel="0" collapsed="false">
      <c r="A170" s="14" t="s">
        <v>3090</v>
      </c>
      <c r="B170" s="14" t="s">
        <v>2945</v>
      </c>
      <c r="C170" s="14" t="s">
        <v>592</v>
      </c>
      <c r="D170" s="14" t="s">
        <v>138</v>
      </c>
      <c r="E170" s="15" t="n">
        <v>1015000</v>
      </c>
      <c r="F170" s="15" t="n">
        <v>13474.91</v>
      </c>
      <c r="G170" s="15" t="n">
        <v>1684.36</v>
      </c>
      <c r="H170" s="15" t="n">
        <v>1684.36</v>
      </c>
      <c r="I170" s="15" t="n">
        <f aca="false">SUM(K170:T170)</f>
        <v>10106.2</v>
      </c>
      <c r="J170" s="15" t="n">
        <f aca="false">F170-(G170+H170+I170)</f>
        <v>-0.0100000000002183</v>
      </c>
      <c r="K170" s="15" t="n">
        <v>1010.62</v>
      </c>
      <c r="L170" s="15" t="n">
        <v>1010.62</v>
      </c>
      <c r="M170" s="15" t="n">
        <v>1010.62</v>
      </c>
      <c r="N170" s="15" t="n">
        <v>1010.62</v>
      </c>
      <c r="O170" s="15" t="n">
        <v>1010.62</v>
      </c>
      <c r="P170" s="15" t="n">
        <v>1010.62</v>
      </c>
      <c r="Q170" s="15" t="n">
        <v>1010.62</v>
      </c>
      <c r="R170" s="15" t="n">
        <v>1010.62</v>
      </c>
      <c r="S170" s="15" t="n">
        <v>1010.62</v>
      </c>
      <c r="T170" s="15" t="n">
        <v>1010.62</v>
      </c>
      <c r="U170" s="15" t="n">
        <v>350</v>
      </c>
      <c r="V170" s="15" t="n">
        <v>250</v>
      </c>
      <c r="W170" s="15" t="n">
        <f aca="false">U170+V170</f>
        <v>600</v>
      </c>
    </row>
    <row r="171" customFormat="false" ht="15" hidden="false" customHeight="false" outlineLevel="0" collapsed="false">
      <c r="A171" s="3" t="s">
        <v>3091</v>
      </c>
      <c r="B171" s="3" t="s">
        <v>2893</v>
      </c>
      <c r="C171" s="3" t="s">
        <v>335</v>
      </c>
      <c r="D171" s="3" t="s">
        <v>189</v>
      </c>
      <c r="E171" s="13" t="n">
        <v>275000</v>
      </c>
      <c r="F171" s="13" t="n">
        <v>3273.85</v>
      </c>
      <c r="G171" s="13" t="n">
        <v>409.23</v>
      </c>
      <c r="H171" s="13" t="n">
        <v>409.23</v>
      </c>
      <c r="I171" s="13" t="n">
        <f aca="false">SUM(K171:T171)</f>
        <v>2455.4</v>
      </c>
      <c r="J171" s="13" t="n">
        <f aca="false">F171-(G171+H171+I171)</f>
        <v>-0.0100000000002183</v>
      </c>
      <c r="K171" s="13" t="n">
        <v>245.54</v>
      </c>
      <c r="L171" s="13" t="n">
        <v>245.54</v>
      </c>
      <c r="M171" s="13" t="n">
        <v>245.54</v>
      </c>
      <c r="N171" s="13" t="n">
        <v>245.54</v>
      </c>
      <c r="O171" s="13" t="n">
        <v>245.54</v>
      </c>
      <c r="P171" s="13" t="n">
        <v>245.54</v>
      </c>
      <c r="Q171" s="13" t="n">
        <v>245.54</v>
      </c>
      <c r="R171" s="13" t="n">
        <v>245.54</v>
      </c>
      <c r="S171" s="13" t="n">
        <v>245.54</v>
      </c>
      <c r="T171" s="13" t="n">
        <v>245.54</v>
      </c>
      <c r="U171" s="13" t="n">
        <v>350</v>
      </c>
      <c r="V171" s="13" t="n">
        <v>0</v>
      </c>
      <c r="W171" s="13" t="n">
        <f aca="false">U171+V171</f>
        <v>350</v>
      </c>
    </row>
    <row r="172" customFormat="false" ht="15" hidden="false" customHeight="false" outlineLevel="0" collapsed="false">
      <c r="A172" s="14" t="s">
        <v>3092</v>
      </c>
      <c r="B172" s="14" t="s">
        <v>2932</v>
      </c>
      <c r="C172" s="14" t="s">
        <v>1239</v>
      </c>
      <c r="D172" s="14" t="s">
        <v>256</v>
      </c>
      <c r="E172" s="15" t="n">
        <v>1015000</v>
      </c>
      <c r="F172" s="15" t="n">
        <v>10714.02</v>
      </c>
      <c r="G172" s="15" t="n">
        <v>1339.25</v>
      </c>
      <c r="H172" s="15" t="n">
        <v>1339.25</v>
      </c>
      <c r="I172" s="15" t="n">
        <f aca="false">SUM(K172:T172)</f>
        <v>8035.5</v>
      </c>
      <c r="J172" s="15" t="n">
        <f aca="false">F172-(G172+H172+I172)</f>
        <v>0.0200000000004366</v>
      </c>
      <c r="K172" s="15" t="n">
        <v>803.55</v>
      </c>
      <c r="L172" s="15" t="n">
        <v>803.55</v>
      </c>
      <c r="M172" s="15" t="n">
        <v>803.55</v>
      </c>
      <c r="N172" s="15" t="n">
        <v>803.55</v>
      </c>
      <c r="O172" s="15" t="n">
        <v>803.55</v>
      </c>
      <c r="P172" s="15" t="n">
        <v>803.55</v>
      </c>
      <c r="Q172" s="15" t="n">
        <v>803.55</v>
      </c>
      <c r="R172" s="15" t="n">
        <v>803.55</v>
      </c>
      <c r="S172" s="15" t="n">
        <v>803.55</v>
      </c>
      <c r="T172" s="15" t="n">
        <v>803.55</v>
      </c>
      <c r="U172" s="15" t="n">
        <v>350</v>
      </c>
      <c r="V172" s="15" t="n">
        <v>250</v>
      </c>
      <c r="W172" s="15" t="n">
        <f aca="false">U172+V172</f>
        <v>600</v>
      </c>
    </row>
    <row r="173" customFormat="false" ht="15" hidden="false" customHeight="false" outlineLevel="0" collapsed="false">
      <c r="A173" s="3" t="s">
        <v>3093</v>
      </c>
      <c r="B173" s="3" t="s">
        <v>2899</v>
      </c>
      <c r="C173" s="3" t="s">
        <v>1985</v>
      </c>
      <c r="D173" s="3" t="s">
        <v>172</v>
      </c>
      <c r="E173" s="13" t="n">
        <v>1625000</v>
      </c>
      <c r="F173" s="13" t="n">
        <v>8291.59</v>
      </c>
      <c r="G173" s="13" t="n">
        <v>1036.45</v>
      </c>
      <c r="H173" s="13" t="n">
        <v>1036.45</v>
      </c>
      <c r="I173" s="13" t="n">
        <f aca="false">SUM(K173:T173)</f>
        <v>6218.7</v>
      </c>
      <c r="J173" s="13" t="n">
        <f aca="false">F173-(G173+H173+I173)</f>
        <v>-0.0100000000002183</v>
      </c>
      <c r="K173" s="13" t="n">
        <v>621.87</v>
      </c>
      <c r="L173" s="13" t="n">
        <v>621.87</v>
      </c>
      <c r="M173" s="13" t="n">
        <v>621.87</v>
      </c>
      <c r="N173" s="13" t="n">
        <v>621.87</v>
      </c>
      <c r="O173" s="13" t="n">
        <v>621.87</v>
      </c>
      <c r="P173" s="13" t="n">
        <v>621.87</v>
      </c>
      <c r="Q173" s="13" t="n">
        <v>621.87</v>
      </c>
      <c r="R173" s="13" t="n">
        <v>621.87</v>
      </c>
      <c r="S173" s="13" t="n">
        <v>621.87</v>
      </c>
      <c r="T173" s="13" t="n">
        <v>621.87</v>
      </c>
      <c r="U173" s="13" t="n">
        <v>350</v>
      </c>
      <c r="V173" s="13" t="n">
        <v>250</v>
      </c>
      <c r="W173" s="13" t="n">
        <f aca="false">U173+V173</f>
        <v>600</v>
      </c>
    </row>
    <row r="174" customFormat="false" ht="15" hidden="false" customHeight="false" outlineLevel="0" collapsed="false">
      <c r="A174" s="14" t="s">
        <v>3094</v>
      </c>
      <c r="B174" s="14" t="s">
        <v>2962</v>
      </c>
      <c r="C174" s="14" t="s">
        <v>281</v>
      </c>
      <c r="D174" s="14" t="s">
        <v>109</v>
      </c>
      <c r="E174" s="15" t="n">
        <v>1465000</v>
      </c>
      <c r="F174" s="15" t="n">
        <v>14533.91</v>
      </c>
      <c r="G174" s="15" t="n">
        <v>1816.74</v>
      </c>
      <c r="H174" s="15" t="n">
        <v>1816.74</v>
      </c>
      <c r="I174" s="15" t="n">
        <f aca="false">SUM(K174:T174)</f>
        <v>10900.4</v>
      </c>
      <c r="J174" s="15" t="n">
        <f aca="false">F174-(G174+H174+I174)</f>
        <v>0.0299999999988358</v>
      </c>
      <c r="K174" s="15" t="n">
        <v>1090.04</v>
      </c>
      <c r="L174" s="15" t="n">
        <v>1090.04</v>
      </c>
      <c r="M174" s="15" t="n">
        <v>1090.04</v>
      </c>
      <c r="N174" s="15" t="n">
        <v>1090.04</v>
      </c>
      <c r="O174" s="15" t="n">
        <v>1090.04</v>
      </c>
      <c r="P174" s="15" t="n">
        <v>1090.04</v>
      </c>
      <c r="Q174" s="15" t="n">
        <v>1090.04</v>
      </c>
      <c r="R174" s="15" t="n">
        <v>1090.04</v>
      </c>
      <c r="S174" s="15" t="n">
        <v>1090.04</v>
      </c>
      <c r="T174" s="15" t="n">
        <v>1090.04</v>
      </c>
      <c r="U174" s="15" t="n">
        <v>350</v>
      </c>
      <c r="V174" s="15" t="n">
        <v>250</v>
      </c>
      <c r="W174" s="15" t="n">
        <f aca="false">U174+V174</f>
        <v>600</v>
      </c>
    </row>
    <row r="175" customFormat="false" ht="15" hidden="false" customHeight="false" outlineLevel="0" collapsed="false">
      <c r="A175" s="3" t="s">
        <v>3095</v>
      </c>
      <c r="B175" s="3" t="s">
        <v>2901</v>
      </c>
      <c r="C175" s="3" t="s">
        <v>2604</v>
      </c>
      <c r="D175" s="3" t="s">
        <v>256</v>
      </c>
      <c r="E175" s="13" t="n">
        <v>800000</v>
      </c>
      <c r="F175" s="13" t="n">
        <v>6602.1</v>
      </c>
      <c r="G175" s="13" t="n">
        <v>825.26</v>
      </c>
      <c r="H175" s="13" t="n">
        <v>825.26</v>
      </c>
      <c r="I175" s="13" t="n">
        <f aca="false">SUM(K175:T175)</f>
        <v>4951.6</v>
      </c>
      <c r="J175" s="13" t="n">
        <f aca="false">F175-(G175+H175+I175)</f>
        <v>-0.0200000000004366</v>
      </c>
      <c r="K175" s="13" t="n">
        <v>495.16</v>
      </c>
      <c r="L175" s="13" t="n">
        <v>495.16</v>
      </c>
      <c r="M175" s="13" t="n">
        <v>495.16</v>
      </c>
      <c r="N175" s="13" t="n">
        <v>495.16</v>
      </c>
      <c r="O175" s="13" t="n">
        <v>495.16</v>
      </c>
      <c r="P175" s="13" t="n">
        <v>495.16</v>
      </c>
      <c r="Q175" s="13" t="n">
        <v>495.16</v>
      </c>
      <c r="R175" s="13" t="n">
        <v>495.16</v>
      </c>
      <c r="S175" s="13" t="n">
        <v>495.16</v>
      </c>
      <c r="T175" s="13" t="n">
        <v>495.16</v>
      </c>
      <c r="U175" s="13" t="n">
        <v>350</v>
      </c>
      <c r="V175" s="13" t="n">
        <v>0</v>
      </c>
      <c r="W175" s="13" t="n">
        <f aca="false">U175+V175</f>
        <v>350</v>
      </c>
    </row>
    <row r="176" customFormat="false" ht="15" hidden="false" customHeight="false" outlineLevel="0" collapsed="false">
      <c r="A176" s="14" t="s">
        <v>3096</v>
      </c>
      <c r="B176" s="14" t="s">
        <v>2949</v>
      </c>
      <c r="C176" s="14" t="s">
        <v>2032</v>
      </c>
      <c r="D176" s="14" t="s">
        <v>233</v>
      </c>
      <c r="E176" s="15" t="n">
        <v>425000</v>
      </c>
      <c r="F176" s="15" t="n">
        <v>5288.95</v>
      </c>
      <c r="G176" s="15" t="n">
        <v>661.12</v>
      </c>
      <c r="H176" s="15" t="n">
        <v>661.12</v>
      </c>
      <c r="I176" s="15" t="n">
        <f aca="false">SUM(K176:T176)</f>
        <v>3966.7</v>
      </c>
      <c r="J176" s="15" t="n">
        <f aca="false">F176-(G176+H176+I176)</f>
        <v>0.00999999999930878</v>
      </c>
      <c r="K176" s="15" t="n">
        <v>396.67</v>
      </c>
      <c r="L176" s="15" t="n">
        <v>396.67</v>
      </c>
      <c r="M176" s="15" t="n">
        <v>396.67</v>
      </c>
      <c r="N176" s="15" t="n">
        <v>396.67</v>
      </c>
      <c r="O176" s="15" t="n">
        <v>396.67</v>
      </c>
      <c r="P176" s="15" t="n">
        <v>396.67</v>
      </c>
      <c r="Q176" s="15" t="n">
        <v>396.67</v>
      </c>
      <c r="R176" s="15" t="n">
        <v>396.67</v>
      </c>
      <c r="S176" s="15" t="n">
        <v>396.67</v>
      </c>
      <c r="T176" s="15" t="n">
        <v>396.67</v>
      </c>
      <c r="U176" s="15" t="n">
        <v>350</v>
      </c>
      <c r="V176" s="15" t="n">
        <v>0</v>
      </c>
      <c r="W176" s="15" t="n">
        <f aca="false">U176+V176</f>
        <v>350</v>
      </c>
    </row>
    <row r="177" customFormat="false" ht="15" hidden="false" customHeight="false" outlineLevel="0" collapsed="false">
      <c r="A177" s="3" t="s">
        <v>3097</v>
      </c>
      <c r="B177" s="3" t="s">
        <v>2918</v>
      </c>
      <c r="C177" s="3" t="s">
        <v>1487</v>
      </c>
      <c r="D177" s="3" t="s">
        <v>203</v>
      </c>
      <c r="E177" s="13" t="n">
        <v>1395000</v>
      </c>
      <c r="F177" s="13" t="n">
        <v>15604.86</v>
      </c>
      <c r="G177" s="13" t="n">
        <v>1950.61</v>
      </c>
      <c r="H177" s="13" t="n">
        <v>1950.61</v>
      </c>
      <c r="I177" s="13" t="n">
        <f aca="false">SUM(K177:T177)</f>
        <v>11703.6</v>
      </c>
      <c r="J177" s="13" t="n">
        <f aca="false">F177-(G177+H177+I177)</f>
        <v>0.0400000000008731</v>
      </c>
      <c r="K177" s="13" t="n">
        <v>1170.36</v>
      </c>
      <c r="L177" s="13" t="n">
        <v>1170.36</v>
      </c>
      <c r="M177" s="13" t="n">
        <v>1170.36</v>
      </c>
      <c r="N177" s="13" t="n">
        <v>1170.36</v>
      </c>
      <c r="O177" s="13" t="n">
        <v>1170.36</v>
      </c>
      <c r="P177" s="13" t="n">
        <v>1170.36</v>
      </c>
      <c r="Q177" s="13" t="n">
        <v>1170.36</v>
      </c>
      <c r="R177" s="13" t="n">
        <v>1170.36</v>
      </c>
      <c r="S177" s="13" t="n">
        <v>1170.36</v>
      </c>
      <c r="T177" s="13" t="n">
        <v>1170.36</v>
      </c>
      <c r="U177" s="13" t="n">
        <v>350</v>
      </c>
      <c r="V177" s="13" t="n">
        <v>250</v>
      </c>
      <c r="W177" s="13" t="n">
        <f aca="false">U177+V177</f>
        <v>600</v>
      </c>
    </row>
    <row r="178" customFormat="false" ht="15" hidden="false" customHeight="false" outlineLevel="0" collapsed="false">
      <c r="A178" s="14" t="s">
        <v>3098</v>
      </c>
      <c r="B178" s="14" t="s">
        <v>2916</v>
      </c>
      <c r="C178" s="14" t="s">
        <v>1232</v>
      </c>
      <c r="D178" s="14" t="s">
        <v>93</v>
      </c>
      <c r="E178" s="15" t="n">
        <v>620000</v>
      </c>
      <c r="F178" s="15" t="n">
        <v>7443.67</v>
      </c>
      <c r="G178" s="15" t="n">
        <v>930.46</v>
      </c>
      <c r="H178" s="15" t="n">
        <v>930.46</v>
      </c>
      <c r="I178" s="15" t="n">
        <f aca="false">SUM(K178:T178)</f>
        <v>5582.8</v>
      </c>
      <c r="J178" s="15" t="n">
        <f aca="false">F178-(G178+H178+I178)</f>
        <v>-0.0499999999992724</v>
      </c>
      <c r="K178" s="15" t="n">
        <v>558.28</v>
      </c>
      <c r="L178" s="15" t="n">
        <v>558.28</v>
      </c>
      <c r="M178" s="15" t="n">
        <v>558.28</v>
      </c>
      <c r="N178" s="15" t="n">
        <v>558.28</v>
      </c>
      <c r="O178" s="15" t="n">
        <v>558.28</v>
      </c>
      <c r="P178" s="15" t="n">
        <v>558.28</v>
      </c>
      <c r="Q178" s="15" t="n">
        <v>558.28</v>
      </c>
      <c r="R178" s="15" t="n">
        <v>558.28</v>
      </c>
      <c r="S178" s="15" t="n">
        <v>558.28</v>
      </c>
      <c r="T178" s="15" t="n">
        <v>558.28</v>
      </c>
      <c r="U178" s="15" t="n">
        <v>350</v>
      </c>
      <c r="V178" s="15" t="n">
        <v>0</v>
      </c>
      <c r="W178" s="15" t="n">
        <f aca="false">U178+V178</f>
        <v>350</v>
      </c>
    </row>
    <row r="179" customFormat="false" ht="15" hidden="false" customHeight="false" outlineLevel="0" collapsed="false">
      <c r="A179" s="3" t="s">
        <v>3099</v>
      </c>
      <c r="B179" s="3" t="s">
        <v>2934</v>
      </c>
      <c r="C179" s="3" t="s">
        <v>1779</v>
      </c>
      <c r="D179" s="3" t="s">
        <v>153</v>
      </c>
      <c r="E179" s="13" t="n">
        <v>1950000</v>
      </c>
      <c r="F179" s="13" t="n">
        <v>34892.2</v>
      </c>
      <c r="G179" s="13" t="n">
        <v>4361.52</v>
      </c>
      <c r="H179" s="13" t="n">
        <v>4361.52</v>
      </c>
      <c r="I179" s="13" t="n">
        <f aca="false">SUM(K179:T179)</f>
        <v>26169.1</v>
      </c>
      <c r="J179" s="13" t="n">
        <f aca="false">F179-(G179+H179+I179)</f>
        <v>0.0599999999976717</v>
      </c>
      <c r="K179" s="13" t="n">
        <v>2616.91</v>
      </c>
      <c r="L179" s="13" t="n">
        <v>2616.91</v>
      </c>
      <c r="M179" s="13" t="n">
        <v>2616.91</v>
      </c>
      <c r="N179" s="13" t="n">
        <v>2616.91</v>
      </c>
      <c r="O179" s="13" t="n">
        <v>2616.91</v>
      </c>
      <c r="P179" s="13" t="n">
        <v>2616.91</v>
      </c>
      <c r="Q179" s="13" t="n">
        <v>2616.91</v>
      </c>
      <c r="R179" s="13" t="n">
        <v>2616.91</v>
      </c>
      <c r="S179" s="13" t="n">
        <v>2616.91</v>
      </c>
      <c r="T179" s="13" t="n">
        <v>2616.91</v>
      </c>
      <c r="U179" s="13" t="n">
        <v>350</v>
      </c>
      <c r="V179" s="13" t="n">
        <v>250</v>
      </c>
      <c r="W179" s="13" t="n">
        <f aca="false">U179+V179</f>
        <v>600</v>
      </c>
    </row>
    <row r="180" customFormat="false" ht="15" hidden="false" customHeight="false" outlineLevel="0" collapsed="false">
      <c r="A180" s="14" t="s">
        <v>3100</v>
      </c>
      <c r="B180" s="14" t="s">
        <v>2893</v>
      </c>
      <c r="C180" s="14" t="s">
        <v>1584</v>
      </c>
      <c r="D180" s="14" t="s">
        <v>99</v>
      </c>
      <c r="E180" s="15" t="n">
        <v>1540000</v>
      </c>
      <c r="F180" s="15" t="n">
        <v>24178.07</v>
      </c>
      <c r="G180" s="15" t="n">
        <v>3022.26</v>
      </c>
      <c r="H180" s="15" t="n">
        <v>3022.26</v>
      </c>
      <c r="I180" s="15" t="n">
        <f aca="false">SUM(K180:T180)</f>
        <v>18133.6</v>
      </c>
      <c r="J180" s="15" t="n">
        <f aca="false">F180-(G180+H180+I180)</f>
        <v>-0.0499999999992724</v>
      </c>
      <c r="K180" s="15" t="n">
        <v>1813.36</v>
      </c>
      <c r="L180" s="15" t="n">
        <v>1813.36</v>
      </c>
      <c r="M180" s="15" t="n">
        <v>1813.36</v>
      </c>
      <c r="N180" s="15" t="n">
        <v>1813.36</v>
      </c>
      <c r="O180" s="15" t="n">
        <v>1813.36</v>
      </c>
      <c r="P180" s="15" t="n">
        <v>1813.36</v>
      </c>
      <c r="Q180" s="15" t="n">
        <v>1813.36</v>
      </c>
      <c r="R180" s="15" t="n">
        <v>1813.36</v>
      </c>
      <c r="S180" s="15" t="n">
        <v>1813.36</v>
      </c>
      <c r="T180" s="15" t="n">
        <v>1813.36</v>
      </c>
      <c r="U180" s="15" t="n">
        <v>350</v>
      </c>
      <c r="V180" s="15" t="n">
        <v>250</v>
      </c>
      <c r="W180" s="15" t="n">
        <f aca="false">U180+V180</f>
        <v>600</v>
      </c>
    </row>
    <row r="181" customFormat="false" ht="15" hidden="false" customHeight="false" outlineLevel="0" collapsed="false">
      <c r="A181" s="3" t="s">
        <v>3101</v>
      </c>
      <c r="B181" s="3" t="s">
        <v>2908</v>
      </c>
      <c r="C181" s="3" t="s">
        <v>1289</v>
      </c>
      <c r="D181" s="3" t="s">
        <v>138</v>
      </c>
      <c r="E181" s="13" t="n">
        <v>1660000</v>
      </c>
      <c r="F181" s="13" t="n">
        <v>15150.98</v>
      </c>
      <c r="G181" s="13" t="n">
        <v>1893.87</v>
      </c>
      <c r="H181" s="13" t="n">
        <v>1893.87</v>
      </c>
      <c r="I181" s="13" t="n">
        <f aca="false">SUM(K181:T181)</f>
        <v>11363.2</v>
      </c>
      <c r="J181" s="13" t="n">
        <f aca="false">F181-(G181+H181+I181)</f>
        <v>0.0400000000008731</v>
      </c>
      <c r="K181" s="13" t="n">
        <v>1136.32</v>
      </c>
      <c r="L181" s="13" t="n">
        <v>1136.32</v>
      </c>
      <c r="M181" s="13" t="n">
        <v>1136.32</v>
      </c>
      <c r="N181" s="13" t="n">
        <v>1136.32</v>
      </c>
      <c r="O181" s="13" t="n">
        <v>1136.32</v>
      </c>
      <c r="P181" s="13" t="n">
        <v>1136.32</v>
      </c>
      <c r="Q181" s="13" t="n">
        <v>1136.32</v>
      </c>
      <c r="R181" s="13" t="n">
        <v>1136.32</v>
      </c>
      <c r="S181" s="13" t="n">
        <v>1136.32</v>
      </c>
      <c r="T181" s="13" t="n">
        <v>1136.32</v>
      </c>
      <c r="U181" s="13" t="n">
        <v>350</v>
      </c>
      <c r="V181" s="13" t="n">
        <v>250</v>
      </c>
      <c r="W181" s="13" t="n">
        <f aca="false">U181+V181</f>
        <v>600</v>
      </c>
    </row>
    <row r="182" customFormat="false" ht="15" hidden="false" customHeight="false" outlineLevel="0" collapsed="false">
      <c r="A182" s="14" t="s">
        <v>3102</v>
      </c>
      <c r="B182" s="14" t="s">
        <v>2955</v>
      </c>
      <c r="C182" s="14" t="s">
        <v>884</v>
      </c>
      <c r="D182" s="14" t="s">
        <v>193</v>
      </c>
      <c r="E182" s="15" t="n">
        <v>1195000</v>
      </c>
      <c r="F182" s="15" t="n">
        <v>11855.3</v>
      </c>
      <c r="G182" s="15" t="n">
        <v>1481.91</v>
      </c>
      <c r="H182" s="15" t="n">
        <v>1481.91</v>
      </c>
      <c r="I182" s="15" t="n">
        <f aca="false">SUM(K182:T182)</f>
        <v>8891.5</v>
      </c>
      <c r="J182" s="15" t="n">
        <f aca="false">F182-(G182+H182+I182)</f>
        <v>-0.0200000000004366</v>
      </c>
      <c r="K182" s="15" t="n">
        <v>889.15</v>
      </c>
      <c r="L182" s="15" t="n">
        <v>889.15</v>
      </c>
      <c r="M182" s="15" t="n">
        <v>889.15</v>
      </c>
      <c r="N182" s="15" t="n">
        <v>889.15</v>
      </c>
      <c r="O182" s="15" t="n">
        <v>889.15</v>
      </c>
      <c r="P182" s="15" t="n">
        <v>889.15</v>
      </c>
      <c r="Q182" s="15" t="n">
        <v>889.15</v>
      </c>
      <c r="R182" s="15" t="n">
        <v>889.15</v>
      </c>
      <c r="S182" s="15" t="n">
        <v>889.15</v>
      </c>
      <c r="T182" s="15" t="n">
        <v>889.15</v>
      </c>
      <c r="U182" s="15" t="n">
        <v>350</v>
      </c>
      <c r="V182" s="15" t="n">
        <v>250</v>
      </c>
      <c r="W182" s="15" t="n">
        <f aca="false">U182+V182</f>
        <v>600</v>
      </c>
    </row>
    <row r="183" customFormat="false" ht="15" hidden="false" customHeight="false" outlineLevel="0" collapsed="false">
      <c r="A183" s="3" t="s">
        <v>3103</v>
      </c>
      <c r="B183" s="3" t="s">
        <v>2899</v>
      </c>
      <c r="C183" s="3" t="s">
        <v>2721</v>
      </c>
      <c r="D183" s="3" t="s">
        <v>112</v>
      </c>
      <c r="E183" s="13" t="n">
        <v>310000</v>
      </c>
      <c r="F183" s="13" t="n">
        <v>3187.27</v>
      </c>
      <c r="G183" s="13" t="n">
        <v>398.41</v>
      </c>
      <c r="H183" s="13" t="n">
        <v>398.41</v>
      </c>
      <c r="I183" s="13" t="n">
        <f aca="false">SUM(K183:T183)</f>
        <v>2390.5</v>
      </c>
      <c r="J183" s="13" t="n">
        <f aca="false">F183-(G183+H183+I183)</f>
        <v>-0.0500000000006366</v>
      </c>
      <c r="K183" s="13" t="n">
        <v>239.05</v>
      </c>
      <c r="L183" s="13" t="n">
        <v>239.05</v>
      </c>
      <c r="M183" s="13" t="n">
        <v>239.05</v>
      </c>
      <c r="N183" s="13" t="n">
        <v>239.05</v>
      </c>
      <c r="O183" s="13" t="n">
        <v>239.05</v>
      </c>
      <c r="P183" s="13" t="n">
        <v>239.05</v>
      </c>
      <c r="Q183" s="13" t="n">
        <v>239.05</v>
      </c>
      <c r="R183" s="13" t="n">
        <v>239.05</v>
      </c>
      <c r="S183" s="13" t="n">
        <v>239.05</v>
      </c>
      <c r="T183" s="13" t="n">
        <v>239.05</v>
      </c>
      <c r="U183" s="13" t="n">
        <v>350</v>
      </c>
      <c r="V183" s="13" t="n">
        <v>0</v>
      </c>
      <c r="W183" s="13" t="n">
        <f aca="false">U183+V183</f>
        <v>350</v>
      </c>
    </row>
    <row r="184" customFormat="false" ht="15" hidden="false" customHeight="false" outlineLevel="0" collapsed="false">
      <c r="A184" s="14" t="s">
        <v>3104</v>
      </c>
      <c r="B184" s="14" t="s">
        <v>2899</v>
      </c>
      <c r="C184" s="14" t="s">
        <v>2338</v>
      </c>
      <c r="D184" s="14" t="s">
        <v>193</v>
      </c>
      <c r="E184" s="15" t="n">
        <v>335000</v>
      </c>
      <c r="F184" s="15" t="n">
        <v>4531.98</v>
      </c>
      <c r="G184" s="15" t="n">
        <v>566.5</v>
      </c>
      <c r="H184" s="15" t="n">
        <v>566.5</v>
      </c>
      <c r="I184" s="15" t="n">
        <f aca="false">SUM(K184:T184)</f>
        <v>3399</v>
      </c>
      <c r="J184" s="15" t="n">
        <f aca="false">F184-(G184+H184+I184)</f>
        <v>-0.0200000000004366</v>
      </c>
      <c r="K184" s="15" t="n">
        <v>339.9</v>
      </c>
      <c r="L184" s="15" t="n">
        <v>339.9</v>
      </c>
      <c r="M184" s="15" t="n">
        <v>339.9</v>
      </c>
      <c r="N184" s="15" t="n">
        <v>339.9</v>
      </c>
      <c r="O184" s="15" t="n">
        <v>339.9</v>
      </c>
      <c r="P184" s="15" t="n">
        <v>339.9</v>
      </c>
      <c r="Q184" s="15" t="n">
        <v>339.9</v>
      </c>
      <c r="R184" s="15" t="n">
        <v>339.9</v>
      </c>
      <c r="S184" s="15" t="n">
        <v>339.9</v>
      </c>
      <c r="T184" s="15" t="n">
        <v>339.9</v>
      </c>
      <c r="U184" s="15" t="n">
        <v>350</v>
      </c>
      <c r="V184" s="15" t="n">
        <v>0</v>
      </c>
      <c r="W184" s="15" t="n">
        <f aca="false">U184+V184</f>
        <v>350</v>
      </c>
    </row>
    <row r="185" customFormat="false" ht="15" hidden="false" customHeight="false" outlineLevel="0" collapsed="false">
      <c r="A185" s="3" t="s">
        <v>3105</v>
      </c>
      <c r="B185" s="3" t="s">
        <v>2938</v>
      </c>
      <c r="C185" s="3" t="s">
        <v>2376</v>
      </c>
      <c r="D185" s="3" t="s">
        <v>118</v>
      </c>
      <c r="E185" s="13" t="n">
        <v>360000</v>
      </c>
      <c r="F185" s="13" t="n">
        <v>4792.27</v>
      </c>
      <c r="G185" s="13" t="n">
        <v>599.03</v>
      </c>
      <c r="H185" s="13" t="n">
        <v>599.03</v>
      </c>
      <c r="I185" s="13" t="n">
        <f aca="false">SUM(K185:T185)</f>
        <v>3594.2</v>
      </c>
      <c r="J185" s="13" t="n">
        <f aca="false">F185-(G185+H185+I185)</f>
        <v>0.0100000000002183</v>
      </c>
      <c r="K185" s="13" t="n">
        <v>359.42</v>
      </c>
      <c r="L185" s="13" t="n">
        <v>359.42</v>
      </c>
      <c r="M185" s="13" t="n">
        <v>359.42</v>
      </c>
      <c r="N185" s="13" t="n">
        <v>359.42</v>
      </c>
      <c r="O185" s="13" t="n">
        <v>359.42</v>
      </c>
      <c r="P185" s="13" t="n">
        <v>359.42</v>
      </c>
      <c r="Q185" s="13" t="n">
        <v>359.42</v>
      </c>
      <c r="R185" s="13" t="n">
        <v>359.42</v>
      </c>
      <c r="S185" s="13" t="n">
        <v>359.42</v>
      </c>
      <c r="T185" s="13" t="n">
        <v>359.42</v>
      </c>
      <c r="U185" s="13" t="n">
        <v>350</v>
      </c>
      <c r="V185" s="13" t="n">
        <v>0</v>
      </c>
      <c r="W185" s="13" t="n">
        <f aca="false">U185+V185</f>
        <v>350</v>
      </c>
    </row>
    <row r="186" customFormat="false" ht="15" hidden="false" customHeight="false" outlineLevel="0" collapsed="false">
      <c r="A186" s="14" t="s">
        <v>3106</v>
      </c>
      <c r="B186" s="14" t="s">
        <v>2893</v>
      </c>
      <c r="C186" s="14" t="s">
        <v>1485</v>
      </c>
      <c r="D186" s="14" t="s">
        <v>180</v>
      </c>
      <c r="E186" s="15" t="n">
        <v>1055000</v>
      </c>
      <c r="F186" s="15" t="n">
        <v>12526.19</v>
      </c>
      <c r="G186" s="15" t="n">
        <v>1565.77</v>
      </c>
      <c r="H186" s="15" t="n">
        <v>1565.77</v>
      </c>
      <c r="I186" s="15" t="n">
        <f aca="false">SUM(K186:T186)</f>
        <v>9394.6</v>
      </c>
      <c r="J186" s="15" t="n">
        <f aca="false">F186-(G186+H186+I186)</f>
        <v>0.0500000000010914</v>
      </c>
      <c r="K186" s="15" t="n">
        <v>939.46</v>
      </c>
      <c r="L186" s="15" t="n">
        <v>939.46</v>
      </c>
      <c r="M186" s="15" t="n">
        <v>939.46</v>
      </c>
      <c r="N186" s="15" t="n">
        <v>939.46</v>
      </c>
      <c r="O186" s="15" t="n">
        <v>939.46</v>
      </c>
      <c r="P186" s="15" t="n">
        <v>939.46</v>
      </c>
      <c r="Q186" s="15" t="n">
        <v>939.46</v>
      </c>
      <c r="R186" s="15" t="n">
        <v>939.46</v>
      </c>
      <c r="S186" s="15" t="n">
        <v>939.46</v>
      </c>
      <c r="T186" s="15" t="n">
        <v>939.46</v>
      </c>
      <c r="U186" s="15" t="n">
        <v>350</v>
      </c>
      <c r="V186" s="15" t="n">
        <v>250</v>
      </c>
      <c r="W186" s="15" t="n">
        <f aca="false">U186+V186</f>
        <v>600</v>
      </c>
    </row>
    <row r="187" customFormat="false" ht="15" hidden="false" customHeight="false" outlineLevel="0" collapsed="false">
      <c r="A187" s="3" t="s">
        <v>3107</v>
      </c>
      <c r="B187" s="3" t="s">
        <v>2923</v>
      </c>
      <c r="C187" s="3" t="s">
        <v>1497</v>
      </c>
      <c r="D187" s="3" t="s">
        <v>157</v>
      </c>
      <c r="E187" s="13" t="n">
        <v>565000</v>
      </c>
      <c r="F187" s="13" t="n">
        <v>7525.27</v>
      </c>
      <c r="G187" s="13" t="n">
        <v>940.66</v>
      </c>
      <c r="H187" s="13" t="n">
        <v>940.66</v>
      </c>
      <c r="I187" s="13" t="n">
        <f aca="false">SUM(K187:T187)</f>
        <v>5644</v>
      </c>
      <c r="J187" s="13" t="n">
        <f aca="false">F187-(G187+H187+I187)</f>
        <v>-0.0499999999983629</v>
      </c>
      <c r="K187" s="13" t="n">
        <v>564.4</v>
      </c>
      <c r="L187" s="13" t="n">
        <v>564.4</v>
      </c>
      <c r="M187" s="13" t="n">
        <v>564.4</v>
      </c>
      <c r="N187" s="13" t="n">
        <v>564.4</v>
      </c>
      <c r="O187" s="13" t="n">
        <v>564.4</v>
      </c>
      <c r="P187" s="13" t="n">
        <v>564.4</v>
      </c>
      <c r="Q187" s="13" t="n">
        <v>564.4</v>
      </c>
      <c r="R187" s="13" t="n">
        <v>564.4</v>
      </c>
      <c r="S187" s="13" t="n">
        <v>564.4</v>
      </c>
      <c r="T187" s="13" t="n">
        <v>564.4</v>
      </c>
      <c r="U187" s="13" t="n">
        <v>350</v>
      </c>
      <c r="V187" s="13" t="n">
        <v>0</v>
      </c>
      <c r="W187" s="13" t="n">
        <f aca="false">U187+V187</f>
        <v>350</v>
      </c>
    </row>
    <row r="188" customFormat="false" ht="15" hidden="false" customHeight="false" outlineLevel="0" collapsed="false">
      <c r="A188" s="14" t="s">
        <v>3108</v>
      </c>
      <c r="B188" s="14" t="s">
        <v>2928</v>
      </c>
      <c r="C188" s="14" t="s">
        <v>1470</v>
      </c>
      <c r="D188" s="14" t="s">
        <v>138</v>
      </c>
      <c r="E188" s="15" t="n">
        <v>645000</v>
      </c>
      <c r="F188" s="15" t="n">
        <v>6957.33</v>
      </c>
      <c r="G188" s="15" t="n">
        <v>869.67</v>
      </c>
      <c r="H188" s="15" t="n">
        <v>869.67</v>
      </c>
      <c r="I188" s="15" t="n">
        <f aca="false">SUM(K188:T188)</f>
        <v>5218</v>
      </c>
      <c r="J188" s="15" t="n">
        <f aca="false">F188-(G188+H188+I188)</f>
        <v>-0.0100000000002183</v>
      </c>
      <c r="K188" s="15" t="n">
        <v>521.8</v>
      </c>
      <c r="L188" s="15" t="n">
        <v>521.8</v>
      </c>
      <c r="M188" s="15" t="n">
        <v>521.8</v>
      </c>
      <c r="N188" s="15" t="n">
        <v>521.8</v>
      </c>
      <c r="O188" s="15" t="n">
        <v>521.8</v>
      </c>
      <c r="P188" s="15" t="n">
        <v>521.8</v>
      </c>
      <c r="Q188" s="15" t="n">
        <v>521.8</v>
      </c>
      <c r="R188" s="15" t="n">
        <v>521.8</v>
      </c>
      <c r="S188" s="15" t="n">
        <v>521.8</v>
      </c>
      <c r="T188" s="15" t="n">
        <v>521.8</v>
      </c>
      <c r="U188" s="15" t="n">
        <v>350</v>
      </c>
      <c r="V188" s="15" t="n">
        <v>0</v>
      </c>
      <c r="W188" s="15" t="n">
        <f aca="false">U188+V188</f>
        <v>350</v>
      </c>
    </row>
    <row r="189" customFormat="false" ht="15" hidden="false" customHeight="false" outlineLevel="0" collapsed="false">
      <c r="A189" s="3" t="s">
        <v>3109</v>
      </c>
      <c r="B189" s="3" t="s">
        <v>2971</v>
      </c>
      <c r="C189" s="3" t="s">
        <v>1279</v>
      </c>
      <c r="D189" s="3" t="s">
        <v>138</v>
      </c>
      <c r="E189" s="13" t="n">
        <v>235000</v>
      </c>
      <c r="F189" s="13" t="n">
        <v>3587.78</v>
      </c>
      <c r="G189" s="13" t="n">
        <v>448.47</v>
      </c>
      <c r="H189" s="13" t="n">
        <v>448.47</v>
      </c>
      <c r="I189" s="13" t="n">
        <f aca="false">SUM(K189:T189)</f>
        <v>2690.8</v>
      </c>
      <c r="J189" s="13" t="n">
        <f aca="false">F189-(G189+H189+I189)</f>
        <v>0.0400000000004184</v>
      </c>
      <c r="K189" s="13" t="n">
        <v>269.08</v>
      </c>
      <c r="L189" s="13" t="n">
        <v>269.08</v>
      </c>
      <c r="M189" s="13" t="n">
        <v>269.08</v>
      </c>
      <c r="N189" s="13" t="n">
        <v>269.08</v>
      </c>
      <c r="O189" s="13" t="n">
        <v>269.08</v>
      </c>
      <c r="P189" s="13" t="n">
        <v>269.08</v>
      </c>
      <c r="Q189" s="13" t="n">
        <v>269.08</v>
      </c>
      <c r="R189" s="13" t="n">
        <v>269.08</v>
      </c>
      <c r="S189" s="13" t="n">
        <v>269.08</v>
      </c>
      <c r="T189" s="13" t="n">
        <v>269.08</v>
      </c>
      <c r="U189" s="13" t="n">
        <v>350</v>
      </c>
      <c r="V189" s="13" t="n">
        <v>0</v>
      </c>
      <c r="W189" s="13" t="n">
        <f aca="false">U189+V189</f>
        <v>350</v>
      </c>
    </row>
    <row r="190" customFormat="false" ht="15" hidden="false" customHeight="false" outlineLevel="0" collapsed="false">
      <c r="A190" s="14" t="s">
        <v>3110</v>
      </c>
      <c r="B190" s="14" t="s">
        <v>2981</v>
      </c>
      <c r="C190" s="14" t="s">
        <v>2184</v>
      </c>
      <c r="D190" s="14" t="s">
        <v>382</v>
      </c>
      <c r="E190" s="15" t="n">
        <v>1135000</v>
      </c>
      <c r="F190" s="15" t="n">
        <v>14674.92</v>
      </c>
      <c r="G190" s="15" t="n">
        <v>1834.37</v>
      </c>
      <c r="H190" s="15" t="n">
        <v>1834.37</v>
      </c>
      <c r="I190" s="15" t="n">
        <f aca="false">SUM(K190:T190)</f>
        <v>11006.2</v>
      </c>
      <c r="J190" s="15" t="n">
        <f aca="false">F190-(G190+H190+I190)</f>
        <v>-0.0199999999967986</v>
      </c>
      <c r="K190" s="15" t="n">
        <v>1100.62</v>
      </c>
      <c r="L190" s="15" t="n">
        <v>1100.62</v>
      </c>
      <c r="M190" s="15" t="n">
        <v>1100.62</v>
      </c>
      <c r="N190" s="15" t="n">
        <v>1100.62</v>
      </c>
      <c r="O190" s="15" t="n">
        <v>1100.62</v>
      </c>
      <c r="P190" s="15" t="n">
        <v>1100.62</v>
      </c>
      <c r="Q190" s="15" t="n">
        <v>1100.62</v>
      </c>
      <c r="R190" s="15" t="n">
        <v>1100.62</v>
      </c>
      <c r="S190" s="15" t="n">
        <v>1100.62</v>
      </c>
      <c r="T190" s="15" t="n">
        <v>1100.62</v>
      </c>
      <c r="U190" s="15" t="n">
        <v>350</v>
      </c>
      <c r="V190" s="15" t="n">
        <v>250</v>
      </c>
      <c r="W190" s="15" t="n">
        <f aca="false">U190+V190</f>
        <v>600</v>
      </c>
    </row>
    <row r="191" customFormat="false" ht="15" hidden="false" customHeight="false" outlineLevel="0" collapsed="false">
      <c r="A191" s="3" t="s">
        <v>3111</v>
      </c>
      <c r="B191" s="3" t="s">
        <v>2949</v>
      </c>
      <c r="C191" s="3" t="s">
        <v>594</v>
      </c>
      <c r="D191" s="3" t="s">
        <v>112</v>
      </c>
      <c r="E191" s="13" t="n">
        <v>685000</v>
      </c>
      <c r="F191" s="13" t="n">
        <v>4037.89</v>
      </c>
      <c r="G191" s="13" t="n">
        <v>504.74</v>
      </c>
      <c r="H191" s="13" t="n">
        <v>504.74</v>
      </c>
      <c r="I191" s="13" t="n">
        <f aca="false">SUM(K191:T191)</f>
        <v>3028.4</v>
      </c>
      <c r="J191" s="13" t="n">
        <f aca="false">F191-(G191+H191+I191)</f>
        <v>0.00999999999976353</v>
      </c>
      <c r="K191" s="13" t="n">
        <v>302.84</v>
      </c>
      <c r="L191" s="13" t="n">
        <v>302.84</v>
      </c>
      <c r="M191" s="13" t="n">
        <v>302.84</v>
      </c>
      <c r="N191" s="13" t="n">
        <v>302.84</v>
      </c>
      <c r="O191" s="13" t="n">
        <v>302.84</v>
      </c>
      <c r="P191" s="13" t="n">
        <v>302.84</v>
      </c>
      <c r="Q191" s="13" t="n">
        <v>302.84</v>
      </c>
      <c r="R191" s="13" t="n">
        <v>302.84</v>
      </c>
      <c r="S191" s="13" t="n">
        <v>302.84</v>
      </c>
      <c r="T191" s="13" t="n">
        <v>302.84</v>
      </c>
      <c r="U191" s="13" t="n">
        <v>350</v>
      </c>
      <c r="V191" s="13" t="n">
        <v>0</v>
      </c>
      <c r="W191" s="13" t="n">
        <f aca="false">U191+V191</f>
        <v>350</v>
      </c>
    </row>
    <row r="192" customFormat="false" ht="15" hidden="false" customHeight="false" outlineLevel="0" collapsed="false">
      <c r="A192" s="14" t="s">
        <v>3112</v>
      </c>
      <c r="B192" s="14" t="s">
        <v>2938</v>
      </c>
      <c r="C192" s="14" t="s">
        <v>944</v>
      </c>
      <c r="D192" s="14" t="s">
        <v>93</v>
      </c>
      <c r="E192" s="15" t="n">
        <v>235000</v>
      </c>
      <c r="F192" s="15" t="n">
        <v>3993.35</v>
      </c>
      <c r="G192" s="15" t="n">
        <v>499.17</v>
      </c>
      <c r="H192" s="15" t="n">
        <v>499.17</v>
      </c>
      <c r="I192" s="15" t="n">
        <f aca="false">SUM(K192:T192)</f>
        <v>2995</v>
      </c>
      <c r="J192" s="15" t="n">
        <f aca="false">F192-(G192+H192+I192)</f>
        <v>0.00999999999976353</v>
      </c>
      <c r="K192" s="15" t="n">
        <v>299.5</v>
      </c>
      <c r="L192" s="15" t="n">
        <v>299.5</v>
      </c>
      <c r="M192" s="15" t="n">
        <v>299.5</v>
      </c>
      <c r="N192" s="15" t="n">
        <v>299.5</v>
      </c>
      <c r="O192" s="15" t="n">
        <v>299.5</v>
      </c>
      <c r="P192" s="15" t="n">
        <v>299.5</v>
      </c>
      <c r="Q192" s="15" t="n">
        <v>299.5</v>
      </c>
      <c r="R192" s="15" t="n">
        <v>299.5</v>
      </c>
      <c r="S192" s="15" t="n">
        <v>299.5</v>
      </c>
      <c r="T192" s="15" t="n">
        <v>299.5</v>
      </c>
      <c r="U192" s="15" t="n">
        <v>350</v>
      </c>
      <c r="V192" s="15" t="n">
        <v>0</v>
      </c>
      <c r="W192" s="15" t="n">
        <f aca="false">U192+V192</f>
        <v>350</v>
      </c>
    </row>
    <row r="193" customFormat="false" ht="15" hidden="false" customHeight="false" outlineLevel="0" collapsed="false">
      <c r="A193" s="3" t="s">
        <v>3113</v>
      </c>
      <c r="B193" s="3" t="s">
        <v>2955</v>
      </c>
      <c r="C193" s="3" t="s">
        <v>1123</v>
      </c>
      <c r="D193" s="3" t="s">
        <v>377</v>
      </c>
      <c r="E193" s="13" t="n">
        <v>805000</v>
      </c>
      <c r="F193" s="13" t="n">
        <v>14787.55</v>
      </c>
      <c r="G193" s="13" t="n">
        <v>1848.44</v>
      </c>
      <c r="H193" s="13" t="n">
        <v>1848.44</v>
      </c>
      <c r="I193" s="13" t="n">
        <f aca="false">SUM(K193:T193)</f>
        <v>11090.7</v>
      </c>
      <c r="J193" s="13" t="n">
        <f aca="false">F193-(G193+H193+I193)</f>
        <v>-0.0299999999988358</v>
      </c>
      <c r="K193" s="13" t="n">
        <v>1109.07</v>
      </c>
      <c r="L193" s="13" t="n">
        <v>1109.07</v>
      </c>
      <c r="M193" s="13" t="n">
        <v>1109.07</v>
      </c>
      <c r="N193" s="13" t="n">
        <v>1109.07</v>
      </c>
      <c r="O193" s="13" t="n">
        <v>1109.07</v>
      </c>
      <c r="P193" s="13" t="n">
        <v>1109.07</v>
      </c>
      <c r="Q193" s="13" t="n">
        <v>1109.07</v>
      </c>
      <c r="R193" s="13" t="n">
        <v>1109.07</v>
      </c>
      <c r="S193" s="13" t="n">
        <v>1109.07</v>
      </c>
      <c r="T193" s="13" t="n">
        <v>1109.07</v>
      </c>
      <c r="U193" s="13" t="n">
        <v>350</v>
      </c>
      <c r="V193" s="13" t="n">
        <v>0</v>
      </c>
      <c r="W193" s="13" t="n">
        <f aca="false">U193+V193</f>
        <v>350</v>
      </c>
    </row>
    <row r="194" customFormat="false" ht="15" hidden="false" customHeight="false" outlineLevel="0" collapsed="false">
      <c r="A194" s="14" t="s">
        <v>3114</v>
      </c>
      <c r="B194" s="14" t="s">
        <v>2932</v>
      </c>
      <c r="C194" s="14" t="s">
        <v>2276</v>
      </c>
      <c r="D194" s="14" t="s">
        <v>298</v>
      </c>
      <c r="E194" s="15" t="n">
        <v>1750000</v>
      </c>
      <c r="F194" s="15" t="n">
        <v>12091.05</v>
      </c>
      <c r="G194" s="15" t="n">
        <v>1511.38</v>
      </c>
      <c r="H194" s="15" t="n">
        <v>1511.38</v>
      </c>
      <c r="I194" s="15" t="n">
        <f aca="false">SUM(K194:T194)</f>
        <v>9068.3</v>
      </c>
      <c r="J194" s="15" t="n">
        <f aca="false">F194-(G194+H194+I194)</f>
        <v>-0.0100000000020373</v>
      </c>
      <c r="K194" s="15" t="n">
        <v>906.83</v>
      </c>
      <c r="L194" s="15" t="n">
        <v>906.83</v>
      </c>
      <c r="M194" s="15" t="n">
        <v>906.83</v>
      </c>
      <c r="N194" s="15" t="n">
        <v>906.83</v>
      </c>
      <c r="O194" s="15" t="n">
        <v>906.83</v>
      </c>
      <c r="P194" s="15" t="n">
        <v>906.83</v>
      </c>
      <c r="Q194" s="15" t="n">
        <v>906.83</v>
      </c>
      <c r="R194" s="15" t="n">
        <v>906.83</v>
      </c>
      <c r="S194" s="15" t="n">
        <v>906.83</v>
      </c>
      <c r="T194" s="15" t="n">
        <v>906.83</v>
      </c>
      <c r="U194" s="15" t="n">
        <v>350</v>
      </c>
      <c r="V194" s="15" t="n">
        <v>250</v>
      </c>
      <c r="W194" s="15" t="n">
        <f aca="false">U194+V194</f>
        <v>600</v>
      </c>
    </row>
    <row r="195" customFormat="false" ht="15" hidden="false" customHeight="false" outlineLevel="0" collapsed="false">
      <c r="A195" s="3" t="s">
        <v>3115</v>
      </c>
      <c r="B195" s="3" t="s">
        <v>2918</v>
      </c>
      <c r="C195" s="3" t="s">
        <v>880</v>
      </c>
      <c r="D195" s="3" t="s">
        <v>77</v>
      </c>
      <c r="E195" s="13" t="n">
        <v>335000</v>
      </c>
      <c r="F195" s="13" t="n">
        <v>2946.87</v>
      </c>
      <c r="G195" s="13" t="n">
        <v>368.36</v>
      </c>
      <c r="H195" s="13" t="n">
        <v>368.36</v>
      </c>
      <c r="I195" s="13" t="n">
        <f aca="false">SUM(K195:T195)</f>
        <v>2210.2</v>
      </c>
      <c r="J195" s="13" t="n">
        <f aca="false">F195-(G195+H195+I195)</f>
        <v>-0.0500000000001819</v>
      </c>
      <c r="K195" s="13" t="n">
        <v>221.02</v>
      </c>
      <c r="L195" s="13" t="n">
        <v>221.02</v>
      </c>
      <c r="M195" s="13" t="n">
        <v>221.02</v>
      </c>
      <c r="N195" s="13" t="n">
        <v>221.02</v>
      </c>
      <c r="O195" s="13" t="n">
        <v>221.02</v>
      </c>
      <c r="P195" s="13" t="n">
        <v>221.02</v>
      </c>
      <c r="Q195" s="13" t="n">
        <v>221.02</v>
      </c>
      <c r="R195" s="13" t="n">
        <v>221.02</v>
      </c>
      <c r="S195" s="13" t="n">
        <v>221.02</v>
      </c>
      <c r="T195" s="13" t="n">
        <v>221.02</v>
      </c>
      <c r="U195" s="13" t="n">
        <v>350</v>
      </c>
      <c r="V195" s="13" t="n">
        <v>0</v>
      </c>
      <c r="W195" s="13" t="n">
        <f aca="false">U195+V195</f>
        <v>350</v>
      </c>
    </row>
    <row r="196" customFormat="false" ht="15" hidden="false" customHeight="false" outlineLevel="0" collapsed="false">
      <c r="A196" s="14" t="s">
        <v>3116</v>
      </c>
      <c r="B196" s="14" t="s">
        <v>2938</v>
      </c>
      <c r="C196" s="14" t="s">
        <v>272</v>
      </c>
      <c r="D196" s="14" t="s">
        <v>230</v>
      </c>
      <c r="E196" s="15" t="n">
        <v>1820000</v>
      </c>
      <c r="F196" s="15" t="n">
        <v>25002.32</v>
      </c>
      <c r="G196" s="15" t="n">
        <v>3125.29</v>
      </c>
      <c r="H196" s="15" t="n">
        <v>3125.29</v>
      </c>
      <c r="I196" s="15" t="n">
        <f aca="false">SUM(K196:T196)</f>
        <v>18751.7</v>
      </c>
      <c r="J196" s="15" t="n">
        <f aca="false">F196-(G196+H196+I196)</f>
        <v>0.0400000000008731</v>
      </c>
      <c r="K196" s="15" t="n">
        <v>1875.17</v>
      </c>
      <c r="L196" s="15" t="n">
        <v>1875.17</v>
      </c>
      <c r="M196" s="15" t="n">
        <v>1875.17</v>
      </c>
      <c r="N196" s="15" t="n">
        <v>1875.17</v>
      </c>
      <c r="O196" s="15" t="n">
        <v>1875.17</v>
      </c>
      <c r="P196" s="15" t="n">
        <v>1875.17</v>
      </c>
      <c r="Q196" s="15" t="n">
        <v>1875.17</v>
      </c>
      <c r="R196" s="15" t="n">
        <v>1875.17</v>
      </c>
      <c r="S196" s="15" t="n">
        <v>1875.17</v>
      </c>
      <c r="T196" s="15" t="n">
        <v>1875.17</v>
      </c>
      <c r="U196" s="15" t="n">
        <v>350</v>
      </c>
      <c r="V196" s="15" t="n">
        <v>250</v>
      </c>
      <c r="W196" s="15" t="n">
        <f aca="false">U196+V196</f>
        <v>600</v>
      </c>
    </row>
    <row r="197" customFormat="false" ht="15" hidden="false" customHeight="false" outlineLevel="0" collapsed="false">
      <c r="A197" s="3" t="s">
        <v>3117</v>
      </c>
      <c r="B197" s="3" t="s">
        <v>2934</v>
      </c>
      <c r="C197" s="3" t="s">
        <v>265</v>
      </c>
      <c r="D197" s="3" t="s">
        <v>121</v>
      </c>
      <c r="E197" s="13" t="n">
        <v>170000</v>
      </c>
      <c r="F197" s="13" t="n">
        <v>2753.39</v>
      </c>
      <c r="G197" s="13" t="n">
        <v>344.17</v>
      </c>
      <c r="H197" s="13" t="n">
        <v>344.17</v>
      </c>
      <c r="I197" s="13" t="n">
        <f aca="false">SUM(K197:T197)</f>
        <v>2065</v>
      </c>
      <c r="J197" s="13" t="n">
        <f aca="false">F197-(G197+H197+I197)</f>
        <v>0.0499999999997272</v>
      </c>
      <c r="K197" s="13" t="n">
        <v>206.5</v>
      </c>
      <c r="L197" s="13" t="n">
        <v>206.5</v>
      </c>
      <c r="M197" s="13" t="n">
        <v>206.5</v>
      </c>
      <c r="N197" s="13" t="n">
        <v>206.5</v>
      </c>
      <c r="O197" s="13" t="n">
        <v>206.5</v>
      </c>
      <c r="P197" s="13" t="n">
        <v>206.5</v>
      </c>
      <c r="Q197" s="13" t="n">
        <v>206.5</v>
      </c>
      <c r="R197" s="13" t="n">
        <v>206.5</v>
      </c>
      <c r="S197" s="13" t="n">
        <v>206.5</v>
      </c>
      <c r="T197" s="13" t="n">
        <v>206.5</v>
      </c>
      <c r="U197" s="13" t="n">
        <v>350</v>
      </c>
      <c r="V197" s="13" t="n">
        <v>0</v>
      </c>
      <c r="W197" s="13" t="n">
        <f aca="false">U197+V197</f>
        <v>350</v>
      </c>
    </row>
    <row r="198" customFormat="false" ht="15" hidden="false" customHeight="false" outlineLevel="0" collapsed="false">
      <c r="A198" s="14" t="s">
        <v>3118</v>
      </c>
      <c r="B198" s="14" t="s">
        <v>2904</v>
      </c>
      <c r="C198" s="14" t="s">
        <v>243</v>
      </c>
      <c r="D198" s="14" t="s">
        <v>121</v>
      </c>
      <c r="E198" s="15" t="n">
        <v>1950000</v>
      </c>
      <c r="F198" s="15" t="n">
        <v>27463.53</v>
      </c>
      <c r="G198" s="15" t="n">
        <v>3432.94</v>
      </c>
      <c r="H198" s="15" t="n">
        <v>3432.94</v>
      </c>
      <c r="I198" s="15" t="n">
        <f aca="false">SUM(K198:T198)</f>
        <v>20597.6</v>
      </c>
      <c r="J198" s="15" t="n">
        <f aca="false">F198-(G198+H198+I198)</f>
        <v>0.0499999999919965</v>
      </c>
      <c r="K198" s="15" t="n">
        <v>2059.76</v>
      </c>
      <c r="L198" s="15" t="n">
        <v>2059.76</v>
      </c>
      <c r="M198" s="15" t="n">
        <v>2059.76</v>
      </c>
      <c r="N198" s="15" t="n">
        <v>2059.76</v>
      </c>
      <c r="O198" s="15" t="n">
        <v>2059.76</v>
      </c>
      <c r="P198" s="15" t="n">
        <v>2059.76</v>
      </c>
      <c r="Q198" s="15" t="n">
        <v>2059.76</v>
      </c>
      <c r="R198" s="15" t="n">
        <v>2059.76</v>
      </c>
      <c r="S198" s="15" t="n">
        <v>2059.76</v>
      </c>
      <c r="T198" s="15" t="n">
        <v>2059.76</v>
      </c>
      <c r="U198" s="15" t="n">
        <v>350</v>
      </c>
      <c r="V198" s="15" t="n">
        <v>250</v>
      </c>
      <c r="W198" s="15" t="n">
        <f aca="false">U198+V198</f>
        <v>600</v>
      </c>
    </row>
    <row r="199" customFormat="false" ht="15" hidden="false" customHeight="false" outlineLevel="0" collapsed="false">
      <c r="A199" s="3" t="s">
        <v>3119</v>
      </c>
      <c r="B199" s="3" t="s">
        <v>2930</v>
      </c>
      <c r="C199" s="3" t="s">
        <v>2721</v>
      </c>
      <c r="D199" s="3" t="s">
        <v>93</v>
      </c>
      <c r="E199" s="13" t="n">
        <v>380000</v>
      </c>
      <c r="F199" s="13" t="n">
        <v>5264.13</v>
      </c>
      <c r="G199" s="13" t="n">
        <v>658.02</v>
      </c>
      <c r="H199" s="13" t="n">
        <v>658.02</v>
      </c>
      <c r="I199" s="13" t="n">
        <f aca="false">SUM(K199:T199)</f>
        <v>3948.1</v>
      </c>
      <c r="J199" s="13" t="n">
        <f aca="false">F199-(G199+H199+I199)</f>
        <v>-0.00999999999930878</v>
      </c>
      <c r="K199" s="13" t="n">
        <v>394.81</v>
      </c>
      <c r="L199" s="13" t="n">
        <v>394.81</v>
      </c>
      <c r="M199" s="13" t="n">
        <v>394.81</v>
      </c>
      <c r="N199" s="13" t="n">
        <v>394.81</v>
      </c>
      <c r="O199" s="13" t="n">
        <v>394.81</v>
      </c>
      <c r="P199" s="13" t="n">
        <v>394.81</v>
      </c>
      <c r="Q199" s="13" t="n">
        <v>394.81</v>
      </c>
      <c r="R199" s="13" t="n">
        <v>394.81</v>
      </c>
      <c r="S199" s="13" t="n">
        <v>394.81</v>
      </c>
      <c r="T199" s="13" t="n">
        <v>394.81</v>
      </c>
      <c r="U199" s="13" t="n">
        <v>350</v>
      </c>
      <c r="V199" s="13" t="n">
        <v>0</v>
      </c>
      <c r="W199" s="13" t="n">
        <f aca="false">U199+V199</f>
        <v>350</v>
      </c>
    </row>
    <row r="200" customFormat="false" ht="15" hidden="false" customHeight="false" outlineLevel="0" collapsed="false">
      <c r="A200" s="14" t="s">
        <v>3120</v>
      </c>
      <c r="B200" s="14" t="s">
        <v>2932</v>
      </c>
      <c r="C200" s="14" t="s">
        <v>188</v>
      </c>
      <c r="D200" s="14" t="s">
        <v>89</v>
      </c>
      <c r="E200" s="15" t="n">
        <v>1435000</v>
      </c>
      <c r="F200" s="15" t="n">
        <v>15375.19</v>
      </c>
      <c r="G200" s="15" t="n">
        <v>1921.9</v>
      </c>
      <c r="H200" s="15" t="n">
        <v>1921.9</v>
      </c>
      <c r="I200" s="15" t="n">
        <f aca="false">SUM(K200:T200)</f>
        <v>11531.4</v>
      </c>
      <c r="J200" s="15" t="n">
        <f aca="false">F200-(G200+H200+I200)</f>
        <v>-0.0100000000002183</v>
      </c>
      <c r="K200" s="15" t="n">
        <v>1153.14</v>
      </c>
      <c r="L200" s="15" t="n">
        <v>1153.14</v>
      </c>
      <c r="M200" s="15" t="n">
        <v>1153.14</v>
      </c>
      <c r="N200" s="15" t="n">
        <v>1153.14</v>
      </c>
      <c r="O200" s="15" t="n">
        <v>1153.14</v>
      </c>
      <c r="P200" s="15" t="n">
        <v>1153.14</v>
      </c>
      <c r="Q200" s="15" t="n">
        <v>1153.14</v>
      </c>
      <c r="R200" s="15" t="n">
        <v>1153.14</v>
      </c>
      <c r="S200" s="15" t="n">
        <v>1153.14</v>
      </c>
      <c r="T200" s="15" t="n">
        <v>1153.14</v>
      </c>
      <c r="U200" s="15" t="n">
        <v>350</v>
      </c>
      <c r="V200" s="15" t="n">
        <v>250</v>
      </c>
      <c r="W200" s="15" t="n">
        <f aca="false">U200+V200</f>
        <v>600</v>
      </c>
    </row>
    <row r="201" customFormat="false" ht="15" hidden="false" customHeight="false" outlineLevel="0" collapsed="false">
      <c r="A201" s="3" t="s">
        <v>3121</v>
      </c>
      <c r="B201" s="3" t="s">
        <v>2901</v>
      </c>
      <c r="C201" s="3" t="s">
        <v>182</v>
      </c>
      <c r="D201" s="3" t="s">
        <v>208</v>
      </c>
      <c r="E201" s="13" t="n">
        <v>1335000</v>
      </c>
      <c r="F201" s="13" t="n">
        <v>9516.57</v>
      </c>
      <c r="G201" s="13" t="n">
        <v>1189.57</v>
      </c>
      <c r="H201" s="13" t="n">
        <v>1189.57</v>
      </c>
      <c r="I201" s="13" t="n">
        <f aca="false">SUM(K201:T201)</f>
        <v>7137.4</v>
      </c>
      <c r="J201" s="13" t="n">
        <f aca="false">F201-(G201+H201+I201)</f>
        <v>0.0300000000006548</v>
      </c>
      <c r="K201" s="13" t="n">
        <v>713.74</v>
      </c>
      <c r="L201" s="13" t="n">
        <v>713.74</v>
      </c>
      <c r="M201" s="13" t="n">
        <v>713.74</v>
      </c>
      <c r="N201" s="13" t="n">
        <v>713.74</v>
      </c>
      <c r="O201" s="13" t="n">
        <v>713.74</v>
      </c>
      <c r="P201" s="13" t="n">
        <v>713.74</v>
      </c>
      <c r="Q201" s="13" t="n">
        <v>713.74</v>
      </c>
      <c r="R201" s="13" t="n">
        <v>713.74</v>
      </c>
      <c r="S201" s="13" t="n">
        <v>713.74</v>
      </c>
      <c r="T201" s="13" t="n">
        <v>713.74</v>
      </c>
      <c r="U201" s="13" t="n">
        <v>350</v>
      </c>
      <c r="V201" s="13" t="n">
        <v>250</v>
      </c>
      <c r="W201" s="13" t="n">
        <f aca="false">U201+V201</f>
        <v>600</v>
      </c>
    </row>
    <row r="202" customFormat="false" ht="15" hidden="false" customHeight="false" outlineLevel="0" collapsed="false">
      <c r="A202" s="14" t="s">
        <v>3122</v>
      </c>
      <c r="B202" s="14" t="s">
        <v>2971</v>
      </c>
      <c r="C202" s="14" t="s">
        <v>538</v>
      </c>
      <c r="D202" s="14" t="s">
        <v>157</v>
      </c>
      <c r="E202" s="15" t="n">
        <v>390000</v>
      </c>
      <c r="F202" s="15" t="n">
        <v>9190.16</v>
      </c>
      <c r="G202" s="15" t="n">
        <v>1148.77</v>
      </c>
      <c r="H202" s="15" t="n">
        <v>1148.77</v>
      </c>
      <c r="I202" s="15" t="n">
        <f aca="false">SUM(K202:T202)</f>
        <v>6892.6</v>
      </c>
      <c r="J202" s="15" t="n">
        <f aca="false">F202-(G202+H202+I202)</f>
        <v>0.0200000000004366</v>
      </c>
      <c r="K202" s="15" t="n">
        <v>689.26</v>
      </c>
      <c r="L202" s="15" t="n">
        <v>689.26</v>
      </c>
      <c r="M202" s="15" t="n">
        <v>689.26</v>
      </c>
      <c r="N202" s="15" t="n">
        <v>689.26</v>
      </c>
      <c r="O202" s="15" t="n">
        <v>689.26</v>
      </c>
      <c r="P202" s="15" t="n">
        <v>689.26</v>
      </c>
      <c r="Q202" s="15" t="n">
        <v>689.26</v>
      </c>
      <c r="R202" s="15" t="n">
        <v>689.26</v>
      </c>
      <c r="S202" s="15" t="n">
        <v>689.26</v>
      </c>
      <c r="T202" s="15" t="n">
        <v>689.26</v>
      </c>
      <c r="U202" s="15" t="n">
        <v>350</v>
      </c>
      <c r="V202" s="15" t="n">
        <v>0</v>
      </c>
      <c r="W202" s="15" t="n">
        <f aca="false">U202+V202</f>
        <v>350</v>
      </c>
    </row>
    <row r="203" customFormat="false" ht="15" hidden="false" customHeight="false" outlineLevel="0" collapsed="false">
      <c r="A203" s="3" t="s">
        <v>3123</v>
      </c>
      <c r="B203" s="3" t="s">
        <v>2966</v>
      </c>
      <c r="C203" s="3" t="s">
        <v>1377</v>
      </c>
      <c r="D203" s="3" t="s">
        <v>197</v>
      </c>
      <c r="E203" s="13" t="n">
        <v>1560000</v>
      </c>
      <c r="F203" s="13" t="n">
        <v>19629.68</v>
      </c>
      <c r="G203" s="13" t="n">
        <v>2453.71</v>
      </c>
      <c r="H203" s="13" t="n">
        <v>2453.71</v>
      </c>
      <c r="I203" s="13" t="n">
        <f aca="false">SUM(K203:T203)</f>
        <v>14722.3</v>
      </c>
      <c r="J203" s="13" t="n">
        <f aca="false">F203-(G203+H203+I203)</f>
        <v>-0.0400000000008731</v>
      </c>
      <c r="K203" s="13" t="n">
        <v>1472.23</v>
      </c>
      <c r="L203" s="13" t="n">
        <v>1472.23</v>
      </c>
      <c r="M203" s="13" t="n">
        <v>1472.23</v>
      </c>
      <c r="N203" s="13" t="n">
        <v>1472.23</v>
      </c>
      <c r="O203" s="13" t="n">
        <v>1472.23</v>
      </c>
      <c r="P203" s="13" t="n">
        <v>1472.23</v>
      </c>
      <c r="Q203" s="13" t="n">
        <v>1472.23</v>
      </c>
      <c r="R203" s="13" t="n">
        <v>1472.23</v>
      </c>
      <c r="S203" s="13" t="n">
        <v>1472.23</v>
      </c>
      <c r="T203" s="13" t="n">
        <v>1472.23</v>
      </c>
      <c r="U203" s="13" t="n">
        <v>350</v>
      </c>
      <c r="V203" s="13" t="n">
        <v>250</v>
      </c>
      <c r="W203" s="13" t="n">
        <f aca="false">U203+V203</f>
        <v>600</v>
      </c>
    </row>
    <row r="204" customFormat="false" ht="15" hidden="false" customHeight="false" outlineLevel="0" collapsed="false">
      <c r="A204" s="14" t="s">
        <v>3124</v>
      </c>
      <c r="B204" s="14" t="s">
        <v>2914</v>
      </c>
      <c r="C204" s="14" t="s">
        <v>927</v>
      </c>
      <c r="D204" s="14" t="s">
        <v>77</v>
      </c>
      <c r="E204" s="15" t="n">
        <v>1580000</v>
      </c>
      <c r="F204" s="15" t="n">
        <v>11003.13</v>
      </c>
      <c r="G204" s="15" t="n">
        <v>1375.39</v>
      </c>
      <c r="H204" s="15" t="n">
        <v>1375.39</v>
      </c>
      <c r="I204" s="15" t="n">
        <f aca="false">SUM(K204:T204)</f>
        <v>8252.3</v>
      </c>
      <c r="J204" s="15" t="n">
        <f aca="false">F204-(G204+H204+I204)</f>
        <v>0.0499999999992724</v>
      </c>
      <c r="K204" s="15" t="n">
        <v>825.23</v>
      </c>
      <c r="L204" s="15" t="n">
        <v>825.23</v>
      </c>
      <c r="M204" s="15" t="n">
        <v>825.23</v>
      </c>
      <c r="N204" s="15" t="n">
        <v>825.23</v>
      </c>
      <c r="O204" s="15" t="n">
        <v>825.23</v>
      </c>
      <c r="P204" s="15" t="n">
        <v>825.23</v>
      </c>
      <c r="Q204" s="15" t="n">
        <v>825.23</v>
      </c>
      <c r="R204" s="15" t="n">
        <v>825.23</v>
      </c>
      <c r="S204" s="15" t="n">
        <v>825.23</v>
      </c>
      <c r="T204" s="15" t="n">
        <v>825.23</v>
      </c>
      <c r="U204" s="15" t="n">
        <v>350</v>
      </c>
      <c r="V204" s="15" t="n">
        <v>250</v>
      </c>
      <c r="W204" s="15" t="n">
        <f aca="false">U204+V204</f>
        <v>600</v>
      </c>
    </row>
    <row r="205" customFormat="false" ht="15" hidden="false" customHeight="false" outlineLevel="0" collapsed="false">
      <c r="A205" s="3" t="s">
        <v>3125</v>
      </c>
      <c r="B205" s="3" t="s">
        <v>2906</v>
      </c>
      <c r="C205" s="3" t="s">
        <v>1170</v>
      </c>
      <c r="D205" s="3" t="s">
        <v>430</v>
      </c>
      <c r="E205" s="13" t="n">
        <v>160000</v>
      </c>
      <c r="F205" s="13" t="n">
        <v>2102.88</v>
      </c>
      <c r="G205" s="13" t="n">
        <v>262.86</v>
      </c>
      <c r="H205" s="13" t="n">
        <v>262.86</v>
      </c>
      <c r="I205" s="13" t="n">
        <f aca="false">SUM(K205:T205)</f>
        <v>1577.2</v>
      </c>
      <c r="J205" s="13" t="n">
        <f aca="false">F205-(G205+H205+I205)</f>
        <v>-0.0399999999999636</v>
      </c>
      <c r="K205" s="13" t="n">
        <v>157.72</v>
      </c>
      <c r="L205" s="13" t="n">
        <v>157.72</v>
      </c>
      <c r="M205" s="13" t="n">
        <v>157.72</v>
      </c>
      <c r="N205" s="13" t="n">
        <v>157.72</v>
      </c>
      <c r="O205" s="13" t="n">
        <v>157.72</v>
      </c>
      <c r="P205" s="13" t="n">
        <v>157.72</v>
      </c>
      <c r="Q205" s="13" t="n">
        <v>157.72</v>
      </c>
      <c r="R205" s="13" t="n">
        <v>157.72</v>
      </c>
      <c r="S205" s="13" t="n">
        <v>157.72</v>
      </c>
      <c r="T205" s="13" t="n">
        <v>157.72</v>
      </c>
      <c r="U205" s="13" t="n">
        <v>350</v>
      </c>
      <c r="V205" s="13" t="n">
        <v>0</v>
      </c>
      <c r="W205" s="13" t="n">
        <f aca="false">U205+V205</f>
        <v>350</v>
      </c>
    </row>
    <row r="206" customFormat="false" ht="15" hidden="false" customHeight="false" outlineLevel="0" collapsed="false">
      <c r="A206" s="14" t="s">
        <v>3126</v>
      </c>
      <c r="B206" s="14" t="s">
        <v>2920</v>
      </c>
      <c r="C206" s="14" t="s">
        <v>653</v>
      </c>
      <c r="D206" s="14" t="s">
        <v>147</v>
      </c>
      <c r="E206" s="15" t="n">
        <v>1950000</v>
      </c>
      <c r="F206" s="15" t="n">
        <v>24086.87</v>
      </c>
      <c r="G206" s="15" t="n">
        <v>3010.86</v>
      </c>
      <c r="H206" s="15" t="n">
        <v>3010.86</v>
      </c>
      <c r="I206" s="15" t="n">
        <f aca="false">SUM(K206:T206)</f>
        <v>18065.2</v>
      </c>
      <c r="J206" s="15" t="n">
        <f aca="false">F206-(G206+H206+I206)</f>
        <v>-0.0500000000029104</v>
      </c>
      <c r="K206" s="15" t="n">
        <v>1806.52</v>
      </c>
      <c r="L206" s="15" t="n">
        <v>1806.52</v>
      </c>
      <c r="M206" s="15" t="n">
        <v>1806.52</v>
      </c>
      <c r="N206" s="15" t="n">
        <v>1806.52</v>
      </c>
      <c r="O206" s="15" t="n">
        <v>1806.52</v>
      </c>
      <c r="P206" s="15" t="n">
        <v>1806.52</v>
      </c>
      <c r="Q206" s="15" t="n">
        <v>1806.52</v>
      </c>
      <c r="R206" s="15" t="n">
        <v>1806.52</v>
      </c>
      <c r="S206" s="15" t="n">
        <v>1806.52</v>
      </c>
      <c r="T206" s="15" t="n">
        <v>1806.52</v>
      </c>
      <c r="U206" s="15" t="n">
        <v>350</v>
      </c>
      <c r="V206" s="15" t="n">
        <v>250</v>
      </c>
      <c r="W206" s="15" t="n">
        <f aca="false">U206+V206</f>
        <v>600</v>
      </c>
    </row>
    <row r="207" customFormat="false" ht="15" hidden="false" customHeight="false" outlineLevel="0" collapsed="false">
      <c r="A207" s="3" t="s">
        <v>3127</v>
      </c>
      <c r="B207" s="3" t="s">
        <v>2912</v>
      </c>
      <c r="C207" s="3" t="s">
        <v>2313</v>
      </c>
      <c r="D207" s="3" t="s">
        <v>172</v>
      </c>
      <c r="E207" s="13" t="n">
        <v>890000</v>
      </c>
      <c r="F207" s="13" t="n">
        <v>12688.75</v>
      </c>
      <c r="G207" s="13" t="n">
        <v>1586.09</v>
      </c>
      <c r="H207" s="13" t="n">
        <v>1586.09</v>
      </c>
      <c r="I207" s="13" t="n">
        <f aca="false">SUM(K207:T207)</f>
        <v>9516.6</v>
      </c>
      <c r="J207" s="13" t="n">
        <f aca="false">F207-(G207+H207+I207)</f>
        <v>-0.0300000000006548</v>
      </c>
      <c r="K207" s="13" t="n">
        <v>951.66</v>
      </c>
      <c r="L207" s="13" t="n">
        <v>951.66</v>
      </c>
      <c r="M207" s="13" t="n">
        <v>951.66</v>
      </c>
      <c r="N207" s="13" t="n">
        <v>951.66</v>
      </c>
      <c r="O207" s="13" t="n">
        <v>951.66</v>
      </c>
      <c r="P207" s="13" t="n">
        <v>951.66</v>
      </c>
      <c r="Q207" s="13" t="n">
        <v>951.66</v>
      </c>
      <c r="R207" s="13" t="n">
        <v>951.66</v>
      </c>
      <c r="S207" s="13" t="n">
        <v>951.66</v>
      </c>
      <c r="T207" s="13" t="n">
        <v>951.66</v>
      </c>
      <c r="U207" s="13" t="n">
        <v>350</v>
      </c>
      <c r="V207" s="13" t="n">
        <v>0</v>
      </c>
      <c r="W207" s="13" t="n">
        <f aca="false">U207+V207</f>
        <v>350</v>
      </c>
    </row>
    <row r="208" customFormat="false" ht="15" hidden="false" customHeight="false" outlineLevel="0" collapsed="false">
      <c r="A208" s="14" t="s">
        <v>3128</v>
      </c>
      <c r="B208" s="14" t="s">
        <v>2912</v>
      </c>
      <c r="C208" s="14" t="s">
        <v>850</v>
      </c>
      <c r="D208" s="14" t="s">
        <v>352</v>
      </c>
      <c r="E208" s="15" t="n">
        <v>280000</v>
      </c>
      <c r="F208" s="15" t="n">
        <v>3424.28</v>
      </c>
      <c r="G208" s="15" t="n">
        <v>428.04</v>
      </c>
      <c r="H208" s="15" t="n">
        <v>428.04</v>
      </c>
      <c r="I208" s="15" t="n">
        <f aca="false">SUM(K208:T208)</f>
        <v>2568.2</v>
      </c>
      <c r="J208" s="15" t="n">
        <f aca="false">F208-(G208+H208+I208)</f>
        <v>0</v>
      </c>
      <c r="K208" s="15" t="n">
        <v>256.82</v>
      </c>
      <c r="L208" s="15" t="n">
        <v>256.82</v>
      </c>
      <c r="M208" s="15" t="n">
        <v>256.82</v>
      </c>
      <c r="N208" s="15" t="n">
        <v>256.82</v>
      </c>
      <c r="O208" s="15" t="n">
        <v>256.82</v>
      </c>
      <c r="P208" s="15" t="n">
        <v>256.82</v>
      </c>
      <c r="Q208" s="15" t="n">
        <v>256.82</v>
      </c>
      <c r="R208" s="15" t="n">
        <v>256.82</v>
      </c>
      <c r="S208" s="15" t="n">
        <v>256.82</v>
      </c>
      <c r="T208" s="15" t="n">
        <v>256.82</v>
      </c>
      <c r="U208" s="15" t="n">
        <v>350</v>
      </c>
      <c r="V208" s="15" t="n">
        <v>0</v>
      </c>
      <c r="W208" s="15" t="n">
        <f aca="false">U208+V208</f>
        <v>350</v>
      </c>
    </row>
    <row r="209" customFormat="false" ht="15" hidden="false" customHeight="false" outlineLevel="0" collapsed="false">
      <c r="A209" s="3" t="s">
        <v>3129</v>
      </c>
      <c r="B209" s="3" t="s">
        <v>2930</v>
      </c>
      <c r="C209" s="3" t="s">
        <v>305</v>
      </c>
      <c r="D209" s="3" t="s">
        <v>193</v>
      </c>
      <c r="E209" s="13" t="n">
        <v>255000</v>
      </c>
      <c r="F209" s="13" t="n">
        <v>3449.71</v>
      </c>
      <c r="G209" s="13" t="n">
        <v>431.21</v>
      </c>
      <c r="H209" s="13" t="n">
        <v>431.21</v>
      </c>
      <c r="I209" s="13" t="n">
        <f aca="false">SUM(K209:T209)</f>
        <v>2587.3</v>
      </c>
      <c r="J209" s="13" t="n">
        <f aca="false">F209-(G209+H209+I209)</f>
        <v>-0.0100000000002183</v>
      </c>
      <c r="K209" s="13" t="n">
        <v>258.73</v>
      </c>
      <c r="L209" s="13" t="n">
        <v>258.73</v>
      </c>
      <c r="M209" s="13" t="n">
        <v>258.73</v>
      </c>
      <c r="N209" s="13" t="n">
        <v>258.73</v>
      </c>
      <c r="O209" s="13" t="n">
        <v>258.73</v>
      </c>
      <c r="P209" s="13" t="n">
        <v>258.73</v>
      </c>
      <c r="Q209" s="13" t="n">
        <v>258.73</v>
      </c>
      <c r="R209" s="13" t="n">
        <v>258.73</v>
      </c>
      <c r="S209" s="13" t="n">
        <v>258.73</v>
      </c>
      <c r="T209" s="13" t="n">
        <v>258.73</v>
      </c>
      <c r="U209" s="13" t="n">
        <v>350</v>
      </c>
      <c r="V209" s="13" t="n">
        <v>0</v>
      </c>
      <c r="W209" s="13" t="n">
        <f aca="false">U209+V209</f>
        <v>350</v>
      </c>
    </row>
    <row r="210" customFormat="false" ht="15" hidden="false" customHeight="false" outlineLevel="0" collapsed="false">
      <c r="A210" s="14" t="s">
        <v>3130</v>
      </c>
      <c r="B210" s="14" t="s">
        <v>2945</v>
      </c>
      <c r="C210" s="14" t="s">
        <v>1255</v>
      </c>
      <c r="D210" s="14" t="s">
        <v>298</v>
      </c>
      <c r="E210" s="15" t="n">
        <v>635000</v>
      </c>
      <c r="F210" s="15" t="n">
        <v>10968.32</v>
      </c>
      <c r="G210" s="15" t="n">
        <v>1371.04</v>
      </c>
      <c r="H210" s="15" t="n">
        <v>1371.04</v>
      </c>
      <c r="I210" s="15" t="n">
        <f aca="false">SUM(K210:T210)</f>
        <v>8226.2</v>
      </c>
      <c r="J210" s="15" t="n">
        <f aca="false">F210-(G210+H210+I210)</f>
        <v>0.0399999999990541</v>
      </c>
      <c r="K210" s="15" t="n">
        <v>822.62</v>
      </c>
      <c r="L210" s="15" t="n">
        <v>822.62</v>
      </c>
      <c r="M210" s="15" t="n">
        <v>822.62</v>
      </c>
      <c r="N210" s="15" t="n">
        <v>822.62</v>
      </c>
      <c r="O210" s="15" t="n">
        <v>822.62</v>
      </c>
      <c r="P210" s="15" t="n">
        <v>822.62</v>
      </c>
      <c r="Q210" s="15" t="n">
        <v>822.62</v>
      </c>
      <c r="R210" s="15" t="n">
        <v>822.62</v>
      </c>
      <c r="S210" s="15" t="n">
        <v>822.62</v>
      </c>
      <c r="T210" s="15" t="n">
        <v>822.62</v>
      </c>
      <c r="U210" s="15" t="n">
        <v>350</v>
      </c>
      <c r="V210" s="15" t="n">
        <v>0</v>
      </c>
      <c r="W210" s="15" t="n">
        <f aca="false">U210+V210</f>
        <v>350</v>
      </c>
    </row>
    <row r="211" customFormat="false" ht="15" hidden="false" customHeight="false" outlineLevel="0" collapsed="false">
      <c r="A211" s="3" t="s">
        <v>3131</v>
      </c>
      <c r="B211" s="3" t="s">
        <v>2897</v>
      </c>
      <c r="C211" s="3" t="s">
        <v>330</v>
      </c>
      <c r="D211" s="3" t="s">
        <v>85</v>
      </c>
      <c r="E211" s="13" t="n">
        <v>1950000</v>
      </c>
      <c r="F211" s="13" t="n">
        <v>31290.42</v>
      </c>
      <c r="G211" s="13" t="n">
        <v>3911.3</v>
      </c>
      <c r="H211" s="13" t="n">
        <v>3911.3</v>
      </c>
      <c r="I211" s="13" t="n">
        <f aca="false">SUM(K211:T211)</f>
        <v>23467.8</v>
      </c>
      <c r="J211" s="13" t="n">
        <f aca="false">F211-(G211+H211+I211)</f>
        <v>0.0199999999967986</v>
      </c>
      <c r="K211" s="13" t="n">
        <v>2346.78</v>
      </c>
      <c r="L211" s="13" t="n">
        <v>2346.78</v>
      </c>
      <c r="M211" s="13" t="n">
        <v>2346.78</v>
      </c>
      <c r="N211" s="13" t="n">
        <v>2346.78</v>
      </c>
      <c r="O211" s="13" t="n">
        <v>2346.78</v>
      </c>
      <c r="P211" s="13" t="n">
        <v>2346.78</v>
      </c>
      <c r="Q211" s="13" t="n">
        <v>2346.78</v>
      </c>
      <c r="R211" s="13" t="n">
        <v>2346.78</v>
      </c>
      <c r="S211" s="13" t="n">
        <v>2346.78</v>
      </c>
      <c r="T211" s="13" t="n">
        <v>2346.78</v>
      </c>
      <c r="U211" s="13" t="n">
        <v>350</v>
      </c>
      <c r="V211" s="13" t="n">
        <v>250</v>
      </c>
      <c r="W211" s="13" t="n">
        <f aca="false">U211+V211</f>
        <v>600</v>
      </c>
    </row>
    <row r="212" customFormat="false" ht="15" hidden="false" customHeight="false" outlineLevel="0" collapsed="false">
      <c r="A212" s="14" t="s">
        <v>3132</v>
      </c>
      <c r="B212" s="14" t="s">
        <v>2955</v>
      </c>
      <c r="C212" s="14" t="s">
        <v>2429</v>
      </c>
      <c r="D212" s="14" t="s">
        <v>208</v>
      </c>
      <c r="E212" s="15" t="n">
        <v>715000</v>
      </c>
      <c r="F212" s="15" t="n">
        <v>8718.36</v>
      </c>
      <c r="G212" s="15" t="n">
        <v>1089.8</v>
      </c>
      <c r="H212" s="15" t="n">
        <v>1089.8</v>
      </c>
      <c r="I212" s="15" t="n">
        <f aca="false">SUM(K212:T212)</f>
        <v>6538.8</v>
      </c>
      <c r="J212" s="15" t="n">
        <f aca="false">F212-(G212+H212+I212)</f>
        <v>-0.0399999999990541</v>
      </c>
      <c r="K212" s="15" t="n">
        <v>653.88</v>
      </c>
      <c r="L212" s="15" t="n">
        <v>653.88</v>
      </c>
      <c r="M212" s="15" t="n">
        <v>653.88</v>
      </c>
      <c r="N212" s="15" t="n">
        <v>653.88</v>
      </c>
      <c r="O212" s="15" t="n">
        <v>653.88</v>
      </c>
      <c r="P212" s="15" t="n">
        <v>653.88</v>
      </c>
      <c r="Q212" s="15" t="n">
        <v>653.88</v>
      </c>
      <c r="R212" s="15" t="n">
        <v>653.88</v>
      </c>
      <c r="S212" s="15" t="n">
        <v>653.88</v>
      </c>
      <c r="T212" s="15" t="n">
        <v>653.88</v>
      </c>
      <c r="U212" s="15" t="n">
        <v>350</v>
      </c>
      <c r="V212" s="15" t="n">
        <v>0</v>
      </c>
      <c r="W212" s="15" t="n">
        <f aca="false">U212+V212</f>
        <v>350</v>
      </c>
    </row>
    <row r="213" customFormat="false" ht="15" hidden="false" customHeight="false" outlineLevel="0" collapsed="false">
      <c r="A213" s="3" t="s">
        <v>3133</v>
      </c>
      <c r="B213" s="3" t="s">
        <v>2945</v>
      </c>
      <c r="C213" s="3" t="s">
        <v>2639</v>
      </c>
      <c r="D213" s="3" t="s">
        <v>121</v>
      </c>
      <c r="E213" s="13" t="n">
        <v>615000</v>
      </c>
      <c r="F213" s="13" t="n">
        <v>7037.53</v>
      </c>
      <c r="G213" s="13" t="n">
        <v>879.69</v>
      </c>
      <c r="H213" s="13" t="n">
        <v>879.69</v>
      </c>
      <c r="I213" s="13" t="n">
        <f aca="false">SUM(K213:T213)</f>
        <v>5278.1</v>
      </c>
      <c r="J213" s="13" t="n">
        <f aca="false">F213-(G213+H213+I213)</f>
        <v>0.0500000000010914</v>
      </c>
      <c r="K213" s="13" t="n">
        <v>527.81</v>
      </c>
      <c r="L213" s="13" t="n">
        <v>527.81</v>
      </c>
      <c r="M213" s="13" t="n">
        <v>527.81</v>
      </c>
      <c r="N213" s="13" t="n">
        <v>527.81</v>
      </c>
      <c r="O213" s="13" t="n">
        <v>527.81</v>
      </c>
      <c r="P213" s="13" t="n">
        <v>527.81</v>
      </c>
      <c r="Q213" s="13" t="n">
        <v>527.81</v>
      </c>
      <c r="R213" s="13" t="n">
        <v>527.81</v>
      </c>
      <c r="S213" s="13" t="n">
        <v>527.81</v>
      </c>
      <c r="T213" s="13" t="n">
        <v>527.81</v>
      </c>
      <c r="U213" s="13" t="n">
        <v>350</v>
      </c>
      <c r="V213" s="13" t="n">
        <v>0</v>
      </c>
      <c r="W213" s="13" t="n">
        <f aca="false">U213+V213</f>
        <v>350</v>
      </c>
    </row>
    <row r="214" customFormat="false" ht="15" hidden="false" customHeight="false" outlineLevel="0" collapsed="false">
      <c r="A214" s="14" t="s">
        <v>3134</v>
      </c>
      <c r="B214" s="14" t="s">
        <v>2934</v>
      </c>
      <c r="C214" s="14" t="s">
        <v>398</v>
      </c>
      <c r="D214" s="14" t="s">
        <v>180</v>
      </c>
      <c r="E214" s="15" t="n">
        <v>430000</v>
      </c>
      <c r="F214" s="15" t="n">
        <v>5631.02</v>
      </c>
      <c r="G214" s="15" t="n">
        <v>703.88</v>
      </c>
      <c r="H214" s="15" t="n">
        <v>703.88</v>
      </c>
      <c r="I214" s="15" t="n">
        <f aca="false">SUM(K214:T214)</f>
        <v>4223.3</v>
      </c>
      <c r="J214" s="15" t="n">
        <f aca="false">F214-(G214+H214+I214)</f>
        <v>-0.0399999999999636</v>
      </c>
      <c r="K214" s="15" t="n">
        <v>422.33</v>
      </c>
      <c r="L214" s="15" t="n">
        <v>422.33</v>
      </c>
      <c r="M214" s="15" t="n">
        <v>422.33</v>
      </c>
      <c r="N214" s="15" t="n">
        <v>422.33</v>
      </c>
      <c r="O214" s="15" t="n">
        <v>422.33</v>
      </c>
      <c r="P214" s="15" t="n">
        <v>422.33</v>
      </c>
      <c r="Q214" s="15" t="n">
        <v>422.33</v>
      </c>
      <c r="R214" s="15" t="n">
        <v>422.33</v>
      </c>
      <c r="S214" s="15" t="n">
        <v>422.33</v>
      </c>
      <c r="T214" s="15" t="n">
        <v>422.33</v>
      </c>
      <c r="U214" s="15" t="n">
        <v>350</v>
      </c>
      <c r="V214" s="15" t="n">
        <v>0</v>
      </c>
      <c r="W214" s="15" t="n">
        <f aca="false">U214+V214</f>
        <v>350</v>
      </c>
    </row>
    <row r="215" customFormat="false" ht="15" hidden="false" customHeight="false" outlineLevel="0" collapsed="false">
      <c r="A215" s="3" t="s">
        <v>3135</v>
      </c>
      <c r="B215" s="3" t="s">
        <v>2930</v>
      </c>
      <c r="C215" s="3" t="s">
        <v>858</v>
      </c>
      <c r="D215" s="3" t="s">
        <v>138</v>
      </c>
      <c r="E215" s="13" t="n">
        <v>775000</v>
      </c>
      <c r="F215" s="13" t="n">
        <v>4887.14</v>
      </c>
      <c r="G215" s="13" t="n">
        <v>610.89</v>
      </c>
      <c r="H215" s="13" t="n">
        <v>610.89</v>
      </c>
      <c r="I215" s="13" t="n">
        <f aca="false">SUM(K215:T215)</f>
        <v>3665.4</v>
      </c>
      <c r="J215" s="13" t="n">
        <f aca="false">F215-(G215+H215+I215)</f>
        <v>-0.0399999999999636</v>
      </c>
      <c r="K215" s="13" t="n">
        <v>366.54</v>
      </c>
      <c r="L215" s="13" t="n">
        <v>366.54</v>
      </c>
      <c r="M215" s="13" t="n">
        <v>366.54</v>
      </c>
      <c r="N215" s="13" t="n">
        <v>366.54</v>
      </c>
      <c r="O215" s="13" t="n">
        <v>366.54</v>
      </c>
      <c r="P215" s="13" t="n">
        <v>366.54</v>
      </c>
      <c r="Q215" s="13" t="n">
        <v>366.54</v>
      </c>
      <c r="R215" s="13" t="n">
        <v>366.54</v>
      </c>
      <c r="S215" s="13" t="n">
        <v>366.54</v>
      </c>
      <c r="T215" s="13" t="n">
        <v>366.54</v>
      </c>
      <c r="U215" s="13" t="n">
        <v>350</v>
      </c>
      <c r="V215" s="13" t="n">
        <v>0</v>
      </c>
      <c r="W215" s="13" t="n">
        <f aca="false">U215+V215</f>
        <v>350</v>
      </c>
    </row>
    <row r="216" customFormat="false" ht="15" hidden="false" customHeight="false" outlineLevel="0" collapsed="false">
      <c r="A216" s="14" t="s">
        <v>3136</v>
      </c>
      <c r="B216" s="14" t="s">
        <v>2971</v>
      </c>
      <c r="C216" s="14" t="s">
        <v>487</v>
      </c>
      <c r="D216" s="14" t="s">
        <v>406</v>
      </c>
      <c r="E216" s="15" t="n">
        <v>1315000</v>
      </c>
      <c r="F216" s="15" t="n">
        <v>6706.01</v>
      </c>
      <c r="G216" s="15" t="n">
        <v>838.25</v>
      </c>
      <c r="H216" s="15" t="n">
        <v>838.25</v>
      </c>
      <c r="I216" s="15" t="n">
        <f aca="false">SUM(K216:T216)</f>
        <v>5029.5</v>
      </c>
      <c r="J216" s="15" t="n">
        <f aca="false">F216-(G216+H216+I216)</f>
        <v>0.0100000000002183</v>
      </c>
      <c r="K216" s="15" t="n">
        <v>502.95</v>
      </c>
      <c r="L216" s="15" t="n">
        <v>502.95</v>
      </c>
      <c r="M216" s="15" t="n">
        <v>502.95</v>
      </c>
      <c r="N216" s="15" t="n">
        <v>502.95</v>
      </c>
      <c r="O216" s="15" t="n">
        <v>502.95</v>
      </c>
      <c r="P216" s="15" t="n">
        <v>502.95</v>
      </c>
      <c r="Q216" s="15" t="n">
        <v>502.95</v>
      </c>
      <c r="R216" s="15" t="n">
        <v>502.95</v>
      </c>
      <c r="S216" s="15" t="n">
        <v>502.95</v>
      </c>
      <c r="T216" s="15" t="n">
        <v>502.95</v>
      </c>
      <c r="U216" s="15" t="n">
        <v>350</v>
      </c>
      <c r="V216" s="15" t="n">
        <v>250</v>
      </c>
      <c r="W216" s="15" t="n">
        <f aca="false">U216+V216</f>
        <v>600</v>
      </c>
    </row>
    <row r="217" customFormat="false" ht="15" hidden="false" customHeight="false" outlineLevel="0" collapsed="false">
      <c r="A217" s="3" t="s">
        <v>3137</v>
      </c>
      <c r="B217" s="3" t="s">
        <v>2925</v>
      </c>
      <c r="C217" s="3" t="s">
        <v>608</v>
      </c>
      <c r="D217" s="3" t="s">
        <v>132</v>
      </c>
      <c r="E217" s="13" t="n">
        <v>350000</v>
      </c>
      <c r="F217" s="13" t="n">
        <v>3787.92</v>
      </c>
      <c r="G217" s="13" t="n">
        <v>473.49</v>
      </c>
      <c r="H217" s="13" t="n">
        <v>473.49</v>
      </c>
      <c r="I217" s="13" t="n">
        <f aca="false">SUM(K217:T217)</f>
        <v>2840.9</v>
      </c>
      <c r="J217" s="13" t="n">
        <f aca="false">F217-(G217+H217+I217)</f>
        <v>0.0399999999999636</v>
      </c>
      <c r="K217" s="13" t="n">
        <v>284.09</v>
      </c>
      <c r="L217" s="13" t="n">
        <v>284.09</v>
      </c>
      <c r="M217" s="13" t="n">
        <v>284.09</v>
      </c>
      <c r="N217" s="13" t="n">
        <v>284.09</v>
      </c>
      <c r="O217" s="13" t="n">
        <v>284.09</v>
      </c>
      <c r="P217" s="13" t="n">
        <v>284.09</v>
      </c>
      <c r="Q217" s="13" t="n">
        <v>284.09</v>
      </c>
      <c r="R217" s="13" t="n">
        <v>284.09</v>
      </c>
      <c r="S217" s="13" t="n">
        <v>284.09</v>
      </c>
      <c r="T217" s="13" t="n">
        <v>284.09</v>
      </c>
      <c r="U217" s="13" t="n">
        <v>350</v>
      </c>
      <c r="V217" s="13" t="n">
        <v>0</v>
      </c>
      <c r="W217" s="13" t="n">
        <f aca="false">U217+V217</f>
        <v>350</v>
      </c>
    </row>
    <row r="218" customFormat="false" ht="15" hidden="false" customHeight="false" outlineLevel="0" collapsed="false">
      <c r="A218" s="14" t="s">
        <v>3138</v>
      </c>
      <c r="B218" s="14" t="s">
        <v>2930</v>
      </c>
      <c r="C218" s="14" t="s">
        <v>1146</v>
      </c>
      <c r="D218" s="14" t="s">
        <v>256</v>
      </c>
      <c r="E218" s="15" t="n">
        <v>670000</v>
      </c>
      <c r="F218" s="15" t="n">
        <v>8358.18</v>
      </c>
      <c r="G218" s="15" t="n">
        <v>1044.77</v>
      </c>
      <c r="H218" s="15" t="n">
        <v>1044.77</v>
      </c>
      <c r="I218" s="15" t="n">
        <f aca="false">SUM(K218:T218)</f>
        <v>6268.6</v>
      </c>
      <c r="J218" s="15" t="n">
        <f aca="false">F218-(G218+H218+I218)</f>
        <v>0.0400000000008731</v>
      </c>
      <c r="K218" s="15" t="n">
        <v>626.86</v>
      </c>
      <c r="L218" s="15" t="n">
        <v>626.86</v>
      </c>
      <c r="M218" s="15" t="n">
        <v>626.86</v>
      </c>
      <c r="N218" s="15" t="n">
        <v>626.86</v>
      </c>
      <c r="O218" s="15" t="n">
        <v>626.86</v>
      </c>
      <c r="P218" s="15" t="n">
        <v>626.86</v>
      </c>
      <c r="Q218" s="15" t="n">
        <v>626.86</v>
      </c>
      <c r="R218" s="15" t="n">
        <v>626.86</v>
      </c>
      <c r="S218" s="15" t="n">
        <v>626.86</v>
      </c>
      <c r="T218" s="15" t="n">
        <v>626.86</v>
      </c>
      <c r="U218" s="15" t="n">
        <v>350</v>
      </c>
      <c r="V218" s="15" t="n">
        <v>0</v>
      </c>
      <c r="W218" s="15" t="n">
        <f aca="false">U218+V218</f>
        <v>350</v>
      </c>
    </row>
    <row r="219" customFormat="false" ht="15" hidden="false" customHeight="false" outlineLevel="0" collapsed="false">
      <c r="A219" s="3" t="s">
        <v>3139</v>
      </c>
      <c r="B219" s="3" t="s">
        <v>2930</v>
      </c>
      <c r="C219" s="3" t="s">
        <v>882</v>
      </c>
      <c r="D219" s="3" t="s">
        <v>157</v>
      </c>
      <c r="E219" s="13" t="n">
        <v>765000</v>
      </c>
      <c r="F219" s="13" t="n">
        <v>10189.09</v>
      </c>
      <c r="G219" s="13" t="n">
        <v>1273.64</v>
      </c>
      <c r="H219" s="13" t="n">
        <v>1273.64</v>
      </c>
      <c r="I219" s="13" t="n">
        <f aca="false">SUM(K219:T219)</f>
        <v>7641.8</v>
      </c>
      <c r="J219" s="13" t="n">
        <f aca="false">F219-(G219+H219+I219)</f>
        <v>0.0100000000002183</v>
      </c>
      <c r="K219" s="13" t="n">
        <v>764.18</v>
      </c>
      <c r="L219" s="13" t="n">
        <v>764.18</v>
      </c>
      <c r="M219" s="13" t="n">
        <v>764.18</v>
      </c>
      <c r="N219" s="13" t="n">
        <v>764.18</v>
      </c>
      <c r="O219" s="13" t="n">
        <v>764.18</v>
      </c>
      <c r="P219" s="13" t="n">
        <v>764.18</v>
      </c>
      <c r="Q219" s="13" t="n">
        <v>764.18</v>
      </c>
      <c r="R219" s="13" t="n">
        <v>764.18</v>
      </c>
      <c r="S219" s="13" t="n">
        <v>764.18</v>
      </c>
      <c r="T219" s="13" t="n">
        <v>764.18</v>
      </c>
      <c r="U219" s="13" t="n">
        <v>350</v>
      </c>
      <c r="V219" s="13" t="n">
        <v>0</v>
      </c>
      <c r="W219" s="13" t="n">
        <f aca="false">U219+V219</f>
        <v>350</v>
      </c>
    </row>
    <row r="220" customFormat="false" ht="15" hidden="false" customHeight="false" outlineLevel="0" collapsed="false">
      <c r="A220" s="14" t="s">
        <v>3140</v>
      </c>
      <c r="B220" s="14" t="s">
        <v>2945</v>
      </c>
      <c r="C220" s="14" t="s">
        <v>379</v>
      </c>
      <c r="D220" s="14" t="s">
        <v>153</v>
      </c>
      <c r="E220" s="15" t="n">
        <v>300000</v>
      </c>
      <c r="F220" s="15" t="n">
        <v>5032.53</v>
      </c>
      <c r="G220" s="15" t="n">
        <v>629.07</v>
      </c>
      <c r="H220" s="15" t="n">
        <v>629.07</v>
      </c>
      <c r="I220" s="15" t="n">
        <f aca="false">SUM(K220:T220)</f>
        <v>3774.4</v>
      </c>
      <c r="J220" s="15" t="n">
        <f aca="false">F220-(G220+H220+I220)</f>
        <v>-0.0100000000002183</v>
      </c>
      <c r="K220" s="15" t="n">
        <v>377.44</v>
      </c>
      <c r="L220" s="15" t="n">
        <v>377.44</v>
      </c>
      <c r="M220" s="15" t="n">
        <v>377.44</v>
      </c>
      <c r="N220" s="15" t="n">
        <v>377.44</v>
      </c>
      <c r="O220" s="15" t="n">
        <v>377.44</v>
      </c>
      <c r="P220" s="15" t="n">
        <v>377.44</v>
      </c>
      <c r="Q220" s="15" t="n">
        <v>377.44</v>
      </c>
      <c r="R220" s="15" t="n">
        <v>377.44</v>
      </c>
      <c r="S220" s="15" t="n">
        <v>377.44</v>
      </c>
      <c r="T220" s="15" t="n">
        <v>377.44</v>
      </c>
      <c r="U220" s="15" t="n">
        <v>350</v>
      </c>
      <c r="V220" s="15" t="n">
        <v>0</v>
      </c>
      <c r="W220" s="15" t="n">
        <f aca="false">U220+V220</f>
        <v>350</v>
      </c>
    </row>
    <row r="221" customFormat="false" ht="15" hidden="false" customHeight="false" outlineLevel="0" collapsed="false">
      <c r="A221" s="3" t="s">
        <v>3141</v>
      </c>
      <c r="B221" s="3" t="s">
        <v>2914</v>
      </c>
      <c r="C221" s="3" t="s">
        <v>523</v>
      </c>
      <c r="D221" s="3" t="s">
        <v>138</v>
      </c>
      <c r="E221" s="13" t="n">
        <v>1045000</v>
      </c>
      <c r="F221" s="13" t="n">
        <v>9537.81</v>
      </c>
      <c r="G221" s="13" t="n">
        <v>1192.23</v>
      </c>
      <c r="H221" s="13" t="n">
        <v>1192.23</v>
      </c>
      <c r="I221" s="13" t="n">
        <f aca="false">SUM(K221:T221)</f>
        <v>7153.4</v>
      </c>
      <c r="J221" s="13" t="n">
        <f aca="false">F221-(G221+H221+I221)</f>
        <v>-0.0500000000010914</v>
      </c>
      <c r="K221" s="13" t="n">
        <v>715.34</v>
      </c>
      <c r="L221" s="13" t="n">
        <v>715.34</v>
      </c>
      <c r="M221" s="13" t="n">
        <v>715.34</v>
      </c>
      <c r="N221" s="13" t="n">
        <v>715.34</v>
      </c>
      <c r="O221" s="13" t="n">
        <v>715.34</v>
      </c>
      <c r="P221" s="13" t="n">
        <v>715.34</v>
      </c>
      <c r="Q221" s="13" t="n">
        <v>715.34</v>
      </c>
      <c r="R221" s="13" t="n">
        <v>715.34</v>
      </c>
      <c r="S221" s="13" t="n">
        <v>715.34</v>
      </c>
      <c r="T221" s="13" t="n">
        <v>715.34</v>
      </c>
      <c r="U221" s="13" t="n">
        <v>350</v>
      </c>
      <c r="V221" s="13" t="n">
        <v>250</v>
      </c>
      <c r="W221" s="13" t="n">
        <f aca="false">U221+V221</f>
        <v>600</v>
      </c>
    </row>
    <row r="222" customFormat="false" ht="15" hidden="false" customHeight="false" outlineLevel="0" collapsed="false">
      <c r="A222" s="14" t="s">
        <v>3142</v>
      </c>
      <c r="B222" s="14" t="s">
        <v>2893</v>
      </c>
      <c r="C222" s="14" t="s">
        <v>1221</v>
      </c>
      <c r="D222" s="14" t="s">
        <v>69</v>
      </c>
      <c r="E222" s="15" t="n">
        <v>1950000</v>
      </c>
      <c r="F222" s="15" t="n">
        <v>9280.2</v>
      </c>
      <c r="G222" s="15" t="n">
        <v>1160.03</v>
      </c>
      <c r="H222" s="15" t="n">
        <v>1160.03</v>
      </c>
      <c r="I222" s="15" t="n">
        <f aca="false">SUM(K222:T222)</f>
        <v>6960.1</v>
      </c>
      <c r="J222" s="15" t="n">
        <f aca="false">F222-(G222+H222+I222)</f>
        <v>0.0400000000008731</v>
      </c>
      <c r="K222" s="15" t="n">
        <v>696.01</v>
      </c>
      <c r="L222" s="15" t="n">
        <v>696.01</v>
      </c>
      <c r="M222" s="15" t="n">
        <v>696.01</v>
      </c>
      <c r="N222" s="15" t="n">
        <v>696.01</v>
      </c>
      <c r="O222" s="15" t="n">
        <v>696.01</v>
      </c>
      <c r="P222" s="15" t="n">
        <v>696.01</v>
      </c>
      <c r="Q222" s="15" t="n">
        <v>696.01</v>
      </c>
      <c r="R222" s="15" t="n">
        <v>696.01</v>
      </c>
      <c r="S222" s="15" t="n">
        <v>696.01</v>
      </c>
      <c r="T222" s="15" t="n">
        <v>696.01</v>
      </c>
      <c r="U222" s="15" t="n">
        <v>350</v>
      </c>
      <c r="V222" s="15" t="n">
        <v>250</v>
      </c>
      <c r="W222" s="15" t="n">
        <f aca="false">U222+V222</f>
        <v>600</v>
      </c>
    </row>
    <row r="223" customFormat="false" ht="15" hidden="false" customHeight="false" outlineLevel="0" collapsed="false">
      <c r="A223" s="3" t="s">
        <v>3143</v>
      </c>
      <c r="B223" s="3" t="s">
        <v>2981</v>
      </c>
      <c r="C223" s="3" t="s">
        <v>623</v>
      </c>
      <c r="D223" s="3" t="s">
        <v>166</v>
      </c>
      <c r="E223" s="13" t="n">
        <v>540000</v>
      </c>
      <c r="F223" s="13" t="n">
        <v>6837.75</v>
      </c>
      <c r="G223" s="13" t="n">
        <v>854.72</v>
      </c>
      <c r="H223" s="13" t="n">
        <v>854.72</v>
      </c>
      <c r="I223" s="13" t="n">
        <f aca="false">SUM(K223:T223)</f>
        <v>5128.3</v>
      </c>
      <c r="J223" s="13" t="n">
        <f aca="false">F223-(G223+H223+I223)</f>
        <v>0.0100000000002183</v>
      </c>
      <c r="K223" s="13" t="n">
        <v>512.83</v>
      </c>
      <c r="L223" s="13" t="n">
        <v>512.83</v>
      </c>
      <c r="M223" s="13" t="n">
        <v>512.83</v>
      </c>
      <c r="N223" s="13" t="n">
        <v>512.83</v>
      </c>
      <c r="O223" s="13" t="n">
        <v>512.83</v>
      </c>
      <c r="P223" s="13" t="n">
        <v>512.83</v>
      </c>
      <c r="Q223" s="13" t="n">
        <v>512.83</v>
      </c>
      <c r="R223" s="13" t="n">
        <v>512.83</v>
      </c>
      <c r="S223" s="13" t="n">
        <v>512.83</v>
      </c>
      <c r="T223" s="13" t="n">
        <v>512.83</v>
      </c>
      <c r="U223" s="13" t="n">
        <v>350</v>
      </c>
      <c r="V223" s="13" t="n">
        <v>0</v>
      </c>
      <c r="W223" s="13" t="n">
        <f aca="false">U223+V223</f>
        <v>350</v>
      </c>
    </row>
    <row r="224" customFormat="false" ht="15" hidden="false" customHeight="false" outlineLevel="0" collapsed="false">
      <c r="A224" s="14" t="s">
        <v>3144</v>
      </c>
      <c r="B224" s="14" t="s">
        <v>2904</v>
      </c>
      <c r="C224" s="14" t="s">
        <v>1356</v>
      </c>
      <c r="D224" s="14" t="s">
        <v>325</v>
      </c>
      <c r="E224" s="15" t="n">
        <v>900000</v>
      </c>
      <c r="F224" s="15" t="n">
        <v>6810.48</v>
      </c>
      <c r="G224" s="15" t="n">
        <v>851.31</v>
      </c>
      <c r="H224" s="15" t="n">
        <v>851.31</v>
      </c>
      <c r="I224" s="15" t="n">
        <f aca="false">SUM(K224:T224)</f>
        <v>5107.9</v>
      </c>
      <c r="J224" s="15" t="n">
        <f aca="false">F224-(G224+H224+I224)</f>
        <v>-0.0400000000008731</v>
      </c>
      <c r="K224" s="15" t="n">
        <v>510.79</v>
      </c>
      <c r="L224" s="15" t="n">
        <v>510.79</v>
      </c>
      <c r="M224" s="15" t="n">
        <v>510.79</v>
      </c>
      <c r="N224" s="15" t="n">
        <v>510.79</v>
      </c>
      <c r="O224" s="15" t="n">
        <v>510.79</v>
      </c>
      <c r="P224" s="15" t="n">
        <v>510.79</v>
      </c>
      <c r="Q224" s="15" t="n">
        <v>510.79</v>
      </c>
      <c r="R224" s="15" t="n">
        <v>510.79</v>
      </c>
      <c r="S224" s="15" t="n">
        <v>510.79</v>
      </c>
      <c r="T224" s="15" t="n">
        <v>510.79</v>
      </c>
      <c r="U224" s="15" t="n">
        <v>350</v>
      </c>
      <c r="V224" s="15" t="n">
        <v>0</v>
      </c>
      <c r="W224" s="15" t="n">
        <f aca="false">U224+V224</f>
        <v>350</v>
      </c>
    </row>
    <row r="225" customFormat="false" ht="15" hidden="false" customHeight="false" outlineLevel="0" collapsed="false">
      <c r="A225" s="3" t="s">
        <v>3145</v>
      </c>
      <c r="B225" s="3" t="s">
        <v>2899</v>
      </c>
      <c r="C225" s="3" t="s">
        <v>2218</v>
      </c>
      <c r="D225" s="3" t="s">
        <v>93</v>
      </c>
      <c r="E225" s="13" t="n">
        <v>655000</v>
      </c>
      <c r="F225" s="13" t="n">
        <v>7863.87</v>
      </c>
      <c r="G225" s="13" t="n">
        <v>982.98</v>
      </c>
      <c r="H225" s="13" t="n">
        <v>982.98</v>
      </c>
      <c r="I225" s="13" t="n">
        <f aca="false">SUM(K225:T225)</f>
        <v>5897.9</v>
      </c>
      <c r="J225" s="13" t="n">
        <f aca="false">F225-(G225+H225+I225)</f>
        <v>0.0100000000002183</v>
      </c>
      <c r="K225" s="13" t="n">
        <v>589.79</v>
      </c>
      <c r="L225" s="13" t="n">
        <v>589.79</v>
      </c>
      <c r="M225" s="13" t="n">
        <v>589.79</v>
      </c>
      <c r="N225" s="13" t="n">
        <v>589.79</v>
      </c>
      <c r="O225" s="13" t="n">
        <v>589.79</v>
      </c>
      <c r="P225" s="13" t="n">
        <v>589.79</v>
      </c>
      <c r="Q225" s="13" t="n">
        <v>589.79</v>
      </c>
      <c r="R225" s="13" t="n">
        <v>589.79</v>
      </c>
      <c r="S225" s="13" t="n">
        <v>589.79</v>
      </c>
      <c r="T225" s="13" t="n">
        <v>589.79</v>
      </c>
      <c r="U225" s="13" t="n">
        <v>350</v>
      </c>
      <c r="V225" s="13" t="n">
        <v>0</v>
      </c>
      <c r="W225" s="13" t="n">
        <f aca="false">U225+V225</f>
        <v>350</v>
      </c>
    </row>
    <row r="226" customFormat="false" ht="15" hidden="false" customHeight="false" outlineLevel="0" collapsed="false">
      <c r="A226" s="14" t="s">
        <v>3146</v>
      </c>
      <c r="B226" s="14" t="s">
        <v>2949</v>
      </c>
      <c r="C226" s="14" t="s">
        <v>1411</v>
      </c>
      <c r="D226" s="14" t="s">
        <v>230</v>
      </c>
      <c r="E226" s="15" t="n">
        <v>860000</v>
      </c>
      <c r="F226" s="15" t="n">
        <v>9599.1</v>
      </c>
      <c r="G226" s="15" t="n">
        <v>1199.89</v>
      </c>
      <c r="H226" s="15" t="n">
        <v>1199.89</v>
      </c>
      <c r="I226" s="15" t="n">
        <f aca="false">SUM(K226:T226)</f>
        <v>7199.3</v>
      </c>
      <c r="J226" s="15" t="n">
        <f aca="false">F226-(G226+H226+I226)</f>
        <v>0.0200000000004366</v>
      </c>
      <c r="K226" s="15" t="n">
        <v>719.93</v>
      </c>
      <c r="L226" s="15" t="n">
        <v>719.93</v>
      </c>
      <c r="M226" s="15" t="n">
        <v>719.93</v>
      </c>
      <c r="N226" s="15" t="n">
        <v>719.93</v>
      </c>
      <c r="O226" s="15" t="n">
        <v>719.93</v>
      </c>
      <c r="P226" s="15" t="n">
        <v>719.93</v>
      </c>
      <c r="Q226" s="15" t="n">
        <v>719.93</v>
      </c>
      <c r="R226" s="15" t="n">
        <v>719.93</v>
      </c>
      <c r="S226" s="15" t="n">
        <v>719.93</v>
      </c>
      <c r="T226" s="15" t="n">
        <v>719.93</v>
      </c>
      <c r="U226" s="15" t="n">
        <v>350</v>
      </c>
      <c r="V226" s="15" t="n">
        <v>0</v>
      </c>
      <c r="W226" s="15" t="n">
        <f aca="false">U226+V226</f>
        <v>350</v>
      </c>
    </row>
    <row r="227" customFormat="false" ht="15" hidden="false" customHeight="false" outlineLevel="0" collapsed="false">
      <c r="A227" s="3" t="s">
        <v>3147</v>
      </c>
      <c r="B227" s="3" t="s">
        <v>2904</v>
      </c>
      <c r="C227" s="3" t="s">
        <v>1074</v>
      </c>
      <c r="D227" s="3" t="s">
        <v>85</v>
      </c>
      <c r="E227" s="13" t="n">
        <v>1250000</v>
      </c>
      <c r="F227" s="13" t="n">
        <v>8524.64</v>
      </c>
      <c r="G227" s="13" t="n">
        <v>1065.58</v>
      </c>
      <c r="H227" s="13" t="n">
        <v>1065.58</v>
      </c>
      <c r="I227" s="13" t="n">
        <f aca="false">SUM(K227:T227)</f>
        <v>6393.5</v>
      </c>
      <c r="J227" s="13" t="n">
        <f aca="false">F227-(G227+H227+I227)</f>
        <v>-0.0200000000004366</v>
      </c>
      <c r="K227" s="13" t="n">
        <v>639.35</v>
      </c>
      <c r="L227" s="13" t="n">
        <v>639.35</v>
      </c>
      <c r="M227" s="13" t="n">
        <v>639.35</v>
      </c>
      <c r="N227" s="13" t="n">
        <v>639.35</v>
      </c>
      <c r="O227" s="13" t="n">
        <v>639.35</v>
      </c>
      <c r="P227" s="13" t="n">
        <v>639.35</v>
      </c>
      <c r="Q227" s="13" t="n">
        <v>639.35</v>
      </c>
      <c r="R227" s="13" t="n">
        <v>639.35</v>
      </c>
      <c r="S227" s="13" t="n">
        <v>639.35</v>
      </c>
      <c r="T227" s="13" t="n">
        <v>639.35</v>
      </c>
      <c r="U227" s="13" t="n">
        <v>350</v>
      </c>
      <c r="V227" s="13" t="n">
        <v>250</v>
      </c>
      <c r="W227" s="13" t="n">
        <f aca="false">U227+V227</f>
        <v>600</v>
      </c>
    </row>
    <row r="228" customFormat="false" ht="15" hidden="false" customHeight="false" outlineLevel="0" collapsed="false">
      <c r="A228" s="14" t="s">
        <v>3148</v>
      </c>
      <c r="B228" s="14" t="s">
        <v>2895</v>
      </c>
      <c r="C228" s="14" t="s">
        <v>1067</v>
      </c>
      <c r="D228" s="14" t="s">
        <v>157</v>
      </c>
      <c r="E228" s="15" t="n">
        <v>400000</v>
      </c>
      <c r="F228" s="15" t="n">
        <v>6147.26</v>
      </c>
      <c r="G228" s="15" t="n">
        <v>768.41</v>
      </c>
      <c r="H228" s="15" t="n">
        <v>768.41</v>
      </c>
      <c r="I228" s="15" t="n">
        <f aca="false">SUM(K228:T228)</f>
        <v>4610.4</v>
      </c>
      <c r="J228" s="15" t="n">
        <f aca="false">F228-(G228+H228+I228)</f>
        <v>0.0399999999999636</v>
      </c>
      <c r="K228" s="15" t="n">
        <v>461.04</v>
      </c>
      <c r="L228" s="15" t="n">
        <v>461.04</v>
      </c>
      <c r="M228" s="15" t="n">
        <v>461.04</v>
      </c>
      <c r="N228" s="15" t="n">
        <v>461.04</v>
      </c>
      <c r="O228" s="15" t="n">
        <v>461.04</v>
      </c>
      <c r="P228" s="15" t="n">
        <v>461.04</v>
      </c>
      <c r="Q228" s="15" t="n">
        <v>461.04</v>
      </c>
      <c r="R228" s="15" t="n">
        <v>461.04</v>
      </c>
      <c r="S228" s="15" t="n">
        <v>461.04</v>
      </c>
      <c r="T228" s="15" t="n">
        <v>461.04</v>
      </c>
      <c r="U228" s="15" t="n">
        <v>350</v>
      </c>
      <c r="V228" s="15" t="n">
        <v>0</v>
      </c>
      <c r="W228" s="15" t="n">
        <f aca="false">U228+V228</f>
        <v>350</v>
      </c>
    </row>
    <row r="229" customFormat="false" ht="15" hidden="false" customHeight="false" outlineLevel="0" collapsed="false">
      <c r="A229" s="3" t="s">
        <v>3149</v>
      </c>
      <c r="B229" s="3" t="s">
        <v>2899</v>
      </c>
      <c r="C229" s="3" t="s">
        <v>538</v>
      </c>
      <c r="D229" s="3" t="s">
        <v>81</v>
      </c>
      <c r="E229" s="13" t="n">
        <v>825000</v>
      </c>
      <c r="F229" s="13" t="n">
        <v>14476.36</v>
      </c>
      <c r="G229" s="13" t="n">
        <v>1809.55</v>
      </c>
      <c r="H229" s="13" t="n">
        <v>1809.55</v>
      </c>
      <c r="I229" s="13" t="n">
        <f aca="false">SUM(K229:T229)</f>
        <v>10857.3</v>
      </c>
      <c r="J229" s="13" t="n">
        <f aca="false">F229-(G229+H229+I229)</f>
        <v>-0.0399999999990541</v>
      </c>
      <c r="K229" s="13" t="n">
        <v>1085.73</v>
      </c>
      <c r="L229" s="13" t="n">
        <v>1085.73</v>
      </c>
      <c r="M229" s="13" t="n">
        <v>1085.73</v>
      </c>
      <c r="N229" s="13" t="n">
        <v>1085.73</v>
      </c>
      <c r="O229" s="13" t="n">
        <v>1085.73</v>
      </c>
      <c r="P229" s="13" t="n">
        <v>1085.73</v>
      </c>
      <c r="Q229" s="13" t="n">
        <v>1085.73</v>
      </c>
      <c r="R229" s="13" t="n">
        <v>1085.73</v>
      </c>
      <c r="S229" s="13" t="n">
        <v>1085.73</v>
      </c>
      <c r="T229" s="13" t="n">
        <v>1085.73</v>
      </c>
      <c r="U229" s="13" t="n">
        <v>350</v>
      </c>
      <c r="V229" s="13" t="n">
        <v>0</v>
      </c>
      <c r="W229" s="13" t="n">
        <f aca="false">U229+V229</f>
        <v>350</v>
      </c>
    </row>
    <row r="230" customFormat="false" ht="15" hidden="false" customHeight="false" outlineLevel="0" collapsed="false">
      <c r="A230" s="14" t="s">
        <v>3150</v>
      </c>
      <c r="B230" s="14" t="s">
        <v>2904</v>
      </c>
      <c r="C230" s="14" t="s">
        <v>2393</v>
      </c>
      <c r="D230" s="14" t="s">
        <v>93</v>
      </c>
      <c r="E230" s="15" t="n">
        <v>810000</v>
      </c>
      <c r="F230" s="15" t="n">
        <v>14213.16</v>
      </c>
      <c r="G230" s="15" t="n">
        <v>1776.64</v>
      </c>
      <c r="H230" s="15" t="n">
        <v>1776.64</v>
      </c>
      <c r="I230" s="15" t="n">
        <f aca="false">SUM(K230:T230)</f>
        <v>10659.9</v>
      </c>
      <c r="J230" s="15" t="n">
        <f aca="false">F230-(G230+H230+I230)</f>
        <v>-0.0200000000004366</v>
      </c>
      <c r="K230" s="15" t="n">
        <v>1065.99</v>
      </c>
      <c r="L230" s="15" t="n">
        <v>1065.99</v>
      </c>
      <c r="M230" s="15" t="n">
        <v>1065.99</v>
      </c>
      <c r="N230" s="15" t="n">
        <v>1065.99</v>
      </c>
      <c r="O230" s="15" t="n">
        <v>1065.99</v>
      </c>
      <c r="P230" s="15" t="n">
        <v>1065.99</v>
      </c>
      <c r="Q230" s="15" t="n">
        <v>1065.99</v>
      </c>
      <c r="R230" s="15" t="n">
        <v>1065.99</v>
      </c>
      <c r="S230" s="15" t="n">
        <v>1065.99</v>
      </c>
      <c r="T230" s="15" t="n">
        <v>1065.99</v>
      </c>
      <c r="U230" s="15" t="n">
        <v>350</v>
      </c>
      <c r="V230" s="15" t="n">
        <v>0</v>
      </c>
      <c r="W230" s="15" t="n">
        <f aca="false">U230+V230</f>
        <v>350</v>
      </c>
    </row>
    <row r="231" customFormat="false" ht="15" hidden="false" customHeight="false" outlineLevel="0" collapsed="false">
      <c r="A231" s="3" t="s">
        <v>3151</v>
      </c>
      <c r="B231" s="3" t="s">
        <v>2930</v>
      </c>
      <c r="C231" s="3" t="s">
        <v>835</v>
      </c>
      <c r="D231" s="3" t="s">
        <v>69</v>
      </c>
      <c r="E231" s="13" t="n">
        <v>1950000</v>
      </c>
      <c r="F231" s="13" t="n">
        <v>9280.2</v>
      </c>
      <c r="G231" s="13" t="n">
        <v>1160.03</v>
      </c>
      <c r="H231" s="13" t="n">
        <v>1160.03</v>
      </c>
      <c r="I231" s="13" t="n">
        <f aca="false">SUM(K231:T231)</f>
        <v>6960.1</v>
      </c>
      <c r="J231" s="13" t="n">
        <f aca="false">F231-(G231+H231+I231)</f>
        <v>0.0400000000008731</v>
      </c>
      <c r="K231" s="13" t="n">
        <v>696.01</v>
      </c>
      <c r="L231" s="13" t="n">
        <v>696.01</v>
      </c>
      <c r="M231" s="13" t="n">
        <v>696.01</v>
      </c>
      <c r="N231" s="13" t="n">
        <v>696.01</v>
      </c>
      <c r="O231" s="13" t="n">
        <v>696.01</v>
      </c>
      <c r="P231" s="13" t="n">
        <v>696.01</v>
      </c>
      <c r="Q231" s="13" t="n">
        <v>696.01</v>
      </c>
      <c r="R231" s="13" t="n">
        <v>696.01</v>
      </c>
      <c r="S231" s="13" t="n">
        <v>696.01</v>
      </c>
      <c r="T231" s="13" t="n">
        <v>696.01</v>
      </c>
      <c r="U231" s="13" t="n">
        <v>350</v>
      </c>
      <c r="V231" s="13" t="n">
        <v>250</v>
      </c>
      <c r="W231" s="13" t="n">
        <f aca="false">U231+V231</f>
        <v>600</v>
      </c>
    </row>
    <row r="232" customFormat="false" ht="15" hidden="false" customHeight="false" outlineLevel="0" collapsed="false">
      <c r="A232" s="14" t="s">
        <v>3152</v>
      </c>
      <c r="B232" s="14" t="s">
        <v>2925</v>
      </c>
      <c r="C232" s="14" t="s">
        <v>239</v>
      </c>
      <c r="D232" s="14" t="s">
        <v>112</v>
      </c>
      <c r="E232" s="15" t="n">
        <v>725000</v>
      </c>
      <c r="F232" s="15" t="n">
        <v>9441.85</v>
      </c>
      <c r="G232" s="15" t="n">
        <v>1180.23</v>
      </c>
      <c r="H232" s="15" t="n">
        <v>1180.23</v>
      </c>
      <c r="I232" s="15" t="n">
        <f aca="false">SUM(K232:T232)</f>
        <v>7081.4</v>
      </c>
      <c r="J232" s="15" t="n">
        <f aca="false">F232-(G232+H232+I232)</f>
        <v>-0.0100000000002183</v>
      </c>
      <c r="K232" s="15" t="n">
        <v>708.14</v>
      </c>
      <c r="L232" s="15" t="n">
        <v>708.14</v>
      </c>
      <c r="M232" s="15" t="n">
        <v>708.14</v>
      </c>
      <c r="N232" s="15" t="n">
        <v>708.14</v>
      </c>
      <c r="O232" s="15" t="n">
        <v>708.14</v>
      </c>
      <c r="P232" s="15" t="n">
        <v>708.14</v>
      </c>
      <c r="Q232" s="15" t="n">
        <v>708.14</v>
      </c>
      <c r="R232" s="15" t="n">
        <v>708.14</v>
      </c>
      <c r="S232" s="15" t="n">
        <v>708.14</v>
      </c>
      <c r="T232" s="15" t="n">
        <v>708.14</v>
      </c>
      <c r="U232" s="15" t="n">
        <v>350</v>
      </c>
      <c r="V232" s="15" t="n">
        <v>0</v>
      </c>
      <c r="W232" s="15" t="n">
        <f aca="false">U232+V232</f>
        <v>350</v>
      </c>
    </row>
    <row r="233" customFormat="false" ht="15" hidden="false" customHeight="false" outlineLevel="0" collapsed="false">
      <c r="A233" s="3" t="s">
        <v>3153</v>
      </c>
      <c r="B233" s="3" t="s">
        <v>2918</v>
      </c>
      <c r="C233" s="3" t="s">
        <v>342</v>
      </c>
      <c r="D233" s="3" t="s">
        <v>85</v>
      </c>
      <c r="E233" s="13" t="n">
        <v>490000</v>
      </c>
      <c r="F233" s="13" t="n">
        <v>11302.66</v>
      </c>
      <c r="G233" s="13" t="n">
        <v>1412.83</v>
      </c>
      <c r="H233" s="13" t="n">
        <v>1412.83</v>
      </c>
      <c r="I233" s="13" t="n">
        <f aca="false">SUM(K233:T233)</f>
        <v>8477</v>
      </c>
      <c r="J233" s="13" t="n">
        <f aca="false">F233-(G233+H233+I233)</f>
        <v>0</v>
      </c>
      <c r="K233" s="13" t="n">
        <v>847.7</v>
      </c>
      <c r="L233" s="13" t="n">
        <v>847.7</v>
      </c>
      <c r="M233" s="13" t="n">
        <v>847.7</v>
      </c>
      <c r="N233" s="13" t="n">
        <v>847.7</v>
      </c>
      <c r="O233" s="13" t="n">
        <v>847.7</v>
      </c>
      <c r="P233" s="13" t="n">
        <v>847.7</v>
      </c>
      <c r="Q233" s="13" t="n">
        <v>847.7</v>
      </c>
      <c r="R233" s="13" t="n">
        <v>847.7</v>
      </c>
      <c r="S233" s="13" t="n">
        <v>847.7</v>
      </c>
      <c r="T233" s="13" t="n">
        <v>847.7</v>
      </c>
      <c r="U233" s="13" t="n">
        <v>350</v>
      </c>
      <c r="V233" s="13" t="n">
        <v>0</v>
      </c>
      <c r="W233" s="13" t="n">
        <f aca="false">U233+V233</f>
        <v>350</v>
      </c>
    </row>
    <row r="234" customFormat="false" ht="15" hidden="false" customHeight="false" outlineLevel="0" collapsed="false">
      <c r="A234" s="14" t="s">
        <v>3154</v>
      </c>
      <c r="B234" s="14" t="s">
        <v>2943</v>
      </c>
      <c r="C234" s="14" t="s">
        <v>730</v>
      </c>
      <c r="D234" s="14" t="s">
        <v>121</v>
      </c>
      <c r="E234" s="15" t="n">
        <v>1065000</v>
      </c>
      <c r="F234" s="15" t="n">
        <v>10312.03</v>
      </c>
      <c r="G234" s="15" t="n">
        <v>1289</v>
      </c>
      <c r="H234" s="15" t="n">
        <v>1289</v>
      </c>
      <c r="I234" s="15" t="n">
        <f aca="false">SUM(K234:T234)</f>
        <v>7734</v>
      </c>
      <c r="J234" s="15" t="n">
        <f aca="false">F234-(G234+H234+I234)</f>
        <v>0.0300000000006548</v>
      </c>
      <c r="K234" s="15" t="n">
        <v>773.4</v>
      </c>
      <c r="L234" s="15" t="n">
        <v>773.4</v>
      </c>
      <c r="M234" s="15" t="n">
        <v>773.4</v>
      </c>
      <c r="N234" s="15" t="n">
        <v>773.4</v>
      </c>
      <c r="O234" s="15" t="n">
        <v>773.4</v>
      </c>
      <c r="P234" s="15" t="n">
        <v>773.4</v>
      </c>
      <c r="Q234" s="15" t="n">
        <v>773.4</v>
      </c>
      <c r="R234" s="15" t="n">
        <v>773.4</v>
      </c>
      <c r="S234" s="15" t="n">
        <v>773.4</v>
      </c>
      <c r="T234" s="15" t="n">
        <v>773.4</v>
      </c>
      <c r="U234" s="15" t="n">
        <v>350</v>
      </c>
      <c r="V234" s="15" t="n">
        <v>250</v>
      </c>
      <c r="W234" s="15" t="n">
        <f aca="false">U234+V234</f>
        <v>600</v>
      </c>
    </row>
    <row r="235" customFormat="false" ht="15" hidden="false" customHeight="false" outlineLevel="0" collapsed="false">
      <c r="A235" s="3" t="s">
        <v>3155</v>
      </c>
      <c r="B235" s="3" t="s">
        <v>2936</v>
      </c>
      <c r="C235" s="3" t="s">
        <v>1521</v>
      </c>
      <c r="D235" s="3" t="s">
        <v>208</v>
      </c>
      <c r="E235" s="13" t="n">
        <v>510000</v>
      </c>
      <c r="F235" s="13" t="n">
        <v>7462.43</v>
      </c>
      <c r="G235" s="13" t="n">
        <v>932.8</v>
      </c>
      <c r="H235" s="13" t="n">
        <v>932.8</v>
      </c>
      <c r="I235" s="13" t="n">
        <f aca="false">SUM(K235:T235)</f>
        <v>5596.8</v>
      </c>
      <c r="J235" s="13" t="n">
        <f aca="false">F235-(G235+H235+I235)</f>
        <v>0.0300000000006548</v>
      </c>
      <c r="K235" s="13" t="n">
        <v>559.68</v>
      </c>
      <c r="L235" s="13" t="n">
        <v>559.68</v>
      </c>
      <c r="M235" s="13" t="n">
        <v>559.68</v>
      </c>
      <c r="N235" s="13" t="n">
        <v>559.68</v>
      </c>
      <c r="O235" s="13" t="n">
        <v>559.68</v>
      </c>
      <c r="P235" s="13" t="n">
        <v>559.68</v>
      </c>
      <c r="Q235" s="13" t="n">
        <v>559.68</v>
      </c>
      <c r="R235" s="13" t="n">
        <v>559.68</v>
      </c>
      <c r="S235" s="13" t="n">
        <v>559.68</v>
      </c>
      <c r="T235" s="13" t="n">
        <v>559.68</v>
      </c>
      <c r="U235" s="13" t="n">
        <v>350</v>
      </c>
      <c r="V235" s="13" t="n">
        <v>0</v>
      </c>
      <c r="W235" s="13" t="n">
        <f aca="false">U235+V235</f>
        <v>350</v>
      </c>
    </row>
    <row r="236" customFormat="false" ht="15" hidden="false" customHeight="false" outlineLevel="0" collapsed="false">
      <c r="A236" s="14" t="s">
        <v>3156</v>
      </c>
      <c r="B236" s="14" t="s">
        <v>2943</v>
      </c>
      <c r="C236" s="14" t="s">
        <v>1929</v>
      </c>
      <c r="D236" s="14" t="s">
        <v>338</v>
      </c>
      <c r="E236" s="15" t="n">
        <v>510000</v>
      </c>
      <c r="F236" s="15" t="n">
        <v>8669.37</v>
      </c>
      <c r="G236" s="15" t="n">
        <v>1083.67</v>
      </c>
      <c r="H236" s="15" t="n">
        <v>1083.67</v>
      </c>
      <c r="I236" s="15" t="n">
        <f aca="false">SUM(K236:T236)</f>
        <v>6502</v>
      </c>
      <c r="J236" s="15" t="n">
        <f aca="false">F236-(G236+H236+I236)</f>
        <v>0.0300000000006548</v>
      </c>
      <c r="K236" s="15" t="n">
        <v>650.2</v>
      </c>
      <c r="L236" s="15" t="n">
        <v>650.2</v>
      </c>
      <c r="M236" s="15" t="n">
        <v>650.2</v>
      </c>
      <c r="N236" s="15" t="n">
        <v>650.2</v>
      </c>
      <c r="O236" s="15" t="n">
        <v>650.2</v>
      </c>
      <c r="P236" s="15" t="n">
        <v>650.2</v>
      </c>
      <c r="Q236" s="15" t="n">
        <v>650.2</v>
      </c>
      <c r="R236" s="15" t="n">
        <v>650.2</v>
      </c>
      <c r="S236" s="15" t="n">
        <v>650.2</v>
      </c>
      <c r="T236" s="15" t="n">
        <v>650.2</v>
      </c>
      <c r="U236" s="15" t="n">
        <v>350</v>
      </c>
      <c r="V236" s="15" t="n">
        <v>0</v>
      </c>
      <c r="W236" s="15" t="n">
        <f aca="false">U236+V236</f>
        <v>350</v>
      </c>
    </row>
    <row r="237" customFormat="false" ht="15" hidden="false" customHeight="false" outlineLevel="0" collapsed="false">
      <c r="A237" s="3" t="s">
        <v>3157</v>
      </c>
      <c r="B237" s="3" t="s">
        <v>2955</v>
      </c>
      <c r="C237" s="3" t="s">
        <v>92</v>
      </c>
      <c r="D237" s="3" t="s">
        <v>77</v>
      </c>
      <c r="E237" s="13" t="n">
        <v>255000</v>
      </c>
      <c r="F237" s="13" t="n">
        <v>3504.91</v>
      </c>
      <c r="G237" s="13" t="n">
        <v>438.11</v>
      </c>
      <c r="H237" s="13" t="n">
        <v>438.11</v>
      </c>
      <c r="I237" s="13" t="n">
        <f aca="false">SUM(K237:T237)</f>
        <v>2628.7</v>
      </c>
      <c r="J237" s="13" t="n">
        <f aca="false">F237-(G237+H237+I237)</f>
        <v>-0.0100000000002183</v>
      </c>
      <c r="K237" s="13" t="n">
        <v>262.87</v>
      </c>
      <c r="L237" s="13" t="n">
        <v>262.87</v>
      </c>
      <c r="M237" s="13" t="n">
        <v>262.87</v>
      </c>
      <c r="N237" s="13" t="n">
        <v>262.87</v>
      </c>
      <c r="O237" s="13" t="n">
        <v>262.87</v>
      </c>
      <c r="P237" s="13" t="n">
        <v>262.87</v>
      </c>
      <c r="Q237" s="13" t="n">
        <v>262.87</v>
      </c>
      <c r="R237" s="13" t="n">
        <v>262.87</v>
      </c>
      <c r="S237" s="13" t="n">
        <v>262.87</v>
      </c>
      <c r="T237" s="13" t="n">
        <v>262.87</v>
      </c>
      <c r="U237" s="13" t="n">
        <v>350</v>
      </c>
      <c r="V237" s="13" t="n">
        <v>0</v>
      </c>
      <c r="W237" s="13" t="n">
        <f aca="false">U237+V237</f>
        <v>350</v>
      </c>
    </row>
    <row r="238" customFormat="false" ht="15" hidden="false" customHeight="false" outlineLevel="0" collapsed="false">
      <c r="A238" s="14" t="s">
        <v>3158</v>
      </c>
      <c r="B238" s="14" t="s">
        <v>2920</v>
      </c>
      <c r="C238" s="14" t="s">
        <v>647</v>
      </c>
      <c r="D238" s="14" t="s">
        <v>279</v>
      </c>
      <c r="E238" s="15" t="n">
        <v>365000</v>
      </c>
      <c r="F238" s="15" t="n">
        <v>3594.74</v>
      </c>
      <c r="G238" s="15" t="n">
        <v>449.34</v>
      </c>
      <c r="H238" s="15" t="n">
        <v>449.34</v>
      </c>
      <c r="I238" s="15" t="n">
        <f aca="false">SUM(K238:T238)</f>
        <v>2696.1</v>
      </c>
      <c r="J238" s="15" t="n">
        <f aca="false">F238-(G238+H238+I238)</f>
        <v>-0.0400000000004184</v>
      </c>
      <c r="K238" s="15" t="n">
        <v>269.61</v>
      </c>
      <c r="L238" s="15" t="n">
        <v>269.61</v>
      </c>
      <c r="M238" s="15" t="n">
        <v>269.61</v>
      </c>
      <c r="N238" s="15" t="n">
        <v>269.61</v>
      </c>
      <c r="O238" s="15" t="n">
        <v>269.61</v>
      </c>
      <c r="P238" s="15" t="n">
        <v>269.61</v>
      </c>
      <c r="Q238" s="15" t="n">
        <v>269.61</v>
      </c>
      <c r="R238" s="15" t="n">
        <v>269.61</v>
      </c>
      <c r="S238" s="15" t="n">
        <v>269.61</v>
      </c>
      <c r="T238" s="15" t="n">
        <v>269.61</v>
      </c>
      <c r="U238" s="15" t="n">
        <v>350</v>
      </c>
      <c r="V238" s="15" t="n">
        <v>0</v>
      </c>
      <c r="W238" s="15" t="n">
        <f aca="false">U238+V238</f>
        <v>350</v>
      </c>
    </row>
    <row r="239" customFormat="false" ht="15" hidden="false" customHeight="false" outlineLevel="0" collapsed="false">
      <c r="A239" s="3" t="s">
        <v>3159</v>
      </c>
      <c r="B239" s="3" t="s">
        <v>2923</v>
      </c>
      <c r="C239" s="3" t="s">
        <v>1067</v>
      </c>
      <c r="D239" s="3" t="s">
        <v>189</v>
      </c>
      <c r="E239" s="13" t="n">
        <v>570000</v>
      </c>
      <c r="F239" s="13" t="n">
        <v>3890.52</v>
      </c>
      <c r="G239" s="13" t="n">
        <v>486.31</v>
      </c>
      <c r="H239" s="13" t="n">
        <v>486.31</v>
      </c>
      <c r="I239" s="13" t="n">
        <f aca="false">SUM(K239:T239)</f>
        <v>2917.9</v>
      </c>
      <c r="J239" s="13" t="n">
        <f aca="false">F239-(G239+H239+I239)</f>
        <v>0</v>
      </c>
      <c r="K239" s="13" t="n">
        <v>291.79</v>
      </c>
      <c r="L239" s="13" t="n">
        <v>291.79</v>
      </c>
      <c r="M239" s="13" t="n">
        <v>291.79</v>
      </c>
      <c r="N239" s="13" t="n">
        <v>291.79</v>
      </c>
      <c r="O239" s="13" t="n">
        <v>291.79</v>
      </c>
      <c r="P239" s="13" t="n">
        <v>291.79</v>
      </c>
      <c r="Q239" s="13" t="n">
        <v>291.79</v>
      </c>
      <c r="R239" s="13" t="n">
        <v>291.79</v>
      </c>
      <c r="S239" s="13" t="n">
        <v>291.79</v>
      </c>
      <c r="T239" s="13" t="n">
        <v>291.79</v>
      </c>
      <c r="U239" s="13" t="n">
        <v>350</v>
      </c>
      <c r="V239" s="13" t="n">
        <v>0</v>
      </c>
      <c r="W239" s="13" t="n">
        <f aca="false">U239+V239</f>
        <v>350</v>
      </c>
    </row>
    <row r="240" customFormat="false" ht="15" hidden="false" customHeight="false" outlineLevel="0" collapsed="false">
      <c r="A240" s="14" t="s">
        <v>3160</v>
      </c>
      <c r="B240" s="14" t="s">
        <v>2914</v>
      </c>
      <c r="C240" s="14" t="s">
        <v>471</v>
      </c>
      <c r="D240" s="14" t="s">
        <v>430</v>
      </c>
      <c r="E240" s="15" t="n">
        <v>420000</v>
      </c>
      <c r="F240" s="15" t="n">
        <v>4500.05</v>
      </c>
      <c r="G240" s="15" t="n">
        <v>562.51</v>
      </c>
      <c r="H240" s="15" t="n">
        <v>562.51</v>
      </c>
      <c r="I240" s="15" t="n">
        <f aca="false">SUM(K240:T240)</f>
        <v>3375</v>
      </c>
      <c r="J240" s="15" t="n">
        <f aca="false">F240-(G240+H240+I240)</f>
        <v>0.0299999999997453</v>
      </c>
      <c r="K240" s="15" t="n">
        <v>337.5</v>
      </c>
      <c r="L240" s="15" t="n">
        <v>337.5</v>
      </c>
      <c r="M240" s="15" t="n">
        <v>337.5</v>
      </c>
      <c r="N240" s="15" t="n">
        <v>337.5</v>
      </c>
      <c r="O240" s="15" t="n">
        <v>337.5</v>
      </c>
      <c r="P240" s="15" t="n">
        <v>337.5</v>
      </c>
      <c r="Q240" s="15" t="n">
        <v>337.5</v>
      </c>
      <c r="R240" s="15" t="n">
        <v>337.5</v>
      </c>
      <c r="S240" s="15" t="n">
        <v>337.5</v>
      </c>
      <c r="T240" s="15" t="n">
        <v>337.5</v>
      </c>
      <c r="U240" s="15" t="n">
        <v>350</v>
      </c>
      <c r="V240" s="15" t="n">
        <v>0</v>
      </c>
      <c r="W240" s="15" t="n">
        <f aca="false">U240+V240</f>
        <v>350</v>
      </c>
    </row>
    <row r="241" customFormat="false" ht="15" hidden="false" customHeight="false" outlineLevel="0" collapsed="false">
      <c r="A241" s="3" t="s">
        <v>3161</v>
      </c>
      <c r="B241" s="3" t="s">
        <v>2943</v>
      </c>
      <c r="C241" s="3" t="s">
        <v>737</v>
      </c>
      <c r="D241" s="3" t="s">
        <v>157</v>
      </c>
      <c r="E241" s="13" t="n">
        <v>655000</v>
      </c>
      <c r="F241" s="13" t="n">
        <v>8723.99</v>
      </c>
      <c r="G241" s="13" t="n">
        <v>1090.5</v>
      </c>
      <c r="H241" s="13" t="n">
        <v>1090.5</v>
      </c>
      <c r="I241" s="13" t="n">
        <f aca="false">SUM(K241:T241)</f>
        <v>6543</v>
      </c>
      <c r="J241" s="13" t="n">
        <f aca="false">F241-(G241+H241+I241)</f>
        <v>-0.0100000000002183</v>
      </c>
      <c r="K241" s="13" t="n">
        <v>654.3</v>
      </c>
      <c r="L241" s="13" t="n">
        <v>654.3</v>
      </c>
      <c r="M241" s="13" t="n">
        <v>654.3</v>
      </c>
      <c r="N241" s="13" t="n">
        <v>654.3</v>
      </c>
      <c r="O241" s="13" t="n">
        <v>654.3</v>
      </c>
      <c r="P241" s="13" t="n">
        <v>654.3</v>
      </c>
      <c r="Q241" s="13" t="n">
        <v>654.3</v>
      </c>
      <c r="R241" s="13" t="n">
        <v>654.3</v>
      </c>
      <c r="S241" s="13" t="n">
        <v>654.3</v>
      </c>
      <c r="T241" s="13" t="n">
        <v>654.3</v>
      </c>
      <c r="U241" s="13" t="n">
        <v>350</v>
      </c>
      <c r="V241" s="13" t="n">
        <v>0</v>
      </c>
      <c r="W241" s="13" t="n">
        <f aca="false">U241+V241</f>
        <v>350</v>
      </c>
    </row>
    <row r="242" customFormat="false" ht="15" hidden="false" customHeight="false" outlineLevel="0" collapsed="false">
      <c r="A242" s="14" t="s">
        <v>3162</v>
      </c>
      <c r="B242" s="14" t="s">
        <v>2906</v>
      </c>
      <c r="C242" s="14" t="s">
        <v>1264</v>
      </c>
      <c r="D242" s="14" t="s">
        <v>448</v>
      </c>
      <c r="E242" s="15" t="n">
        <v>815000</v>
      </c>
      <c r="F242" s="15" t="n">
        <v>8103.06</v>
      </c>
      <c r="G242" s="15" t="n">
        <v>1012.88</v>
      </c>
      <c r="H242" s="15" t="n">
        <v>1012.88</v>
      </c>
      <c r="I242" s="15" t="n">
        <f aca="false">SUM(K242:T242)</f>
        <v>6077.3</v>
      </c>
      <c r="J242" s="15" t="n">
        <f aca="false">F242-(G242+H242+I242)</f>
        <v>0</v>
      </c>
      <c r="K242" s="15" t="n">
        <v>607.73</v>
      </c>
      <c r="L242" s="15" t="n">
        <v>607.73</v>
      </c>
      <c r="M242" s="15" t="n">
        <v>607.73</v>
      </c>
      <c r="N242" s="15" t="n">
        <v>607.73</v>
      </c>
      <c r="O242" s="15" t="n">
        <v>607.73</v>
      </c>
      <c r="P242" s="15" t="n">
        <v>607.73</v>
      </c>
      <c r="Q242" s="15" t="n">
        <v>607.73</v>
      </c>
      <c r="R242" s="15" t="n">
        <v>607.73</v>
      </c>
      <c r="S242" s="15" t="n">
        <v>607.73</v>
      </c>
      <c r="T242" s="15" t="n">
        <v>607.73</v>
      </c>
      <c r="U242" s="15" t="n">
        <v>350</v>
      </c>
      <c r="V242" s="15" t="n">
        <v>0</v>
      </c>
      <c r="W242" s="15" t="n">
        <f aca="false">U242+V242</f>
        <v>350</v>
      </c>
    </row>
    <row r="243" customFormat="false" ht="15" hidden="false" customHeight="false" outlineLevel="0" collapsed="false">
      <c r="A243" s="3" t="s">
        <v>3163</v>
      </c>
      <c r="B243" s="3" t="s">
        <v>2936</v>
      </c>
      <c r="C243" s="3" t="s">
        <v>1432</v>
      </c>
      <c r="D243" s="3" t="s">
        <v>256</v>
      </c>
      <c r="E243" s="13" t="n">
        <v>230000</v>
      </c>
      <c r="F243" s="13" t="n">
        <v>4061.06</v>
      </c>
      <c r="G243" s="13" t="n">
        <v>507.63</v>
      </c>
      <c r="H243" s="13" t="n">
        <v>507.63</v>
      </c>
      <c r="I243" s="13" t="n">
        <f aca="false">SUM(K243:T243)</f>
        <v>3045.8</v>
      </c>
      <c r="J243" s="13" t="n">
        <f aca="false">F243-(G243+H243+I243)</f>
        <v>0</v>
      </c>
      <c r="K243" s="13" t="n">
        <v>304.58</v>
      </c>
      <c r="L243" s="13" t="n">
        <v>304.58</v>
      </c>
      <c r="M243" s="13" t="n">
        <v>304.58</v>
      </c>
      <c r="N243" s="13" t="n">
        <v>304.58</v>
      </c>
      <c r="O243" s="13" t="n">
        <v>304.58</v>
      </c>
      <c r="P243" s="13" t="n">
        <v>304.58</v>
      </c>
      <c r="Q243" s="13" t="n">
        <v>304.58</v>
      </c>
      <c r="R243" s="13" t="n">
        <v>304.58</v>
      </c>
      <c r="S243" s="13" t="n">
        <v>304.58</v>
      </c>
      <c r="T243" s="13" t="n">
        <v>304.58</v>
      </c>
      <c r="U243" s="13" t="n">
        <v>350</v>
      </c>
      <c r="V243" s="13" t="n">
        <v>0</v>
      </c>
      <c r="W243" s="13" t="n">
        <f aca="false">U243+V243</f>
        <v>350</v>
      </c>
    </row>
    <row r="244" customFormat="false" ht="15" hidden="false" customHeight="false" outlineLevel="0" collapsed="false">
      <c r="A244" s="14" t="s">
        <v>3164</v>
      </c>
      <c r="B244" s="14" t="s">
        <v>2928</v>
      </c>
      <c r="C244" s="14" t="s">
        <v>1015</v>
      </c>
      <c r="D244" s="14" t="s">
        <v>698</v>
      </c>
      <c r="E244" s="15" t="n">
        <v>435000</v>
      </c>
      <c r="F244" s="15" t="n">
        <v>6449.75</v>
      </c>
      <c r="G244" s="15" t="n">
        <v>806.22</v>
      </c>
      <c r="H244" s="15" t="n">
        <v>806.22</v>
      </c>
      <c r="I244" s="15" t="n">
        <f aca="false">SUM(K244:T244)</f>
        <v>4837.3</v>
      </c>
      <c r="J244" s="15" t="n">
        <f aca="false">F244-(G244+H244+I244)</f>
        <v>0.0100000000002183</v>
      </c>
      <c r="K244" s="15" t="n">
        <v>483.73</v>
      </c>
      <c r="L244" s="15" t="n">
        <v>483.73</v>
      </c>
      <c r="M244" s="15" t="n">
        <v>483.73</v>
      </c>
      <c r="N244" s="15" t="n">
        <v>483.73</v>
      </c>
      <c r="O244" s="15" t="n">
        <v>483.73</v>
      </c>
      <c r="P244" s="15" t="n">
        <v>483.73</v>
      </c>
      <c r="Q244" s="15" t="n">
        <v>483.73</v>
      </c>
      <c r="R244" s="15" t="n">
        <v>483.73</v>
      </c>
      <c r="S244" s="15" t="n">
        <v>483.73</v>
      </c>
      <c r="T244" s="15" t="n">
        <v>483.73</v>
      </c>
      <c r="U244" s="15" t="n">
        <v>350</v>
      </c>
      <c r="V244" s="15" t="n">
        <v>0</v>
      </c>
      <c r="W244" s="15" t="n">
        <f aca="false">U244+V244</f>
        <v>350</v>
      </c>
    </row>
    <row r="245" customFormat="false" ht="15" hidden="false" customHeight="false" outlineLevel="0" collapsed="false">
      <c r="A245" s="3" t="s">
        <v>3165</v>
      </c>
      <c r="B245" s="3" t="s">
        <v>2923</v>
      </c>
      <c r="C245" s="3" t="s">
        <v>551</v>
      </c>
      <c r="D245" s="3" t="s">
        <v>93</v>
      </c>
      <c r="E245" s="13" t="n">
        <v>720000</v>
      </c>
      <c r="F245" s="13" t="n">
        <v>8644.26</v>
      </c>
      <c r="G245" s="13" t="n">
        <v>1080.53</v>
      </c>
      <c r="H245" s="13" t="n">
        <v>1080.53</v>
      </c>
      <c r="I245" s="13" t="n">
        <f aca="false">SUM(K245:T245)</f>
        <v>6483.2</v>
      </c>
      <c r="J245" s="13" t="n">
        <f aca="false">F245-(G245+H245+I245)</f>
        <v>0</v>
      </c>
      <c r="K245" s="13" t="n">
        <v>648.32</v>
      </c>
      <c r="L245" s="13" t="n">
        <v>648.32</v>
      </c>
      <c r="M245" s="13" t="n">
        <v>648.32</v>
      </c>
      <c r="N245" s="13" t="n">
        <v>648.32</v>
      </c>
      <c r="O245" s="13" t="n">
        <v>648.32</v>
      </c>
      <c r="P245" s="13" t="n">
        <v>648.32</v>
      </c>
      <c r="Q245" s="13" t="n">
        <v>648.32</v>
      </c>
      <c r="R245" s="13" t="n">
        <v>648.32</v>
      </c>
      <c r="S245" s="13" t="n">
        <v>648.32</v>
      </c>
      <c r="T245" s="13" t="n">
        <v>648.32</v>
      </c>
      <c r="U245" s="13" t="n">
        <v>350</v>
      </c>
      <c r="V245" s="13" t="n">
        <v>0</v>
      </c>
      <c r="W245" s="13" t="n">
        <f aca="false">U245+V245</f>
        <v>350</v>
      </c>
    </row>
    <row r="246" customFormat="false" ht="15" hidden="false" customHeight="false" outlineLevel="0" collapsed="false">
      <c r="A246" s="14" t="s">
        <v>3166</v>
      </c>
      <c r="B246" s="14" t="s">
        <v>2962</v>
      </c>
      <c r="C246" s="14" t="s">
        <v>835</v>
      </c>
      <c r="D246" s="14" t="s">
        <v>251</v>
      </c>
      <c r="E246" s="15" t="n">
        <v>555000</v>
      </c>
      <c r="F246" s="15" t="n">
        <v>5830.38</v>
      </c>
      <c r="G246" s="15" t="n">
        <v>728.8</v>
      </c>
      <c r="H246" s="15" t="n">
        <v>728.8</v>
      </c>
      <c r="I246" s="15" t="n">
        <f aca="false">SUM(K246:T246)</f>
        <v>4372.8</v>
      </c>
      <c r="J246" s="15" t="n">
        <f aca="false">F246-(G246+H246+I246)</f>
        <v>-0.0199999999995271</v>
      </c>
      <c r="K246" s="15" t="n">
        <v>437.28</v>
      </c>
      <c r="L246" s="15" t="n">
        <v>437.28</v>
      </c>
      <c r="M246" s="15" t="n">
        <v>437.28</v>
      </c>
      <c r="N246" s="15" t="n">
        <v>437.28</v>
      </c>
      <c r="O246" s="15" t="n">
        <v>437.28</v>
      </c>
      <c r="P246" s="15" t="n">
        <v>437.28</v>
      </c>
      <c r="Q246" s="15" t="n">
        <v>437.28</v>
      </c>
      <c r="R246" s="15" t="n">
        <v>437.28</v>
      </c>
      <c r="S246" s="15" t="n">
        <v>437.28</v>
      </c>
      <c r="T246" s="15" t="n">
        <v>437.28</v>
      </c>
      <c r="U246" s="15" t="n">
        <v>350</v>
      </c>
      <c r="V246" s="15" t="n">
        <v>0</v>
      </c>
      <c r="W246" s="15" t="n">
        <f aca="false">U246+V246</f>
        <v>350</v>
      </c>
    </row>
    <row r="247" customFormat="false" ht="15" hidden="false" customHeight="false" outlineLevel="0" collapsed="false">
      <c r="A247" s="3" t="s">
        <v>3167</v>
      </c>
      <c r="B247" s="3" t="s">
        <v>2943</v>
      </c>
      <c r="C247" s="3" t="s">
        <v>1963</v>
      </c>
      <c r="D247" s="3" t="s">
        <v>180</v>
      </c>
      <c r="E247" s="13" t="n">
        <v>395000</v>
      </c>
      <c r="F247" s="13" t="n">
        <v>5172.68</v>
      </c>
      <c r="G247" s="13" t="n">
        <v>646.59</v>
      </c>
      <c r="H247" s="13" t="n">
        <v>646.59</v>
      </c>
      <c r="I247" s="13" t="n">
        <f aca="false">SUM(K247:T247)</f>
        <v>3879.5</v>
      </c>
      <c r="J247" s="13" t="n">
        <f aca="false">F247-(G247+H247+I247)</f>
        <v>0</v>
      </c>
      <c r="K247" s="13" t="n">
        <v>387.95</v>
      </c>
      <c r="L247" s="13" t="n">
        <v>387.95</v>
      </c>
      <c r="M247" s="13" t="n">
        <v>387.95</v>
      </c>
      <c r="N247" s="13" t="n">
        <v>387.95</v>
      </c>
      <c r="O247" s="13" t="n">
        <v>387.95</v>
      </c>
      <c r="P247" s="13" t="n">
        <v>387.95</v>
      </c>
      <c r="Q247" s="13" t="n">
        <v>387.95</v>
      </c>
      <c r="R247" s="13" t="n">
        <v>387.95</v>
      </c>
      <c r="S247" s="13" t="n">
        <v>387.95</v>
      </c>
      <c r="T247" s="13" t="n">
        <v>387.95</v>
      </c>
      <c r="U247" s="13" t="n">
        <v>350</v>
      </c>
      <c r="V247" s="13" t="n">
        <v>0</v>
      </c>
      <c r="W247" s="13" t="n">
        <f aca="false">U247+V247</f>
        <v>350</v>
      </c>
    </row>
    <row r="248" customFormat="false" ht="15" hidden="false" customHeight="false" outlineLevel="0" collapsed="false">
      <c r="A248" s="14" t="s">
        <v>3168</v>
      </c>
      <c r="B248" s="14" t="s">
        <v>2904</v>
      </c>
      <c r="C248" s="14" t="s">
        <v>1785</v>
      </c>
      <c r="D248" s="14" t="s">
        <v>69</v>
      </c>
      <c r="E248" s="15" t="n">
        <v>1095000</v>
      </c>
      <c r="F248" s="15" t="n">
        <v>5824.27</v>
      </c>
      <c r="G248" s="15" t="n">
        <v>728.03</v>
      </c>
      <c r="H248" s="15" t="n">
        <v>728.03</v>
      </c>
      <c r="I248" s="15" t="n">
        <f aca="false">SUM(K248:T248)</f>
        <v>4368.2</v>
      </c>
      <c r="J248" s="15" t="n">
        <f aca="false">F248-(G248+H248+I248)</f>
        <v>0.0100000000002183</v>
      </c>
      <c r="K248" s="15" t="n">
        <v>436.82</v>
      </c>
      <c r="L248" s="15" t="n">
        <v>436.82</v>
      </c>
      <c r="M248" s="15" t="n">
        <v>436.82</v>
      </c>
      <c r="N248" s="15" t="n">
        <v>436.82</v>
      </c>
      <c r="O248" s="15" t="n">
        <v>436.82</v>
      </c>
      <c r="P248" s="15" t="n">
        <v>436.82</v>
      </c>
      <c r="Q248" s="15" t="n">
        <v>436.82</v>
      </c>
      <c r="R248" s="15" t="n">
        <v>436.82</v>
      </c>
      <c r="S248" s="15" t="n">
        <v>436.82</v>
      </c>
      <c r="T248" s="15" t="n">
        <v>436.82</v>
      </c>
      <c r="U248" s="15" t="n">
        <v>350</v>
      </c>
      <c r="V248" s="15" t="n">
        <v>250</v>
      </c>
      <c r="W248" s="15" t="n">
        <f aca="false">U248+V248</f>
        <v>600</v>
      </c>
    </row>
    <row r="249" customFormat="false" ht="15" hidden="false" customHeight="false" outlineLevel="0" collapsed="false">
      <c r="A249" s="3" t="s">
        <v>3169</v>
      </c>
      <c r="B249" s="3" t="s">
        <v>2916</v>
      </c>
      <c r="C249" s="3" t="s">
        <v>1931</v>
      </c>
      <c r="D249" s="3" t="s">
        <v>99</v>
      </c>
      <c r="E249" s="13" t="n">
        <v>1035000</v>
      </c>
      <c r="F249" s="13" t="n">
        <v>7718.54</v>
      </c>
      <c r="G249" s="13" t="n">
        <v>964.82</v>
      </c>
      <c r="H249" s="13" t="n">
        <v>964.82</v>
      </c>
      <c r="I249" s="13" t="n">
        <f aca="false">SUM(K249:T249)</f>
        <v>5788.9</v>
      </c>
      <c r="J249" s="13" t="n">
        <f aca="false">F249-(G249+H249+I249)</f>
        <v>0</v>
      </c>
      <c r="K249" s="13" t="n">
        <v>578.89</v>
      </c>
      <c r="L249" s="13" t="n">
        <v>578.89</v>
      </c>
      <c r="M249" s="13" t="n">
        <v>578.89</v>
      </c>
      <c r="N249" s="13" t="n">
        <v>578.89</v>
      </c>
      <c r="O249" s="13" t="n">
        <v>578.89</v>
      </c>
      <c r="P249" s="13" t="n">
        <v>578.89</v>
      </c>
      <c r="Q249" s="13" t="n">
        <v>578.89</v>
      </c>
      <c r="R249" s="13" t="n">
        <v>578.89</v>
      </c>
      <c r="S249" s="13" t="n">
        <v>578.89</v>
      </c>
      <c r="T249" s="13" t="n">
        <v>578.89</v>
      </c>
      <c r="U249" s="13" t="n">
        <v>350</v>
      </c>
      <c r="V249" s="13" t="n">
        <v>250</v>
      </c>
      <c r="W249" s="13" t="n">
        <f aca="false">U249+V249</f>
        <v>600</v>
      </c>
    </row>
    <row r="250" customFormat="false" ht="15" hidden="false" customHeight="false" outlineLevel="0" collapsed="false">
      <c r="A250" s="14" t="s">
        <v>3170</v>
      </c>
      <c r="B250" s="14" t="s">
        <v>2918</v>
      </c>
      <c r="C250" s="14" t="s">
        <v>438</v>
      </c>
      <c r="D250" s="14" t="s">
        <v>352</v>
      </c>
      <c r="E250" s="15" t="n">
        <v>1495000</v>
      </c>
      <c r="F250" s="15" t="n">
        <v>19502.11</v>
      </c>
      <c r="G250" s="15" t="n">
        <v>2437.76</v>
      </c>
      <c r="H250" s="15" t="n">
        <v>2437.76</v>
      </c>
      <c r="I250" s="15" t="n">
        <f aca="false">SUM(K250:T250)</f>
        <v>14626.6</v>
      </c>
      <c r="J250" s="15" t="n">
        <f aca="false">F250-(G250+H250+I250)</f>
        <v>-0.0100000000020373</v>
      </c>
      <c r="K250" s="15" t="n">
        <v>1462.66</v>
      </c>
      <c r="L250" s="15" t="n">
        <v>1462.66</v>
      </c>
      <c r="M250" s="15" t="n">
        <v>1462.66</v>
      </c>
      <c r="N250" s="15" t="n">
        <v>1462.66</v>
      </c>
      <c r="O250" s="15" t="n">
        <v>1462.66</v>
      </c>
      <c r="P250" s="15" t="n">
        <v>1462.66</v>
      </c>
      <c r="Q250" s="15" t="n">
        <v>1462.66</v>
      </c>
      <c r="R250" s="15" t="n">
        <v>1462.66</v>
      </c>
      <c r="S250" s="15" t="n">
        <v>1462.66</v>
      </c>
      <c r="T250" s="15" t="n">
        <v>1462.66</v>
      </c>
      <c r="U250" s="15" t="n">
        <v>350</v>
      </c>
      <c r="V250" s="15" t="n">
        <v>250</v>
      </c>
      <c r="W250" s="15" t="n">
        <f aca="false">U250+V250</f>
        <v>600</v>
      </c>
    </row>
    <row r="251" customFormat="false" ht="15" hidden="false" customHeight="false" outlineLevel="0" collapsed="false">
      <c r="A251" s="3" t="s">
        <v>3171</v>
      </c>
      <c r="B251" s="3" t="s">
        <v>2897</v>
      </c>
      <c r="C251" s="3" t="s">
        <v>913</v>
      </c>
      <c r="D251" s="3" t="s">
        <v>125</v>
      </c>
      <c r="E251" s="13" t="n">
        <v>215000</v>
      </c>
      <c r="F251" s="13" t="n">
        <v>2740.12</v>
      </c>
      <c r="G251" s="13" t="n">
        <v>342.51</v>
      </c>
      <c r="H251" s="13" t="n">
        <v>342.51</v>
      </c>
      <c r="I251" s="13" t="n">
        <f aca="false">SUM(K251:T251)</f>
        <v>2055.1</v>
      </c>
      <c r="J251" s="13" t="n">
        <f aca="false">F251-(G251+H251+I251)</f>
        <v>0</v>
      </c>
      <c r="K251" s="13" t="n">
        <v>205.51</v>
      </c>
      <c r="L251" s="13" t="n">
        <v>205.51</v>
      </c>
      <c r="M251" s="13" t="n">
        <v>205.51</v>
      </c>
      <c r="N251" s="13" t="n">
        <v>205.51</v>
      </c>
      <c r="O251" s="13" t="n">
        <v>205.51</v>
      </c>
      <c r="P251" s="13" t="n">
        <v>205.51</v>
      </c>
      <c r="Q251" s="13" t="n">
        <v>205.51</v>
      </c>
      <c r="R251" s="13" t="n">
        <v>205.51</v>
      </c>
      <c r="S251" s="13" t="n">
        <v>205.51</v>
      </c>
      <c r="T251" s="13" t="n">
        <v>205.51</v>
      </c>
      <c r="U251" s="13" t="n">
        <v>350</v>
      </c>
      <c r="V251" s="13" t="n">
        <v>0</v>
      </c>
      <c r="W251" s="13" t="n">
        <f aca="false">U251+V251</f>
        <v>350</v>
      </c>
    </row>
    <row r="252" customFormat="false" ht="15" hidden="false" customHeight="false" outlineLevel="0" collapsed="false">
      <c r="A252" s="14" t="s">
        <v>3172</v>
      </c>
      <c r="B252" s="14" t="s">
        <v>2945</v>
      </c>
      <c r="C252" s="14" t="s">
        <v>1929</v>
      </c>
      <c r="D252" s="14" t="s">
        <v>89</v>
      </c>
      <c r="E252" s="15" t="n">
        <v>750000</v>
      </c>
      <c r="F252" s="15" t="n">
        <v>13880.03</v>
      </c>
      <c r="G252" s="15" t="n">
        <v>1735</v>
      </c>
      <c r="H252" s="15" t="n">
        <v>1735</v>
      </c>
      <c r="I252" s="15" t="n">
        <f aca="false">SUM(K252:T252)</f>
        <v>10410</v>
      </c>
      <c r="J252" s="15" t="n">
        <f aca="false">F252-(G252+H252+I252)</f>
        <v>0.0300000000006548</v>
      </c>
      <c r="K252" s="15" t="n">
        <v>1041</v>
      </c>
      <c r="L252" s="15" t="n">
        <v>1041</v>
      </c>
      <c r="M252" s="15" t="n">
        <v>1041</v>
      </c>
      <c r="N252" s="15" t="n">
        <v>1041</v>
      </c>
      <c r="O252" s="15" t="n">
        <v>1041</v>
      </c>
      <c r="P252" s="15" t="n">
        <v>1041</v>
      </c>
      <c r="Q252" s="15" t="n">
        <v>1041</v>
      </c>
      <c r="R252" s="15" t="n">
        <v>1041</v>
      </c>
      <c r="S252" s="15" t="n">
        <v>1041</v>
      </c>
      <c r="T252" s="15" t="n">
        <v>1041</v>
      </c>
      <c r="U252" s="15" t="n">
        <v>350</v>
      </c>
      <c r="V252" s="15" t="n">
        <v>0</v>
      </c>
      <c r="W252" s="15" t="n">
        <f aca="false">U252+V252</f>
        <v>350</v>
      </c>
    </row>
    <row r="253" customFormat="false" ht="15" hidden="false" customHeight="false" outlineLevel="0" collapsed="false">
      <c r="A253" s="3" t="s">
        <v>3173</v>
      </c>
      <c r="B253" s="3" t="s">
        <v>2962</v>
      </c>
      <c r="C253" s="3" t="s">
        <v>458</v>
      </c>
      <c r="D253" s="3" t="s">
        <v>125</v>
      </c>
      <c r="E253" s="13" t="n">
        <v>1495000</v>
      </c>
      <c r="F253" s="13" t="n">
        <v>11390.61</v>
      </c>
      <c r="G253" s="13" t="n">
        <v>1423.83</v>
      </c>
      <c r="H253" s="13" t="n">
        <v>1423.83</v>
      </c>
      <c r="I253" s="13" t="n">
        <f aca="false">SUM(K253:T253)</f>
        <v>8543</v>
      </c>
      <c r="J253" s="13" t="n">
        <f aca="false">F253-(G253+H253+I253)</f>
        <v>-0.0499999999992724</v>
      </c>
      <c r="K253" s="13" t="n">
        <v>854.3</v>
      </c>
      <c r="L253" s="13" t="n">
        <v>854.3</v>
      </c>
      <c r="M253" s="13" t="n">
        <v>854.3</v>
      </c>
      <c r="N253" s="13" t="n">
        <v>854.3</v>
      </c>
      <c r="O253" s="13" t="n">
        <v>854.3</v>
      </c>
      <c r="P253" s="13" t="n">
        <v>854.3</v>
      </c>
      <c r="Q253" s="13" t="n">
        <v>854.3</v>
      </c>
      <c r="R253" s="13" t="n">
        <v>854.3</v>
      </c>
      <c r="S253" s="13" t="n">
        <v>854.3</v>
      </c>
      <c r="T253" s="13" t="n">
        <v>854.3</v>
      </c>
      <c r="U253" s="13" t="n">
        <v>350</v>
      </c>
      <c r="V253" s="13" t="n">
        <v>250</v>
      </c>
      <c r="W253" s="13" t="n">
        <f aca="false">U253+V253</f>
        <v>600</v>
      </c>
    </row>
    <row r="254" customFormat="false" ht="15" hidden="false" customHeight="false" outlineLevel="0" collapsed="false">
      <c r="A254" s="14" t="s">
        <v>3174</v>
      </c>
      <c r="B254" s="14" t="s">
        <v>2895</v>
      </c>
      <c r="C254" s="14" t="s">
        <v>410</v>
      </c>
      <c r="D254" s="14" t="s">
        <v>279</v>
      </c>
      <c r="E254" s="15" t="n">
        <v>515000</v>
      </c>
      <c r="F254" s="15" t="n">
        <v>4395.76</v>
      </c>
      <c r="G254" s="15" t="n">
        <v>549.47</v>
      </c>
      <c r="H254" s="15" t="n">
        <v>549.47</v>
      </c>
      <c r="I254" s="15" t="n">
        <f aca="false">SUM(K254:T254)</f>
        <v>3296.8</v>
      </c>
      <c r="J254" s="15" t="n">
        <f aca="false">F254-(G254+H254+I254)</f>
        <v>0.0200000000004366</v>
      </c>
      <c r="K254" s="15" t="n">
        <v>329.68</v>
      </c>
      <c r="L254" s="15" t="n">
        <v>329.68</v>
      </c>
      <c r="M254" s="15" t="n">
        <v>329.68</v>
      </c>
      <c r="N254" s="15" t="n">
        <v>329.68</v>
      </c>
      <c r="O254" s="15" t="n">
        <v>329.68</v>
      </c>
      <c r="P254" s="15" t="n">
        <v>329.68</v>
      </c>
      <c r="Q254" s="15" t="n">
        <v>329.68</v>
      </c>
      <c r="R254" s="15" t="n">
        <v>329.68</v>
      </c>
      <c r="S254" s="15" t="n">
        <v>329.68</v>
      </c>
      <c r="T254" s="15" t="n">
        <v>329.68</v>
      </c>
      <c r="U254" s="15" t="n">
        <v>350</v>
      </c>
      <c r="V254" s="15" t="n">
        <v>0</v>
      </c>
      <c r="W254" s="15" t="n">
        <f aca="false">U254+V254</f>
        <v>350</v>
      </c>
    </row>
    <row r="255" customFormat="false" ht="15" hidden="false" customHeight="false" outlineLevel="0" collapsed="false">
      <c r="A255" s="3" t="s">
        <v>3175</v>
      </c>
      <c r="B255" s="3" t="s">
        <v>2914</v>
      </c>
      <c r="C255" s="3" t="s">
        <v>434</v>
      </c>
      <c r="D255" s="3" t="s">
        <v>138</v>
      </c>
      <c r="E255" s="13" t="n">
        <v>1270000</v>
      </c>
      <c r="F255" s="13" t="n">
        <v>8008.61</v>
      </c>
      <c r="G255" s="13" t="n">
        <v>1001.08</v>
      </c>
      <c r="H255" s="13" t="n">
        <v>1001.08</v>
      </c>
      <c r="I255" s="13" t="n">
        <f aca="false">SUM(K255:T255)</f>
        <v>6006.5</v>
      </c>
      <c r="J255" s="13" t="n">
        <f aca="false">F255-(G255+H255+I255)</f>
        <v>-0.0499999999992724</v>
      </c>
      <c r="K255" s="13" t="n">
        <v>600.65</v>
      </c>
      <c r="L255" s="13" t="n">
        <v>600.65</v>
      </c>
      <c r="M255" s="13" t="n">
        <v>600.65</v>
      </c>
      <c r="N255" s="13" t="n">
        <v>600.65</v>
      </c>
      <c r="O255" s="13" t="n">
        <v>600.65</v>
      </c>
      <c r="P255" s="13" t="n">
        <v>600.65</v>
      </c>
      <c r="Q255" s="13" t="n">
        <v>600.65</v>
      </c>
      <c r="R255" s="13" t="n">
        <v>600.65</v>
      </c>
      <c r="S255" s="13" t="n">
        <v>600.65</v>
      </c>
      <c r="T255" s="13" t="n">
        <v>600.65</v>
      </c>
      <c r="U255" s="13" t="n">
        <v>350</v>
      </c>
      <c r="V255" s="13" t="n">
        <v>250</v>
      </c>
      <c r="W255" s="13" t="n">
        <f aca="false">U255+V255</f>
        <v>600</v>
      </c>
    </row>
    <row r="256" customFormat="false" ht="15" hidden="false" customHeight="false" outlineLevel="0" collapsed="false">
      <c r="A256" s="14" t="s">
        <v>3176</v>
      </c>
      <c r="B256" s="14" t="s">
        <v>2925</v>
      </c>
      <c r="C256" s="14" t="s">
        <v>489</v>
      </c>
      <c r="D256" s="14" t="s">
        <v>93</v>
      </c>
      <c r="E256" s="15" t="n">
        <v>1285000</v>
      </c>
      <c r="F256" s="15" t="n">
        <v>13054.13</v>
      </c>
      <c r="G256" s="15" t="n">
        <v>1631.77</v>
      </c>
      <c r="H256" s="15" t="n">
        <v>1631.77</v>
      </c>
      <c r="I256" s="15" t="n">
        <f aca="false">SUM(K256:T256)</f>
        <v>9790.6</v>
      </c>
      <c r="J256" s="15" t="n">
        <f aca="false">F256-(G256+H256+I256)</f>
        <v>-0.0100000000002183</v>
      </c>
      <c r="K256" s="15" t="n">
        <v>979.06</v>
      </c>
      <c r="L256" s="15" t="n">
        <v>979.06</v>
      </c>
      <c r="M256" s="15" t="n">
        <v>979.06</v>
      </c>
      <c r="N256" s="15" t="n">
        <v>979.06</v>
      </c>
      <c r="O256" s="15" t="n">
        <v>979.06</v>
      </c>
      <c r="P256" s="15" t="n">
        <v>979.06</v>
      </c>
      <c r="Q256" s="15" t="n">
        <v>979.06</v>
      </c>
      <c r="R256" s="15" t="n">
        <v>979.06</v>
      </c>
      <c r="S256" s="15" t="n">
        <v>979.06</v>
      </c>
      <c r="T256" s="15" t="n">
        <v>979.06</v>
      </c>
      <c r="U256" s="15" t="n">
        <v>350</v>
      </c>
      <c r="V256" s="15" t="n">
        <v>250</v>
      </c>
      <c r="W256" s="15" t="n">
        <f aca="false">U256+V256</f>
        <v>600</v>
      </c>
    </row>
    <row r="257" customFormat="false" ht="15" hidden="false" customHeight="false" outlineLevel="0" collapsed="false">
      <c r="A257" s="3" t="s">
        <v>3177</v>
      </c>
      <c r="B257" s="3" t="s">
        <v>2893</v>
      </c>
      <c r="C257" s="3" t="s">
        <v>2437</v>
      </c>
      <c r="D257" s="3" t="s">
        <v>93</v>
      </c>
      <c r="E257" s="13" t="n">
        <v>595000</v>
      </c>
      <c r="F257" s="13" t="n">
        <v>7143.52</v>
      </c>
      <c r="G257" s="13" t="n">
        <v>892.94</v>
      </c>
      <c r="H257" s="13" t="n">
        <v>892.94</v>
      </c>
      <c r="I257" s="13" t="n">
        <f aca="false">SUM(K257:T257)</f>
        <v>5357.6</v>
      </c>
      <c r="J257" s="13" t="n">
        <f aca="false">F257-(G257+H257+I257)</f>
        <v>0.0399999999999636</v>
      </c>
      <c r="K257" s="13" t="n">
        <v>535.76</v>
      </c>
      <c r="L257" s="13" t="n">
        <v>535.76</v>
      </c>
      <c r="M257" s="13" t="n">
        <v>535.76</v>
      </c>
      <c r="N257" s="13" t="n">
        <v>535.76</v>
      </c>
      <c r="O257" s="13" t="n">
        <v>535.76</v>
      </c>
      <c r="P257" s="13" t="n">
        <v>535.76</v>
      </c>
      <c r="Q257" s="13" t="n">
        <v>535.76</v>
      </c>
      <c r="R257" s="13" t="n">
        <v>535.76</v>
      </c>
      <c r="S257" s="13" t="n">
        <v>535.76</v>
      </c>
      <c r="T257" s="13" t="n">
        <v>535.76</v>
      </c>
      <c r="U257" s="13" t="n">
        <v>350</v>
      </c>
      <c r="V257" s="13" t="n">
        <v>0</v>
      </c>
      <c r="W257" s="13" t="n">
        <f aca="false">U257+V257</f>
        <v>350</v>
      </c>
    </row>
    <row r="258" customFormat="false" ht="15" hidden="false" customHeight="false" outlineLevel="0" collapsed="false">
      <c r="A258" s="14" t="s">
        <v>3178</v>
      </c>
      <c r="B258" s="14" t="s">
        <v>2893</v>
      </c>
      <c r="C258" s="14" t="s">
        <v>970</v>
      </c>
      <c r="D258" s="14" t="s">
        <v>157</v>
      </c>
      <c r="E258" s="15" t="n">
        <v>1185000</v>
      </c>
      <c r="F258" s="15" t="n">
        <v>8255.77</v>
      </c>
      <c r="G258" s="15" t="n">
        <v>1031.97</v>
      </c>
      <c r="H258" s="15" t="n">
        <v>1031.97</v>
      </c>
      <c r="I258" s="15" t="n">
        <f aca="false">SUM(K258:T258)</f>
        <v>6191.8</v>
      </c>
      <c r="J258" s="15" t="n">
        <f aca="false">F258-(G258+H258+I258)</f>
        <v>0.0300000000006548</v>
      </c>
      <c r="K258" s="15" t="n">
        <v>619.18</v>
      </c>
      <c r="L258" s="15" t="n">
        <v>619.18</v>
      </c>
      <c r="M258" s="15" t="n">
        <v>619.18</v>
      </c>
      <c r="N258" s="15" t="n">
        <v>619.18</v>
      </c>
      <c r="O258" s="15" t="n">
        <v>619.18</v>
      </c>
      <c r="P258" s="15" t="n">
        <v>619.18</v>
      </c>
      <c r="Q258" s="15" t="n">
        <v>619.18</v>
      </c>
      <c r="R258" s="15" t="n">
        <v>619.18</v>
      </c>
      <c r="S258" s="15" t="n">
        <v>619.18</v>
      </c>
      <c r="T258" s="15" t="n">
        <v>619.18</v>
      </c>
      <c r="U258" s="15" t="n">
        <v>350</v>
      </c>
      <c r="V258" s="15" t="n">
        <v>250</v>
      </c>
      <c r="W258" s="15" t="n">
        <f aca="false">U258+V258</f>
        <v>600</v>
      </c>
    </row>
    <row r="259" customFormat="false" ht="15" hidden="false" customHeight="false" outlineLevel="0" collapsed="false">
      <c r="A259" s="3" t="s">
        <v>3179</v>
      </c>
      <c r="B259" s="3" t="s">
        <v>2971</v>
      </c>
      <c r="C259" s="3" t="s">
        <v>450</v>
      </c>
      <c r="D259" s="3" t="s">
        <v>328</v>
      </c>
      <c r="E259" s="13" t="n">
        <v>560000</v>
      </c>
      <c r="F259" s="13" t="n">
        <v>6828.36</v>
      </c>
      <c r="G259" s="13" t="n">
        <v>853.54</v>
      </c>
      <c r="H259" s="13" t="n">
        <v>853.54</v>
      </c>
      <c r="I259" s="13" t="n">
        <f aca="false">SUM(K259:T259)</f>
        <v>5121.3</v>
      </c>
      <c r="J259" s="13" t="n">
        <f aca="false">F259-(G259+H259+I259)</f>
        <v>-0.0200000000004366</v>
      </c>
      <c r="K259" s="13" t="n">
        <v>512.13</v>
      </c>
      <c r="L259" s="13" t="n">
        <v>512.13</v>
      </c>
      <c r="M259" s="13" t="n">
        <v>512.13</v>
      </c>
      <c r="N259" s="13" t="n">
        <v>512.13</v>
      </c>
      <c r="O259" s="13" t="n">
        <v>512.13</v>
      </c>
      <c r="P259" s="13" t="n">
        <v>512.13</v>
      </c>
      <c r="Q259" s="13" t="n">
        <v>512.13</v>
      </c>
      <c r="R259" s="13" t="n">
        <v>512.13</v>
      </c>
      <c r="S259" s="13" t="n">
        <v>512.13</v>
      </c>
      <c r="T259" s="13" t="n">
        <v>512.13</v>
      </c>
      <c r="U259" s="13" t="n">
        <v>350</v>
      </c>
      <c r="V259" s="13" t="n">
        <v>0</v>
      </c>
      <c r="W259" s="13" t="n">
        <f aca="false">U259+V259</f>
        <v>350</v>
      </c>
    </row>
    <row r="260" customFormat="false" ht="15" hidden="false" customHeight="false" outlineLevel="0" collapsed="false">
      <c r="A260" s="14" t="s">
        <v>3180</v>
      </c>
      <c r="B260" s="14" t="s">
        <v>2945</v>
      </c>
      <c r="C260" s="14" t="s">
        <v>385</v>
      </c>
      <c r="D260" s="14" t="s">
        <v>430</v>
      </c>
      <c r="E260" s="15" t="n">
        <v>150000</v>
      </c>
      <c r="F260" s="15" t="n">
        <v>1971.46</v>
      </c>
      <c r="G260" s="15" t="n">
        <v>246.43</v>
      </c>
      <c r="H260" s="15" t="n">
        <v>246.43</v>
      </c>
      <c r="I260" s="15" t="n">
        <f aca="false">SUM(K260:T260)</f>
        <v>1478.6</v>
      </c>
      <c r="J260" s="15" t="n">
        <f aca="false">F260-(G260+H260+I260)</f>
        <v>0</v>
      </c>
      <c r="K260" s="15" t="n">
        <v>147.86</v>
      </c>
      <c r="L260" s="15" t="n">
        <v>147.86</v>
      </c>
      <c r="M260" s="15" t="n">
        <v>147.86</v>
      </c>
      <c r="N260" s="15" t="n">
        <v>147.86</v>
      </c>
      <c r="O260" s="15" t="n">
        <v>147.86</v>
      </c>
      <c r="P260" s="15" t="n">
        <v>147.86</v>
      </c>
      <c r="Q260" s="15" t="n">
        <v>147.86</v>
      </c>
      <c r="R260" s="15" t="n">
        <v>147.86</v>
      </c>
      <c r="S260" s="15" t="n">
        <v>147.86</v>
      </c>
      <c r="T260" s="15" t="n">
        <v>147.86</v>
      </c>
      <c r="U260" s="15" t="n">
        <v>350</v>
      </c>
      <c r="V260" s="15" t="n">
        <v>0</v>
      </c>
      <c r="W260" s="15" t="n">
        <f aca="false">U260+V260</f>
        <v>350</v>
      </c>
    </row>
    <row r="261" customFormat="false" ht="15" hidden="false" customHeight="false" outlineLevel="0" collapsed="false">
      <c r="A261" s="3" t="s">
        <v>3181</v>
      </c>
      <c r="B261" s="3" t="s">
        <v>2949</v>
      </c>
      <c r="C261" s="3" t="s">
        <v>443</v>
      </c>
      <c r="D261" s="3" t="s">
        <v>166</v>
      </c>
      <c r="E261" s="13" t="n">
        <v>985000</v>
      </c>
      <c r="F261" s="13" t="n">
        <v>12472.55</v>
      </c>
      <c r="G261" s="13" t="n">
        <v>1559.07</v>
      </c>
      <c r="H261" s="13" t="n">
        <v>1559.07</v>
      </c>
      <c r="I261" s="13" t="n">
        <f aca="false">SUM(K261:T261)</f>
        <v>9354.4</v>
      </c>
      <c r="J261" s="13" t="n">
        <f aca="false">F261-(G261+H261+I261)</f>
        <v>0.00999999999839929</v>
      </c>
      <c r="K261" s="13" t="n">
        <v>935.44</v>
      </c>
      <c r="L261" s="13" t="n">
        <v>935.44</v>
      </c>
      <c r="M261" s="13" t="n">
        <v>935.44</v>
      </c>
      <c r="N261" s="13" t="n">
        <v>935.44</v>
      </c>
      <c r="O261" s="13" t="n">
        <v>935.44</v>
      </c>
      <c r="P261" s="13" t="n">
        <v>935.44</v>
      </c>
      <c r="Q261" s="13" t="n">
        <v>935.44</v>
      </c>
      <c r="R261" s="13" t="n">
        <v>935.44</v>
      </c>
      <c r="S261" s="13" t="n">
        <v>935.44</v>
      </c>
      <c r="T261" s="13" t="n">
        <v>935.44</v>
      </c>
      <c r="U261" s="13" t="n">
        <v>350</v>
      </c>
      <c r="V261" s="13" t="n">
        <v>0</v>
      </c>
      <c r="W261" s="13" t="n">
        <f aca="false">U261+V261</f>
        <v>350</v>
      </c>
    </row>
    <row r="262" customFormat="false" ht="15" hidden="false" customHeight="false" outlineLevel="0" collapsed="false">
      <c r="A262" s="14" t="s">
        <v>3182</v>
      </c>
      <c r="B262" s="14" t="s">
        <v>2895</v>
      </c>
      <c r="C262" s="14" t="s">
        <v>1247</v>
      </c>
      <c r="D262" s="14" t="s">
        <v>118</v>
      </c>
      <c r="E262" s="15" t="n">
        <v>630000</v>
      </c>
      <c r="F262" s="15" t="n">
        <v>7268.27</v>
      </c>
      <c r="G262" s="15" t="n">
        <v>908.53</v>
      </c>
      <c r="H262" s="15" t="n">
        <v>908.53</v>
      </c>
      <c r="I262" s="15" t="n">
        <f aca="false">SUM(K262:T262)</f>
        <v>5451.2</v>
      </c>
      <c r="J262" s="15" t="n">
        <f aca="false">F262-(G262+H262+I262)</f>
        <v>0.0100000000002183</v>
      </c>
      <c r="K262" s="15" t="n">
        <v>545.12</v>
      </c>
      <c r="L262" s="15" t="n">
        <v>545.12</v>
      </c>
      <c r="M262" s="15" t="n">
        <v>545.12</v>
      </c>
      <c r="N262" s="15" t="n">
        <v>545.12</v>
      </c>
      <c r="O262" s="15" t="n">
        <v>545.12</v>
      </c>
      <c r="P262" s="15" t="n">
        <v>545.12</v>
      </c>
      <c r="Q262" s="15" t="n">
        <v>545.12</v>
      </c>
      <c r="R262" s="15" t="n">
        <v>545.12</v>
      </c>
      <c r="S262" s="15" t="n">
        <v>545.12</v>
      </c>
      <c r="T262" s="15" t="n">
        <v>545.12</v>
      </c>
      <c r="U262" s="15" t="n">
        <v>350</v>
      </c>
      <c r="V262" s="15" t="n">
        <v>0</v>
      </c>
      <c r="W262" s="15" t="n">
        <f aca="false">U262+V262</f>
        <v>350</v>
      </c>
    </row>
    <row r="263" customFormat="false" ht="15" hidden="false" customHeight="false" outlineLevel="0" collapsed="false">
      <c r="A263" s="3" t="s">
        <v>3183</v>
      </c>
      <c r="B263" s="3" t="s">
        <v>2932</v>
      </c>
      <c r="C263" s="3" t="s">
        <v>131</v>
      </c>
      <c r="D263" s="3" t="s">
        <v>189</v>
      </c>
      <c r="E263" s="13" t="n">
        <v>495000</v>
      </c>
      <c r="F263" s="13" t="n">
        <v>9035.82</v>
      </c>
      <c r="G263" s="13" t="n">
        <v>1129.48</v>
      </c>
      <c r="H263" s="13" t="n">
        <v>1129.48</v>
      </c>
      <c r="I263" s="13" t="n">
        <f aca="false">SUM(K263:T263)</f>
        <v>6776.9</v>
      </c>
      <c r="J263" s="13" t="n">
        <f aca="false">F263-(G263+H263+I263)</f>
        <v>-0.0400000000008731</v>
      </c>
      <c r="K263" s="13" t="n">
        <v>677.69</v>
      </c>
      <c r="L263" s="13" t="n">
        <v>677.69</v>
      </c>
      <c r="M263" s="13" t="n">
        <v>677.69</v>
      </c>
      <c r="N263" s="13" t="n">
        <v>677.69</v>
      </c>
      <c r="O263" s="13" t="n">
        <v>677.69</v>
      </c>
      <c r="P263" s="13" t="n">
        <v>677.69</v>
      </c>
      <c r="Q263" s="13" t="n">
        <v>677.69</v>
      </c>
      <c r="R263" s="13" t="n">
        <v>677.69</v>
      </c>
      <c r="S263" s="13" t="n">
        <v>677.69</v>
      </c>
      <c r="T263" s="13" t="n">
        <v>677.69</v>
      </c>
      <c r="U263" s="13" t="n">
        <v>350</v>
      </c>
      <c r="V263" s="13" t="n">
        <v>0</v>
      </c>
      <c r="W263" s="13" t="n">
        <f aca="false">U263+V263</f>
        <v>350</v>
      </c>
    </row>
    <row r="264" customFormat="false" ht="15" hidden="false" customHeight="false" outlineLevel="0" collapsed="false">
      <c r="A264" s="14" t="s">
        <v>3184</v>
      </c>
      <c r="B264" s="14" t="s">
        <v>2971</v>
      </c>
      <c r="C264" s="14" t="s">
        <v>1108</v>
      </c>
      <c r="D264" s="14" t="s">
        <v>325</v>
      </c>
      <c r="E264" s="15" t="n">
        <v>1040000</v>
      </c>
      <c r="F264" s="15" t="n">
        <v>16568.17</v>
      </c>
      <c r="G264" s="15" t="n">
        <v>2071.02</v>
      </c>
      <c r="H264" s="15" t="n">
        <v>2071.02</v>
      </c>
      <c r="I264" s="15" t="n">
        <f aca="false">SUM(K264:T264)</f>
        <v>12426.1</v>
      </c>
      <c r="J264" s="15" t="n">
        <f aca="false">F264-(G264+H264+I264)</f>
        <v>0.0299999999988358</v>
      </c>
      <c r="K264" s="15" t="n">
        <v>1242.61</v>
      </c>
      <c r="L264" s="15" t="n">
        <v>1242.61</v>
      </c>
      <c r="M264" s="15" t="n">
        <v>1242.61</v>
      </c>
      <c r="N264" s="15" t="n">
        <v>1242.61</v>
      </c>
      <c r="O264" s="15" t="n">
        <v>1242.61</v>
      </c>
      <c r="P264" s="15" t="n">
        <v>1242.61</v>
      </c>
      <c r="Q264" s="15" t="n">
        <v>1242.61</v>
      </c>
      <c r="R264" s="15" t="n">
        <v>1242.61</v>
      </c>
      <c r="S264" s="15" t="n">
        <v>1242.61</v>
      </c>
      <c r="T264" s="15" t="n">
        <v>1242.61</v>
      </c>
      <c r="U264" s="15" t="n">
        <v>350</v>
      </c>
      <c r="V264" s="15" t="n">
        <v>250</v>
      </c>
      <c r="W264" s="15" t="n">
        <f aca="false">U264+V264</f>
        <v>600</v>
      </c>
    </row>
    <row r="265" customFormat="false" ht="15" hidden="false" customHeight="false" outlineLevel="0" collapsed="false">
      <c r="A265" s="3" t="s">
        <v>3185</v>
      </c>
      <c r="B265" s="3" t="s">
        <v>2912</v>
      </c>
      <c r="C265" s="3" t="s">
        <v>1625</v>
      </c>
      <c r="D265" s="3" t="s">
        <v>73</v>
      </c>
      <c r="E265" s="13" t="n">
        <v>1110000</v>
      </c>
      <c r="F265" s="13" t="n">
        <v>14992.39</v>
      </c>
      <c r="G265" s="13" t="n">
        <v>1874.05</v>
      </c>
      <c r="H265" s="13" t="n">
        <v>1874.05</v>
      </c>
      <c r="I265" s="13" t="n">
        <f aca="false">SUM(K265:T265)</f>
        <v>11244.3</v>
      </c>
      <c r="J265" s="13" t="n">
        <f aca="false">F265-(G265+H265+I265)</f>
        <v>-0.0100000000020373</v>
      </c>
      <c r="K265" s="13" t="n">
        <v>1124.43</v>
      </c>
      <c r="L265" s="13" t="n">
        <v>1124.43</v>
      </c>
      <c r="M265" s="13" t="n">
        <v>1124.43</v>
      </c>
      <c r="N265" s="13" t="n">
        <v>1124.43</v>
      </c>
      <c r="O265" s="13" t="n">
        <v>1124.43</v>
      </c>
      <c r="P265" s="13" t="n">
        <v>1124.43</v>
      </c>
      <c r="Q265" s="13" t="n">
        <v>1124.43</v>
      </c>
      <c r="R265" s="13" t="n">
        <v>1124.43</v>
      </c>
      <c r="S265" s="13" t="n">
        <v>1124.43</v>
      </c>
      <c r="T265" s="13" t="n">
        <v>1124.43</v>
      </c>
      <c r="U265" s="13" t="n">
        <v>350</v>
      </c>
      <c r="V265" s="13" t="n">
        <v>250</v>
      </c>
      <c r="W265" s="13" t="n">
        <f aca="false">U265+V265</f>
        <v>600</v>
      </c>
    </row>
    <row r="266" customFormat="false" ht="15" hidden="false" customHeight="false" outlineLevel="0" collapsed="false">
      <c r="A266" s="14" t="s">
        <v>3186</v>
      </c>
      <c r="B266" s="14" t="s">
        <v>2938</v>
      </c>
      <c r="C266" s="14" t="s">
        <v>717</v>
      </c>
      <c r="D266" s="14" t="s">
        <v>89</v>
      </c>
      <c r="E266" s="15" t="n">
        <v>500000</v>
      </c>
      <c r="F266" s="15" t="n">
        <v>6331.24</v>
      </c>
      <c r="G266" s="15" t="n">
        <v>791.4</v>
      </c>
      <c r="H266" s="15" t="n">
        <v>791.4</v>
      </c>
      <c r="I266" s="15" t="n">
        <f aca="false">SUM(K266:T266)</f>
        <v>4748.4</v>
      </c>
      <c r="J266" s="15" t="n">
        <f aca="false">F266-(G266+H266+I266)</f>
        <v>0.0399999999999636</v>
      </c>
      <c r="K266" s="15" t="n">
        <v>474.84</v>
      </c>
      <c r="L266" s="15" t="n">
        <v>474.84</v>
      </c>
      <c r="M266" s="15" t="n">
        <v>474.84</v>
      </c>
      <c r="N266" s="15" t="n">
        <v>474.84</v>
      </c>
      <c r="O266" s="15" t="n">
        <v>474.84</v>
      </c>
      <c r="P266" s="15" t="n">
        <v>474.84</v>
      </c>
      <c r="Q266" s="15" t="n">
        <v>474.84</v>
      </c>
      <c r="R266" s="15" t="n">
        <v>474.84</v>
      </c>
      <c r="S266" s="15" t="n">
        <v>474.84</v>
      </c>
      <c r="T266" s="15" t="n">
        <v>474.84</v>
      </c>
      <c r="U266" s="15" t="n">
        <v>350</v>
      </c>
      <c r="V266" s="15" t="n">
        <v>0</v>
      </c>
      <c r="W266" s="15" t="n">
        <f aca="false">U266+V266</f>
        <v>350</v>
      </c>
    </row>
    <row r="267" customFormat="false" ht="15" hidden="false" customHeight="false" outlineLevel="0" collapsed="false">
      <c r="A267" s="3" t="s">
        <v>3187</v>
      </c>
      <c r="B267" s="3" t="s">
        <v>2908</v>
      </c>
      <c r="C267" s="3" t="s">
        <v>1432</v>
      </c>
      <c r="D267" s="3" t="s">
        <v>352</v>
      </c>
      <c r="E267" s="13" t="n">
        <v>315000</v>
      </c>
      <c r="F267" s="13" t="n">
        <v>3852.32</v>
      </c>
      <c r="G267" s="13" t="n">
        <v>481.54</v>
      </c>
      <c r="H267" s="13" t="n">
        <v>481.54</v>
      </c>
      <c r="I267" s="13" t="n">
        <f aca="false">SUM(K267:T267)</f>
        <v>2889.2</v>
      </c>
      <c r="J267" s="13" t="n">
        <f aca="false">F267-(G267+H267+I267)</f>
        <v>0.0399999999999636</v>
      </c>
      <c r="K267" s="13" t="n">
        <v>288.92</v>
      </c>
      <c r="L267" s="13" t="n">
        <v>288.92</v>
      </c>
      <c r="M267" s="13" t="n">
        <v>288.92</v>
      </c>
      <c r="N267" s="13" t="n">
        <v>288.92</v>
      </c>
      <c r="O267" s="13" t="n">
        <v>288.92</v>
      </c>
      <c r="P267" s="13" t="n">
        <v>288.92</v>
      </c>
      <c r="Q267" s="13" t="n">
        <v>288.92</v>
      </c>
      <c r="R267" s="13" t="n">
        <v>288.92</v>
      </c>
      <c r="S267" s="13" t="n">
        <v>288.92</v>
      </c>
      <c r="T267" s="13" t="n">
        <v>288.92</v>
      </c>
      <c r="U267" s="13" t="n">
        <v>350</v>
      </c>
      <c r="V267" s="13" t="n">
        <v>0</v>
      </c>
      <c r="W267" s="13" t="n">
        <f aca="false">U267+V267</f>
        <v>350</v>
      </c>
    </row>
    <row r="268" customFormat="false" ht="15" hidden="false" customHeight="false" outlineLevel="0" collapsed="false">
      <c r="A268" s="14" t="s">
        <v>3188</v>
      </c>
      <c r="B268" s="14" t="s">
        <v>2925</v>
      </c>
      <c r="C268" s="14" t="s">
        <v>1195</v>
      </c>
      <c r="D268" s="14" t="s">
        <v>93</v>
      </c>
      <c r="E268" s="15" t="n">
        <v>570000</v>
      </c>
      <c r="F268" s="15" t="n">
        <v>6843.37</v>
      </c>
      <c r="G268" s="15" t="n">
        <v>855.42</v>
      </c>
      <c r="H268" s="15" t="n">
        <v>855.42</v>
      </c>
      <c r="I268" s="15" t="n">
        <f aca="false">SUM(K268:T268)</f>
        <v>5132.5</v>
      </c>
      <c r="J268" s="15" t="n">
        <f aca="false">F268-(G268+H268+I268)</f>
        <v>0.0299999999997453</v>
      </c>
      <c r="K268" s="15" t="n">
        <v>513.25</v>
      </c>
      <c r="L268" s="15" t="n">
        <v>513.25</v>
      </c>
      <c r="M268" s="15" t="n">
        <v>513.25</v>
      </c>
      <c r="N268" s="15" t="n">
        <v>513.25</v>
      </c>
      <c r="O268" s="15" t="n">
        <v>513.25</v>
      </c>
      <c r="P268" s="15" t="n">
        <v>513.25</v>
      </c>
      <c r="Q268" s="15" t="n">
        <v>513.25</v>
      </c>
      <c r="R268" s="15" t="n">
        <v>513.25</v>
      </c>
      <c r="S268" s="15" t="n">
        <v>513.25</v>
      </c>
      <c r="T268" s="15" t="n">
        <v>513.25</v>
      </c>
      <c r="U268" s="15" t="n">
        <v>350</v>
      </c>
      <c r="V268" s="15" t="n">
        <v>0</v>
      </c>
      <c r="W268" s="15" t="n">
        <f aca="false">U268+V268</f>
        <v>350</v>
      </c>
    </row>
    <row r="269" customFormat="false" ht="15" hidden="false" customHeight="false" outlineLevel="0" collapsed="false">
      <c r="A269" s="3" t="s">
        <v>3189</v>
      </c>
      <c r="B269" s="3" t="s">
        <v>2897</v>
      </c>
      <c r="C269" s="3" t="s">
        <v>3190</v>
      </c>
      <c r="D269" s="3" t="s">
        <v>352</v>
      </c>
      <c r="E269" s="13" t="n">
        <v>945000</v>
      </c>
      <c r="F269" s="13" t="n">
        <v>10016.03</v>
      </c>
      <c r="G269" s="13" t="n">
        <v>1252</v>
      </c>
      <c r="H269" s="13" t="n">
        <v>1252</v>
      </c>
      <c r="I269" s="13" t="n">
        <f aca="false">SUM(K269:T269)</f>
        <v>7512</v>
      </c>
      <c r="J269" s="13" t="n">
        <f aca="false">F269-(G269+H269+I269)</f>
        <v>0.0300000000006548</v>
      </c>
      <c r="K269" s="13" t="n">
        <v>751.2</v>
      </c>
      <c r="L269" s="13" t="n">
        <v>751.2</v>
      </c>
      <c r="M269" s="13" t="n">
        <v>751.2</v>
      </c>
      <c r="N269" s="13" t="n">
        <v>751.2</v>
      </c>
      <c r="O269" s="13" t="n">
        <v>751.2</v>
      </c>
      <c r="P269" s="13" t="n">
        <v>751.2</v>
      </c>
      <c r="Q269" s="13" t="n">
        <v>751.2</v>
      </c>
      <c r="R269" s="13" t="n">
        <v>751.2</v>
      </c>
      <c r="S269" s="13" t="n">
        <v>751.2</v>
      </c>
      <c r="T269" s="13" t="n">
        <v>751.2</v>
      </c>
      <c r="U269" s="13" t="n">
        <v>350</v>
      </c>
      <c r="V269" s="13" t="n">
        <v>0</v>
      </c>
      <c r="W269" s="13" t="n">
        <f aca="false">U269+V269</f>
        <v>350</v>
      </c>
    </row>
    <row r="270" customFormat="false" ht="15" hidden="false" customHeight="false" outlineLevel="0" collapsed="false">
      <c r="A270" s="14" t="s">
        <v>3191</v>
      </c>
      <c r="B270" s="14" t="s">
        <v>2971</v>
      </c>
      <c r="C270" s="14" t="s">
        <v>2260</v>
      </c>
      <c r="D270" s="14" t="s">
        <v>180</v>
      </c>
      <c r="E270" s="15" t="n">
        <v>595000</v>
      </c>
      <c r="F270" s="15" t="n">
        <v>4467.27</v>
      </c>
      <c r="G270" s="15" t="n">
        <v>558.41</v>
      </c>
      <c r="H270" s="15" t="n">
        <v>558.41</v>
      </c>
      <c r="I270" s="15" t="n">
        <f aca="false">SUM(K270:T270)</f>
        <v>3350.5</v>
      </c>
      <c r="J270" s="15" t="n">
        <f aca="false">F270-(G270+H270+I270)</f>
        <v>-0.0500000000001819</v>
      </c>
      <c r="K270" s="15" t="n">
        <v>335.05</v>
      </c>
      <c r="L270" s="15" t="n">
        <v>335.05</v>
      </c>
      <c r="M270" s="15" t="n">
        <v>335.05</v>
      </c>
      <c r="N270" s="15" t="n">
        <v>335.05</v>
      </c>
      <c r="O270" s="15" t="n">
        <v>335.05</v>
      </c>
      <c r="P270" s="15" t="n">
        <v>335.05</v>
      </c>
      <c r="Q270" s="15" t="n">
        <v>335.05</v>
      </c>
      <c r="R270" s="15" t="n">
        <v>335.05</v>
      </c>
      <c r="S270" s="15" t="n">
        <v>335.05</v>
      </c>
      <c r="T270" s="15" t="n">
        <v>335.05</v>
      </c>
      <c r="U270" s="15" t="n">
        <v>350</v>
      </c>
      <c r="V270" s="15" t="n">
        <v>0</v>
      </c>
      <c r="W270" s="15" t="n">
        <f aca="false">U270+V270</f>
        <v>350</v>
      </c>
    </row>
    <row r="271" customFormat="false" ht="15" hidden="false" customHeight="false" outlineLevel="0" collapsed="false">
      <c r="A271" s="3" t="s">
        <v>3192</v>
      </c>
      <c r="B271" s="3" t="s">
        <v>2966</v>
      </c>
      <c r="C271" s="3" t="s">
        <v>1381</v>
      </c>
      <c r="D271" s="3" t="s">
        <v>203</v>
      </c>
      <c r="E271" s="13" t="n">
        <v>505000</v>
      </c>
      <c r="F271" s="13" t="n">
        <v>3572.2</v>
      </c>
      <c r="G271" s="13" t="n">
        <v>446.52</v>
      </c>
      <c r="H271" s="13" t="n">
        <v>446.52</v>
      </c>
      <c r="I271" s="13" t="n">
        <f aca="false">SUM(K271:T271)</f>
        <v>2679.1</v>
      </c>
      <c r="J271" s="13" t="n">
        <f aca="false">F271-(G271+H271+I271)</f>
        <v>0.0599999999999454</v>
      </c>
      <c r="K271" s="13" t="n">
        <v>267.91</v>
      </c>
      <c r="L271" s="13" t="n">
        <v>267.91</v>
      </c>
      <c r="M271" s="13" t="n">
        <v>267.91</v>
      </c>
      <c r="N271" s="13" t="n">
        <v>267.91</v>
      </c>
      <c r="O271" s="13" t="n">
        <v>267.91</v>
      </c>
      <c r="P271" s="13" t="n">
        <v>267.91</v>
      </c>
      <c r="Q271" s="13" t="n">
        <v>267.91</v>
      </c>
      <c r="R271" s="13" t="n">
        <v>267.91</v>
      </c>
      <c r="S271" s="13" t="n">
        <v>267.91</v>
      </c>
      <c r="T271" s="13" t="n">
        <v>267.91</v>
      </c>
      <c r="U271" s="13" t="n">
        <v>350</v>
      </c>
      <c r="V271" s="13" t="n">
        <v>0</v>
      </c>
      <c r="W271" s="13" t="n">
        <f aca="false">U271+V271</f>
        <v>350</v>
      </c>
    </row>
    <row r="272" customFormat="false" ht="15" hidden="false" customHeight="false" outlineLevel="0" collapsed="false">
      <c r="A272" s="8" t="s">
        <v>459</v>
      </c>
      <c r="E272" s="9" t="n">
        <f aca="false">SUM(E5:E271)</f>
        <v>201845000</v>
      </c>
      <c r="F272" s="9" t="n">
        <f aca="false">SUM(F5:F271)</f>
        <v>2318315.9</v>
      </c>
      <c r="G272" s="9" t="n">
        <f aca="false">SUM(G5:G271)</f>
        <v>289789.45</v>
      </c>
      <c r="H272" s="9" t="n">
        <f aca="false">SUM(H5:H271)</f>
        <v>289789.45</v>
      </c>
      <c r="I272" s="9" t="n">
        <f aca="false">SUM(I5:I271)</f>
        <v>1738736.2</v>
      </c>
      <c r="J272" s="9" t="n">
        <f aca="false">SUM(J5:J271)</f>
        <v>0.799999999986312</v>
      </c>
      <c r="K272" s="9" t="n">
        <f aca="false">SUM(K5:K271)</f>
        <v>173873.62</v>
      </c>
      <c r="L272" s="9" t="n">
        <f aca="false">SUM(L5:L271)</f>
        <v>173873.62</v>
      </c>
      <c r="M272" s="9" t="n">
        <f aca="false">SUM(M5:M271)</f>
        <v>173873.62</v>
      </c>
      <c r="N272" s="9" t="n">
        <f aca="false">SUM(N5:N271)</f>
        <v>173873.62</v>
      </c>
      <c r="O272" s="9" t="n">
        <f aca="false">SUM(O5:O271)</f>
        <v>173873.62</v>
      </c>
      <c r="P272" s="9" t="n">
        <f aca="false">SUM(P5:P271)</f>
        <v>173873.62</v>
      </c>
      <c r="Q272" s="9" t="n">
        <f aca="false">SUM(Q5:Q271)</f>
        <v>173873.62</v>
      </c>
      <c r="R272" s="9" t="n">
        <f aca="false">SUM(R5:R271)</f>
        <v>173873.62</v>
      </c>
      <c r="S272" s="9" t="n">
        <f aca="false">SUM(S5:S271)</f>
        <v>173873.62</v>
      </c>
      <c r="T272" s="9" t="n">
        <f aca="false">SUM(T5:T271)</f>
        <v>173873.62</v>
      </c>
      <c r="U272" s="9" t="n">
        <f aca="false">SUM(U5:U271)</f>
        <v>93450</v>
      </c>
      <c r="V272" s="9" t="n">
        <f aca="false">SUM(V5:V271)</f>
        <v>16750</v>
      </c>
      <c r="W272" s="9" t="n">
        <f aca="false">SUM(W5:W271)</f>
        <v>110200</v>
      </c>
    </row>
    <row r="273" customFormat="false" ht="15" hidden="false" customHeight="false" outlineLevel="0" collapsed="false">
      <c r="A273" s="4" t="s">
        <v>460</v>
      </c>
      <c r="F273" s="16" t="n">
        <f aca="false">F272-(G272+H272+I272+J272)</f>
        <v>0</v>
      </c>
    </row>
    <row r="274" customFormat="false" ht="15" hidden="false" customHeight="false" outlineLevel="0" collapsed="false">
      <c r="A274" s="4" t="s">
        <v>461</v>
      </c>
      <c r="I274" s="16" t="n">
        <f aca="false">I272-SUM(K272:T272)</f>
        <v>0</v>
      </c>
    </row>
  </sheetData>
  <autoFilter ref="A4:W2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21" min="11" style="0" width="11"/>
    <col collapsed="false" customWidth="true" hidden="false" outlineLevel="0" max="22" min="22" style="0" width="13"/>
    <col collapsed="false" customWidth="true" hidden="false" outlineLevel="0" max="23" min="23" style="0" width="11"/>
  </cols>
  <sheetData>
    <row r="1" customFormat="false" ht="17.35" hidden="false" customHeight="false" outlineLevel="0" collapsed="false">
      <c r="A1" s="1" t="s">
        <v>3193</v>
      </c>
    </row>
    <row r="2" customFormat="false" ht="15" hidden="false" customHeight="false" outlineLevel="0" collapsed="false">
      <c r="A2" s="4" t="s">
        <v>60</v>
      </c>
    </row>
    <row r="4" customFormat="false" ht="15" hidden="false" customHeight="false" outlineLevel="0" collapsed="false">
      <c r="A4" s="5" t="s">
        <v>61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15</v>
      </c>
      <c r="G4" s="5" t="s">
        <v>16</v>
      </c>
      <c r="H4" s="5" t="s">
        <v>17</v>
      </c>
      <c r="I4" s="5" t="s">
        <v>18</v>
      </c>
      <c r="J4" s="5" t="s">
        <v>19</v>
      </c>
      <c r="K4" s="5" t="s">
        <v>20</v>
      </c>
      <c r="L4" s="5" t="s">
        <v>21</v>
      </c>
      <c r="M4" s="5" t="s">
        <v>22</v>
      </c>
      <c r="N4" s="5" t="s">
        <v>23</v>
      </c>
      <c r="O4" s="5" t="s">
        <v>24</v>
      </c>
      <c r="P4" s="5" t="s">
        <v>25</v>
      </c>
      <c r="Q4" s="5" t="s">
        <v>26</v>
      </c>
      <c r="R4" s="5" t="s">
        <v>27</v>
      </c>
      <c r="S4" s="5" t="s">
        <v>28</v>
      </c>
      <c r="T4" s="5" t="s">
        <v>29</v>
      </c>
      <c r="U4" s="5" t="s">
        <v>30</v>
      </c>
      <c r="V4" s="5" t="s">
        <v>31</v>
      </c>
      <c r="W4" s="5" t="s">
        <v>32</v>
      </c>
    </row>
    <row r="5" customFormat="false" ht="15" hidden="false" customHeight="false" outlineLevel="0" collapsed="false">
      <c r="A5" s="3" t="s">
        <v>3194</v>
      </c>
      <c r="B5" s="3" t="s">
        <v>3195</v>
      </c>
      <c r="C5" s="3" t="s">
        <v>165</v>
      </c>
      <c r="D5" s="3" t="s">
        <v>121</v>
      </c>
      <c r="E5" s="13" t="n">
        <v>230000</v>
      </c>
      <c r="F5" s="13" t="n">
        <v>3706.67</v>
      </c>
      <c r="G5" s="13" t="n">
        <v>463.33</v>
      </c>
      <c r="H5" s="13" t="n">
        <v>463.33</v>
      </c>
      <c r="I5" s="13" t="n">
        <f aca="false">SUM(K5:T5)</f>
        <v>2780</v>
      </c>
      <c r="J5" s="13" t="n">
        <f aca="false">F5-(G5+H5+I5)</f>
        <v>0.0100000000002183</v>
      </c>
      <c r="K5" s="13" t="n">
        <v>278</v>
      </c>
      <c r="L5" s="13" t="n">
        <v>278</v>
      </c>
      <c r="M5" s="13" t="n">
        <v>278</v>
      </c>
      <c r="N5" s="13" t="n">
        <v>278</v>
      </c>
      <c r="O5" s="13" t="n">
        <v>278</v>
      </c>
      <c r="P5" s="13" t="n">
        <v>278</v>
      </c>
      <c r="Q5" s="13" t="n">
        <v>278</v>
      </c>
      <c r="R5" s="13" t="n">
        <v>278</v>
      </c>
      <c r="S5" s="13" t="n">
        <v>278</v>
      </c>
      <c r="T5" s="13" t="n">
        <v>278</v>
      </c>
      <c r="U5" s="13" t="n">
        <v>350</v>
      </c>
      <c r="V5" s="13" t="n">
        <v>0</v>
      </c>
      <c r="W5" s="13" t="n">
        <f aca="false">U5+V5</f>
        <v>350</v>
      </c>
    </row>
    <row r="6" customFormat="false" ht="15" hidden="false" customHeight="false" outlineLevel="0" collapsed="false">
      <c r="A6" s="14" t="s">
        <v>3196</v>
      </c>
      <c r="B6" s="14" t="s">
        <v>3197</v>
      </c>
      <c r="C6" s="14" t="s">
        <v>393</v>
      </c>
      <c r="D6" s="14" t="s">
        <v>172</v>
      </c>
      <c r="E6" s="15" t="n">
        <v>595000</v>
      </c>
      <c r="F6" s="15" t="n">
        <v>5775.27</v>
      </c>
      <c r="G6" s="15" t="n">
        <v>721.91</v>
      </c>
      <c r="H6" s="15" t="n">
        <v>721.91</v>
      </c>
      <c r="I6" s="15" t="n">
        <f aca="false">SUM(K6:T6)</f>
        <v>4331.5</v>
      </c>
      <c r="J6" s="15" t="n">
        <f aca="false">F6-(G6+H6+I6)</f>
        <v>-0.0499999999992724</v>
      </c>
      <c r="K6" s="15" t="n">
        <v>433.15</v>
      </c>
      <c r="L6" s="15" t="n">
        <v>433.15</v>
      </c>
      <c r="M6" s="15" t="n">
        <v>433.15</v>
      </c>
      <c r="N6" s="15" t="n">
        <v>433.15</v>
      </c>
      <c r="O6" s="15" t="n">
        <v>433.15</v>
      </c>
      <c r="P6" s="15" t="n">
        <v>433.15</v>
      </c>
      <c r="Q6" s="15" t="n">
        <v>433.15</v>
      </c>
      <c r="R6" s="15" t="n">
        <v>433.15</v>
      </c>
      <c r="S6" s="15" t="n">
        <v>433.15</v>
      </c>
      <c r="T6" s="15" t="n">
        <v>433.15</v>
      </c>
      <c r="U6" s="15" t="n">
        <v>350</v>
      </c>
      <c r="V6" s="15" t="n">
        <v>0</v>
      </c>
      <c r="W6" s="15" t="n">
        <f aca="false">U6+V6</f>
        <v>350</v>
      </c>
    </row>
    <row r="7" customFormat="false" ht="15" hidden="false" customHeight="false" outlineLevel="0" collapsed="false">
      <c r="A7" s="3" t="s">
        <v>3198</v>
      </c>
      <c r="B7" s="3" t="s">
        <v>3199</v>
      </c>
      <c r="C7" s="3" t="s">
        <v>1221</v>
      </c>
      <c r="D7" s="3" t="s">
        <v>233</v>
      </c>
      <c r="E7" s="13" t="n">
        <v>415000</v>
      </c>
      <c r="F7" s="13" t="n">
        <v>4379.7</v>
      </c>
      <c r="G7" s="13" t="n">
        <v>547.46</v>
      </c>
      <c r="H7" s="13" t="n">
        <v>547.46</v>
      </c>
      <c r="I7" s="13" t="n">
        <f aca="false">SUM(K7:T7)</f>
        <v>3284.8</v>
      </c>
      <c r="J7" s="13" t="n">
        <f aca="false">F7-(G7+H7+I7)</f>
        <v>-0.0200000000004366</v>
      </c>
      <c r="K7" s="13" t="n">
        <v>328.48</v>
      </c>
      <c r="L7" s="13" t="n">
        <v>328.48</v>
      </c>
      <c r="M7" s="13" t="n">
        <v>328.48</v>
      </c>
      <c r="N7" s="13" t="n">
        <v>328.48</v>
      </c>
      <c r="O7" s="13" t="n">
        <v>328.48</v>
      </c>
      <c r="P7" s="13" t="n">
        <v>328.48</v>
      </c>
      <c r="Q7" s="13" t="n">
        <v>328.48</v>
      </c>
      <c r="R7" s="13" t="n">
        <v>328.48</v>
      </c>
      <c r="S7" s="13" t="n">
        <v>328.48</v>
      </c>
      <c r="T7" s="13" t="n">
        <v>328.48</v>
      </c>
      <c r="U7" s="13" t="n">
        <v>350</v>
      </c>
      <c r="V7" s="13" t="n">
        <v>0</v>
      </c>
      <c r="W7" s="13" t="n">
        <f aca="false">U7+V7</f>
        <v>350</v>
      </c>
    </row>
    <row r="8" customFormat="false" ht="15" hidden="false" customHeight="false" outlineLevel="0" collapsed="false">
      <c r="A8" s="14" t="s">
        <v>3200</v>
      </c>
      <c r="B8" s="14" t="s">
        <v>3201</v>
      </c>
      <c r="C8" s="14" t="s">
        <v>267</v>
      </c>
      <c r="D8" s="14" t="s">
        <v>153</v>
      </c>
      <c r="E8" s="15" t="n">
        <v>1835000</v>
      </c>
      <c r="F8" s="15" t="n">
        <v>32671.31</v>
      </c>
      <c r="G8" s="15" t="n">
        <v>4083.91</v>
      </c>
      <c r="H8" s="15" t="n">
        <v>4083.91</v>
      </c>
      <c r="I8" s="15" t="n">
        <f aca="false">SUM(K8:T8)</f>
        <v>24503.5</v>
      </c>
      <c r="J8" s="15" t="n">
        <f aca="false">F8-(G8+H8+I8)</f>
        <v>-0.00999999999476131</v>
      </c>
      <c r="K8" s="15" t="n">
        <v>2450.35</v>
      </c>
      <c r="L8" s="15" t="n">
        <v>2450.35</v>
      </c>
      <c r="M8" s="15" t="n">
        <v>2450.35</v>
      </c>
      <c r="N8" s="15" t="n">
        <v>2450.35</v>
      </c>
      <c r="O8" s="15" t="n">
        <v>2450.35</v>
      </c>
      <c r="P8" s="15" t="n">
        <v>2450.35</v>
      </c>
      <c r="Q8" s="15" t="n">
        <v>2450.35</v>
      </c>
      <c r="R8" s="15" t="n">
        <v>2450.35</v>
      </c>
      <c r="S8" s="15" t="n">
        <v>2450.35</v>
      </c>
      <c r="T8" s="15" t="n">
        <v>2450.35</v>
      </c>
      <c r="U8" s="15" t="n">
        <v>350</v>
      </c>
      <c r="V8" s="15" t="n">
        <v>250</v>
      </c>
      <c r="W8" s="15" t="n">
        <f aca="false">U8+V8</f>
        <v>600</v>
      </c>
    </row>
    <row r="9" customFormat="false" ht="15" hidden="false" customHeight="false" outlineLevel="0" collapsed="false">
      <c r="A9" s="3" t="s">
        <v>3202</v>
      </c>
      <c r="B9" s="3" t="s">
        <v>3203</v>
      </c>
      <c r="C9" s="3" t="s">
        <v>1423</v>
      </c>
      <c r="D9" s="3" t="s">
        <v>125</v>
      </c>
      <c r="E9" s="13" t="n">
        <v>285000</v>
      </c>
      <c r="F9" s="13" t="n">
        <v>2946.36</v>
      </c>
      <c r="G9" s="13" t="n">
        <v>368.3</v>
      </c>
      <c r="H9" s="13" t="n">
        <v>368.3</v>
      </c>
      <c r="I9" s="13" t="n">
        <f aca="false">SUM(K9:T9)</f>
        <v>2209.8</v>
      </c>
      <c r="J9" s="13" t="n">
        <f aca="false">F9-(G9+H9+I9)</f>
        <v>-0.0399999999995089</v>
      </c>
      <c r="K9" s="13" t="n">
        <v>220.98</v>
      </c>
      <c r="L9" s="13" t="n">
        <v>220.98</v>
      </c>
      <c r="M9" s="13" t="n">
        <v>220.98</v>
      </c>
      <c r="N9" s="13" t="n">
        <v>220.98</v>
      </c>
      <c r="O9" s="13" t="n">
        <v>220.98</v>
      </c>
      <c r="P9" s="13" t="n">
        <v>220.98</v>
      </c>
      <c r="Q9" s="13" t="n">
        <v>220.98</v>
      </c>
      <c r="R9" s="13" t="n">
        <v>220.98</v>
      </c>
      <c r="S9" s="13" t="n">
        <v>220.98</v>
      </c>
      <c r="T9" s="13" t="n">
        <v>220.98</v>
      </c>
      <c r="U9" s="13" t="n">
        <v>350</v>
      </c>
      <c r="V9" s="13" t="n">
        <v>0</v>
      </c>
      <c r="W9" s="13" t="n">
        <f aca="false">U9+V9</f>
        <v>350</v>
      </c>
    </row>
    <row r="10" customFormat="false" ht="15" hidden="false" customHeight="false" outlineLevel="0" collapsed="false">
      <c r="A10" s="14" t="s">
        <v>3204</v>
      </c>
      <c r="B10" s="14" t="s">
        <v>3205</v>
      </c>
      <c r="C10" s="14" t="s">
        <v>1998</v>
      </c>
      <c r="D10" s="14" t="s">
        <v>69</v>
      </c>
      <c r="E10" s="15" t="n">
        <v>1950000</v>
      </c>
      <c r="F10" s="15" t="n">
        <v>21727.27</v>
      </c>
      <c r="G10" s="15" t="n">
        <v>2715.91</v>
      </c>
      <c r="H10" s="15" t="n">
        <v>2715.91</v>
      </c>
      <c r="I10" s="15" t="n">
        <f aca="false">SUM(K10:T10)</f>
        <v>16295.5</v>
      </c>
      <c r="J10" s="15" t="n">
        <f aca="false">F10-(G10+H10+I10)</f>
        <v>-0.0499999999992724</v>
      </c>
      <c r="K10" s="15" t="n">
        <v>1629.55</v>
      </c>
      <c r="L10" s="15" t="n">
        <v>1629.55</v>
      </c>
      <c r="M10" s="15" t="n">
        <v>1629.55</v>
      </c>
      <c r="N10" s="15" t="n">
        <v>1629.55</v>
      </c>
      <c r="O10" s="15" t="n">
        <v>1629.55</v>
      </c>
      <c r="P10" s="15" t="n">
        <v>1629.55</v>
      </c>
      <c r="Q10" s="15" t="n">
        <v>1629.55</v>
      </c>
      <c r="R10" s="15" t="n">
        <v>1629.55</v>
      </c>
      <c r="S10" s="15" t="n">
        <v>1629.55</v>
      </c>
      <c r="T10" s="15" t="n">
        <v>1629.55</v>
      </c>
      <c r="U10" s="15" t="n">
        <v>350</v>
      </c>
      <c r="V10" s="15" t="n">
        <v>250</v>
      </c>
      <c r="W10" s="15" t="n">
        <f aca="false">U10+V10</f>
        <v>600</v>
      </c>
    </row>
    <row r="11" customFormat="false" ht="15" hidden="false" customHeight="false" outlineLevel="0" collapsed="false">
      <c r="A11" s="3" t="s">
        <v>3206</v>
      </c>
      <c r="B11" s="3" t="s">
        <v>3195</v>
      </c>
      <c r="C11" s="3" t="s">
        <v>1146</v>
      </c>
      <c r="D11" s="3" t="s">
        <v>157</v>
      </c>
      <c r="E11" s="13" t="n">
        <v>510000</v>
      </c>
      <c r="F11" s="13" t="n">
        <v>4471.32</v>
      </c>
      <c r="G11" s="13" t="n">
        <v>558.91</v>
      </c>
      <c r="H11" s="13" t="n">
        <v>558.91</v>
      </c>
      <c r="I11" s="13" t="n">
        <f aca="false">SUM(K11:T11)</f>
        <v>3353.5</v>
      </c>
      <c r="J11" s="13" t="n">
        <f aca="false">F11-(G11+H11+I11)</f>
        <v>0</v>
      </c>
      <c r="K11" s="13" t="n">
        <v>335.35</v>
      </c>
      <c r="L11" s="13" t="n">
        <v>335.35</v>
      </c>
      <c r="M11" s="13" t="n">
        <v>335.35</v>
      </c>
      <c r="N11" s="13" t="n">
        <v>335.35</v>
      </c>
      <c r="O11" s="13" t="n">
        <v>335.35</v>
      </c>
      <c r="P11" s="13" t="n">
        <v>335.35</v>
      </c>
      <c r="Q11" s="13" t="n">
        <v>335.35</v>
      </c>
      <c r="R11" s="13" t="n">
        <v>335.35</v>
      </c>
      <c r="S11" s="13" t="n">
        <v>335.35</v>
      </c>
      <c r="T11" s="13" t="n">
        <v>335.35</v>
      </c>
      <c r="U11" s="13" t="n">
        <v>350</v>
      </c>
      <c r="V11" s="13" t="n">
        <v>0</v>
      </c>
      <c r="W11" s="13" t="n">
        <f aca="false">U11+V11</f>
        <v>350</v>
      </c>
    </row>
    <row r="12" customFormat="false" ht="15" hidden="false" customHeight="false" outlineLevel="0" collapsed="false">
      <c r="A12" s="14" t="s">
        <v>3207</v>
      </c>
      <c r="B12" s="14" t="s">
        <v>3208</v>
      </c>
      <c r="C12" s="14" t="s">
        <v>1215</v>
      </c>
      <c r="D12" s="14" t="s">
        <v>222</v>
      </c>
      <c r="E12" s="15" t="n">
        <v>540000</v>
      </c>
      <c r="F12" s="15" t="n">
        <v>5543.82</v>
      </c>
      <c r="G12" s="15" t="n">
        <v>692.98</v>
      </c>
      <c r="H12" s="15" t="n">
        <v>692.98</v>
      </c>
      <c r="I12" s="15" t="n">
        <f aca="false">SUM(K12:T12)</f>
        <v>4157.9</v>
      </c>
      <c r="J12" s="15" t="n">
        <f aca="false">F12-(G12+H12+I12)</f>
        <v>-0.0400000000008731</v>
      </c>
      <c r="K12" s="15" t="n">
        <v>415.79</v>
      </c>
      <c r="L12" s="15" t="n">
        <v>415.79</v>
      </c>
      <c r="M12" s="15" t="n">
        <v>415.79</v>
      </c>
      <c r="N12" s="15" t="n">
        <v>415.79</v>
      </c>
      <c r="O12" s="15" t="n">
        <v>415.79</v>
      </c>
      <c r="P12" s="15" t="n">
        <v>415.79</v>
      </c>
      <c r="Q12" s="15" t="n">
        <v>415.79</v>
      </c>
      <c r="R12" s="15" t="n">
        <v>415.79</v>
      </c>
      <c r="S12" s="15" t="n">
        <v>415.79</v>
      </c>
      <c r="T12" s="15" t="n">
        <v>415.79</v>
      </c>
      <c r="U12" s="15" t="n">
        <v>350</v>
      </c>
      <c r="V12" s="15" t="n">
        <v>0</v>
      </c>
      <c r="W12" s="15" t="n">
        <f aca="false">U12+V12</f>
        <v>350</v>
      </c>
    </row>
    <row r="13" customFormat="false" ht="15" hidden="false" customHeight="false" outlineLevel="0" collapsed="false">
      <c r="A13" s="3" t="s">
        <v>3209</v>
      </c>
      <c r="B13" s="3" t="s">
        <v>3201</v>
      </c>
      <c r="C13" s="3" t="s">
        <v>516</v>
      </c>
      <c r="D13" s="3" t="s">
        <v>312</v>
      </c>
      <c r="E13" s="13" t="n">
        <v>380000</v>
      </c>
      <c r="F13" s="13" t="n">
        <v>2907.08</v>
      </c>
      <c r="G13" s="13" t="n">
        <v>363.38</v>
      </c>
      <c r="H13" s="13" t="n">
        <v>363.38</v>
      </c>
      <c r="I13" s="13" t="n">
        <f aca="false">SUM(K13:T13)</f>
        <v>2180.3</v>
      </c>
      <c r="J13" s="13" t="n">
        <f aca="false">F13-(G13+H13+I13)</f>
        <v>0.0199999999995271</v>
      </c>
      <c r="K13" s="13" t="n">
        <v>218.03</v>
      </c>
      <c r="L13" s="13" t="n">
        <v>218.03</v>
      </c>
      <c r="M13" s="13" t="n">
        <v>218.03</v>
      </c>
      <c r="N13" s="13" t="n">
        <v>218.03</v>
      </c>
      <c r="O13" s="13" t="n">
        <v>218.03</v>
      </c>
      <c r="P13" s="13" t="n">
        <v>218.03</v>
      </c>
      <c r="Q13" s="13" t="n">
        <v>218.03</v>
      </c>
      <c r="R13" s="13" t="n">
        <v>218.03</v>
      </c>
      <c r="S13" s="13" t="n">
        <v>218.03</v>
      </c>
      <c r="T13" s="13" t="n">
        <v>218.03</v>
      </c>
      <c r="U13" s="13" t="n">
        <v>350</v>
      </c>
      <c r="V13" s="13" t="n">
        <v>0</v>
      </c>
      <c r="W13" s="13" t="n">
        <f aca="false">U13+V13</f>
        <v>350</v>
      </c>
    </row>
    <row r="14" customFormat="false" ht="15" hidden="false" customHeight="false" outlineLevel="0" collapsed="false">
      <c r="A14" s="14" t="s">
        <v>3210</v>
      </c>
      <c r="B14" s="14" t="s">
        <v>3211</v>
      </c>
      <c r="C14" s="14" t="s">
        <v>2296</v>
      </c>
      <c r="D14" s="14" t="s">
        <v>93</v>
      </c>
      <c r="E14" s="15" t="n">
        <v>180000</v>
      </c>
      <c r="F14" s="15" t="n">
        <v>3043.54</v>
      </c>
      <c r="G14" s="15" t="n">
        <v>380.44</v>
      </c>
      <c r="H14" s="15" t="n">
        <v>380.44</v>
      </c>
      <c r="I14" s="15" t="n">
        <f aca="false">SUM(K14:T14)</f>
        <v>2282.7</v>
      </c>
      <c r="J14" s="15" t="n">
        <f aca="false">F14-(G14+H14+I14)</f>
        <v>-0.0400000000004184</v>
      </c>
      <c r="K14" s="15" t="n">
        <v>228.27</v>
      </c>
      <c r="L14" s="15" t="n">
        <v>228.27</v>
      </c>
      <c r="M14" s="15" t="n">
        <v>228.27</v>
      </c>
      <c r="N14" s="15" t="n">
        <v>228.27</v>
      </c>
      <c r="O14" s="15" t="n">
        <v>228.27</v>
      </c>
      <c r="P14" s="15" t="n">
        <v>228.27</v>
      </c>
      <c r="Q14" s="15" t="n">
        <v>228.27</v>
      </c>
      <c r="R14" s="15" t="n">
        <v>228.27</v>
      </c>
      <c r="S14" s="15" t="n">
        <v>228.27</v>
      </c>
      <c r="T14" s="15" t="n">
        <v>228.27</v>
      </c>
      <c r="U14" s="15" t="n">
        <v>350</v>
      </c>
      <c r="V14" s="15" t="n">
        <v>0</v>
      </c>
      <c r="W14" s="15" t="n">
        <f aca="false">U14+V14</f>
        <v>350</v>
      </c>
    </row>
    <row r="15" customFormat="false" ht="15" hidden="false" customHeight="false" outlineLevel="0" collapsed="false">
      <c r="A15" s="3" t="s">
        <v>3212</v>
      </c>
      <c r="B15" s="3" t="s">
        <v>3213</v>
      </c>
      <c r="C15" s="3" t="s">
        <v>657</v>
      </c>
      <c r="D15" s="3" t="s">
        <v>189</v>
      </c>
      <c r="E15" s="13" t="n">
        <v>250000</v>
      </c>
      <c r="F15" s="13" t="n">
        <v>1895.32</v>
      </c>
      <c r="G15" s="13" t="n">
        <v>236.91</v>
      </c>
      <c r="H15" s="13" t="n">
        <v>236.91</v>
      </c>
      <c r="I15" s="13" t="n">
        <f aca="false">SUM(K15:T15)</f>
        <v>1421.5</v>
      </c>
      <c r="J15" s="13" t="n">
        <f aca="false">F15-(G15+H15+I15)</f>
        <v>0</v>
      </c>
      <c r="K15" s="13" t="n">
        <v>142.15</v>
      </c>
      <c r="L15" s="13" t="n">
        <v>142.15</v>
      </c>
      <c r="M15" s="13" t="n">
        <v>142.15</v>
      </c>
      <c r="N15" s="13" t="n">
        <v>142.15</v>
      </c>
      <c r="O15" s="13" t="n">
        <v>142.15</v>
      </c>
      <c r="P15" s="13" t="n">
        <v>142.15</v>
      </c>
      <c r="Q15" s="13" t="n">
        <v>142.15</v>
      </c>
      <c r="R15" s="13" t="n">
        <v>142.15</v>
      </c>
      <c r="S15" s="13" t="n">
        <v>142.15</v>
      </c>
      <c r="T15" s="13" t="n">
        <v>142.15</v>
      </c>
      <c r="U15" s="13" t="n">
        <v>350</v>
      </c>
      <c r="V15" s="13" t="n">
        <v>0</v>
      </c>
      <c r="W15" s="13" t="n">
        <f aca="false">U15+V15</f>
        <v>350</v>
      </c>
    </row>
    <row r="16" customFormat="false" ht="15" hidden="false" customHeight="false" outlineLevel="0" collapsed="false">
      <c r="A16" s="14" t="s">
        <v>3214</v>
      </c>
      <c r="B16" s="14" t="s">
        <v>3215</v>
      </c>
      <c r="C16" s="14" t="s">
        <v>330</v>
      </c>
      <c r="D16" s="14" t="s">
        <v>251</v>
      </c>
      <c r="E16" s="15" t="n">
        <v>385000</v>
      </c>
      <c r="F16" s="15" t="n">
        <v>2971.86</v>
      </c>
      <c r="G16" s="15" t="n">
        <v>371.48</v>
      </c>
      <c r="H16" s="15" t="n">
        <v>371.48</v>
      </c>
      <c r="I16" s="15" t="n">
        <f aca="false">SUM(K16:T16)</f>
        <v>2228.9</v>
      </c>
      <c r="J16" s="15" t="n">
        <f aca="false">F16-(G16+H16+I16)</f>
        <v>0</v>
      </c>
      <c r="K16" s="15" t="n">
        <v>222.89</v>
      </c>
      <c r="L16" s="15" t="n">
        <v>222.89</v>
      </c>
      <c r="M16" s="15" t="n">
        <v>222.89</v>
      </c>
      <c r="N16" s="15" t="n">
        <v>222.89</v>
      </c>
      <c r="O16" s="15" t="n">
        <v>222.89</v>
      </c>
      <c r="P16" s="15" t="n">
        <v>222.89</v>
      </c>
      <c r="Q16" s="15" t="n">
        <v>222.89</v>
      </c>
      <c r="R16" s="15" t="n">
        <v>222.89</v>
      </c>
      <c r="S16" s="15" t="n">
        <v>222.89</v>
      </c>
      <c r="T16" s="15" t="n">
        <v>222.89</v>
      </c>
      <c r="U16" s="15" t="n">
        <v>350</v>
      </c>
      <c r="V16" s="15" t="n">
        <v>0</v>
      </c>
      <c r="W16" s="15" t="n">
        <f aca="false">U16+V16</f>
        <v>350</v>
      </c>
    </row>
    <row r="17" customFormat="false" ht="15" hidden="false" customHeight="false" outlineLevel="0" collapsed="false">
      <c r="A17" s="3" t="s">
        <v>3216</v>
      </c>
      <c r="B17" s="3" t="s">
        <v>3197</v>
      </c>
      <c r="C17" s="3" t="s">
        <v>98</v>
      </c>
      <c r="D17" s="3" t="s">
        <v>115</v>
      </c>
      <c r="E17" s="13" t="n">
        <v>220000</v>
      </c>
      <c r="F17" s="13" t="n">
        <v>3836.13</v>
      </c>
      <c r="G17" s="13" t="n">
        <v>479.52</v>
      </c>
      <c r="H17" s="13" t="n">
        <v>479.52</v>
      </c>
      <c r="I17" s="13" t="n">
        <f aca="false">SUM(K17:T17)</f>
        <v>2877.1</v>
      </c>
      <c r="J17" s="13" t="n">
        <f aca="false">F17-(G17+H17+I17)</f>
        <v>-0.00999999999976353</v>
      </c>
      <c r="K17" s="13" t="n">
        <v>287.71</v>
      </c>
      <c r="L17" s="13" t="n">
        <v>287.71</v>
      </c>
      <c r="M17" s="13" t="n">
        <v>287.71</v>
      </c>
      <c r="N17" s="13" t="n">
        <v>287.71</v>
      </c>
      <c r="O17" s="13" t="n">
        <v>287.71</v>
      </c>
      <c r="P17" s="13" t="n">
        <v>287.71</v>
      </c>
      <c r="Q17" s="13" t="n">
        <v>287.71</v>
      </c>
      <c r="R17" s="13" t="n">
        <v>287.71</v>
      </c>
      <c r="S17" s="13" t="n">
        <v>287.71</v>
      </c>
      <c r="T17" s="13" t="n">
        <v>287.71</v>
      </c>
      <c r="U17" s="13" t="n">
        <v>350</v>
      </c>
      <c r="V17" s="13" t="n">
        <v>0</v>
      </c>
      <c r="W17" s="13" t="n">
        <f aca="false">U17+V17</f>
        <v>350</v>
      </c>
    </row>
    <row r="18" customFormat="false" ht="15" hidden="false" customHeight="false" outlineLevel="0" collapsed="false">
      <c r="A18" s="14" t="s">
        <v>3217</v>
      </c>
      <c r="B18" s="14" t="s">
        <v>3218</v>
      </c>
      <c r="C18" s="14" t="s">
        <v>2032</v>
      </c>
      <c r="D18" s="14" t="s">
        <v>230</v>
      </c>
      <c r="E18" s="15" t="n">
        <v>635000</v>
      </c>
      <c r="F18" s="15" t="n">
        <v>7052.5</v>
      </c>
      <c r="G18" s="15" t="n">
        <v>881.56</v>
      </c>
      <c r="H18" s="15" t="n">
        <v>881.56</v>
      </c>
      <c r="I18" s="15" t="n">
        <f aca="false">SUM(K18:T18)</f>
        <v>5289.4</v>
      </c>
      <c r="J18" s="15" t="n">
        <f aca="false">F18-(G18+H18+I18)</f>
        <v>-0.0200000000013461</v>
      </c>
      <c r="K18" s="15" t="n">
        <v>528.94</v>
      </c>
      <c r="L18" s="15" t="n">
        <v>528.94</v>
      </c>
      <c r="M18" s="15" t="n">
        <v>528.94</v>
      </c>
      <c r="N18" s="15" t="n">
        <v>528.94</v>
      </c>
      <c r="O18" s="15" t="n">
        <v>528.94</v>
      </c>
      <c r="P18" s="15" t="n">
        <v>528.94</v>
      </c>
      <c r="Q18" s="15" t="n">
        <v>528.94</v>
      </c>
      <c r="R18" s="15" t="n">
        <v>528.94</v>
      </c>
      <c r="S18" s="15" t="n">
        <v>528.94</v>
      </c>
      <c r="T18" s="15" t="n">
        <v>528.94</v>
      </c>
      <c r="U18" s="15" t="n">
        <v>350</v>
      </c>
      <c r="V18" s="15" t="n">
        <v>0</v>
      </c>
      <c r="W18" s="15" t="n">
        <f aca="false">U18+V18</f>
        <v>350</v>
      </c>
    </row>
    <row r="19" customFormat="false" ht="15" hidden="false" customHeight="false" outlineLevel="0" collapsed="false">
      <c r="A19" s="3" t="s">
        <v>3219</v>
      </c>
      <c r="B19" s="3" t="s">
        <v>3213</v>
      </c>
      <c r="C19" s="3" t="s">
        <v>594</v>
      </c>
      <c r="D19" s="3" t="s">
        <v>279</v>
      </c>
      <c r="E19" s="13" t="n">
        <v>1950000</v>
      </c>
      <c r="F19" s="13" t="n">
        <v>8662.9</v>
      </c>
      <c r="G19" s="13" t="n">
        <v>1082.86</v>
      </c>
      <c r="H19" s="13" t="n">
        <v>1082.86</v>
      </c>
      <c r="I19" s="13" t="n">
        <f aca="false">SUM(K19:T19)</f>
        <v>6497.2</v>
      </c>
      <c r="J19" s="13" t="n">
        <f aca="false">F19-(G19+H19+I19)</f>
        <v>-0.0200000000004366</v>
      </c>
      <c r="K19" s="13" t="n">
        <v>649.72</v>
      </c>
      <c r="L19" s="13" t="n">
        <v>649.72</v>
      </c>
      <c r="M19" s="13" t="n">
        <v>649.72</v>
      </c>
      <c r="N19" s="13" t="n">
        <v>649.72</v>
      </c>
      <c r="O19" s="13" t="n">
        <v>649.72</v>
      </c>
      <c r="P19" s="13" t="n">
        <v>649.72</v>
      </c>
      <c r="Q19" s="13" t="n">
        <v>649.72</v>
      </c>
      <c r="R19" s="13" t="n">
        <v>649.72</v>
      </c>
      <c r="S19" s="13" t="n">
        <v>649.72</v>
      </c>
      <c r="T19" s="13" t="n">
        <v>649.72</v>
      </c>
      <c r="U19" s="13" t="n">
        <v>350</v>
      </c>
      <c r="V19" s="13" t="n">
        <v>250</v>
      </c>
      <c r="W19" s="13" t="n">
        <f aca="false">U19+V19</f>
        <v>600</v>
      </c>
    </row>
    <row r="20" customFormat="false" ht="15" hidden="false" customHeight="false" outlineLevel="0" collapsed="false">
      <c r="A20" s="14" t="s">
        <v>3220</v>
      </c>
      <c r="B20" s="14" t="s">
        <v>3221</v>
      </c>
      <c r="C20" s="14" t="s">
        <v>917</v>
      </c>
      <c r="D20" s="14" t="s">
        <v>77</v>
      </c>
      <c r="E20" s="15" t="n">
        <v>605000</v>
      </c>
      <c r="F20" s="15" t="n">
        <v>10480.73</v>
      </c>
      <c r="G20" s="15" t="n">
        <v>1310.09</v>
      </c>
      <c r="H20" s="15" t="n">
        <v>1310.09</v>
      </c>
      <c r="I20" s="15" t="n">
        <f aca="false">SUM(K20:T20)</f>
        <v>7860.5</v>
      </c>
      <c r="J20" s="15" t="n">
        <f aca="false">F20-(G20+H20+I20)</f>
        <v>0.0499999999992724</v>
      </c>
      <c r="K20" s="15" t="n">
        <v>786.05</v>
      </c>
      <c r="L20" s="15" t="n">
        <v>786.05</v>
      </c>
      <c r="M20" s="15" t="n">
        <v>786.05</v>
      </c>
      <c r="N20" s="15" t="n">
        <v>786.05</v>
      </c>
      <c r="O20" s="15" t="n">
        <v>786.05</v>
      </c>
      <c r="P20" s="15" t="n">
        <v>786.05</v>
      </c>
      <c r="Q20" s="15" t="n">
        <v>786.05</v>
      </c>
      <c r="R20" s="15" t="n">
        <v>786.05</v>
      </c>
      <c r="S20" s="15" t="n">
        <v>786.05</v>
      </c>
      <c r="T20" s="15" t="n">
        <v>786.05</v>
      </c>
      <c r="U20" s="15" t="n">
        <v>350</v>
      </c>
      <c r="V20" s="15" t="n">
        <v>0</v>
      </c>
      <c r="W20" s="15" t="n">
        <f aca="false">U20+V20</f>
        <v>350</v>
      </c>
    </row>
    <row r="21" customFormat="false" ht="15" hidden="false" customHeight="false" outlineLevel="0" collapsed="false">
      <c r="A21" s="3" t="s">
        <v>3222</v>
      </c>
      <c r="B21" s="3" t="s">
        <v>3223</v>
      </c>
      <c r="C21" s="3" t="s">
        <v>602</v>
      </c>
      <c r="D21" s="3" t="s">
        <v>189</v>
      </c>
      <c r="E21" s="13" t="n">
        <v>420000</v>
      </c>
      <c r="F21" s="13" t="n">
        <v>7628.67</v>
      </c>
      <c r="G21" s="13" t="n">
        <v>953.58</v>
      </c>
      <c r="H21" s="13" t="n">
        <v>953.58</v>
      </c>
      <c r="I21" s="13" t="n">
        <f aca="false">SUM(K21:T21)</f>
        <v>5721.5</v>
      </c>
      <c r="J21" s="13" t="n">
        <f aca="false">F21-(G21+H21+I21)</f>
        <v>0.0100000000011278</v>
      </c>
      <c r="K21" s="13" t="n">
        <v>572.15</v>
      </c>
      <c r="L21" s="13" t="n">
        <v>572.15</v>
      </c>
      <c r="M21" s="13" t="n">
        <v>572.15</v>
      </c>
      <c r="N21" s="13" t="n">
        <v>572.15</v>
      </c>
      <c r="O21" s="13" t="n">
        <v>572.15</v>
      </c>
      <c r="P21" s="13" t="n">
        <v>572.15</v>
      </c>
      <c r="Q21" s="13" t="n">
        <v>572.15</v>
      </c>
      <c r="R21" s="13" t="n">
        <v>572.15</v>
      </c>
      <c r="S21" s="13" t="n">
        <v>572.15</v>
      </c>
      <c r="T21" s="13" t="n">
        <v>572.15</v>
      </c>
      <c r="U21" s="13" t="n">
        <v>350</v>
      </c>
      <c r="V21" s="13" t="n">
        <v>0</v>
      </c>
      <c r="W21" s="13" t="n">
        <f aca="false">U21+V21</f>
        <v>350</v>
      </c>
    </row>
    <row r="22" customFormat="false" ht="15" hidden="false" customHeight="false" outlineLevel="0" collapsed="false">
      <c r="A22" s="14" t="s">
        <v>3224</v>
      </c>
      <c r="B22" s="14" t="s">
        <v>3225</v>
      </c>
      <c r="C22" s="14" t="s">
        <v>618</v>
      </c>
      <c r="D22" s="14" t="s">
        <v>99</v>
      </c>
      <c r="E22" s="15" t="n">
        <v>1950000</v>
      </c>
      <c r="F22" s="15" t="n">
        <v>30462.97</v>
      </c>
      <c r="G22" s="15" t="n">
        <v>3807.87</v>
      </c>
      <c r="H22" s="15" t="n">
        <v>3807.87</v>
      </c>
      <c r="I22" s="15" t="n">
        <f aca="false">SUM(K22:T22)</f>
        <v>22847.2</v>
      </c>
      <c r="J22" s="15" t="n">
        <f aca="false">F22-(G22+H22+I22)</f>
        <v>0.0299999999988358</v>
      </c>
      <c r="K22" s="15" t="n">
        <v>2284.72</v>
      </c>
      <c r="L22" s="15" t="n">
        <v>2284.72</v>
      </c>
      <c r="M22" s="15" t="n">
        <v>2284.72</v>
      </c>
      <c r="N22" s="15" t="n">
        <v>2284.72</v>
      </c>
      <c r="O22" s="15" t="n">
        <v>2284.72</v>
      </c>
      <c r="P22" s="15" t="n">
        <v>2284.72</v>
      </c>
      <c r="Q22" s="15" t="n">
        <v>2284.72</v>
      </c>
      <c r="R22" s="15" t="n">
        <v>2284.72</v>
      </c>
      <c r="S22" s="15" t="n">
        <v>2284.72</v>
      </c>
      <c r="T22" s="15" t="n">
        <v>2284.72</v>
      </c>
      <c r="U22" s="15" t="n">
        <v>350</v>
      </c>
      <c r="V22" s="15" t="n">
        <v>250</v>
      </c>
      <c r="W22" s="15" t="n">
        <f aca="false">U22+V22</f>
        <v>600</v>
      </c>
    </row>
    <row r="23" customFormat="false" ht="15" hidden="false" customHeight="false" outlineLevel="0" collapsed="false">
      <c r="A23" s="3" t="s">
        <v>3226</v>
      </c>
      <c r="B23" s="3" t="s">
        <v>3227</v>
      </c>
      <c r="C23" s="3" t="s">
        <v>797</v>
      </c>
      <c r="D23" s="3" t="s">
        <v>115</v>
      </c>
      <c r="E23" s="13" t="n">
        <v>805000</v>
      </c>
      <c r="F23" s="13" t="n">
        <v>9917.27</v>
      </c>
      <c r="G23" s="13" t="n">
        <v>1239.66</v>
      </c>
      <c r="H23" s="13" t="n">
        <v>1239.66</v>
      </c>
      <c r="I23" s="13" t="n">
        <f aca="false">SUM(K23:T23)</f>
        <v>7438</v>
      </c>
      <c r="J23" s="13" t="n">
        <f aca="false">F23-(G23+H23+I23)</f>
        <v>-0.0499999999992724</v>
      </c>
      <c r="K23" s="13" t="n">
        <v>743.8</v>
      </c>
      <c r="L23" s="13" t="n">
        <v>743.8</v>
      </c>
      <c r="M23" s="13" t="n">
        <v>743.8</v>
      </c>
      <c r="N23" s="13" t="n">
        <v>743.8</v>
      </c>
      <c r="O23" s="13" t="n">
        <v>743.8</v>
      </c>
      <c r="P23" s="13" t="n">
        <v>743.8</v>
      </c>
      <c r="Q23" s="13" t="n">
        <v>743.8</v>
      </c>
      <c r="R23" s="13" t="n">
        <v>743.8</v>
      </c>
      <c r="S23" s="13" t="n">
        <v>743.8</v>
      </c>
      <c r="T23" s="13" t="n">
        <v>743.8</v>
      </c>
      <c r="U23" s="13" t="n">
        <v>350</v>
      </c>
      <c r="V23" s="13" t="n">
        <v>0</v>
      </c>
      <c r="W23" s="13" t="n">
        <f aca="false">U23+V23</f>
        <v>350</v>
      </c>
    </row>
    <row r="24" customFormat="false" ht="15" hidden="false" customHeight="false" outlineLevel="0" collapsed="false">
      <c r="A24" s="14" t="s">
        <v>3228</v>
      </c>
      <c r="B24" s="14" t="s">
        <v>3221</v>
      </c>
      <c r="C24" s="14" t="s">
        <v>1141</v>
      </c>
      <c r="D24" s="14" t="s">
        <v>157</v>
      </c>
      <c r="E24" s="15" t="n">
        <v>1800000</v>
      </c>
      <c r="F24" s="15" t="n">
        <v>29360.24</v>
      </c>
      <c r="G24" s="15" t="n">
        <v>3670.03</v>
      </c>
      <c r="H24" s="15" t="n">
        <v>3670.03</v>
      </c>
      <c r="I24" s="15" t="n">
        <f aca="false">SUM(K24:T24)</f>
        <v>22020.2</v>
      </c>
      <c r="J24" s="15" t="n">
        <f aca="false">F24-(G24+H24+I24)</f>
        <v>-0.0200000000004366</v>
      </c>
      <c r="K24" s="15" t="n">
        <v>2202.02</v>
      </c>
      <c r="L24" s="15" t="n">
        <v>2202.02</v>
      </c>
      <c r="M24" s="15" t="n">
        <v>2202.02</v>
      </c>
      <c r="N24" s="15" t="n">
        <v>2202.02</v>
      </c>
      <c r="O24" s="15" t="n">
        <v>2202.02</v>
      </c>
      <c r="P24" s="15" t="n">
        <v>2202.02</v>
      </c>
      <c r="Q24" s="15" t="n">
        <v>2202.02</v>
      </c>
      <c r="R24" s="15" t="n">
        <v>2202.02</v>
      </c>
      <c r="S24" s="15" t="n">
        <v>2202.02</v>
      </c>
      <c r="T24" s="15" t="n">
        <v>2202.02</v>
      </c>
      <c r="U24" s="15" t="n">
        <v>350</v>
      </c>
      <c r="V24" s="15" t="n">
        <v>250</v>
      </c>
      <c r="W24" s="15" t="n">
        <f aca="false">U24+V24</f>
        <v>600</v>
      </c>
    </row>
    <row r="25" customFormat="false" ht="15" hidden="false" customHeight="false" outlineLevel="0" collapsed="false">
      <c r="A25" s="3" t="s">
        <v>3229</v>
      </c>
      <c r="B25" s="3" t="s">
        <v>3221</v>
      </c>
      <c r="C25" s="3" t="s">
        <v>3230</v>
      </c>
      <c r="D25" s="3" t="s">
        <v>85</v>
      </c>
      <c r="E25" s="13" t="n">
        <v>600000</v>
      </c>
      <c r="F25" s="13" t="n">
        <v>11376.23</v>
      </c>
      <c r="G25" s="13" t="n">
        <v>1422.03</v>
      </c>
      <c r="H25" s="13" t="n">
        <v>1422.03</v>
      </c>
      <c r="I25" s="13" t="n">
        <f aca="false">SUM(K25:T25)</f>
        <v>8532.2</v>
      </c>
      <c r="J25" s="13" t="n">
        <f aca="false">F25-(G25+H25+I25)</f>
        <v>-0.0300000000006548</v>
      </c>
      <c r="K25" s="13" t="n">
        <v>853.22</v>
      </c>
      <c r="L25" s="13" t="n">
        <v>853.22</v>
      </c>
      <c r="M25" s="13" t="n">
        <v>853.22</v>
      </c>
      <c r="N25" s="13" t="n">
        <v>853.22</v>
      </c>
      <c r="O25" s="13" t="n">
        <v>853.22</v>
      </c>
      <c r="P25" s="13" t="n">
        <v>853.22</v>
      </c>
      <c r="Q25" s="13" t="n">
        <v>853.22</v>
      </c>
      <c r="R25" s="13" t="n">
        <v>853.22</v>
      </c>
      <c r="S25" s="13" t="n">
        <v>853.22</v>
      </c>
      <c r="T25" s="13" t="n">
        <v>853.22</v>
      </c>
      <c r="U25" s="13" t="n">
        <v>350</v>
      </c>
      <c r="V25" s="13" t="n">
        <v>0</v>
      </c>
      <c r="W25" s="13" t="n">
        <f aca="false">U25+V25</f>
        <v>350</v>
      </c>
    </row>
    <row r="26" customFormat="false" ht="15" hidden="false" customHeight="false" outlineLevel="0" collapsed="false">
      <c r="A26" s="14" t="s">
        <v>3231</v>
      </c>
      <c r="B26" s="14" t="s">
        <v>3213</v>
      </c>
      <c r="C26" s="14" t="s">
        <v>171</v>
      </c>
      <c r="D26" s="14" t="s">
        <v>112</v>
      </c>
      <c r="E26" s="15" t="n">
        <v>710000</v>
      </c>
      <c r="F26" s="15" t="n">
        <v>4164.47</v>
      </c>
      <c r="G26" s="15" t="n">
        <v>520.56</v>
      </c>
      <c r="H26" s="15" t="n">
        <v>520.56</v>
      </c>
      <c r="I26" s="15" t="n">
        <f aca="false">SUM(K26:T26)</f>
        <v>3123.4</v>
      </c>
      <c r="J26" s="15" t="n">
        <f aca="false">F26-(G26+H26+I26)</f>
        <v>-0.0500000000001819</v>
      </c>
      <c r="K26" s="15" t="n">
        <v>312.34</v>
      </c>
      <c r="L26" s="15" t="n">
        <v>312.34</v>
      </c>
      <c r="M26" s="15" t="n">
        <v>312.34</v>
      </c>
      <c r="N26" s="15" t="n">
        <v>312.34</v>
      </c>
      <c r="O26" s="15" t="n">
        <v>312.34</v>
      </c>
      <c r="P26" s="15" t="n">
        <v>312.34</v>
      </c>
      <c r="Q26" s="15" t="n">
        <v>312.34</v>
      </c>
      <c r="R26" s="15" t="n">
        <v>312.34</v>
      </c>
      <c r="S26" s="15" t="n">
        <v>312.34</v>
      </c>
      <c r="T26" s="15" t="n">
        <v>312.34</v>
      </c>
      <c r="U26" s="15" t="n">
        <v>350</v>
      </c>
      <c r="V26" s="15" t="n">
        <v>0</v>
      </c>
      <c r="W26" s="15" t="n">
        <f aca="false">U26+V26</f>
        <v>350</v>
      </c>
    </row>
    <row r="27" customFormat="false" ht="15" hidden="false" customHeight="false" outlineLevel="0" collapsed="false">
      <c r="A27" s="3" t="s">
        <v>3232</v>
      </c>
      <c r="B27" s="3" t="s">
        <v>3223</v>
      </c>
      <c r="C27" s="3" t="s">
        <v>554</v>
      </c>
      <c r="D27" s="3" t="s">
        <v>172</v>
      </c>
      <c r="E27" s="13" t="n">
        <v>1530000</v>
      </c>
      <c r="F27" s="13" t="n">
        <v>12565.97</v>
      </c>
      <c r="G27" s="13" t="n">
        <v>1570.75</v>
      </c>
      <c r="H27" s="13" t="n">
        <v>1570.75</v>
      </c>
      <c r="I27" s="13" t="n">
        <f aca="false">SUM(K27:T27)</f>
        <v>9424.5</v>
      </c>
      <c r="J27" s="13" t="n">
        <f aca="false">F27-(G27+H27+I27)</f>
        <v>-0.0300000000024738</v>
      </c>
      <c r="K27" s="13" t="n">
        <v>942.45</v>
      </c>
      <c r="L27" s="13" t="n">
        <v>942.45</v>
      </c>
      <c r="M27" s="13" t="n">
        <v>942.45</v>
      </c>
      <c r="N27" s="13" t="n">
        <v>942.45</v>
      </c>
      <c r="O27" s="13" t="n">
        <v>942.45</v>
      </c>
      <c r="P27" s="13" t="n">
        <v>942.45</v>
      </c>
      <c r="Q27" s="13" t="n">
        <v>942.45</v>
      </c>
      <c r="R27" s="13" t="n">
        <v>942.45</v>
      </c>
      <c r="S27" s="13" t="n">
        <v>942.45</v>
      </c>
      <c r="T27" s="13" t="n">
        <v>942.45</v>
      </c>
      <c r="U27" s="13" t="n">
        <v>350</v>
      </c>
      <c r="V27" s="13" t="n">
        <v>250</v>
      </c>
      <c r="W27" s="13" t="n">
        <f aca="false">U27+V27</f>
        <v>600</v>
      </c>
    </row>
    <row r="28" customFormat="false" ht="15" hidden="false" customHeight="false" outlineLevel="0" collapsed="false">
      <c r="A28" s="14" t="s">
        <v>3233</v>
      </c>
      <c r="B28" s="14" t="s">
        <v>3221</v>
      </c>
      <c r="C28" s="14" t="s">
        <v>2399</v>
      </c>
      <c r="D28" s="14" t="s">
        <v>132</v>
      </c>
      <c r="E28" s="15" t="n">
        <v>415000</v>
      </c>
      <c r="F28" s="15" t="n">
        <v>2502.69</v>
      </c>
      <c r="G28" s="15" t="n">
        <v>312.84</v>
      </c>
      <c r="H28" s="15" t="n">
        <v>312.84</v>
      </c>
      <c r="I28" s="15" t="n">
        <f aca="false">SUM(K28:T28)</f>
        <v>1877</v>
      </c>
      <c r="J28" s="15" t="n">
        <f aca="false">F28-(G28+H28+I28)</f>
        <v>0.0100000000002183</v>
      </c>
      <c r="K28" s="15" t="n">
        <v>187.7</v>
      </c>
      <c r="L28" s="15" t="n">
        <v>187.7</v>
      </c>
      <c r="M28" s="15" t="n">
        <v>187.7</v>
      </c>
      <c r="N28" s="15" t="n">
        <v>187.7</v>
      </c>
      <c r="O28" s="15" t="n">
        <v>187.7</v>
      </c>
      <c r="P28" s="15" t="n">
        <v>187.7</v>
      </c>
      <c r="Q28" s="15" t="n">
        <v>187.7</v>
      </c>
      <c r="R28" s="15" t="n">
        <v>187.7</v>
      </c>
      <c r="S28" s="15" t="n">
        <v>187.7</v>
      </c>
      <c r="T28" s="15" t="n">
        <v>187.7</v>
      </c>
      <c r="U28" s="15" t="n">
        <v>350</v>
      </c>
      <c r="V28" s="15" t="n">
        <v>0</v>
      </c>
      <c r="W28" s="15" t="n">
        <f aca="false">U28+V28</f>
        <v>350</v>
      </c>
    </row>
    <row r="29" customFormat="false" ht="15" hidden="false" customHeight="false" outlineLevel="0" collapsed="false">
      <c r="A29" s="3" t="s">
        <v>3234</v>
      </c>
      <c r="B29" s="3" t="s">
        <v>3235</v>
      </c>
      <c r="C29" s="3" t="s">
        <v>1279</v>
      </c>
      <c r="D29" s="3" t="s">
        <v>102</v>
      </c>
      <c r="E29" s="13" t="n">
        <v>455000</v>
      </c>
      <c r="F29" s="13" t="n">
        <v>8640.04</v>
      </c>
      <c r="G29" s="13" t="n">
        <v>1080.01</v>
      </c>
      <c r="H29" s="13" t="n">
        <v>1080.01</v>
      </c>
      <c r="I29" s="13" t="n">
        <f aca="false">SUM(K29:T29)</f>
        <v>6480</v>
      </c>
      <c r="J29" s="13" t="n">
        <f aca="false">F29-(G29+H29+I29)</f>
        <v>0.0200000000004366</v>
      </c>
      <c r="K29" s="13" t="n">
        <v>648</v>
      </c>
      <c r="L29" s="13" t="n">
        <v>648</v>
      </c>
      <c r="M29" s="13" t="n">
        <v>648</v>
      </c>
      <c r="N29" s="13" t="n">
        <v>648</v>
      </c>
      <c r="O29" s="13" t="n">
        <v>648</v>
      </c>
      <c r="P29" s="13" t="n">
        <v>648</v>
      </c>
      <c r="Q29" s="13" t="n">
        <v>648</v>
      </c>
      <c r="R29" s="13" t="n">
        <v>648</v>
      </c>
      <c r="S29" s="13" t="n">
        <v>648</v>
      </c>
      <c r="T29" s="13" t="n">
        <v>648</v>
      </c>
      <c r="U29" s="13" t="n">
        <v>350</v>
      </c>
      <c r="V29" s="13" t="n">
        <v>0</v>
      </c>
      <c r="W29" s="13" t="n">
        <f aca="false">U29+V29</f>
        <v>350</v>
      </c>
    </row>
    <row r="30" customFormat="false" ht="15" hidden="false" customHeight="false" outlineLevel="0" collapsed="false">
      <c r="A30" s="14" t="s">
        <v>3236</v>
      </c>
      <c r="B30" s="14" t="s">
        <v>3237</v>
      </c>
      <c r="C30" s="14" t="s">
        <v>213</v>
      </c>
      <c r="D30" s="14" t="s">
        <v>430</v>
      </c>
      <c r="E30" s="15" t="n">
        <v>225000</v>
      </c>
      <c r="F30" s="15" t="n">
        <v>2942.48</v>
      </c>
      <c r="G30" s="15" t="n">
        <v>367.81</v>
      </c>
      <c r="H30" s="15" t="n">
        <v>367.81</v>
      </c>
      <c r="I30" s="15" t="n">
        <f aca="false">SUM(K30:T30)</f>
        <v>2206.9</v>
      </c>
      <c r="J30" s="15" t="n">
        <f aca="false">F30-(G30+H30+I30)</f>
        <v>-0.0399999999999636</v>
      </c>
      <c r="K30" s="15" t="n">
        <v>220.69</v>
      </c>
      <c r="L30" s="15" t="n">
        <v>220.69</v>
      </c>
      <c r="M30" s="15" t="n">
        <v>220.69</v>
      </c>
      <c r="N30" s="15" t="n">
        <v>220.69</v>
      </c>
      <c r="O30" s="15" t="n">
        <v>220.69</v>
      </c>
      <c r="P30" s="15" t="n">
        <v>220.69</v>
      </c>
      <c r="Q30" s="15" t="n">
        <v>220.69</v>
      </c>
      <c r="R30" s="15" t="n">
        <v>220.69</v>
      </c>
      <c r="S30" s="15" t="n">
        <v>220.69</v>
      </c>
      <c r="T30" s="15" t="n">
        <v>220.69</v>
      </c>
      <c r="U30" s="15" t="n">
        <v>350</v>
      </c>
      <c r="V30" s="15" t="n">
        <v>0</v>
      </c>
      <c r="W30" s="15" t="n">
        <f aca="false">U30+V30</f>
        <v>350</v>
      </c>
    </row>
    <row r="31" customFormat="false" ht="15" hidden="false" customHeight="false" outlineLevel="0" collapsed="false">
      <c r="A31" s="3" t="s">
        <v>3238</v>
      </c>
      <c r="B31" s="3" t="s">
        <v>3239</v>
      </c>
      <c r="C31" s="3" t="s">
        <v>303</v>
      </c>
      <c r="D31" s="3" t="s">
        <v>112</v>
      </c>
      <c r="E31" s="13" t="n">
        <v>1015000</v>
      </c>
      <c r="F31" s="13" t="n">
        <v>5261.17</v>
      </c>
      <c r="G31" s="13" t="n">
        <v>657.65</v>
      </c>
      <c r="H31" s="13" t="n">
        <v>657.65</v>
      </c>
      <c r="I31" s="13" t="n">
        <f aca="false">SUM(K31:T31)</f>
        <v>3945.9</v>
      </c>
      <c r="J31" s="13" t="n">
        <f aca="false">F31-(G31+H31+I31)</f>
        <v>-0.0299999999997453</v>
      </c>
      <c r="K31" s="13" t="n">
        <v>394.59</v>
      </c>
      <c r="L31" s="13" t="n">
        <v>394.59</v>
      </c>
      <c r="M31" s="13" t="n">
        <v>394.59</v>
      </c>
      <c r="N31" s="13" t="n">
        <v>394.59</v>
      </c>
      <c r="O31" s="13" t="n">
        <v>394.59</v>
      </c>
      <c r="P31" s="13" t="n">
        <v>394.59</v>
      </c>
      <c r="Q31" s="13" t="n">
        <v>394.59</v>
      </c>
      <c r="R31" s="13" t="n">
        <v>394.59</v>
      </c>
      <c r="S31" s="13" t="n">
        <v>394.59</v>
      </c>
      <c r="T31" s="13" t="n">
        <v>394.59</v>
      </c>
      <c r="U31" s="13" t="n">
        <v>350</v>
      </c>
      <c r="V31" s="13" t="n">
        <v>250</v>
      </c>
      <c r="W31" s="13" t="n">
        <f aca="false">U31+V31</f>
        <v>600</v>
      </c>
    </row>
    <row r="32" customFormat="false" ht="15" hidden="false" customHeight="false" outlineLevel="0" collapsed="false">
      <c r="A32" s="14" t="s">
        <v>3240</v>
      </c>
      <c r="B32" s="14" t="s">
        <v>3241</v>
      </c>
      <c r="C32" s="14" t="s">
        <v>1432</v>
      </c>
      <c r="D32" s="14" t="s">
        <v>157</v>
      </c>
      <c r="E32" s="15" t="n">
        <v>320000</v>
      </c>
      <c r="F32" s="15" t="n">
        <v>3131.76</v>
      </c>
      <c r="G32" s="15" t="n">
        <v>391.47</v>
      </c>
      <c r="H32" s="15" t="n">
        <v>391.47</v>
      </c>
      <c r="I32" s="15" t="n">
        <f aca="false">SUM(K32:T32)</f>
        <v>2348.8</v>
      </c>
      <c r="J32" s="15" t="n">
        <f aca="false">F32-(G32+H32+I32)</f>
        <v>0.0199999999999818</v>
      </c>
      <c r="K32" s="15" t="n">
        <v>234.88</v>
      </c>
      <c r="L32" s="15" t="n">
        <v>234.88</v>
      </c>
      <c r="M32" s="15" t="n">
        <v>234.88</v>
      </c>
      <c r="N32" s="15" t="n">
        <v>234.88</v>
      </c>
      <c r="O32" s="15" t="n">
        <v>234.88</v>
      </c>
      <c r="P32" s="15" t="n">
        <v>234.88</v>
      </c>
      <c r="Q32" s="15" t="n">
        <v>234.88</v>
      </c>
      <c r="R32" s="15" t="n">
        <v>234.88</v>
      </c>
      <c r="S32" s="15" t="n">
        <v>234.88</v>
      </c>
      <c r="T32" s="15" t="n">
        <v>234.88</v>
      </c>
      <c r="U32" s="15" t="n">
        <v>350</v>
      </c>
      <c r="V32" s="15" t="n">
        <v>0</v>
      </c>
      <c r="W32" s="15" t="n">
        <f aca="false">U32+V32</f>
        <v>350</v>
      </c>
    </row>
    <row r="33" customFormat="false" ht="15" hidden="false" customHeight="false" outlineLevel="0" collapsed="false">
      <c r="A33" s="3" t="s">
        <v>3242</v>
      </c>
      <c r="B33" s="3" t="s">
        <v>3218</v>
      </c>
      <c r="C33" s="3" t="s">
        <v>1021</v>
      </c>
      <c r="D33" s="3" t="s">
        <v>325</v>
      </c>
      <c r="E33" s="13" t="n">
        <v>755000</v>
      </c>
      <c r="F33" s="13" t="n">
        <v>9724.07</v>
      </c>
      <c r="G33" s="13" t="n">
        <v>1215.51</v>
      </c>
      <c r="H33" s="13" t="n">
        <v>1215.51</v>
      </c>
      <c r="I33" s="13" t="n">
        <f aca="false">SUM(K33:T33)</f>
        <v>7293.1</v>
      </c>
      <c r="J33" s="13" t="n">
        <f aca="false">F33-(G33+H33+I33)</f>
        <v>-0.0499999999992724</v>
      </c>
      <c r="K33" s="13" t="n">
        <v>729.31</v>
      </c>
      <c r="L33" s="13" t="n">
        <v>729.31</v>
      </c>
      <c r="M33" s="13" t="n">
        <v>729.31</v>
      </c>
      <c r="N33" s="13" t="n">
        <v>729.31</v>
      </c>
      <c r="O33" s="13" t="n">
        <v>729.31</v>
      </c>
      <c r="P33" s="13" t="n">
        <v>729.31</v>
      </c>
      <c r="Q33" s="13" t="n">
        <v>729.31</v>
      </c>
      <c r="R33" s="13" t="n">
        <v>729.31</v>
      </c>
      <c r="S33" s="13" t="n">
        <v>729.31</v>
      </c>
      <c r="T33" s="13" t="n">
        <v>729.31</v>
      </c>
      <c r="U33" s="13" t="n">
        <v>350</v>
      </c>
      <c r="V33" s="13" t="n">
        <v>0</v>
      </c>
      <c r="W33" s="13" t="n">
        <f aca="false">U33+V33</f>
        <v>350</v>
      </c>
    </row>
    <row r="34" customFormat="false" ht="15" hidden="false" customHeight="false" outlineLevel="0" collapsed="false">
      <c r="A34" s="14" t="s">
        <v>3243</v>
      </c>
      <c r="B34" s="14" t="s">
        <v>3195</v>
      </c>
      <c r="C34" s="14" t="s">
        <v>587</v>
      </c>
      <c r="D34" s="14" t="s">
        <v>153</v>
      </c>
      <c r="E34" s="15" t="n">
        <v>835000</v>
      </c>
      <c r="F34" s="15" t="n">
        <v>12079.26</v>
      </c>
      <c r="G34" s="15" t="n">
        <v>1509.91</v>
      </c>
      <c r="H34" s="15" t="n">
        <v>1509.91</v>
      </c>
      <c r="I34" s="15" t="n">
        <f aca="false">SUM(K34:T34)</f>
        <v>9059.4</v>
      </c>
      <c r="J34" s="15" t="n">
        <f aca="false">F34-(G34+H34+I34)</f>
        <v>0.0399999999990541</v>
      </c>
      <c r="K34" s="15" t="n">
        <v>905.94</v>
      </c>
      <c r="L34" s="15" t="n">
        <v>905.94</v>
      </c>
      <c r="M34" s="15" t="n">
        <v>905.94</v>
      </c>
      <c r="N34" s="15" t="n">
        <v>905.94</v>
      </c>
      <c r="O34" s="15" t="n">
        <v>905.94</v>
      </c>
      <c r="P34" s="15" t="n">
        <v>905.94</v>
      </c>
      <c r="Q34" s="15" t="n">
        <v>905.94</v>
      </c>
      <c r="R34" s="15" t="n">
        <v>905.94</v>
      </c>
      <c r="S34" s="15" t="n">
        <v>905.94</v>
      </c>
      <c r="T34" s="15" t="n">
        <v>905.94</v>
      </c>
      <c r="U34" s="15" t="n">
        <v>350</v>
      </c>
      <c r="V34" s="15" t="n">
        <v>0</v>
      </c>
      <c r="W34" s="15" t="n">
        <f aca="false">U34+V34</f>
        <v>350</v>
      </c>
    </row>
    <row r="35" customFormat="false" ht="15" hidden="false" customHeight="false" outlineLevel="0" collapsed="false">
      <c r="A35" s="3" t="s">
        <v>3244</v>
      </c>
      <c r="B35" s="3" t="s">
        <v>3245</v>
      </c>
      <c r="C35" s="3" t="s">
        <v>372</v>
      </c>
      <c r="D35" s="3" t="s">
        <v>203</v>
      </c>
      <c r="E35" s="13" t="n">
        <v>510000</v>
      </c>
      <c r="F35" s="13" t="n">
        <v>5426.22</v>
      </c>
      <c r="G35" s="13" t="n">
        <v>678.28</v>
      </c>
      <c r="H35" s="13" t="n">
        <v>678.28</v>
      </c>
      <c r="I35" s="13" t="n">
        <f aca="false">SUM(K35:T35)</f>
        <v>4069.7</v>
      </c>
      <c r="J35" s="13" t="n">
        <f aca="false">F35-(G35+H35+I35)</f>
        <v>-0.0399999999999636</v>
      </c>
      <c r="K35" s="13" t="n">
        <v>406.97</v>
      </c>
      <c r="L35" s="13" t="n">
        <v>406.97</v>
      </c>
      <c r="M35" s="13" t="n">
        <v>406.97</v>
      </c>
      <c r="N35" s="13" t="n">
        <v>406.97</v>
      </c>
      <c r="O35" s="13" t="n">
        <v>406.97</v>
      </c>
      <c r="P35" s="13" t="n">
        <v>406.97</v>
      </c>
      <c r="Q35" s="13" t="n">
        <v>406.97</v>
      </c>
      <c r="R35" s="13" t="n">
        <v>406.97</v>
      </c>
      <c r="S35" s="13" t="n">
        <v>406.97</v>
      </c>
      <c r="T35" s="13" t="n">
        <v>406.97</v>
      </c>
      <c r="U35" s="13" t="n">
        <v>350</v>
      </c>
      <c r="V35" s="13" t="n">
        <v>0</v>
      </c>
      <c r="W35" s="13" t="n">
        <f aca="false">U35+V35</f>
        <v>350</v>
      </c>
    </row>
    <row r="36" customFormat="false" ht="15" hidden="false" customHeight="false" outlineLevel="0" collapsed="false">
      <c r="A36" s="14" t="s">
        <v>3246</v>
      </c>
      <c r="B36" s="14" t="s">
        <v>3223</v>
      </c>
      <c r="C36" s="14" t="s">
        <v>623</v>
      </c>
      <c r="D36" s="14" t="s">
        <v>138</v>
      </c>
      <c r="E36" s="15" t="n">
        <v>270000</v>
      </c>
      <c r="F36" s="15" t="n">
        <v>3343.74</v>
      </c>
      <c r="G36" s="15" t="n">
        <v>417.97</v>
      </c>
      <c r="H36" s="15" t="n">
        <v>417.97</v>
      </c>
      <c r="I36" s="15" t="n">
        <f aca="false">SUM(K36:T36)</f>
        <v>2507.8</v>
      </c>
      <c r="J36" s="15" t="n">
        <f aca="false">F36-(G36+H36+I36)</f>
        <v>0</v>
      </c>
      <c r="K36" s="15" t="n">
        <v>250.78</v>
      </c>
      <c r="L36" s="15" t="n">
        <v>250.78</v>
      </c>
      <c r="M36" s="15" t="n">
        <v>250.78</v>
      </c>
      <c r="N36" s="15" t="n">
        <v>250.78</v>
      </c>
      <c r="O36" s="15" t="n">
        <v>250.78</v>
      </c>
      <c r="P36" s="15" t="n">
        <v>250.78</v>
      </c>
      <c r="Q36" s="15" t="n">
        <v>250.78</v>
      </c>
      <c r="R36" s="15" t="n">
        <v>250.78</v>
      </c>
      <c r="S36" s="15" t="n">
        <v>250.78</v>
      </c>
      <c r="T36" s="15" t="n">
        <v>250.78</v>
      </c>
      <c r="U36" s="15" t="n">
        <v>350</v>
      </c>
      <c r="V36" s="15" t="n">
        <v>0</v>
      </c>
      <c r="W36" s="15" t="n">
        <f aca="false">U36+V36</f>
        <v>350</v>
      </c>
    </row>
    <row r="37" customFormat="false" ht="15" hidden="false" customHeight="false" outlineLevel="0" collapsed="false">
      <c r="A37" s="3" t="s">
        <v>3247</v>
      </c>
      <c r="B37" s="3" t="s">
        <v>3248</v>
      </c>
      <c r="C37" s="3" t="s">
        <v>2235</v>
      </c>
      <c r="D37" s="3" t="s">
        <v>406</v>
      </c>
      <c r="E37" s="13" t="n">
        <v>280000</v>
      </c>
      <c r="F37" s="13" t="n">
        <v>2804.22</v>
      </c>
      <c r="G37" s="13" t="n">
        <v>350.53</v>
      </c>
      <c r="H37" s="13" t="n">
        <v>350.53</v>
      </c>
      <c r="I37" s="13" t="n">
        <f aca="false">SUM(K37:T37)</f>
        <v>2103.2</v>
      </c>
      <c r="J37" s="13" t="n">
        <f aca="false">F37-(G37+H37+I37)</f>
        <v>-0.0399999999999636</v>
      </c>
      <c r="K37" s="13" t="n">
        <v>210.32</v>
      </c>
      <c r="L37" s="13" t="n">
        <v>210.32</v>
      </c>
      <c r="M37" s="13" t="n">
        <v>210.32</v>
      </c>
      <c r="N37" s="13" t="n">
        <v>210.32</v>
      </c>
      <c r="O37" s="13" t="n">
        <v>210.32</v>
      </c>
      <c r="P37" s="13" t="n">
        <v>210.32</v>
      </c>
      <c r="Q37" s="13" t="n">
        <v>210.32</v>
      </c>
      <c r="R37" s="13" t="n">
        <v>210.32</v>
      </c>
      <c r="S37" s="13" t="n">
        <v>210.32</v>
      </c>
      <c r="T37" s="13" t="n">
        <v>210.32</v>
      </c>
      <c r="U37" s="13" t="n">
        <v>350</v>
      </c>
      <c r="V37" s="13" t="n">
        <v>0</v>
      </c>
      <c r="W37" s="13" t="n">
        <f aca="false">U37+V37</f>
        <v>350</v>
      </c>
    </row>
    <row r="38" customFormat="false" ht="15" hidden="false" customHeight="false" outlineLevel="0" collapsed="false">
      <c r="A38" s="14" t="s">
        <v>3249</v>
      </c>
      <c r="B38" s="14" t="s">
        <v>3215</v>
      </c>
      <c r="C38" s="14" t="s">
        <v>543</v>
      </c>
      <c r="D38" s="14" t="s">
        <v>89</v>
      </c>
      <c r="E38" s="15" t="n">
        <v>195000</v>
      </c>
      <c r="F38" s="15" t="n">
        <v>3477.48</v>
      </c>
      <c r="G38" s="15" t="n">
        <v>434.69</v>
      </c>
      <c r="H38" s="15" t="n">
        <v>434.69</v>
      </c>
      <c r="I38" s="15" t="n">
        <f aca="false">SUM(K38:T38)</f>
        <v>2608.1</v>
      </c>
      <c r="J38" s="15" t="n">
        <f aca="false">F38-(G38+H38+I38)</f>
        <v>0</v>
      </c>
      <c r="K38" s="15" t="n">
        <v>260.81</v>
      </c>
      <c r="L38" s="15" t="n">
        <v>260.81</v>
      </c>
      <c r="M38" s="15" t="n">
        <v>260.81</v>
      </c>
      <c r="N38" s="15" t="n">
        <v>260.81</v>
      </c>
      <c r="O38" s="15" t="n">
        <v>260.81</v>
      </c>
      <c r="P38" s="15" t="n">
        <v>260.81</v>
      </c>
      <c r="Q38" s="15" t="n">
        <v>260.81</v>
      </c>
      <c r="R38" s="15" t="n">
        <v>260.81</v>
      </c>
      <c r="S38" s="15" t="n">
        <v>260.81</v>
      </c>
      <c r="T38" s="15" t="n">
        <v>260.81</v>
      </c>
      <c r="U38" s="15" t="n">
        <v>350</v>
      </c>
      <c r="V38" s="15" t="n">
        <v>0</v>
      </c>
      <c r="W38" s="15" t="n">
        <f aca="false">U38+V38</f>
        <v>350</v>
      </c>
    </row>
    <row r="39" customFormat="false" ht="15" hidden="false" customHeight="false" outlineLevel="0" collapsed="false">
      <c r="A39" s="3" t="s">
        <v>3250</v>
      </c>
      <c r="B39" s="3" t="s">
        <v>3199</v>
      </c>
      <c r="C39" s="3" t="s">
        <v>538</v>
      </c>
      <c r="D39" s="3" t="s">
        <v>279</v>
      </c>
      <c r="E39" s="13" t="n">
        <v>1155000</v>
      </c>
      <c r="F39" s="13" t="n">
        <v>8300.32</v>
      </c>
      <c r="G39" s="13" t="n">
        <v>1037.54</v>
      </c>
      <c r="H39" s="13" t="n">
        <v>1037.54</v>
      </c>
      <c r="I39" s="13" t="n">
        <f aca="false">SUM(K39:T39)</f>
        <v>6225.2</v>
      </c>
      <c r="J39" s="13" t="n">
        <f aca="false">F39-(G39+H39+I39)</f>
        <v>0.0399999999990541</v>
      </c>
      <c r="K39" s="13" t="n">
        <v>622.52</v>
      </c>
      <c r="L39" s="13" t="n">
        <v>622.52</v>
      </c>
      <c r="M39" s="13" t="n">
        <v>622.52</v>
      </c>
      <c r="N39" s="13" t="n">
        <v>622.52</v>
      </c>
      <c r="O39" s="13" t="n">
        <v>622.52</v>
      </c>
      <c r="P39" s="13" t="n">
        <v>622.52</v>
      </c>
      <c r="Q39" s="13" t="n">
        <v>622.52</v>
      </c>
      <c r="R39" s="13" t="n">
        <v>622.52</v>
      </c>
      <c r="S39" s="13" t="n">
        <v>622.52</v>
      </c>
      <c r="T39" s="13" t="n">
        <v>622.52</v>
      </c>
      <c r="U39" s="13" t="n">
        <v>350</v>
      </c>
      <c r="V39" s="13" t="n">
        <v>250</v>
      </c>
      <c r="W39" s="13" t="n">
        <f aca="false">U39+V39</f>
        <v>600</v>
      </c>
    </row>
    <row r="40" customFormat="false" ht="15" hidden="false" customHeight="false" outlineLevel="0" collapsed="false">
      <c r="A40" s="14" t="s">
        <v>3251</v>
      </c>
      <c r="B40" s="14" t="s">
        <v>3252</v>
      </c>
      <c r="C40" s="14" t="s">
        <v>2393</v>
      </c>
      <c r="D40" s="14" t="s">
        <v>352</v>
      </c>
      <c r="E40" s="15" t="n">
        <v>1185000</v>
      </c>
      <c r="F40" s="15" t="n">
        <v>15381.39</v>
      </c>
      <c r="G40" s="15" t="n">
        <v>1922.67</v>
      </c>
      <c r="H40" s="15" t="n">
        <v>1922.67</v>
      </c>
      <c r="I40" s="15" t="n">
        <f aca="false">SUM(K40:T40)</f>
        <v>11536</v>
      </c>
      <c r="J40" s="15" t="n">
        <f aca="false">F40-(G40+H40+I40)</f>
        <v>0.0499999999992724</v>
      </c>
      <c r="K40" s="15" t="n">
        <v>1153.6</v>
      </c>
      <c r="L40" s="15" t="n">
        <v>1153.6</v>
      </c>
      <c r="M40" s="15" t="n">
        <v>1153.6</v>
      </c>
      <c r="N40" s="15" t="n">
        <v>1153.6</v>
      </c>
      <c r="O40" s="15" t="n">
        <v>1153.6</v>
      </c>
      <c r="P40" s="15" t="n">
        <v>1153.6</v>
      </c>
      <c r="Q40" s="15" t="n">
        <v>1153.6</v>
      </c>
      <c r="R40" s="15" t="n">
        <v>1153.6</v>
      </c>
      <c r="S40" s="15" t="n">
        <v>1153.6</v>
      </c>
      <c r="T40" s="15" t="n">
        <v>1153.6</v>
      </c>
      <c r="U40" s="15" t="n">
        <v>350</v>
      </c>
      <c r="V40" s="15" t="n">
        <v>250</v>
      </c>
      <c r="W40" s="15" t="n">
        <f aca="false">U40+V40</f>
        <v>600</v>
      </c>
    </row>
    <row r="41" customFormat="false" ht="15" hidden="false" customHeight="false" outlineLevel="0" collapsed="false">
      <c r="A41" s="3" t="s">
        <v>3253</v>
      </c>
      <c r="B41" s="3" t="s">
        <v>3211</v>
      </c>
      <c r="C41" s="3" t="s">
        <v>1239</v>
      </c>
      <c r="D41" s="3" t="s">
        <v>163</v>
      </c>
      <c r="E41" s="13" t="n">
        <v>455000</v>
      </c>
      <c r="F41" s="13" t="n">
        <v>3198.61</v>
      </c>
      <c r="G41" s="13" t="n">
        <v>399.83</v>
      </c>
      <c r="H41" s="13" t="n">
        <v>399.83</v>
      </c>
      <c r="I41" s="13" t="n">
        <f aca="false">SUM(K41:T41)</f>
        <v>2399</v>
      </c>
      <c r="J41" s="13" t="n">
        <f aca="false">F41-(G41+H41+I41)</f>
        <v>-0.0499999999997272</v>
      </c>
      <c r="K41" s="13" t="n">
        <v>239.9</v>
      </c>
      <c r="L41" s="13" t="n">
        <v>239.9</v>
      </c>
      <c r="M41" s="13" t="n">
        <v>239.9</v>
      </c>
      <c r="N41" s="13" t="n">
        <v>239.9</v>
      </c>
      <c r="O41" s="13" t="n">
        <v>239.9</v>
      </c>
      <c r="P41" s="13" t="n">
        <v>239.9</v>
      </c>
      <c r="Q41" s="13" t="n">
        <v>239.9</v>
      </c>
      <c r="R41" s="13" t="n">
        <v>239.9</v>
      </c>
      <c r="S41" s="13" t="n">
        <v>239.9</v>
      </c>
      <c r="T41" s="13" t="n">
        <v>239.9</v>
      </c>
      <c r="U41" s="13" t="n">
        <v>350</v>
      </c>
      <c r="V41" s="13" t="n">
        <v>0</v>
      </c>
      <c r="W41" s="13" t="n">
        <f aca="false">U41+V41</f>
        <v>350</v>
      </c>
    </row>
    <row r="42" customFormat="false" ht="15" hidden="false" customHeight="false" outlineLevel="0" collapsed="false">
      <c r="A42" s="14" t="s">
        <v>3254</v>
      </c>
      <c r="B42" s="14" t="s">
        <v>3225</v>
      </c>
      <c r="C42" s="14" t="s">
        <v>529</v>
      </c>
      <c r="D42" s="14" t="s">
        <v>279</v>
      </c>
      <c r="E42" s="15" t="n">
        <v>255000</v>
      </c>
      <c r="F42" s="15" t="n">
        <v>2498.92</v>
      </c>
      <c r="G42" s="15" t="n">
        <v>312.37</v>
      </c>
      <c r="H42" s="15" t="n">
        <v>312.37</v>
      </c>
      <c r="I42" s="15" t="n">
        <f aca="false">SUM(K42:T42)</f>
        <v>1874.2</v>
      </c>
      <c r="J42" s="15" t="n">
        <f aca="false">F42-(G42+H42+I42)</f>
        <v>-0.0199999999999818</v>
      </c>
      <c r="K42" s="15" t="n">
        <v>187.42</v>
      </c>
      <c r="L42" s="15" t="n">
        <v>187.42</v>
      </c>
      <c r="M42" s="15" t="n">
        <v>187.42</v>
      </c>
      <c r="N42" s="15" t="n">
        <v>187.42</v>
      </c>
      <c r="O42" s="15" t="n">
        <v>187.42</v>
      </c>
      <c r="P42" s="15" t="n">
        <v>187.42</v>
      </c>
      <c r="Q42" s="15" t="n">
        <v>187.42</v>
      </c>
      <c r="R42" s="15" t="n">
        <v>187.42</v>
      </c>
      <c r="S42" s="15" t="n">
        <v>187.42</v>
      </c>
      <c r="T42" s="15" t="n">
        <v>187.42</v>
      </c>
      <c r="U42" s="15" t="n">
        <v>350</v>
      </c>
      <c r="V42" s="15" t="n">
        <v>0</v>
      </c>
      <c r="W42" s="15" t="n">
        <f aca="false">U42+V42</f>
        <v>350</v>
      </c>
    </row>
    <row r="43" customFormat="false" ht="15" hidden="false" customHeight="false" outlineLevel="0" collapsed="false">
      <c r="A43" s="3" t="s">
        <v>3255</v>
      </c>
      <c r="B43" s="3" t="s">
        <v>3227</v>
      </c>
      <c r="C43" s="3" t="s">
        <v>1353</v>
      </c>
      <c r="D43" s="3" t="s">
        <v>222</v>
      </c>
      <c r="E43" s="13" t="n">
        <v>1810000</v>
      </c>
      <c r="F43" s="13" t="n">
        <v>22870.2</v>
      </c>
      <c r="G43" s="13" t="n">
        <v>2858.78</v>
      </c>
      <c r="H43" s="13" t="n">
        <v>2858.78</v>
      </c>
      <c r="I43" s="13" t="n">
        <f aca="false">SUM(K43:T43)</f>
        <v>17152.7</v>
      </c>
      <c r="J43" s="13" t="n">
        <f aca="false">F43-(G43+H43+I43)</f>
        <v>-0.0600000000013097</v>
      </c>
      <c r="K43" s="13" t="n">
        <v>1715.27</v>
      </c>
      <c r="L43" s="13" t="n">
        <v>1715.27</v>
      </c>
      <c r="M43" s="13" t="n">
        <v>1715.27</v>
      </c>
      <c r="N43" s="13" t="n">
        <v>1715.27</v>
      </c>
      <c r="O43" s="13" t="n">
        <v>1715.27</v>
      </c>
      <c r="P43" s="13" t="n">
        <v>1715.27</v>
      </c>
      <c r="Q43" s="13" t="n">
        <v>1715.27</v>
      </c>
      <c r="R43" s="13" t="n">
        <v>1715.27</v>
      </c>
      <c r="S43" s="13" t="n">
        <v>1715.27</v>
      </c>
      <c r="T43" s="13" t="n">
        <v>1715.27</v>
      </c>
      <c r="U43" s="13" t="n">
        <v>350</v>
      </c>
      <c r="V43" s="13" t="n">
        <v>250</v>
      </c>
      <c r="W43" s="13" t="n">
        <f aca="false">U43+V43</f>
        <v>600</v>
      </c>
    </row>
    <row r="44" customFormat="false" ht="15" hidden="false" customHeight="false" outlineLevel="0" collapsed="false">
      <c r="A44" s="14" t="s">
        <v>3256</v>
      </c>
      <c r="B44" s="14" t="s">
        <v>3248</v>
      </c>
      <c r="C44" s="14" t="s">
        <v>662</v>
      </c>
      <c r="D44" s="14" t="s">
        <v>157</v>
      </c>
      <c r="E44" s="15" t="n">
        <v>820000</v>
      </c>
      <c r="F44" s="15" t="n">
        <v>15883.07</v>
      </c>
      <c r="G44" s="15" t="n">
        <v>1985.38</v>
      </c>
      <c r="H44" s="15" t="n">
        <v>1985.38</v>
      </c>
      <c r="I44" s="15" t="n">
        <f aca="false">SUM(K44:T44)</f>
        <v>11912.3</v>
      </c>
      <c r="J44" s="15" t="n">
        <f aca="false">F44-(G44+H44+I44)</f>
        <v>0.0100000000002183</v>
      </c>
      <c r="K44" s="15" t="n">
        <v>1191.23</v>
      </c>
      <c r="L44" s="15" t="n">
        <v>1191.23</v>
      </c>
      <c r="M44" s="15" t="n">
        <v>1191.23</v>
      </c>
      <c r="N44" s="15" t="n">
        <v>1191.23</v>
      </c>
      <c r="O44" s="15" t="n">
        <v>1191.23</v>
      </c>
      <c r="P44" s="15" t="n">
        <v>1191.23</v>
      </c>
      <c r="Q44" s="15" t="n">
        <v>1191.23</v>
      </c>
      <c r="R44" s="15" t="n">
        <v>1191.23</v>
      </c>
      <c r="S44" s="15" t="n">
        <v>1191.23</v>
      </c>
      <c r="T44" s="15" t="n">
        <v>1191.23</v>
      </c>
      <c r="U44" s="15" t="n">
        <v>350</v>
      </c>
      <c r="V44" s="15" t="n">
        <v>0</v>
      </c>
      <c r="W44" s="15" t="n">
        <f aca="false">U44+V44</f>
        <v>350</v>
      </c>
    </row>
    <row r="45" customFormat="false" ht="15" hidden="false" customHeight="false" outlineLevel="0" collapsed="false">
      <c r="A45" s="3" t="s">
        <v>3257</v>
      </c>
      <c r="B45" s="3" t="s">
        <v>3235</v>
      </c>
      <c r="C45" s="3" t="s">
        <v>303</v>
      </c>
      <c r="D45" s="3" t="s">
        <v>166</v>
      </c>
      <c r="E45" s="13" t="n">
        <v>415000</v>
      </c>
      <c r="F45" s="13" t="n">
        <v>3861.28</v>
      </c>
      <c r="G45" s="13" t="n">
        <v>482.66</v>
      </c>
      <c r="H45" s="13" t="n">
        <v>482.66</v>
      </c>
      <c r="I45" s="13" t="n">
        <f aca="false">SUM(K45:T45)</f>
        <v>2896</v>
      </c>
      <c r="J45" s="13" t="n">
        <f aca="false">F45-(G45+H45+I45)</f>
        <v>-0.0399999999999636</v>
      </c>
      <c r="K45" s="13" t="n">
        <v>289.6</v>
      </c>
      <c r="L45" s="13" t="n">
        <v>289.6</v>
      </c>
      <c r="M45" s="13" t="n">
        <v>289.6</v>
      </c>
      <c r="N45" s="13" t="n">
        <v>289.6</v>
      </c>
      <c r="O45" s="13" t="n">
        <v>289.6</v>
      </c>
      <c r="P45" s="13" t="n">
        <v>289.6</v>
      </c>
      <c r="Q45" s="13" t="n">
        <v>289.6</v>
      </c>
      <c r="R45" s="13" t="n">
        <v>289.6</v>
      </c>
      <c r="S45" s="13" t="n">
        <v>289.6</v>
      </c>
      <c r="T45" s="13" t="n">
        <v>289.6</v>
      </c>
      <c r="U45" s="13" t="n">
        <v>350</v>
      </c>
      <c r="V45" s="13" t="n">
        <v>0</v>
      </c>
      <c r="W45" s="13" t="n">
        <f aca="false">U45+V45</f>
        <v>350</v>
      </c>
    </row>
    <row r="46" customFormat="false" ht="15" hidden="false" customHeight="false" outlineLevel="0" collapsed="false">
      <c r="A46" s="14" t="s">
        <v>3258</v>
      </c>
      <c r="B46" s="14" t="s">
        <v>3208</v>
      </c>
      <c r="C46" s="14" t="s">
        <v>606</v>
      </c>
      <c r="D46" s="14" t="s">
        <v>163</v>
      </c>
      <c r="E46" s="15" t="n">
        <v>605000</v>
      </c>
      <c r="F46" s="15" t="n">
        <v>5759.41</v>
      </c>
      <c r="G46" s="15" t="n">
        <v>719.93</v>
      </c>
      <c r="H46" s="15" t="n">
        <v>719.93</v>
      </c>
      <c r="I46" s="15" t="n">
        <f aca="false">SUM(K46:T46)</f>
        <v>4319.6</v>
      </c>
      <c r="J46" s="15" t="n">
        <f aca="false">F46-(G46+H46+I46)</f>
        <v>-0.0499999999992724</v>
      </c>
      <c r="K46" s="15" t="n">
        <v>431.96</v>
      </c>
      <c r="L46" s="15" t="n">
        <v>431.96</v>
      </c>
      <c r="M46" s="15" t="n">
        <v>431.96</v>
      </c>
      <c r="N46" s="15" t="n">
        <v>431.96</v>
      </c>
      <c r="O46" s="15" t="n">
        <v>431.96</v>
      </c>
      <c r="P46" s="15" t="n">
        <v>431.96</v>
      </c>
      <c r="Q46" s="15" t="n">
        <v>431.96</v>
      </c>
      <c r="R46" s="15" t="n">
        <v>431.96</v>
      </c>
      <c r="S46" s="15" t="n">
        <v>431.96</v>
      </c>
      <c r="T46" s="15" t="n">
        <v>431.96</v>
      </c>
      <c r="U46" s="15" t="n">
        <v>350</v>
      </c>
      <c r="V46" s="15" t="n">
        <v>0</v>
      </c>
      <c r="W46" s="15" t="n">
        <f aca="false">U46+V46</f>
        <v>350</v>
      </c>
    </row>
    <row r="47" customFormat="false" ht="15" hidden="false" customHeight="false" outlineLevel="0" collapsed="false">
      <c r="A47" s="3" t="s">
        <v>3259</v>
      </c>
      <c r="B47" s="3" t="s">
        <v>3239</v>
      </c>
      <c r="C47" s="3" t="s">
        <v>1497</v>
      </c>
      <c r="D47" s="3" t="s">
        <v>115</v>
      </c>
      <c r="E47" s="13" t="n">
        <v>280000</v>
      </c>
      <c r="F47" s="13" t="n">
        <v>3980.17</v>
      </c>
      <c r="G47" s="13" t="n">
        <v>497.52</v>
      </c>
      <c r="H47" s="13" t="n">
        <v>497.52</v>
      </c>
      <c r="I47" s="13" t="n">
        <f aca="false">SUM(K47:T47)</f>
        <v>2985.1</v>
      </c>
      <c r="J47" s="13" t="n">
        <f aca="false">F47-(G47+H47+I47)</f>
        <v>0.0299999999997453</v>
      </c>
      <c r="K47" s="13" t="n">
        <v>298.51</v>
      </c>
      <c r="L47" s="13" t="n">
        <v>298.51</v>
      </c>
      <c r="M47" s="13" t="n">
        <v>298.51</v>
      </c>
      <c r="N47" s="13" t="n">
        <v>298.51</v>
      </c>
      <c r="O47" s="13" t="n">
        <v>298.51</v>
      </c>
      <c r="P47" s="13" t="n">
        <v>298.51</v>
      </c>
      <c r="Q47" s="13" t="n">
        <v>298.51</v>
      </c>
      <c r="R47" s="13" t="n">
        <v>298.51</v>
      </c>
      <c r="S47" s="13" t="n">
        <v>298.51</v>
      </c>
      <c r="T47" s="13" t="n">
        <v>298.51</v>
      </c>
      <c r="U47" s="13" t="n">
        <v>350</v>
      </c>
      <c r="V47" s="13" t="n">
        <v>0</v>
      </c>
      <c r="W47" s="13" t="n">
        <f aca="false">U47+V47</f>
        <v>350</v>
      </c>
    </row>
    <row r="48" customFormat="false" ht="15" hidden="false" customHeight="false" outlineLevel="0" collapsed="false">
      <c r="A48" s="14" t="s">
        <v>3260</v>
      </c>
      <c r="B48" s="14" t="s">
        <v>3197</v>
      </c>
      <c r="C48" s="14" t="s">
        <v>880</v>
      </c>
      <c r="D48" s="14" t="s">
        <v>147</v>
      </c>
      <c r="E48" s="15" t="n">
        <v>495000</v>
      </c>
      <c r="F48" s="15" t="n">
        <v>3650.39</v>
      </c>
      <c r="G48" s="15" t="n">
        <v>456.3</v>
      </c>
      <c r="H48" s="15" t="n">
        <v>456.3</v>
      </c>
      <c r="I48" s="15" t="n">
        <f aca="false">SUM(K48:T48)</f>
        <v>2737.8</v>
      </c>
      <c r="J48" s="15" t="n">
        <f aca="false">F48-(G48+H48+I48)</f>
        <v>-0.00999999999930878</v>
      </c>
      <c r="K48" s="15" t="n">
        <v>273.78</v>
      </c>
      <c r="L48" s="15" t="n">
        <v>273.78</v>
      </c>
      <c r="M48" s="15" t="n">
        <v>273.78</v>
      </c>
      <c r="N48" s="15" t="n">
        <v>273.78</v>
      </c>
      <c r="O48" s="15" t="n">
        <v>273.78</v>
      </c>
      <c r="P48" s="15" t="n">
        <v>273.78</v>
      </c>
      <c r="Q48" s="15" t="n">
        <v>273.78</v>
      </c>
      <c r="R48" s="15" t="n">
        <v>273.78</v>
      </c>
      <c r="S48" s="15" t="n">
        <v>273.78</v>
      </c>
      <c r="T48" s="15" t="n">
        <v>273.78</v>
      </c>
      <c r="U48" s="15" t="n">
        <v>350</v>
      </c>
      <c r="V48" s="15" t="n">
        <v>0</v>
      </c>
      <c r="W48" s="15" t="n">
        <f aca="false">U48+V48</f>
        <v>350</v>
      </c>
    </row>
    <row r="49" customFormat="false" ht="15" hidden="false" customHeight="false" outlineLevel="0" collapsed="false">
      <c r="A49" s="3" t="s">
        <v>3261</v>
      </c>
      <c r="B49" s="3" t="s">
        <v>3248</v>
      </c>
      <c r="C49" s="3" t="s">
        <v>289</v>
      </c>
      <c r="D49" s="3" t="s">
        <v>166</v>
      </c>
      <c r="E49" s="13" t="n">
        <v>455000</v>
      </c>
      <c r="F49" s="13" t="n">
        <v>6614.78</v>
      </c>
      <c r="G49" s="13" t="n">
        <v>826.85</v>
      </c>
      <c r="H49" s="13" t="n">
        <v>826.85</v>
      </c>
      <c r="I49" s="13" t="n">
        <f aca="false">SUM(K49:T49)</f>
        <v>4961.1</v>
      </c>
      <c r="J49" s="13" t="n">
        <f aca="false">F49-(G49+H49+I49)</f>
        <v>-0.0199999999995271</v>
      </c>
      <c r="K49" s="13" t="n">
        <v>496.11</v>
      </c>
      <c r="L49" s="13" t="n">
        <v>496.11</v>
      </c>
      <c r="M49" s="13" t="n">
        <v>496.11</v>
      </c>
      <c r="N49" s="13" t="n">
        <v>496.11</v>
      </c>
      <c r="O49" s="13" t="n">
        <v>496.11</v>
      </c>
      <c r="P49" s="13" t="n">
        <v>496.11</v>
      </c>
      <c r="Q49" s="13" t="n">
        <v>496.11</v>
      </c>
      <c r="R49" s="13" t="n">
        <v>496.11</v>
      </c>
      <c r="S49" s="13" t="n">
        <v>496.11</v>
      </c>
      <c r="T49" s="13" t="n">
        <v>496.11</v>
      </c>
      <c r="U49" s="13" t="n">
        <v>350</v>
      </c>
      <c r="V49" s="13" t="n">
        <v>0</v>
      </c>
      <c r="W49" s="13" t="n">
        <f aca="false">U49+V49</f>
        <v>350</v>
      </c>
    </row>
    <row r="50" customFormat="false" ht="15" hidden="false" customHeight="false" outlineLevel="0" collapsed="false">
      <c r="A50" s="14" t="s">
        <v>3262</v>
      </c>
      <c r="B50" s="14" t="s">
        <v>3237</v>
      </c>
      <c r="C50" s="14" t="s">
        <v>76</v>
      </c>
      <c r="D50" s="14" t="s">
        <v>911</v>
      </c>
      <c r="E50" s="15" t="n">
        <v>210000</v>
      </c>
      <c r="F50" s="15" t="n">
        <v>1856.21</v>
      </c>
      <c r="G50" s="15" t="n">
        <v>232.03</v>
      </c>
      <c r="H50" s="15" t="n">
        <v>232.03</v>
      </c>
      <c r="I50" s="15" t="n">
        <f aca="false">SUM(K50:T50)</f>
        <v>1392.2</v>
      </c>
      <c r="J50" s="15" t="n">
        <f aca="false">F50-(G50+H50+I50)</f>
        <v>-0.0499999999999545</v>
      </c>
      <c r="K50" s="15" t="n">
        <v>139.22</v>
      </c>
      <c r="L50" s="15" t="n">
        <v>139.22</v>
      </c>
      <c r="M50" s="15" t="n">
        <v>139.22</v>
      </c>
      <c r="N50" s="15" t="n">
        <v>139.22</v>
      </c>
      <c r="O50" s="15" t="n">
        <v>139.22</v>
      </c>
      <c r="P50" s="15" t="n">
        <v>139.22</v>
      </c>
      <c r="Q50" s="15" t="n">
        <v>139.22</v>
      </c>
      <c r="R50" s="15" t="n">
        <v>139.22</v>
      </c>
      <c r="S50" s="15" t="n">
        <v>139.22</v>
      </c>
      <c r="T50" s="15" t="n">
        <v>139.22</v>
      </c>
      <c r="U50" s="15" t="n">
        <v>350</v>
      </c>
      <c r="V50" s="15" t="n">
        <v>0</v>
      </c>
      <c r="W50" s="15" t="n">
        <f aca="false">U50+V50</f>
        <v>350</v>
      </c>
    </row>
    <row r="51" customFormat="false" ht="15" hidden="false" customHeight="false" outlineLevel="0" collapsed="false">
      <c r="A51" s="3" t="s">
        <v>3263</v>
      </c>
      <c r="B51" s="3" t="s">
        <v>3264</v>
      </c>
      <c r="C51" s="3" t="s">
        <v>1470</v>
      </c>
      <c r="D51" s="3" t="s">
        <v>99</v>
      </c>
      <c r="E51" s="13" t="n">
        <v>625000</v>
      </c>
      <c r="F51" s="13" t="n">
        <v>7933.07</v>
      </c>
      <c r="G51" s="13" t="n">
        <v>991.63</v>
      </c>
      <c r="H51" s="13" t="n">
        <v>991.63</v>
      </c>
      <c r="I51" s="13" t="n">
        <f aca="false">SUM(K51:T51)</f>
        <v>5949.8</v>
      </c>
      <c r="J51" s="13" t="n">
        <f aca="false">F51-(G51+H51+I51)</f>
        <v>0.0100000000002183</v>
      </c>
      <c r="K51" s="13" t="n">
        <v>594.98</v>
      </c>
      <c r="L51" s="13" t="n">
        <v>594.98</v>
      </c>
      <c r="M51" s="13" t="n">
        <v>594.98</v>
      </c>
      <c r="N51" s="13" t="n">
        <v>594.98</v>
      </c>
      <c r="O51" s="13" t="n">
        <v>594.98</v>
      </c>
      <c r="P51" s="13" t="n">
        <v>594.98</v>
      </c>
      <c r="Q51" s="13" t="n">
        <v>594.98</v>
      </c>
      <c r="R51" s="13" t="n">
        <v>594.98</v>
      </c>
      <c r="S51" s="13" t="n">
        <v>594.98</v>
      </c>
      <c r="T51" s="13" t="n">
        <v>594.98</v>
      </c>
      <c r="U51" s="13" t="n">
        <v>350</v>
      </c>
      <c r="V51" s="13" t="n">
        <v>0</v>
      </c>
      <c r="W51" s="13" t="n">
        <f aca="false">U51+V51</f>
        <v>350</v>
      </c>
    </row>
    <row r="52" customFormat="false" ht="15" hidden="false" customHeight="false" outlineLevel="0" collapsed="false">
      <c r="A52" s="14" t="s">
        <v>3265</v>
      </c>
      <c r="B52" s="14" t="s">
        <v>3266</v>
      </c>
      <c r="C52" s="14" t="s">
        <v>3267</v>
      </c>
      <c r="D52" s="14" t="s">
        <v>102</v>
      </c>
      <c r="E52" s="15" t="n">
        <v>150000</v>
      </c>
      <c r="F52" s="15" t="n">
        <v>2278.69</v>
      </c>
      <c r="G52" s="15" t="n">
        <v>284.84</v>
      </c>
      <c r="H52" s="15" t="n">
        <v>284.84</v>
      </c>
      <c r="I52" s="15" t="n">
        <f aca="false">SUM(K52:T52)</f>
        <v>1709</v>
      </c>
      <c r="J52" s="15" t="n">
        <f aca="false">F52-(G52+H52+I52)</f>
        <v>0.00999999999976353</v>
      </c>
      <c r="K52" s="15" t="n">
        <v>170.9</v>
      </c>
      <c r="L52" s="15" t="n">
        <v>170.9</v>
      </c>
      <c r="M52" s="15" t="n">
        <v>170.9</v>
      </c>
      <c r="N52" s="15" t="n">
        <v>170.9</v>
      </c>
      <c r="O52" s="15" t="n">
        <v>170.9</v>
      </c>
      <c r="P52" s="15" t="n">
        <v>170.9</v>
      </c>
      <c r="Q52" s="15" t="n">
        <v>170.9</v>
      </c>
      <c r="R52" s="15" t="n">
        <v>170.9</v>
      </c>
      <c r="S52" s="15" t="n">
        <v>170.9</v>
      </c>
      <c r="T52" s="15" t="n">
        <v>170.9</v>
      </c>
      <c r="U52" s="15" t="n">
        <v>350</v>
      </c>
      <c r="V52" s="15" t="n">
        <v>0</v>
      </c>
      <c r="W52" s="15" t="n">
        <f aca="false">U52+V52</f>
        <v>350</v>
      </c>
    </row>
    <row r="53" customFormat="false" ht="15" hidden="false" customHeight="false" outlineLevel="0" collapsed="false">
      <c r="A53" s="3" t="s">
        <v>3268</v>
      </c>
      <c r="B53" s="3" t="s">
        <v>3269</v>
      </c>
      <c r="C53" s="3" t="s">
        <v>618</v>
      </c>
      <c r="D53" s="3" t="s">
        <v>382</v>
      </c>
      <c r="E53" s="13" t="n">
        <v>720000</v>
      </c>
      <c r="F53" s="13" t="n">
        <v>7526.15</v>
      </c>
      <c r="G53" s="13" t="n">
        <v>940.77</v>
      </c>
      <c r="H53" s="13" t="n">
        <v>940.77</v>
      </c>
      <c r="I53" s="13" t="n">
        <f aca="false">SUM(K53:T53)</f>
        <v>5644.6</v>
      </c>
      <c r="J53" s="13" t="n">
        <f aca="false">F53-(G53+H53+I53)</f>
        <v>0.00999999999930878</v>
      </c>
      <c r="K53" s="13" t="n">
        <v>564.46</v>
      </c>
      <c r="L53" s="13" t="n">
        <v>564.46</v>
      </c>
      <c r="M53" s="13" t="n">
        <v>564.46</v>
      </c>
      <c r="N53" s="13" t="n">
        <v>564.46</v>
      </c>
      <c r="O53" s="13" t="n">
        <v>564.46</v>
      </c>
      <c r="P53" s="13" t="n">
        <v>564.46</v>
      </c>
      <c r="Q53" s="13" t="n">
        <v>564.46</v>
      </c>
      <c r="R53" s="13" t="n">
        <v>564.46</v>
      </c>
      <c r="S53" s="13" t="n">
        <v>564.46</v>
      </c>
      <c r="T53" s="13" t="n">
        <v>564.46</v>
      </c>
      <c r="U53" s="13" t="n">
        <v>350</v>
      </c>
      <c r="V53" s="13" t="n">
        <v>0</v>
      </c>
      <c r="W53" s="13" t="n">
        <f aca="false">U53+V53</f>
        <v>350</v>
      </c>
    </row>
    <row r="54" customFormat="false" ht="15" hidden="false" customHeight="false" outlineLevel="0" collapsed="false">
      <c r="A54" s="14" t="s">
        <v>3270</v>
      </c>
      <c r="B54" s="14" t="s">
        <v>3223</v>
      </c>
      <c r="C54" s="14" t="s">
        <v>829</v>
      </c>
      <c r="D54" s="14" t="s">
        <v>197</v>
      </c>
      <c r="E54" s="15" t="n">
        <v>680000</v>
      </c>
      <c r="F54" s="15" t="n">
        <v>6917.63</v>
      </c>
      <c r="G54" s="15" t="n">
        <v>864.7</v>
      </c>
      <c r="H54" s="15" t="n">
        <v>864.7</v>
      </c>
      <c r="I54" s="15" t="n">
        <f aca="false">SUM(K54:T54)</f>
        <v>5188.2</v>
      </c>
      <c r="J54" s="15" t="n">
        <f aca="false">F54-(G54+H54+I54)</f>
        <v>0.0299999999997453</v>
      </c>
      <c r="K54" s="15" t="n">
        <v>518.82</v>
      </c>
      <c r="L54" s="15" t="n">
        <v>518.82</v>
      </c>
      <c r="M54" s="15" t="n">
        <v>518.82</v>
      </c>
      <c r="N54" s="15" t="n">
        <v>518.82</v>
      </c>
      <c r="O54" s="15" t="n">
        <v>518.82</v>
      </c>
      <c r="P54" s="15" t="n">
        <v>518.82</v>
      </c>
      <c r="Q54" s="15" t="n">
        <v>518.82</v>
      </c>
      <c r="R54" s="15" t="n">
        <v>518.82</v>
      </c>
      <c r="S54" s="15" t="n">
        <v>518.82</v>
      </c>
      <c r="T54" s="15" t="n">
        <v>518.82</v>
      </c>
      <c r="U54" s="15" t="n">
        <v>350</v>
      </c>
      <c r="V54" s="15" t="n">
        <v>0</v>
      </c>
      <c r="W54" s="15" t="n">
        <f aca="false">U54+V54</f>
        <v>350</v>
      </c>
    </row>
    <row r="55" customFormat="false" ht="15" hidden="false" customHeight="false" outlineLevel="0" collapsed="false">
      <c r="A55" s="3" t="s">
        <v>3271</v>
      </c>
      <c r="B55" s="3" t="s">
        <v>3201</v>
      </c>
      <c r="C55" s="3" t="s">
        <v>1165</v>
      </c>
      <c r="D55" s="3" t="s">
        <v>193</v>
      </c>
      <c r="E55" s="13" t="n">
        <v>485000</v>
      </c>
      <c r="F55" s="13" t="n">
        <v>6528.63</v>
      </c>
      <c r="G55" s="13" t="n">
        <v>816.08</v>
      </c>
      <c r="H55" s="13" t="n">
        <v>816.08</v>
      </c>
      <c r="I55" s="13" t="n">
        <f aca="false">SUM(K55:T55)</f>
        <v>4896.5</v>
      </c>
      <c r="J55" s="13" t="n">
        <f aca="false">F55-(G55+H55+I55)</f>
        <v>-0.0299999999988358</v>
      </c>
      <c r="K55" s="13" t="n">
        <v>489.65</v>
      </c>
      <c r="L55" s="13" t="n">
        <v>489.65</v>
      </c>
      <c r="M55" s="13" t="n">
        <v>489.65</v>
      </c>
      <c r="N55" s="13" t="n">
        <v>489.65</v>
      </c>
      <c r="O55" s="13" t="n">
        <v>489.65</v>
      </c>
      <c r="P55" s="13" t="n">
        <v>489.65</v>
      </c>
      <c r="Q55" s="13" t="n">
        <v>489.65</v>
      </c>
      <c r="R55" s="13" t="n">
        <v>489.65</v>
      </c>
      <c r="S55" s="13" t="n">
        <v>489.65</v>
      </c>
      <c r="T55" s="13" t="n">
        <v>489.65</v>
      </c>
      <c r="U55" s="13" t="n">
        <v>350</v>
      </c>
      <c r="V55" s="13" t="n">
        <v>0</v>
      </c>
      <c r="W55" s="13" t="n">
        <f aca="false">U55+V55</f>
        <v>350</v>
      </c>
    </row>
    <row r="56" customFormat="false" ht="15" hidden="false" customHeight="false" outlineLevel="0" collapsed="false">
      <c r="A56" s="14" t="s">
        <v>3272</v>
      </c>
      <c r="B56" s="14" t="s">
        <v>3197</v>
      </c>
      <c r="C56" s="14" t="s">
        <v>1103</v>
      </c>
      <c r="D56" s="14" t="s">
        <v>147</v>
      </c>
      <c r="E56" s="15" t="n">
        <v>495000</v>
      </c>
      <c r="F56" s="15" t="n">
        <v>3194.09</v>
      </c>
      <c r="G56" s="15" t="n">
        <v>399.26</v>
      </c>
      <c r="H56" s="15" t="n">
        <v>399.26</v>
      </c>
      <c r="I56" s="15" t="n">
        <f aca="false">SUM(K56:T56)</f>
        <v>2395.6</v>
      </c>
      <c r="J56" s="15" t="n">
        <f aca="false">F56-(G56+H56+I56)</f>
        <v>-0.0299999999997453</v>
      </c>
      <c r="K56" s="15" t="n">
        <v>239.56</v>
      </c>
      <c r="L56" s="15" t="n">
        <v>239.56</v>
      </c>
      <c r="M56" s="15" t="n">
        <v>239.56</v>
      </c>
      <c r="N56" s="15" t="n">
        <v>239.56</v>
      </c>
      <c r="O56" s="15" t="n">
        <v>239.56</v>
      </c>
      <c r="P56" s="15" t="n">
        <v>239.56</v>
      </c>
      <c r="Q56" s="15" t="n">
        <v>239.56</v>
      </c>
      <c r="R56" s="15" t="n">
        <v>239.56</v>
      </c>
      <c r="S56" s="15" t="n">
        <v>239.56</v>
      </c>
      <c r="T56" s="15" t="n">
        <v>239.56</v>
      </c>
      <c r="U56" s="15" t="n">
        <v>350</v>
      </c>
      <c r="V56" s="15" t="n">
        <v>0</v>
      </c>
      <c r="W56" s="15" t="n">
        <f aca="false">U56+V56</f>
        <v>350</v>
      </c>
    </row>
    <row r="57" customFormat="false" ht="15" hidden="false" customHeight="false" outlineLevel="0" collapsed="false">
      <c r="A57" s="3" t="s">
        <v>3273</v>
      </c>
      <c r="B57" s="3" t="s">
        <v>3239</v>
      </c>
      <c r="C57" s="3" t="s">
        <v>1232</v>
      </c>
      <c r="D57" s="3" t="s">
        <v>338</v>
      </c>
      <c r="E57" s="13" t="n">
        <v>415000</v>
      </c>
      <c r="F57" s="13" t="n">
        <v>8497.21</v>
      </c>
      <c r="G57" s="13" t="n">
        <v>1062.15</v>
      </c>
      <c r="H57" s="13" t="n">
        <v>1062.15</v>
      </c>
      <c r="I57" s="13" t="n">
        <f aca="false">SUM(K57:T57)</f>
        <v>6372.9</v>
      </c>
      <c r="J57" s="13" t="n">
        <f aca="false">F57-(G57+H57+I57)</f>
        <v>0.00999999999839929</v>
      </c>
      <c r="K57" s="13" t="n">
        <v>637.29</v>
      </c>
      <c r="L57" s="13" t="n">
        <v>637.29</v>
      </c>
      <c r="M57" s="13" t="n">
        <v>637.29</v>
      </c>
      <c r="N57" s="13" t="n">
        <v>637.29</v>
      </c>
      <c r="O57" s="13" t="n">
        <v>637.29</v>
      </c>
      <c r="P57" s="13" t="n">
        <v>637.29</v>
      </c>
      <c r="Q57" s="13" t="n">
        <v>637.29</v>
      </c>
      <c r="R57" s="13" t="n">
        <v>637.29</v>
      </c>
      <c r="S57" s="13" t="n">
        <v>637.29</v>
      </c>
      <c r="T57" s="13" t="n">
        <v>637.29</v>
      </c>
      <c r="U57" s="13" t="n">
        <v>350</v>
      </c>
      <c r="V57" s="13" t="n">
        <v>0</v>
      </c>
      <c r="W57" s="13" t="n">
        <f aca="false">U57+V57</f>
        <v>350</v>
      </c>
    </row>
    <row r="58" customFormat="false" ht="15" hidden="false" customHeight="false" outlineLevel="0" collapsed="false">
      <c r="A58" s="14" t="s">
        <v>3274</v>
      </c>
      <c r="B58" s="14" t="s">
        <v>3227</v>
      </c>
      <c r="C58" s="14" t="s">
        <v>1242</v>
      </c>
      <c r="D58" s="14" t="s">
        <v>377</v>
      </c>
      <c r="E58" s="15" t="n">
        <v>445000</v>
      </c>
      <c r="F58" s="15" t="n">
        <v>6421.48</v>
      </c>
      <c r="G58" s="15" t="n">
        <v>802.68</v>
      </c>
      <c r="H58" s="15" t="n">
        <v>802.68</v>
      </c>
      <c r="I58" s="15" t="n">
        <f aca="false">SUM(K58:T58)</f>
        <v>4816.1</v>
      </c>
      <c r="J58" s="15" t="n">
        <f aca="false">F58-(G58+H58+I58)</f>
        <v>0.0200000000004366</v>
      </c>
      <c r="K58" s="15" t="n">
        <v>481.61</v>
      </c>
      <c r="L58" s="15" t="n">
        <v>481.61</v>
      </c>
      <c r="M58" s="15" t="n">
        <v>481.61</v>
      </c>
      <c r="N58" s="15" t="n">
        <v>481.61</v>
      </c>
      <c r="O58" s="15" t="n">
        <v>481.61</v>
      </c>
      <c r="P58" s="15" t="n">
        <v>481.61</v>
      </c>
      <c r="Q58" s="15" t="n">
        <v>481.61</v>
      </c>
      <c r="R58" s="15" t="n">
        <v>481.61</v>
      </c>
      <c r="S58" s="15" t="n">
        <v>481.61</v>
      </c>
      <c r="T58" s="15" t="n">
        <v>481.61</v>
      </c>
      <c r="U58" s="15" t="n">
        <v>350</v>
      </c>
      <c r="V58" s="15" t="n">
        <v>0</v>
      </c>
      <c r="W58" s="15" t="n">
        <f aca="false">U58+V58</f>
        <v>350</v>
      </c>
    </row>
    <row r="59" customFormat="false" ht="15" hidden="false" customHeight="false" outlineLevel="0" collapsed="false">
      <c r="A59" s="3" t="s">
        <v>3275</v>
      </c>
      <c r="B59" s="3" t="s">
        <v>3221</v>
      </c>
      <c r="C59" s="3" t="s">
        <v>1480</v>
      </c>
      <c r="D59" s="3" t="s">
        <v>911</v>
      </c>
      <c r="E59" s="13" t="n">
        <v>395000</v>
      </c>
      <c r="F59" s="13" t="n">
        <v>4594</v>
      </c>
      <c r="G59" s="13" t="n">
        <v>574.25</v>
      </c>
      <c r="H59" s="13" t="n">
        <v>574.25</v>
      </c>
      <c r="I59" s="13" t="n">
        <f aca="false">SUM(K59:T59)</f>
        <v>3445.5</v>
      </c>
      <c r="J59" s="13" t="n">
        <f aca="false">F59-(G59+H59+I59)</f>
        <v>0</v>
      </c>
      <c r="K59" s="13" t="n">
        <v>344.55</v>
      </c>
      <c r="L59" s="13" t="n">
        <v>344.55</v>
      </c>
      <c r="M59" s="13" t="n">
        <v>344.55</v>
      </c>
      <c r="N59" s="13" t="n">
        <v>344.55</v>
      </c>
      <c r="O59" s="13" t="n">
        <v>344.55</v>
      </c>
      <c r="P59" s="13" t="n">
        <v>344.55</v>
      </c>
      <c r="Q59" s="13" t="n">
        <v>344.55</v>
      </c>
      <c r="R59" s="13" t="n">
        <v>344.55</v>
      </c>
      <c r="S59" s="13" t="n">
        <v>344.55</v>
      </c>
      <c r="T59" s="13" t="n">
        <v>344.55</v>
      </c>
      <c r="U59" s="13" t="n">
        <v>350</v>
      </c>
      <c r="V59" s="13" t="n">
        <v>0</v>
      </c>
      <c r="W59" s="13" t="n">
        <f aca="false">U59+V59</f>
        <v>350</v>
      </c>
    </row>
    <row r="60" customFormat="false" ht="15" hidden="false" customHeight="false" outlineLevel="0" collapsed="false">
      <c r="A60" s="14" t="s">
        <v>3276</v>
      </c>
      <c r="B60" s="14" t="s">
        <v>3218</v>
      </c>
      <c r="C60" s="14" t="s">
        <v>1195</v>
      </c>
      <c r="D60" s="14" t="s">
        <v>115</v>
      </c>
      <c r="E60" s="15" t="n">
        <v>1155000</v>
      </c>
      <c r="F60" s="15" t="n">
        <v>12040.02</v>
      </c>
      <c r="G60" s="15" t="n">
        <v>1505</v>
      </c>
      <c r="H60" s="15" t="n">
        <v>1505</v>
      </c>
      <c r="I60" s="15" t="n">
        <f aca="false">SUM(K60:T60)</f>
        <v>9030</v>
      </c>
      <c r="J60" s="15" t="n">
        <f aca="false">F60-(G60+H60+I60)</f>
        <v>0.0200000000004366</v>
      </c>
      <c r="K60" s="15" t="n">
        <v>903</v>
      </c>
      <c r="L60" s="15" t="n">
        <v>903</v>
      </c>
      <c r="M60" s="15" t="n">
        <v>903</v>
      </c>
      <c r="N60" s="15" t="n">
        <v>903</v>
      </c>
      <c r="O60" s="15" t="n">
        <v>903</v>
      </c>
      <c r="P60" s="15" t="n">
        <v>903</v>
      </c>
      <c r="Q60" s="15" t="n">
        <v>903</v>
      </c>
      <c r="R60" s="15" t="n">
        <v>903</v>
      </c>
      <c r="S60" s="15" t="n">
        <v>903</v>
      </c>
      <c r="T60" s="15" t="n">
        <v>903</v>
      </c>
      <c r="U60" s="15" t="n">
        <v>350</v>
      </c>
      <c r="V60" s="15" t="n">
        <v>250</v>
      </c>
      <c r="W60" s="15" t="n">
        <f aca="false">U60+V60</f>
        <v>600</v>
      </c>
    </row>
    <row r="61" customFormat="false" ht="15" hidden="false" customHeight="false" outlineLevel="0" collapsed="false">
      <c r="A61" s="3" t="s">
        <v>3277</v>
      </c>
      <c r="B61" s="3" t="s">
        <v>3241</v>
      </c>
      <c r="C61" s="3" t="s">
        <v>2218</v>
      </c>
      <c r="D61" s="3" t="s">
        <v>121</v>
      </c>
      <c r="E61" s="13" t="n">
        <v>740000</v>
      </c>
      <c r="F61" s="13" t="n">
        <v>8425.85</v>
      </c>
      <c r="G61" s="13" t="n">
        <v>1053.23</v>
      </c>
      <c r="H61" s="13" t="n">
        <v>1053.23</v>
      </c>
      <c r="I61" s="13" t="n">
        <f aca="false">SUM(K61:T61)</f>
        <v>6319.4</v>
      </c>
      <c r="J61" s="13" t="n">
        <f aca="false">F61-(G61+H61+I61)</f>
        <v>-0.0100000000002183</v>
      </c>
      <c r="K61" s="13" t="n">
        <v>631.94</v>
      </c>
      <c r="L61" s="13" t="n">
        <v>631.94</v>
      </c>
      <c r="M61" s="13" t="n">
        <v>631.94</v>
      </c>
      <c r="N61" s="13" t="n">
        <v>631.94</v>
      </c>
      <c r="O61" s="13" t="n">
        <v>631.94</v>
      </c>
      <c r="P61" s="13" t="n">
        <v>631.94</v>
      </c>
      <c r="Q61" s="13" t="n">
        <v>631.94</v>
      </c>
      <c r="R61" s="13" t="n">
        <v>631.94</v>
      </c>
      <c r="S61" s="13" t="n">
        <v>631.94</v>
      </c>
      <c r="T61" s="13" t="n">
        <v>631.94</v>
      </c>
      <c r="U61" s="13" t="n">
        <v>350</v>
      </c>
      <c r="V61" s="13" t="n">
        <v>0</v>
      </c>
      <c r="W61" s="13" t="n">
        <f aca="false">U61+V61</f>
        <v>350</v>
      </c>
    </row>
    <row r="62" customFormat="false" ht="15" hidden="false" customHeight="false" outlineLevel="0" collapsed="false">
      <c r="A62" s="14" t="s">
        <v>3278</v>
      </c>
      <c r="B62" s="14" t="s">
        <v>3205</v>
      </c>
      <c r="C62" s="14" t="s">
        <v>506</v>
      </c>
      <c r="D62" s="14" t="s">
        <v>406</v>
      </c>
      <c r="E62" s="15" t="n">
        <v>665000</v>
      </c>
      <c r="F62" s="15" t="n">
        <v>8436</v>
      </c>
      <c r="G62" s="15" t="n">
        <v>1054.5</v>
      </c>
      <c r="H62" s="15" t="n">
        <v>1054.5</v>
      </c>
      <c r="I62" s="15" t="n">
        <f aca="false">SUM(K62:T62)</f>
        <v>6327</v>
      </c>
      <c r="J62" s="15" t="n">
        <f aca="false">F62-(G62+H62+I62)</f>
        <v>0</v>
      </c>
      <c r="K62" s="15" t="n">
        <v>632.7</v>
      </c>
      <c r="L62" s="15" t="n">
        <v>632.7</v>
      </c>
      <c r="M62" s="15" t="n">
        <v>632.7</v>
      </c>
      <c r="N62" s="15" t="n">
        <v>632.7</v>
      </c>
      <c r="O62" s="15" t="n">
        <v>632.7</v>
      </c>
      <c r="P62" s="15" t="n">
        <v>632.7</v>
      </c>
      <c r="Q62" s="15" t="n">
        <v>632.7</v>
      </c>
      <c r="R62" s="15" t="n">
        <v>632.7</v>
      </c>
      <c r="S62" s="15" t="n">
        <v>632.7</v>
      </c>
      <c r="T62" s="15" t="n">
        <v>632.7</v>
      </c>
      <c r="U62" s="15" t="n">
        <v>350</v>
      </c>
      <c r="V62" s="15" t="n">
        <v>0</v>
      </c>
      <c r="W62" s="15" t="n">
        <f aca="false">U62+V62</f>
        <v>350</v>
      </c>
    </row>
    <row r="63" customFormat="false" ht="15" hidden="false" customHeight="false" outlineLevel="0" collapsed="false">
      <c r="A63" s="3" t="s">
        <v>3279</v>
      </c>
      <c r="B63" s="3" t="s">
        <v>3280</v>
      </c>
      <c r="C63" s="3" t="s">
        <v>2174</v>
      </c>
      <c r="D63" s="3" t="s">
        <v>93</v>
      </c>
      <c r="E63" s="13" t="n">
        <v>1000000</v>
      </c>
      <c r="F63" s="13" t="n">
        <v>6983.97</v>
      </c>
      <c r="G63" s="13" t="n">
        <v>873</v>
      </c>
      <c r="H63" s="13" t="n">
        <v>873</v>
      </c>
      <c r="I63" s="13" t="n">
        <f aca="false">SUM(K63:T63)</f>
        <v>5238</v>
      </c>
      <c r="J63" s="13" t="n">
        <f aca="false">F63-(G63+H63+I63)</f>
        <v>-0.0299999999997453</v>
      </c>
      <c r="K63" s="13" t="n">
        <v>523.8</v>
      </c>
      <c r="L63" s="13" t="n">
        <v>523.8</v>
      </c>
      <c r="M63" s="13" t="n">
        <v>523.8</v>
      </c>
      <c r="N63" s="13" t="n">
        <v>523.8</v>
      </c>
      <c r="O63" s="13" t="n">
        <v>523.8</v>
      </c>
      <c r="P63" s="13" t="n">
        <v>523.8</v>
      </c>
      <c r="Q63" s="13" t="n">
        <v>523.8</v>
      </c>
      <c r="R63" s="13" t="n">
        <v>523.8</v>
      </c>
      <c r="S63" s="13" t="n">
        <v>523.8</v>
      </c>
      <c r="T63" s="13" t="n">
        <v>523.8</v>
      </c>
      <c r="U63" s="13" t="n">
        <v>350</v>
      </c>
      <c r="V63" s="13" t="n">
        <v>250</v>
      </c>
      <c r="W63" s="13" t="n">
        <f aca="false">U63+V63</f>
        <v>600</v>
      </c>
    </row>
    <row r="64" customFormat="false" ht="15" hidden="false" customHeight="false" outlineLevel="0" collapsed="false">
      <c r="A64" s="14" t="s">
        <v>3281</v>
      </c>
      <c r="B64" s="14" t="s">
        <v>3205</v>
      </c>
      <c r="C64" s="14" t="s">
        <v>2437</v>
      </c>
      <c r="D64" s="14" t="s">
        <v>85</v>
      </c>
      <c r="E64" s="15" t="n">
        <v>1800000</v>
      </c>
      <c r="F64" s="15" t="n">
        <v>13651.48</v>
      </c>
      <c r="G64" s="15" t="n">
        <v>1706.43</v>
      </c>
      <c r="H64" s="15" t="n">
        <v>1706.43</v>
      </c>
      <c r="I64" s="15" t="n">
        <f aca="false">SUM(K64:T64)</f>
        <v>10238.6</v>
      </c>
      <c r="J64" s="15" t="n">
        <f aca="false">F64-(G64+H64+I64)</f>
        <v>0.0199999999986176</v>
      </c>
      <c r="K64" s="15" t="n">
        <v>1023.86</v>
      </c>
      <c r="L64" s="15" t="n">
        <v>1023.86</v>
      </c>
      <c r="M64" s="15" t="n">
        <v>1023.86</v>
      </c>
      <c r="N64" s="15" t="n">
        <v>1023.86</v>
      </c>
      <c r="O64" s="15" t="n">
        <v>1023.86</v>
      </c>
      <c r="P64" s="15" t="n">
        <v>1023.86</v>
      </c>
      <c r="Q64" s="15" t="n">
        <v>1023.86</v>
      </c>
      <c r="R64" s="15" t="n">
        <v>1023.86</v>
      </c>
      <c r="S64" s="15" t="n">
        <v>1023.86</v>
      </c>
      <c r="T64" s="15" t="n">
        <v>1023.86</v>
      </c>
      <c r="U64" s="15" t="n">
        <v>350</v>
      </c>
      <c r="V64" s="15" t="n">
        <v>250</v>
      </c>
      <c r="W64" s="15" t="n">
        <f aca="false">U64+V64</f>
        <v>600</v>
      </c>
    </row>
    <row r="65" customFormat="false" ht="15" hidden="false" customHeight="false" outlineLevel="0" collapsed="false">
      <c r="A65" s="3" t="s">
        <v>3282</v>
      </c>
      <c r="B65" s="3" t="s">
        <v>3213</v>
      </c>
      <c r="C65" s="3" t="s">
        <v>900</v>
      </c>
      <c r="D65" s="3" t="s">
        <v>256</v>
      </c>
      <c r="E65" s="13" t="n">
        <v>240000</v>
      </c>
      <c r="F65" s="13" t="n">
        <v>4216.57</v>
      </c>
      <c r="G65" s="13" t="n">
        <v>527.07</v>
      </c>
      <c r="H65" s="13" t="n">
        <v>527.07</v>
      </c>
      <c r="I65" s="13" t="n">
        <f aca="false">SUM(K65:T65)</f>
        <v>3162.4</v>
      </c>
      <c r="J65" s="13" t="n">
        <f aca="false">F65-(G65+H65+I65)</f>
        <v>0.0299999999997453</v>
      </c>
      <c r="K65" s="13" t="n">
        <v>316.24</v>
      </c>
      <c r="L65" s="13" t="n">
        <v>316.24</v>
      </c>
      <c r="M65" s="13" t="n">
        <v>316.24</v>
      </c>
      <c r="N65" s="13" t="n">
        <v>316.24</v>
      </c>
      <c r="O65" s="13" t="n">
        <v>316.24</v>
      </c>
      <c r="P65" s="13" t="n">
        <v>316.24</v>
      </c>
      <c r="Q65" s="13" t="n">
        <v>316.24</v>
      </c>
      <c r="R65" s="13" t="n">
        <v>316.24</v>
      </c>
      <c r="S65" s="13" t="n">
        <v>316.24</v>
      </c>
      <c r="T65" s="13" t="n">
        <v>316.24</v>
      </c>
      <c r="U65" s="13" t="n">
        <v>350</v>
      </c>
      <c r="V65" s="13" t="n">
        <v>0</v>
      </c>
      <c r="W65" s="13" t="n">
        <f aca="false">U65+V65</f>
        <v>350</v>
      </c>
    </row>
    <row r="66" customFormat="false" ht="15" hidden="false" customHeight="false" outlineLevel="0" collapsed="false">
      <c r="A66" s="14" t="s">
        <v>3283</v>
      </c>
      <c r="B66" s="14" t="s">
        <v>3197</v>
      </c>
      <c r="C66" s="14" t="s">
        <v>533</v>
      </c>
      <c r="D66" s="14" t="s">
        <v>911</v>
      </c>
      <c r="E66" s="15" t="n">
        <v>805000</v>
      </c>
      <c r="F66" s="15" t="n">
        <v>11859.1</v>
      </c>
      <c r="G66" s="15" t="n">
        <v>1482.39</v>
      </c>
      <c r="H66" s="15" t="n">
        <v>1482.39</v>
      </c>
      <c r="I66" s="15" t="n">
        <f aca="false">SUM(K66:T66)</f>
        <v>8894.3</v>
      </c>
      <c r="J66" s="15" t="n">
        <f aca="false">F66-(G66+H66+I66)</f>
        <v>0.0200000000004366</v>
      </c>
      <c r="K66" s="15" t="n">
        <v>889.43</v>
      </c>
      <c r="L66" s="15" t="n">
        <v>889.43</v>
      </c>
      <c r="M66" s="15" t="n">
        <v>889.43</v>
      </c>
      <c r="N66" s="15" t="n">
        <v>889.43</v>
      </c>
      <c r="O66" s="15" t="n">
        <v>889.43</v>
      </c>
      <c r="P66" s="15" t="n">
        <v>889.43</v>
      </c>
      <c r="Q66" s="15" t="n">
        <v>889.43</v>
      </c>
      <c r="R66" s="15" t="n">
        <v>889.43</v>
      </c>
      <c r="S66" s="15" t="n">
        <v>889.43</v>
      </c>
      <c r="T66" s="15" t="n">
        <v>889.43</v>
      </c>
      <c r="U66" s="15" t="n">
        <v>350</v>
      </c>
      <c r="V66" s="15" t="n">
        <v>0</v>
      </c>
      <c r="W66" s="15" t="n">
        <f aca="false">U66+V66</f>
        <v>350</v>
      </c>
    </row>
    <row r="67" customFormat="false" ht="15" hidden="false" customHeight="false" outlineLevel="0" collapsed="false">
      <c r="A67" s="3" t="s">
        <v>3284</v>
      </c>
      <c r="B67" s="3" t="s">
        <v>3205</v>
      </c>
      <c r="C67" s="3" t="s">
        <v>1405</v>
      </c>
      <c r="D67" s="3" t="s">
        <v>279</v>
      </c>
      <c r="E67" s="13" t="n">
        <v>840000</v>
      </c>
      <c r="F67" s="13" t="n">
        <v>10426.85</v>
      </c>
      <c r="G67" s="13" t="n">
        <v>1303.36</v>
      </c>
      <c r="H67" s="13" t="n">
        <v>1303.36</v>
      </c>
      <c r="I67" s="13" t="n">
        <f aca="false">SUM(K67:T67)</f>
        <v>7820.1</v>
      </c>
      <c r="J67" s="13" t="n">
        <f aca="false">F67-(G67+H67+I67)</f>
        <v>0.0300000000006548</v>
      </c>
      <c r="K67" s="13" t="n">
        <v>782.01</v>
      </c>
      <c r="L67" s="13" t="n">
        <v>782.01</v>
      </c>
      <c r="M67" s="13" t="n">
        <v>782.01</v>
      </c>
      <c r="N67" s="13" t="n">
        <v>782.01</v>
      </c>
      <c r="O67" s="13" t="n">
        <v>782.01</v>
      </c>
      <c r="P67" s="13" t="n">
        <v>782.01</v>
      </c>
      <c r="Q67" s="13" t="n">
        <v>782.01</v>
      </c>
      <c r="R67" s="13" t="n">
        <v>782.01</v>
      </c>
      <c r="S67" s="13" t="n">
        <v>782.01</v>
      </c>
      <c r="T67" s="13" t="n">
        <v>782.01</v>
      </c>
      <c r="U67" s="13" t="n">
        <v>350</v>
      </c>
      <c r="V67" s="13" t="n">
        <v>0</v>
      </c>
      <c r="W67" s="13" t="n">
        <f aca="false">U67+V67</f>
        <v>350</v>
      </c>
    </row>
    <row r="68" customFormat="false" ht="15" hidden="false" customHeight="false" outlineLevel="0" collapsed="false">
      <c r="A68" s="14" t="s">
        <v>3285</v>
      </c>
      <c r="B68" s="14" t="s">
        <v>3269</v>
      </c>
      <c r="C68" s="14" t="s">
        <v>784</v>
      </c>
      <c r="D68" s="14" t="s">
        <v>193</v>
      </c>
      <c r="E68" s="15" t="n">
        <v>315000</v>
      </c>
      <c r="F68" s="15" t="n">
        <v>4240.24</v>
      </c>
      <c r="G68" s="15" t="n">
        <v>530.03</v>
      </c>
      <c r="H68" s="15" t="n">
        <v>530.03</v>
      </c>
      <c r="I68" s="15" t="n">
        <f aca="false">SUM(K68:T68)</f>
        <v>3180.2</v>
      </c>
      <c r="J68" s="15" t="n">
        <f aca="false">F68-(G68+H68+I68)</f>
        <v>-0.0200000000004366</v>
      </c>
      <c r="K68" s="15" t="n">
        <v>318.02</v>
      </c>
      <c r="L68" s="15" t="n">
        <v>318.02</v>
      </c>
      <c r="M68" s="15" t="n">
        <v>318.02</v>
      </c>
      <c r="N68" s="15" t="n">
        <v>318.02</v>
      </c>
      <c r="O68" s="15" t="n">
        <v>318.02</v>
      </c>
      <c r="P68" s="15" t="n">
        <v>318.02</v>
      </c>
      <c r="Q68" s="15" t="n">
        <v>318.02</v>
      </c>
      <c r="R68" s="15" t="n">
        <v>318.02</v>
      </c>
      <c r="S68" s="15" t="n">
        <v>318.02</v>
      </c>
      <c r="T68" s="15" t="n">
        <v>318.02</v>
      </c>
      <c r="U68" s="15" t="n">
        <v>350</v>
      </c>
      <c r="V68" s="15" t="n">
        <v>0</v>
      </c>
      <c r="W68" s="15" t="n">
        <f aca="false">U68+V68</f>
        <v>350</v>
      </c>
    </row>
    <row r="69" customFormat="false" ht="15" hidden="false" customHeight="false" outlineLevel="0" collapsed="false">
      <c r="A69" s="3" t="s">
        <v>3286</v>
      </c>
      <c r="B69" s="3" t="s">
        <v>3208</v>
      </c>
      <c r="C69" s="3" t="s">
        <v>1963</v>
      </c>
      <c r="D69" s="3" t="s">
        <v>189</v>
      </c>
      <c r="E69" s="13" t="n">
        <v>1030000</v>
      </c>
      <c r="F69" s="13" t="n">
        <v>8947.5</v>
      </c>
      <c r="G69" s="13" t="n">
        <v>1118.44</v>
      </c>
      <c r="H69" s="13" t="n">
        <v>1118.44</v>
      </c>
      <c r="I69" s="13" t="n">
        <f aca="false">SUM(K69:T69)</f>
        <v>6710.6</v>
      </c>
      <c r="J69" s="13" t="n">
        <f aca="false">F69-(G69+H69+I69)</f>
        <v>0.0200000000004366</v>
      </c>
      <c r="K69" s="13" t="n">
        <v>671.06</v>
      </c>
      <c r="L69" s="13" t="n">
        <v>671.06</v>
      </c>
      <c r="M69" s="13" t="n">
        <v>671.06</v>
      </c>
      <c r="N69" s="13" t="n">
        <v>671.06</v>
      </c>
      <c r="O69" s="13" t="n">
        <v>671.06</v>
      </c>
      <c r="P69" s="13" t="n">
        <v>671.06</v>
      </c>
      <c r="Q69" s="13" t="n">
        <v>671.06</v>
      </c>
      <c r="R69" s="13" t="n">
        <v>671.06</v>
      </c>
      <c r="S69" s="13" t="n">
        <v>671.06</v>
      </c>
      <c r="T69" s="13" t="n">
        <v>671.06</v>
      </c>
      <c r="U69" s="13" t="n">
        <v>350</v>
      </c>
      <c r="V69" s="13" t="n">
        <v>250</v>
      </c>
      <c r="W69" s="13" t="n">
        <f aca="false">U69+V69</f>
        <v>600</v>
      </c>
    </row>
    <row r="70" customFormat="false" ht="15" hidden="false" customHeight="false" outlineLevel="0" collapsed="false">
      <c r="A70" s="14" t="s">
        <v>3287</v>
      </c>
      <c r="B70" s="14" t="s">
        <v>3205</v>
      </c>
      <c r="C70" s="14" t="s">
        <v>526</v>
      </c>
      <c r="D70" s="14" t="s">
        <v>73</v>
      </c>
      <c r="E70" s="15" t="n">
        <v>1235000</v>
      </c>
      <c r="F70" s="15" t="n">
        <v>16597.84</v>
      </c>
      <c r="G70" s="15" t="n">
        <v>2074.73</v>
      </c>
      <c r="H70" s="15" t="n">
        <v>2074.73</v>
      </c>
      <c r="I70" s="15" t="n">
        <f aca="false">SUM(K70:T70)</f>
        <v>12448.4</v>
      </c>
      <c r="J70" s="15" t="n">
        <f aca="false">F70-(G70+H70+I70)</f>
        <v>-0.0200000000004366</v>
      </c>
      <c r="K70" s="15" t="n">
        <v>1244.84</v>
      </c>
      <c r="L70" s="15" t="n">
        <v>1244.84</v>
      </c>
      <c r="M70" s="15" t="n">
        <v>1244.84</v>
      </c>
      <c r="N70" s="15" t="n">
        <v>1244.84</v>
      </c>
      <c r="O70" s="15" t="n">
        <v>1244.84</v>
      </c>
      <c r="P70" s="15" t="n">
        <v>1244.84</v>
      </c>
      <c r="Q70" s="15" t="n">
        <v>1244.84</v>
      </c>
      <c r="R70" s="15" t="n">
        <v>1244.84</v>
      </c>
      <c r="S70" s="15" t="n">
        <v>1244.84</v>
      </c>
      <c r="T70" s="15" t="n">
        <v>1244.84</v>
      </c>
      <c r="U70" s="15" t="n">
        <v>350</v>
      </c>
      <c r="V70" s="15" t="n">
        <v>250</v>
      </c>
      <c r="W70" s="15" t="n">
        <f aca="false">U70+V70</f>
        <v>600</v>
      </c>
    </row>
    <row r="71" customFormat="false" ht="15" hidden="false" customHeight="false" outlineLevel="0" collapsed="false">
      <c r="A71" s="3" t="s">
        <v>3288</v>
      </c>
      <c r="B71" s="3" t="s">
        <v>3289</v>
      </c>
      <c r="C71" s="3" t="s">
        <v>1219</v>
      </c>
      <c r="D71" s="3" t="s">
        <v>377</v>
      </c>
      <c r="E71" s="13" t="n">
        <v>480000</v>
      </c>
      <c r="F71" s="13" t="n">
        <v>6926.54</v>
      </c>
      <c r="G71" s="13" t="n">
        <v>865.82</v>
      </c>
      <c r="H71" s="13" t="n">
        <v>865.82</v>
      </c>
      <c r="I71" s="13" t="n">
        <f aca="false">SUM(K71:T71)</f>
        <v>5194.9</v>
      </c>
      <c r="J71" s="13" t="n">
        <f aca="false">F71-(G71+H71+I71)</f>
        <v>0</v>
      </c>
      <c r="K71" s="13" t="n">
        <v>519.49</v>
      </c>
      <c r="L71" s="13" t="n">
        <v>519.49</v>
      </c>
      <c r="M71" s="13" t="n">
        <v>519.49</v>
      </c>
      <c r="N71" s="13" t="n">
        <v>519.49</v>
      </c>
      <c r="O71" s="13" t="n">
        <v>519.49</v>
      </c>
      <c r="P71" s="13" t="n">
        <v>519.49</v>
      </c>
      <c r="Q71" s="13" t="n">
        <v>519.49</v>
      </c>
      <c r="R71" s="13" t="n">
        <v>519.49</v>
      </c>
      <c r="S71" s="13" t="n">
        <v>519.49</v>
      </c>
      <c r="T71" s="13" t="n">
        <v>519.49</v>
      </c>
      <c r="U71" s="13" t="n">
        <v>350</v>
      </c>
      <c r="V71" s="13" t="n">
        <v>0</v>
      </c>
      <c r="W71" s="13" t="n">
        <f aca="false">U71+V71</f>
        <v>350</v>
      </c>
    </row>
    <row r="72" customFormat="false" ht="15" hidden="false" customHeight="false" outlineLevel="0" collapsed="false">
      <c r="A72" s="14" t="s">
        <v>3290</v>
      </c>
      <c r="B72" s="14" t="s">
        <v>3195</v>
      </c>
      <c r="C72" s="14" t="s">
        <v>850</v>
      </c>
      <c r="D72" s="14" t="s">
        <v>233</v>
      </c>
      <c r="E72" s="15" t="n">
        <v>765000</v>
      </c>
      <c r="F72" s="15" t="n">
        <v>4628.76</v>
      </c>
      <c r="G72" s="15" t="n">
        <v>578.6</v>
      </c>
      <c r="H72" s="15" t="n">
        <v>578.6</v>
      </c>
      <c r="I72" s="15" t="n">
        <f aca="false">SUM(K72:T72)</f>
        <v>3471.6</v>
      </c>
      <c r="J72" s="15" t="n">
        <f aca="false">F72-(G72+H72+I72)</f>
        <v>-0.0399999999999636</v>
      </c>
      <c r="K72" s="15" t="n">
        <v>347.16</v>
      </c>
      <c r="L72" s="15" t="n">
        <v>347.16</v>
      </c>
      <c r="M72" s="15" t="n">
        <v>347.16</v>
      </c>
      <c r="N72" s="15" t="n">
        <v>347.16</v>
      </c>
      <c r="O72" s="15" t="n">
        <v>347.16</v>
      </c>
      <c r="P72" s="15" t="n">
        <v>347.16</v>
      </c>
      <c r="Q72" s="15" t="n">
        <v>347.16</v>
      </c>
      <c r="R72" s="15" t="n">
        <v>347.16</v>
      </c>
      <c r="S72" s="15" t="n">
        <v>347.16</v>
      </c>
      <c r="T72" s="15" t="n">
        <v>347.16</v>
      </c>
      <c r="U72" s="15" t="n">
        <v>350</v>
      </c>
      <c r="V72" s="15" t="n">
        <v>0</v>
      </c>
      <c r="W72" s="15" t="n">
        <f aca="false">U72+V72</f>
        <v>350</v>
      </c>
    </row>
    <row r="73" customFormat="false" ht="15" hidden="false" customHeight="false" outlineLevel="0" collapsed="false">
      <c r="A73" s="3" t="s">
        <v>3291</v>
      </c>
      <c r="B73" s="3" t="s">
        <v>3269</v>
      </c>
      <c r="C73" s="3" t="s">
        <v>1148</v>
      </c>
      <c r="D73" s="3" t="s">
        <v>163</v>
      </c>
      <c r="E73" s="13" t="n">
        <v>1090000</v>
      </c>
      <c r="F73" s="13" t="n">
        <v>8780.08</v>
      </c>
      <c r="G73" s="13" t="n">
        <v>1097.51</v>
      </c>
      <c r="H73" s="13" t="n">
        <v>1097.51</v>
      </c>
      <c r="I73" s="13" t="n">
        <f aca="false">SUM(K73:T73)</f>
        <v>6585.1</v>
      </c>
      <c r="J73" s="13" t="n">
        <f aca="false">F73-(G73+H73+I73)</f>
        <v>-0.0400000000008731</v>
      </c>
      <c r="K73" s="13" t="n">
        <v>658.51</v>
      </c>
      <c r="L73" s="13" t="n">
        <v>658.51</v>
      </c>
      <c r="M73" s="13" t="n">
        <v>658.51</v>
      </c>
      <c r="N73" s="13" t="n">
        <v>658.51</v>
      </c>
      <c r="O73" s="13" t="n">
        <v>658.51</v>
      </c>
      <c r="P73" s="13" t="n">
        <v>658.51</v>
      </c>
      <c r="Q73" s="13" t="n">
        <v>658.51</v>
      </c>
      <c r="R73" s="13" t="n">
        <v>658.51</v>
      </c>
      <c r="S73" s="13" t="n">
        <v>658.51</v>
      </c>
      <c r="T73" s="13" t="n">
        <v>658.51</v>
      </c>
      <c r="U73" s="13" t="n">
        <v>350</v>
      </c>
      <c r="V73" s="13" t="n">
        <v>250</v>
      </c>
      <c r="W73" s="13" t="n">
        <f aca="false">U73+V73</f>
        <v>600</v>
      </c>
    </row>
    <row r="74" customFormat="false" ht="15" hidden="false" customHeight="false" outlineLevel="0" collapsed="false">
      <c r="A74" s="14" t="s">
        <v>3292</v>
      </c>
      <c r="B74" s="14" t="s">
        <v>3225</v>
      </c>
      <c r="C74" s="14" t="s">
        <v>385</v>
      </c>
      <c r="D74" s="14" t="s">
        <v>89</v>
      </c>
      <c r="E74" s="15" t="n">
        <v>1130000</v>
      </c>
      <c r="F74" s="15" t="n">
        <v>17523.11</v>
      </c>
      <c r="G74" s="15" t="n">
        <v>2190.39</v>
      </c>
      <c r="H74" s="15" t="n">
        <v>2190.39</v>
      </c>
      <c r="I74" s="15" t="n">
        <f aca="false">SUM(K74:T74)</f>
        <v>13142.3</v>
      </c>
      <c r="J74" s="15" t="n">
        <f aca="false">F74-(G74+H74+I74)</f>
        <v>0.0300000000024738</v>
      </c>
      <c r="K74" s="15" t="n">
        <v>1314.23</v>
      </c>
      <c r="L74" s="15" t="n">
        <v>1314.23</v>
      </c>
      <c r="M74" s="15" t="n">
        <v>1314.23</v>
      </c>
      <c r="N74" s="15" t="n">
        <v>1314.23</v>
      </c>
      <c r="O74" s="15" t="n">
        <v>1314.23</v>
      </c>
      <c r="P74" s="15" t="n">
        <v>1314.23</v>
      </c>
      <c r="Q74" s="15" t="n">
        <v>1314.23</v>
      </c>
      <c r="R74" s="15" t="n">
        <v>1314.23</v>
      </c>
      <c r="S74" s="15" t="n">
        <v>1314.23</v>
      </c>
      <c r="T74" s="15" t="n">
        <v>1314.23</v>
      </c>
      <c r="U74" s="15" t="n">
        <v>350</v>
      </c>
      <c r="V74" s="15" t="n">
        <v>250</v>
      </c>
      <c r="W74" s="15" t="n">
        <f aca="false">U74+V74</f>
        <v>600</v>
      </c>
    </row>
    <row r="75" customFormat="false" ht="15" hidden="false" customHeight="false" outlineLevel="0" collapsed="false">
      <c r="A75" s="3" t="s">
        <v>3293</v>
      </c>
      <c r="B75" s="3" t="s">
        <v>3252</v>
      </c>
      <c r="C75" s="3" t="s">
        <v>878</v>
      </c>
      <c r="D75" s="3" t="s">
        <v>132</v>
      </c>
      <c r="E75" s="13" t="n">
        <v>1275000</v>
      </c>
      <c r="F75" s="13" t="n">
        <v>6224.41</v>
      </c>
      <c r="G75" s="13" t="n">
        <v>778.05</v>
      </c>
      <c r="H75" s="13" t="n">
        <v>778.05</v>
      </c>
      <c r="I75" s="13" t="n">
        <f aca="false">SUM(K75:T75)</f>
        <v>4668.3</v>
      </c>
      <c r="J75" s="13" t="n">
        <f aca="false">F75-(G75+H75+I75)</f>
        <v>0.0100000000002183</v>
      </c>
      <c r="K75" s="13" t="n">
        <v>466.83</v>
      </c>
      <c r="L75" s="13" t="n">
        <v>466.83</v>
      </c>
      <c r="M75" s="13" t="n">
        <v>466.83</v>
      </c>
      <c r="N75" s="13" t="n">
        <v>466.83</v>
      </c>
      <c r="O75" s="13" t="n">
        <v>466.83</v>
      </c>
      <c r="P75" s="13" t="n">
        <v>466.83</v>
      </c>
      <c r="Q75" s="13" t="n">
        <v>466.83</v>
      </c>
      <c r="R75" s="13" t="n">
        <v>466.83</v>
      </c>
      <c r="S75" s="13" t="n">
        <v>466.83</v>
      </c>
      <c r="T75" s="13" t="n">
        <v>466.83</v>
      </c>
      <c r="U75" s="13" t="n">
        <v>350</v>
      </c>
      <c r="V75" s="13" t="n">
        <v>250</v>
      </c>
      <c r="W75" s="13" t="n">
        <f aca="false">U75+V75</f>
        <v>600</v>
      </c>
    </row>
    <row r="76" customFormat="false" ht="15" hidden="false" customHeight="false" outlineLevel="0" collapsed="false">
      <c r="A76" s="14" t="s">
        <v>3294</v>
      </c>
      <c r="B76" s="14" t="s">
        <v>3235</v>
      </c>
      <c r="C76" s="14" t="s">
        <v>235</v>
      </c>
      <c r="D76" s="14" t="s">
        <v>163</v>
      </c>
      <c r="E76" s="15" t="n">
        <v>500000</v>
      </c>
      <c r="F76" s="15" t="n">
        <v>4759.84</v>
      </c>
      <c r="G76" s="15" t="n">
        <v>594.98</v>
      </c>
      <c r="H76" s="15" t="n">
        <v>594.98</v>
      </c>
      <c r="I76" s="15" t="n">
        <f aca="false">SUM(K76:T76)</f>
        <v>3569.9</v>
      </c>
      <c r="J76" s="15" t="n">
        <f aca="false">F76-(G76+H76+I76)</f>
        <v>-0.0199999999995271</v>
      </c>
      <c r="K76" s="15" t="n">
        <v>356.99</v>
      </c>
      <c r="L76" s="15" t="n">
        <v>356.99</v>
      </c>
      <c r="M76" s="15" t="n">
        <v>356.99</v>
      </c>
      <c r="N76" s="15" t="n">
        <v>356.99</v>
      </c>
      <c r="O76" s="15" t="n">
        <v>356.99</v>
      </c>
      <c r="P76" s="15" t="n">
        <v>356.99</v>
      </c>
      <c r="Q76" s="15" t="n">
        <v>356.99</v>
      </c>
      <c r="R76" s="15" t="n">
        <v>356.99</v>
      </c>
      <c r="S76" s="15" t="n">
        <v>356.99</v>
      </c>
      <c r="T76" s="15" t="n">
        <v>356.99</v>
      </c>
      <c r="U76" s="15" t="n">
        <v>350</v>
      </c>
      <c r="V76" s="15" t="n">
        <v>0</v>
      </c>
      <c r="W76" s="15" t="n">
        <f aca="false">U76+V76</f>
        <v>350</v>
      </c>
    </row>
    <row r="77" customFormat="false" ht="15" hidden="false" customHeight="false" outlineLevel="0" collapsed="false">
      <c r="A77" s="3" t="s">
        <v>3295</v>
      </c>
      <c r="B77" s="3" t="s">
        <v>3264</v>
      </c>
      <c r="C77" s="3" t="s">
        <v>905</v>
      </c>
      <c r="D77" s="3" t="s">
        <v>132</v>
      </c>
      <c r="E77" s="13" t="n">
        <v>515000</v>
      </c>
      <c r="F77" s="13" t="n">
        <v>4806.51</v>
      </c>
      <c r="G77" s="13" t="n">
        <v>600.81</v>
      </c>
      <c r="H77" s="13" t="n">
        <v>600.81</v>
      </c>
      <c r="I77" s="13" t="n">
        <f aca="false">SUM(K77:T77)</f>
        <v>3604.9</v>
      </c>
      <c r="J77" s="13" t="n">
        <f aca="false">F77-(G77+H77+I77)</f>
        <v>-0.00999999999930878</v>
      </c>
      <c r="K77" s="13" t="n">
        <v>360.49</v>
      </c>
      <c r="L77" s="13" t="n">
        <v>360.49</v>
      </c>
      <c r="M77" s="13" t="n">
        <v>360.49</v>
      </c>
      <c r="N77" s="13" t="n">
        <v>360.49</v>
      </c>
      <c r="O77" s="13" t="n">
        <v>360.49</v>
      </c>
      <c r="P77" s="13" t="n">
        <v>360.49</v>
      </c>
      <c r="Q77" s="13" t="n">
        <v>360.49</v>
      </c>
      <c r="R77" s="13" t="n">
        <v>360.49</v>
      </c>
      <c r="S77" s="13" t="n">
        <v>360.49</v>
      </c>
      <c r="T77" s="13" t="n">
        <v>360.49</v>
      </c>
      <c r="U77" s="13" t="n">
        <v>350</v>
      </c>
      <c r="V77" s="13" t="n">
        <v>0</v>
      </c>
      <c r="W77" s="13" t="n">
        <f aca="false">U77+V77</f>
        <v>350</v>
      </c>
    </row>
    <row r="78" customFormat="false" ht="15" hidden="false" customHeight="false" outlineLevel="0" collapsed="false">
      <c r="A78" s="14" t="s">
        <v>3296</v>
      </c>
      <c r="B78" s="14" t="s">
        <v>3235</v>
      </c>
      <c r="C78" s="14" t="s">
        <v>412</v>
      </c>
      <c r="D78" s="14" t="s">
        <v>73</v>
      </c>
      <c r="E78" s="15" t="n">
        <v>1200000</v>
      </c>
      <c r="F78" s="15" t="n">
        <v>11087.63</v>
      </c>
      <c r="G78" s="15" t="n">
        <v>1385.95</v>
      </c>
      <c r="H78" s="15" t="n">
        <v>1385.95</v>
      </c>
      <c r="I78" s="15" t="n">
        <f aca="false">SUM(K78:T78)</f>
        <v>8315.7</v>
      </c>
      <c r="J78" s="15" t="n">
        <f aca="false">F78-(G78+H78+I78)</f>
        <v>0.0299999999988358</v>
      </c>
      <c r="K78" s="15" t="n">
        <v>831.57</v>
      </c>
      <c r="L78" s="15" t="n">
        <v>831.57</v>
      </c>
      <c r="M78" s="15" t="n">
        <v>831.57</v>
      </c>
      <c r="N78" s="15" t="n">
        <v>831.57</v>
      </c>
      <c r="O78" s="15" t="n">
        <v>831.57</v>
      </c>
      <c r="P78" s="15" t="n">
        <v>831.57</v>
      </c>
      <c r="Q78" s="15" t="n">
        <v>831.57</v>
      </c>
      <c r="R78" s="15" t="n">
        <v>831.57</v>
      </c>
      <c r="S78" s="15" t="n">
        <v>831.57</v>
      </c>
      <c r="T78" s="15" t="n">
        <v>831.57</v>
      </c>
      <c r="U78" s="15" t="n">
        <v>350</v>
      </c>
      <c r="V78" s="15" t="n">
        <v>250</v>
      </c>
      <c r="W78" s="15" t="n">
        <f aca="false">U78+V78</f>
        <v>600</v>
      </c>
    </row>
    <row r="79" customFormat="false" ht="15" hidden="false" customHeight="false" outlineLevel="0" collapsed="false">
      <c r="A79" s="3" t="s">
        <v>3297</v>
      </c>
      <c r="B79" s="3" t="s">
        <v>3239</v>
      </c>
      <c r="C79" s="3" t="s">
        <v>503</v>
      </c>
      <c r="D79" s="3" t="s">
        <v>180</v>
      </c>
      <c r="E79" s="13" t="n">
        <v>945000</v>
      </c>
      <c r="F79" s="13" t="n">
        <v>10671.84</v>
      </c>
      <c r="G79" s="13" t="n">
        <v>1333.98</v>
      </c>
      <c r="H79" s="13" t="n">
        <v>1333.98</v>
      </c>
      <c r="I79" s="13" t="n">
        <f aca="false">SUM(K79:T79)</f>
        <v>8003.9</v>
      </c>
      <c r="J79" s="13" t="n">
        <f aca="false">F79-(G79+H79+I79)</f>
        <v>-0.0200000000004366</v>
      </c>
      <c r="K79" s="13" t="n">
        <v>800.39</v>
      </c>
      <c r="L79" s="13" t="n">
        <v>800.39</v>
      </c>
      <c r="M79" s="13" t="n">
        <v>800.39</v>
      </c>
      <c r="N79" s="13" t="n">
        <v>800.39</v>
      </c>
      <c r="O79" s="13" t="n">
        <v>800.39</v>
      </c>
      <c r="P79" s="13" t="n">
        <v>800.39</v>
      </c>
      <c r="Q79" s="13" t="n">
        <v>800.39</v>
      </c>
      <c r="R79" s="13" t="n">
        <v>800.39</v>
      </c>
      <c r="S79" s="13" t="n">
        <v>800.39</v>
      </c>
      <c r="T79" s="13" t="n">
        <v>800.39</v>
      </c>
      <c r="U79" s="13" t="n">
        <v>350</v>
      </c>
      <c r="V79" s="13" t="n">
        <v>0</v>
      </c>
      <c r="W79" s="13" t="n">
        <f aca="false">U79+V79</f>
        <v>350</v>
      </c>
    </row>
    <row r="80" customFormat="false" ht="15" hidden="false" customHeight="false" outlineLevel="0" collapsed="false">
      <c r="A80" s="14" t="s">
        <v>3298</v>
      </c>
      <c r="B80" s="14" t="s">
        <v>3299</v>
      </c>
      <c r="C80" s="14" t="s">
        <v>1405</v>
      </c>
      <c r="D80" s="14" t="s">
        <v>208</v>
      </c>
      <c r="E80" s="15" t="n">
        <v>1525000</v>
      </c>
      <c r="F80" s="15" t="n">
        <v>22772.57</v>
      </c>
      <c r="G80" s="15" t="n">
        <v>2846.57</v>
      </c>
      <c r="H80" s="15" t="n">
        <v>2846.57</v>
      </c>
      <c r="I80" s="15" t="n">
        <f aca="false">SUM(K80:T80)</f>
        <v>17079.4</v>
      </c>
      <c r="J80" s="15" t="n">
        <f aca="false">F80-(G80+H80+I80)</f>
        <v>0.0299999999988358</v>
      </c>
      <c r="K80" s="15" t="n">
        <v>1707.94</v>
      </c>
      <c r="L80" s="15" t="n">
        <v>1707.94</v>
      </c>
      <c r="M80" s="15" t="n">
        <v>1707.94</v>
      </c>
      <c r="N80" s="15" t="n">
        <v>1707.94</v>
      </c>
      <c r="O80" s="15" t="n">
        <v>1707.94</v>
      </c>
      <c r="P80" s="15" t="n">
        <v>1707.94</v>
      </c>
      <c r="Q80" s="15" t="n">
        <v>1707.94</v>
      </c>
      <c r="R80" s="15" t="n">
        <v>1707.94</v>
      </c>
      <c r="S80" s="15" t="n">
        <v>1707.94</v>
      </c>
      <c r="T80" s="15" t="n">
        <v>1707.94</v>
      </c>
      <c r="U80" s="15" t="n">
        <v>350</v>
      </c>
      <c r="V80" s="15" t="n">
        <v>250</v>
      </c>
      <c r="W80" s="15" t="n">
        <f aca="false">U80+V80</f>
        <v>600</v>
      </c>
    </row>
    <row r="81" customFormat="false" ht="15" hidden="false" customHeight="false" outlineLevel="0" collapsed="false">
      <c r="A81" s="3" t="s">
        <v>3300</v>
      </c>
      <c r="B81" s="3" t="s">
        <v>3266</v>
      </c>
      <c r="C81" s="3" t="s">
        <v>196</v>
      </c>
      <c r="D81" s="3" t="s">
        <v>430</v>
      </c>
      <c r="E81" s="13" t="n">
        <v>495000</v>
      </c>
      <c r="F81" s="13" t="n">
        <v>5277.28</v>
      </c>
      <c r="G81" s="13" t="n">
        <v>659.66</v>
      </c>
      <c r="H81" s="13" t="n">
        <v>659.66</v>
      </c>
      <c r="I81" s="13" t="n">
        <f aca="false">SUM(K81:T81)</f>
        <v>3958</v>
      </c>
      <c r="J81" s="13" t="n">
        <f aca="false">F81-(G81+H81+I81)</f>
        <v>-0.0400000000008731</v>
      </c>
      <c r="K81" s="13" t="n">
        <v>395.8</v>
      </c>
      <c r="L81" s="13" t="n">
        <v>395.8</v>
      </c>
      <c r="M81" s="13" t="n">
        <v>395.8</v>
      </c>
      <c r="N81" s="13" t="n">
        <v>395.8</v>
      </c>
      <c r="O81" s="13" t="n">
        <v>395.8</v>
      </c>
      <c r="P81" s="13" t="n">
        <v>395.8</v>
      </c>
      <c r="Q81" s="13" t="n">
        <v>395.8</v>
      </c>
      <c r="R81" s="13" t="n">
        <v>395.8</v>
      </c>
      <c r="S81" s="13" t="n">
        <v>395.8</v>
      </c>
      <c r="T81" s="13" t="n">
        <v>395.8</v>
      </c>
      <c r="U81" s="13" t="n">
        <v>350</v>
      </c>
      <c r="V81" s="13" t="n">
        <v>0</v>
      </c>
      <c r="W81" s="13" t="n">
        <f aca="false">U81+V81</f>
        <v>350</v>
      </c>
    </row>
    <row r="82" customFormat="false" ht="15" hidden="false" customHeight="false" outlineLevel="0" collapsed="false">
      <c r="A82" s="14" t="s">
        <v>3301</v>
      </c>
      <c r="B82" s="14" t="s">
        <v>3299</v>
      </c>
      <c r="C82" s="14" t="s">
        <v>1492</v>
      </c>
      <c r="D82" s="14" t="s">
        <v>89</v>
      </c>
      <c r="E82" s="15" t="n">
        <v>380000</v>
      </c>
      <c r="F82" s="15" t="n">
        <v>8470.79</v>
      </c>
      <c r="G82" s="15" t="n">
        <v>1058.85</v>
      </c>
      <c r="H82" s="15" t="n">
        <v>1058.85</v>
      </c>
      <c r="I82" s="15" t="n">
        <f aca="false">SUM(K82:T82)</f>
        <v>6353.1</v>
      </c>
      <c r="J82" s="15" t="n">
        <f aca="false">F82-(G82+H82+I82)</f>
        <v>-0.00999999999839929</v>
      </c>
      <c r="K82" s="15" t="n">
        <v>635.31</v>
      </c>
      <c r="L82" s="15" t="n">
        <v>635.31</v>
      </c>
      <c r="M82" s="15" t="n">
        <v>635.31</v>
      </c>
      <c r="N82" s="15" t="n">
        <v>635.31</v>
      </c>
      <c r="O82" s="15" t="n">
        <v>635.31</v>
      </c>
      <c r="P82" s="15" t="n">
        <v>635.31</v>
      </c>
      <c r="Q82" s="15" t="n">
        <v>635.31</v>
      </c>
      <c r="R82" s="15" t="n">
        <v>635.31</v>
      </c>
      <c r="S82" s="15" t="n">
        <v>635.31</v>
      </c>
      <c r="T82" s="15" t="n">
        <v>635.31</v>
      </c>
      <c r="U82" s="15" t="n">
        <v>350</v>
      </c>
      <c r="V82" s="15" t="n">
        <v>0</v>
      </c>
      <c r="W82" s="15" t="n">
        <f aca="false">U82+V82</f>
        <v>350</v>
      </c>
    </row>
    <row r="83" customFormat="false" ht="15" hidden="false" customHeight="false" outlineLevel="0" collapsed="false">
      <c r="A83" s="3" t="s">
        <v>3302</v>
      </c>
      <c r="B83" s="3" t="s">
        <v>3252</v>
      </c>
      <c r="C83" s="3" t="s">
        <v>2235</v>
      </c>
      <c r="D83" s="3" t="s">
        <v>115</v>
      </c>
      <c r="E83" s="13" t="n">
        <v>440000</v>
      </c>
      <c r="F83" s="13" t="n">
        <v>4002.92</v>
      </c>
      <c r="G83" s="13" t="n">
        <v>500.37</v>
      </c>
      <c r="H83" s="13" t="n">
        <v>500.37</v>
      </c>
      <c r="I83" s="13" t="n">
        <f aca="false">SUM(K83:T83)</f>
        <v>3002.2</v>
      </c>
      <c r="J83" s="13" t="n">
        <f aca="false">F83-(G83+H83+I83)</f>
        <v>-0.0200000000004366</v>
      </c>
      <c r="K83" s="13" t="n">
        <v>300.22</v>
      </c>
      <c r="L83" s="13" t="n">
        <v>300.22</v>
      </c>
      <c r="M83" s="13" t="n">
        <v>300.22</v>
      </c>
      <c r="N83" s="13" t="n">
        <v>300.22</v>
      </c>
      <c r="O83" s="13" t="n">
        <v>300.22</v>
      </c>
      <c r="P83" s="13" t="n">
        <v>300.22</v>
      </c>
      <c r="Q83" s="13" t="n">
        <v>300.22</v>
      </c>
      <c r="R83" s="13" t="n">
        <v>300.22</v>
      </c>
      <c r="S83" s="13" t="n">
        <v>300.22</v>
      </c>
      <c r="T83" s="13" t="n">
        <v>300.22</v>
      </c>
      <c r="U83" s="13" t="n">
        <v>350</v>
      </c>
      <c r="V83" s="13" t="n">
        <v>0</v>
      </c>
      <c r="W83" s="13" t="n">
        <f aca="false">U83+V83</f>
        <v>350</v>
      </c>
    </row>
    <row r="84" customFormat="false" ht="15" hidden="false" customHeight="false" outlineLevel="0" collapsed="false">
      <c r="A84" s="14" t="s">
        <v>3303</v>
      </c>
      <c r="B84" s="14" t="s">
        <v>3264</v>
      </c>
      <c r="C84" s="14" t="s">
        <v>362</v>
      </c>
      <c r="D84" s="14" t="s">
        <v>189</v>
      </c>
      <c r="E84" s="15" t="n">
        <v>1465000</v>
      </c>
      <c r="F84" s="15" t="n">
        <v>18510.97</v>
      </c>
      <c r="G84" s="15" t="n">
        <v>2313.87</v>
      </c>
      <c r="H84" s="15" t="n">
        <v>2313.87</v>
      </c>
      <c r="I84" s="15" t="n">
        <f aca="false">SUM(K84:T84)</f>
        <v>13883.2</v>
      </c>
      <c r="J84" s="15" t="n">
        <f aca="false">F84-(G84+H84+I84)</f>
        <v>0.0300000000024738</v>
      </c>
      <c r="K84" s="15" t="n">
        <v>1388.32</v>
      </c>
      <c r="L84" s="15" t="n">
        <v>1388.32</v>
      </c>
      <c r="M84" s="15" t="n">
        <v>1388.32</v>
      </c>
      <c r="N84" s="15" t="n">
        <v>1388.32</v>
      </c>
      <c r="O84" s="15" t="n">
        <v>1388.32</v>
      </c>
      <c r="P84" s="15" t="n">
        <v>1388.32</v>
      </c>
      <c r="Q84" s="15" t="n">
        <v>1388.32</v>
      </c>
      <c r="R84" s="15" t="n">
        <v>1388.32</v>
      </c>
      <c r="S84" s="15" t="n">
        <v>1388.32</v>
      </c>
      <c r="T84" s="15" t="n">
        <v>1388.32</v>
      </c>
      <c r="U84" s="15" t="n">
        <v>350</v>
      </c>
      <c r="V84" s="15" t="n">
        <v>250</v>
      </c>
      <c r="W84" s="15" t="n">
        <f aca="false">U84+V84</f>
        <v>600</v>
      </c>
    </row>
    <row r="85" customFormat="false" ht="15" hidden="false" customHeight="false" outlineLevel="0" collapsed="false">
      <c r="A85" s="3" t="s">
        <v>3304</v>
      </c>
      <c r="B85" s="3" t="s">
        <v>3289</v>
      </c>
      <c r="C85" s="3" t="s">
        <v>1108</v>
      </c>
      <c r="D85" s="3" t="s">
        <v>81</v>
      </c>
      <c r="E85" s="13" t="n">
        <v>805000</v>
      </c>
      <c r="F85" s="13" t="n">
        <v>9616.74</v>
      </c>
      <c r="G85" s="13" t="n">
        <v>1202.09</v>
      </c>
      <c r="H85" s="13" t="n">
        <v>1202.09</v>
      </c>
      <c r="I85" s="13" t="n">
        <f aca="false">SUM(K85:T85)</f>
        <v>7212.6</v>
      </c>
      <c r="J85" s="13" t="n">
        <f aca="false">F85-(G85+H85+I85)</f>
        <v>-0.0400000000008731</v>
      </c>
      <c r="K85" s="13" t="n">
        <v>721.26</v>
      </c>
      <c r="L85" s="13" t="n">
        <v>721.26</v>
      </c>
      <c r="M85" s="13" t="n">
        <v>721.26</v>
      </c>
      <c r="N85" s="13" t="n">
        <v>721.26</v>
      </c>
      <c r="O85" s="13" t="n">
        <v>721.26</v>
      </c>
      <c r="P85" s="13" t="n">
        <v>721.26</v>
      </c>
      <c r="Q85" s="13" t="n">
        <v>721.26</v>
      </c>
      <c r="R85" s="13" t="n">
        <v>721.26</v>
      </c>
      <c r="S85" s="13" t="n">
        <v>721.26</v>
      </c>
      <c r="T85" s="13" t="n">
        <v>721.26</v>
      </c>
      <c r="U85" s="13" t="n">
        <v>350</v>
      </c>
      <c r="V85" s="13" t="n">
        <v>0</v>
      </c>
      <c r="W85" s="13" t="n">
        <f aca="false">U85+V85</f>
        <v>350</v>
      </c>
    </row>
    <row r="86" customFormat="false" ht="15" hidden="false" customHeight="false" outlineLevel="0" collapsed="false">
      <c r="A86" s="14" t="s">
        <v>3305</v>
      </c>
      <c r="B86" s="14" t="s">
        <v>3203</v>
      </c>
      <c r="C86" s="14" t="s">
        <v>318</v>
      </c>
      <c r="D86" s="14" t="s">
        <v>138</v>
      </c>
      <c r="E86" s="15" t="n">
        <v>690000</v>
      </c>
      <c r="F86" s="15" t="n">
        <v>10823.79</v>
      </c>
      <c r="G86" s="15" t="n">
        <v>1352.97</v>
      </c>
      <c r="H86" s="15" t="n">
        <v>1352.97</v>
      </c>
      <c r="I86" s="15" t="n">
        <f aca="false">SUM(K86:T86)</f>
        <v>8117.8</v>
      </c>
      <c r="J86" s="15" t="n">
        <f aca="false">F86-(G86+H86+I86)</f>
        <v>0.0500000000010914</v>
      </c>
      <c r="K86" s="15" t="n">
        <v>811.78</v>
      </c>
      <c r="L86" s="15" t="n">
        <v>811.78</v>
      </c>
      <c r="M86" s="15" t="n">
        <v>811.78</v>
      </c>
      <c r="N86" s="15" t="n">
        <v>811.78</v>
      </c>
      <c r="O86" s="15" t="n">
        <v>811.78</v>
      </c>
      <c r="P86" s="15" t="n">
        <v>811.78</v>
      </c>
      <c r="Q86" s="15" t="n">
        <v>811.78</v>
      </c>
      <c r="R86" s="15" t="n">
        <v>811.78</v>
      </c>
      <c r="S86" s="15" t="n">
        <v>811.78</v>
      </c>
      <c r="T86" s="15" t="n">
        <v>811.78</v>
      </c>
      <c r="U86" s="15" t="n">
        <v>350</v>
      </c>
      <c r="V86" s="15" t="n">
        <v>0</v>
      </c>
      <c r="W86" s="15" t="n">
        <f aca="false">U86+V86</f>
        <v>350</v>
      </c>
    </row>
    <row r="87" customFormat="false" ht="15" hidden="false" customHeight="false" outlineLevel="0" collapsed="false">
      <c r="A87" s="3" t="s">
        <v>3306</v>
      </c>
      <c r="B87" s="3" t="s">
        <v>3197</v>
      </c>
      <c r="C87" s="3" t="s">
        <v>333</v>
      </c>
      <c r="D87" s="3" t="s">
        <v>430</v>
      </c>
      <c r="E87" s="13" t="n">
        <v>845000</v>
      </c>
      <c r="F87" s="13" t="n">
        <v>9369.04</v>
      </c>
      <c r="G87" s="13" t="n">
        <v>1171.13</v>
      </c>
      <c r="H87" s="13" t="n">
        <v>1171.13</v>
      </c>
      <c r="I87" s="13" t="n">
        <f aca="false">SUM(K87:T87)</f>
        <v>7026.8</v>
      </c>
      <c r="J87" s="13" t="n">
        <f aca="false">F87-(G87+H87+I87)</f>
        <v>-0.0200000000004366</v>
      </c>
      <c r="K87" s="13" t="n">
        <v>702.68</v>
      </c>
      <c r="L87" s="13" t="n">
        <v>702.68</v>
      </c>
      <c r="M87" s="13" t="n">
        <v>702.68</v>
      </c>
      <c r="N87" s="13" t="n">
        <v>702.68</v>
      </c>
      <c r="O87" s="13" t="n">
        <v>702.68</v>
      </c>
      <c r="P87" s="13" t="n">
        <v>702.68</v>
      </c>
      <c r="Q87" s="13" t="n">
        <v>702.68</v>
      </c>
      <c r="R87" s="13" t="n">
        <v>702.68</v>
      </c>
      <c r="S87" s="13" t="n">
        <v>702.68</v>
      </c>
      <c r="T87" s="13" t="n">
        <v>702.68</v>
      </c>
      <c r="U87" s="13" t="n">
        <v>350</v>
      </c>
      <c r="V87" s="13" t="n">
        <v>0</v>
      </c>
      <c r="W87" s="13" t="n">
        <f aca="false">U87+V87</f>
        <v>350</v>
      </c>
    </row>
    <row r="88" customFormat="false" ht="15" hidden="false" customHeight="false" outlineLevel="0" collapsed="false">
      <c r="A88" s="14" t="s">
        <v>3307</v>
      </c>
      <c r="B88" s="14" t="s">
        <v>3203</v>
      </c>
      <c r="C88" s="14" t="s">
        <v>523</v>
      </c>
      <c r="D88" s="14" t="s">
        <v>81</v>
      </c>
      <c r="E88" s="15" t="n">
        <v>1345000</v>
      </c>
      <c r="F88" s="15" t="n">
        <v>13595.77</v>
      </c>
      <c r="G88" s="15" t="n">
        <v>1699.47</v>
      </c>
      <c r="H88" s="15" t="n">
        <v>1699.47</v>
      </c>
      <c r="I88" s="15" t="n">
        <f aca="false">SUM(K88:T88)</f>
        <v>10196.8</v>
      </c>
      <c r="J88" s="15" t="n">
        <f aca="false">F88-(G88+H88+I88)</f>
        <v>0.0300000000006548</v>
      </c>
      <c r="K88" s="15" t="n">
        <v>1019.68</v>
      </c>
      <c r="L88" s="15" t="n">
        <v>1019.68</v>
      </c>
      <c r="M88" s="15" t="n">
        <v>1019.68</v>
      </c>
      <c r="N88" s="15" t="n">
        <v>1019.68</v>
      </c>
      <c r="O88" s="15" t="n">
        <v>1019.68</v>
      </c>
      <c r="P88" s="15" t="n">
        <v>1019.68</v>
      </c>
      <c r="Q88" s="15" t="n">
        <v>1019.68</v>
      </c>
      <c r="R88" s="15" t="n">
        <v>1019.68</v>
      </c>
      <c r="S88" s="15" t="n">
        <v>1019.68</v>
      </c>
      <c r="T88" s="15" t="n">
        <v>1019.68</v>
      </c>
      <c r="U88" s="15" t="n">
        <v>350</v>
      </c>
      <c r="V88" s="15" t="n">
        <v>250</v>
      </c>
      <c r="W88" s="15" t="n">
        <f aca="false">U88+V88</f>
        <v>600</v>
      </c>
    </row>
    <row r="89" customFormat="false" ht="15" hidden="false" customHeight="false" outlineLevel="0" collapsed="false">
      <c r="A89" s="3" t="s">
        <v>3308</v>
      </c>
      <c r="B89" s="3" t="s">
        <v>3205</v>
      </c>
      <c r="C89" s="3" t="s">
        <v>316</v>
      </c>
      <c r="D89" s="3" t="s">
        <v>163</v>
      </c>
      <c r="E89" s="13" t="n">
        <v>1795000</v>
      </c>
      <c r="F89" s="13" t="n">
        <v>14458.93</v>
      </c>
      <c r="G89" s="13" t="n">
        <v>1807.37</v>
      </c>
      <c r="H89" s="13" t="n">
        <v>1807.37</v>
      </c>
      <c r="I89" s="13" t="n">
        <f aca="false">SUM(K89:T89)</f>
        <v>10844.2</v>
      </c>
      <c r="J89" s="13" t="n">
        <f aca="false">F89-(G89+H89+I89)</f>
        <v>-0.0100000000002183</v>
      </c>
      <c r="K89" s="13" t="n">
        <v>1084.42</v>
      </c>
      <c r="L89" s="13" t="n">
        <v>1084.42</v>
      </c>
      <c r="M89" s="13" t="n">
        <v>1084.42</v>
      </c>
      <c r="N89" s="13" t="n">
        <v>1084.42</v>
      </c>
      <c r="O89" s="13" t="n">
        <v>1084.42</v>
      </c>
      <c r="P89" s="13" t="n">
        <v>1084.42</v>
      </c>
      <c r="Q89" s="13" t="n">
        <v>1084.42</v>
      </c>
      <c r="R89" s="13" t="n">
        <v>1084.42</v>
      </c>
      <c r="S89" s="13" t="n">
        <v>1084.42</v>
      </c>
      <c r="T89" s="13" t="n">
        <v>1084.42</v>
      </c>
      <c r="U89" s="13" t="n">
        <v>350</v>
      </c>
      <c r="V89" s="13" t="n">
        <v>250</v>
      </c>
      <c r="W89" s="13" t="n">
        <f aca="false">U89+V89</f>
        <v>600</v>
      </c>
    </row>
    <row r="90" customFormat="false" ht="15" hidden="false" customHeight="false" outlineLevel="0" collapsed="false">
      <c r="A90" s="14" t="s">
        <v>3309</v>
      </c>
      <c r="B90" s="14" t="s">
        <v>3248</v>
      </c>
      <c r="C90" s="14" t="s">
        <v>143</v>
      </c>
      <c r="D90" s="14" t="s">
        <v>138</v>
      </c>
      <c r="E90" s="15" t="n">
        <v>315000</v>
      </c>
      <c r="F90" s="15" t="n">
        <v>3901.02</v>
      </c>
      <c r="G90" s="15" t="n">
        <v>487.63</v>
      </c>
      <c r="H90" s="15" t="n">
        <v>487.63</v>
      </c>
      <c r="I90" s="15" t="n">
        <f aca="false">SUM(K90:T90)</f>
        <v>2925.8</v>
      </c>
      <c r="J90" s="15" t="n">
        <f aca="false">F90-(G90+H90+I90)</f>
        <v>-0.0399999999995089</v>
      </c>
      <c r="K90" s="15" t="n">
        <v>292.58</v>
      </c>
      <c r="L90" s="15" t="n">
        <v>292.58</v>
      </c>
      <c r="M90" s="15" t="n">
        <v>292.58</v>
      </c>
      <c r="N90" s="15" t="n">
        <v>292.58</v>
      </c>
      <c r="O90" s="15" t="n">
        <v>292.58</v>
      </c>
      <c r="P90" s="15" t="n">
        <v>292.58</v>
      </c>
      <c r="Q90" s="15" t="n">
        <v>292.58</v>
      </c>
      <c r="R90" s="15" t="n">
        <v>292.58</v>
      </c>
      <c r="S90" s="15" t="n">
        <v>292.58</v>
      </c>
      <c r="T90" s="15" t="n">
        <v>292.58</v>
      </c>
      <c r="U90" s="15" t="n">
        <v>350</v>
      </c>
      <c r="V90" s="15" t="n">
        <v>0</v>
      </c>
      <c r="W90" s="15" t="n">
        <f aca="false">U90+V90</f>
        <v>350</v>
      </c>
    </row>
    <row r="91" customFormat="false" ht="15" hidden="false" customHeight="false" outlineLevel="0" collapsed="false">
      <c r="A91" s="3" t="s">
        <v>3310</v>
      </c>
      <c r="B91" s="3" t="s">
        <v>3213</v>
      </c>
      <c r="C91" s="3" t="s">
        <v>900</v>
      </c>
      <c r="D91" s="3" t="s">
        <v>328</v>
      </c>
      <c r="E91" s="13" t="n">
        <v>820000</v>
      </c>
      <c r="F91" s="13" t="n">
        <v>9948.99</v>
      </c>
      <c r="G91" s="13" t="n">
        <v>1243.62</v>
      </c>
      <c r="H91" s="13" t="n">
        <v>1243.62</v>
      </c>
      <c r="I91" s="13" t="n">
        <f aca="false">SUM(K91:T91)</f>
        <v>7461.7</v>
      </c>
      <c r="J91" s="13" t="n">
        <f aca="false">F91-(G91+H91+I91)</f>
        <v>0.0500000000010914</v>
      </c>
      <c r="K91" s="13" t="n">
        <v>746.17</v>
      </c>
      <c r="L91" s="13" t="n">
        <v>746.17</v>
      </c>
      <c r="M91" s="13" t="n">
        <v>746.17</v>
      </c>
      <c r="N91" s="13" t="n">
        <v>746.17</v>
      </c>
      <c r="O91" s="13" t="n">
        <v>746.17</v>
      </c>
      <c r="P91" s="13" t="n">
        <v>746.17</v>
      </c>
      <c r="Q91" s="13" t="n">
        <v>746.17</v>
      </c>
      <c r="R91" s="13" t="n">
        <v>746.17</v>
      </c>
      <c r="S91" s="13" t="n">
        <v>746.17</v>
      </c>
      <c r="T91" s="13" t="n">
        <v>746.17</v>
      </c>
      <c r="U91" s="13" t="n">
        <v>350</v>
      </c>
      <c r="V91" s="13" t="n">
        <v>0</v>
      </c>
      <c r="W91" s="13" t="n">
        <f aca="false">U91+V91</f>
        <v>350</v>
      </c>
    </row>
    <row r="92" customFormat="false" ht="15" hidden="false" customHeight="false" outlineLevel="0" collapsed="false">
      <c r="A92" s="14" t="s">
        <v>3311</v>
      </c>
      <c r="B92" s="14" t="s">
        <v>3312</v>
      </c>
      <c r="C92" s="14" t="s">
        <v>1010</v>
      </c>
      <c r="D92" s="14" t="s">
        <v>382</v>
      </c>
      <c r="E92" s="15" t="n">
        <v>565000</v>
      </c>
      <c r="F92" s="15" t="n">
        <v>5905.93</v>
      </c>
      <c r="G92" s="15" t="n">
        <v>738.24</v>
      </c>
      <c r="H92" s="15" t="n">
        <v>738.24</v>
      </c>
      <c r="I92" s="15" t="n">
        <f aca="false">SUM(K92:T92)</f>
        <v>4429.4</v>
      </c>
      <c r="J92" s="15" t="n">
        <f aca="false">F92-(G92+H92+I92)</f>
        <v>0.0500000000010914</v>
      </c>
      <c r="K92" s="15" t="n">
        <v>442.94</v>
      </c>
      <c r="L92" s="15" t="n">
        <v>442.94</v>
      </c>
      <c r="M92" s="15" t="n">
        <v>442.94</v>
      </c>
      <c r="N92" s="15" t="n">
        <v>442.94</v>
      </c>
      <c r="O92" s="15" t="n">
        <v>442.94</v>
      </c>
      <c r="P92" s="15" t="n">
        <v>442.94</v>
      </c>
      <c r="Q92" s="15" t="n">
        <v>442.94</v>
      </c>
      <c r="R92" s="15" t="n">
        <v>442.94</v>
      </c>
      <c r="S92" s="15" t="n">
        <v>442.94</v>
      </c>
      <c r="T92" s="15" t="n">
        <v>442.94</v>
      </c>
      <c r="U92" s="15" t="n">
        <v>350</v>
      </c>
      <c r="V92" s="15" t="n">
        <v>0</v>
      </c>
      <c r="W92" s="15" t="n">
        <f aca="false">U92+V92</f>
        <v>350</v>
      </c>
    </row>
    <row r="93" customFormat="false" ht="15" hidden="false" customHeight="false" outlineLevel="0" collapsed="false">
      <c r="A93" s="3" t="s">
        <v>3313</v>
      </c>
      <c r="B93" s="3" t="s">
        <v>3211</v>
      </c>
      <c r="C93" s="3" t="s">
        <v>565</v>
      </c>
      <c r="D93" s="3" t="s">
        <v>118</v>
      </c>
      <c r="E93" s="13" t="n">
        <v>565000</v>
      </c>
      <c r="F93" s="13" t="n">
        <v>6485.98</v>
      </c>
      <c r="G93" s="13" t="n">
        <v>810.75</v>
      </c>
      <c r="H93" s="13" t="n">
        <v>810.75</v>
      </c>
      <c r="I93" s="13" t="n">
        <f aca="false">SUM(K93:T93)</f>
        <v>4864.5</v>
      </c>
      <c r="J93" s="13" t="n">
        <f aca="false">F93-(G93+H93+I93)</f>
        <v>-0.0200000000004366</v>
      </c>
      <c r="K93" s="13" t="n">
        <v>486.45</v>
      </c>
      <c r="L93" s="13" t="n">
        <v>486.45</v>
      </c>
      <c r="M93" s="13" t="n">
        <v>486.45</v>
      </c>
      <c r="N93" s="13" t="n">
        <v>486.45</v>
      </c>
      <c r="O93" s="13" t="n">
        <v>486.45</v>
      </c>
      <c r="P93" s="13" t="n">
        <v>486.45</v>
      </c>
      <c r="Q93" s="13" t="n">
        <v>486.45</v>
      </c>
      <c r="R93" s="13" t="n">
        <v>486.45</v>
      </c>
      <c r="S93" s="13" t="n">
        <v>486.45</v>
      </c>
      <c r="T93" s="13" t="n">
        <v>486.45</v>
      </c>
      <c r="U93" s="13" t="n">
        <v>350</v>
      </c>
      <c r="V93" s="13" t="n">
        <v>0</v>
      </c>
      <c r="W93" s="13" t="n">
        <f aca="false">U93+V93</f>
        <v>350</v>
      </c>
    </row>
    <row r="94" customFormat="false" ht="15" hidden="false" customHeight="false" outlineLevel="0" collapsed="false">
      <c r="A94" s="14" t="s">
        <v>3314</v>
      </c>
      <c r="B94" s="14" t="s">
        <v>3221</v>
      </c>
      <c r="C94" s="14" t="s">
        <v>2313</v>
      </c>
      <c r="D94" s="14" t="s">
        <v>448</v>
      </c>
      <c r="E94" s="15" t="n">
        <v>425000</v>
      </c>
      <c r="F94" s="15" t="n">
        <v>4851.38</v>
      </c>
      <c r="G94" s="15" t="n">
        <v>606.42</v>
      </c>
      <c r="H94" s="15" t="n">
        <v>606.42</v>
      </c>
      <c r="I94" s="15" t="n">
        <f aca="false">SUM(K94:T94)</f>
        <v>3638.5</v>
      </c>
      <c r="J94" s="15" t="n">
        <f aca="false">F94-(G94+H94+I94)</f>
        <v>0.0399999999999636</v>
      </c>
      <c r="K94" s="15" t="n">
        <v>363.85</v>
      </c>
      <c r="L94" s="15" t="n">
        <v>363.85</v>
      </c>
      <c r="M94" s="15" t="n">
        <v>363.85</v>
      </c>
      <c r="N94" s="15" t="n">
        <v>363.85</v>
      </c>
      <c r="O94" s="15" t="n">
        <v>363.85</v>
      </c>
      <c r="P94" s="15" t="n">
        <v>363.85</v>
      </c>
      <c r="Q94" s="15" t="n">
        <v>363.85</v>
      </c>
      <c r="R94" s="15" t="n">
        <v>363.85</v>
      </c>
      <c r="S94" s="15" t="n">
        <v>363.85</v>
      </c>
      <c r="T94" s="15" t="n">
        <v>363.85</v>
      </c>
      <c r="U94" s="15" t="n">
        <v>350</v>
      </c>
      <c r="V94" s="15" t="n">
        <v>0</v>
      </c>
      <c r="W94" s="15" t="n">
        <f aca="false">U94+V94</f>
        <v>350</v>
      </c>
    </row>
    <row r="95" customFormat="false" ht="15" hidden="false" customHeight="false" outlineLevel="0" collapsed="false">
      <c r="A95" s="3" t="s">
        <v>3315</v>
      </c>
      <c r="B95" s="3" t="s">
        <v>3223</v>
      </c>
      <c r="C95" s="3" t="s">
        <v>1437</v>
      </c>
      <c r="D95" s="3" t="s">
        <v>185</v>
      </c>
      <c r="E95" s="13" t="n">
        <v>560000</v>
      </c>
      <c r="F95" s="13" t="n">
        <v>5278.75</v>
      </c>
      <c r="G95" s="13" t="n">
        <v>659.84</v>
      </c>
      <c r="H95" s="13" t="n">
        <v>659.84</v>
      </c>
      <c r="I95" s="13" t="n">
        <f aca="false">SUM(K95:T95)</f>
        <v>3959.1</v>
      </c>
      <c r="J95" s="13" t="n">
        <f aca="false">F95-(G95+H95+I95)</f>
        <v>-0.0299999999997453</v>
      </c>
      <c r="K95" s="13" t="n">
        <v>395.91</v>
      </c>
      <c r="L95" s="13" t="n">
        <v>395.91</v>
      </c>
      <c r="M95" s="13" t="n">
        <v>395.91</v>
      </c>
      <c r="N95" s="13" t="n">
        <v>395.91</v>
      </c>
      <c r="O95" s="13" t="n">
        <v>395.91</v>
      </c>
      <c r="P95" s="13" t="n">
        <v>395.91</v>
      </c>
      <c r="Q95" s="13" t="n">
        <v>395.91</v>
      </c>
      <c r="R95" s="13" t="n">
        <v>395.91</v>
      </c>
      <c r="S95" s="13" t="n">
        <v>395.91</v>
      </c>
      <c r="T95" s="13" t="n">
        <v>395.91</v>
      </c>
      <c r="U95" s="13" t="n">
        <v>350</v>
      </c>
      <c r="V95" s="13" t="n">
        <v>0</v>
      </c>
      <c r="W95" s="13" t="n">
        <f aca="false">U95+V95</f>
        <v>350</v>
      </c>
    </row>
    <row r="96" customFormat="false" ht="15" hidden="false" customHeight="false" outlineLevel="0" collapsed="false">
      <c r="A96" s="14" t="s">
        <v>3316</v>
      </c>
      <c r="B96" s="14" t="s">
        <v>3312</v>
      </c>
      <c r="C96" s="14" t="s">
        <v>1638</v>
      </c>
      <c r="D96" s="14" t="s">
        <v>185</v>
      </c>
      <c r="E96" s="15" t="n">
        <v>450000</v>
      </c>
      <c r="F96" s="15" t="n">
        <v>4894.45</v>
      </c>
      <c r="G96" s="15" t="n">
        <v>611.81</v>
      </c>
      <c r="H96" s="15" t="n">
        <v>611.81</v>
      </c>
      <c r="I96" s="15" t="n">
        <f aca="false">SUM(K96:T96)</f>
        <v>3670.8</v>
      </c>
      <c r="J96" s="15" t="n">
        <f aca="false">F96-(G96+H96+I96)</f>
        <v>0.0299999999997453</v>
      </c>
      <c r="K96" s="15" t="n">
        <v>367.08</v>
      </c>
      <c r="L96" s="15" t="n">
        <v>367.08</v>
      </c>
      <c r="M96" s="15" t="n">
        <v>367.08</v>
      </c>
      <c r="N96" s="15" t="n">
        <v>367.08</v>
      </c>
      <c r="O96" s="15" t="n">
        <v>367.08</v>
      </c>
      <c r="P96" s="15" t="n">
        <v>367.08</v>
      </c>
      <c r="Q96" s="15" t="n">
        <v>367.08</v>
      </c>
      <c r="R96" s="15" t="n">
        <v>367.08</v>
      </c>
      <c r="S96" s="15" t="n">
        <v>367.08</v>
      </c>
      <c r="T96" s="15" t="n">
        <v>367.08</v>
      </c>
      <c r="U96" s="15" t="n">
        <v>350</v>
      </c>
      <c r="V96" s="15" t="n">
        <v>0</v>
      </c>
      <c r="W96" s="15" t="n">
        <f aca="false">U96+V96</f>
        <v>350</v>
      </c>
    </row>
    <row r="97" customFormat="false" ht="15" hidden="false" customHeight="false" outlineLevel="0" collapsed="false">
      <c r="A97" s="3" t="s">
        <v>3317</v>
      </c>
      <c r="B97" s="3" t="s">
        <v>3289</v>
      </c>
      <c r="C97" s="3" t="s">
        <v>533</v>
      </c>
      <c r="D97" s="3" t="s">
        <v>222</v>
      </c>
      <c r="E97" s="13" t="n">
        <v>530000</v>
      </c>
      <c r="F97" s="13" t="n">
        <v>7952.45</v>
      </c>
      <c r="G97" s="13" t="n">
        <v>994.06</v>
      </c>
      <c r="H97" s="13" t="n">
        <v>994.06</v>
      </c>
      <c r="I97" s="13" t="n">
        <f aca="false">SUM(K97:T97)</f>
        <v>5964.3</v>
      </c>
      <c r="J97" s="13" t="n">
        <f aca="false">F97-(G97+H97+I97)</f>
        <v>0.0299999999997453</v>
      </c>
      <c r="K97" s="13" t="n">
        <v>596.43</v>
      </c>
      <c r="L97" s="13" t="n">
        <v>596.43</v>
      </c>
      <c r="M97" s="13" t="n">
        <v>596.43</v>
      </c>
      <c r="N97" s="13" t="n">
        <v>596.43</v>
      </c>
      <c r="O97" s="13" t="n">
        <v>596.43</v>
      </c>
      <c r="P97" s="13" t="n">
        <v>596.43</v>
      </c>
      <c r="Q97" s="13" t="n">
        <v>596.43</v>
      </c>
      <c r="R97" s="13" t="n">
        <v>596.43</v>
      </c>
      <c r="S97" s="13" t="n">
        <v>596.43</v>
      </c>
      <c r="T97" s="13" t="n">
        <v>596.43</v>
      </c>
      <c r="U97" s="13" t="n">
        <v>350</v>
      </c>
      <c r="V97" s="13" t="n">
        <v>0</v>
      </c>
      <c r="W97" s="13" t="n">
        <f aca="false">U97+V97</f>
        <v>350</v>
      </c>
    </row>
    <row r="98" customFormat="false" ht="15" hidden="false" customHeight="false" outlineLevel="0" collapsed="false">
      <c r="A98" s="14" t="s">
        <v>3318</v>
      </c>
      <c r="B98" s="14" t="s">
        <v>3208</v>
      </c>
      <c r="C98" s="14" t="s">
        <v>1299</v>
      </c>
      <c r="D98" s="14" t="s">
        <v>279</v>
      </c>
      <c r="E98" s="15" t="n">
        <v>815000</v>
      </c>
      <c r="F98" s="15" t="n">
        <v>4579.06</v>
      </c>
      <c r="G98" s="15" t="n">
        <v>572.38</v>
      </c>
      <c r="H98" s="15" t="n">
        <v>572.38</v>
      </c>
      <c r="I98" s="15" t="n">
        <f aca="false">SUM(K98:T98)</f>
        <v>3434.3</v>
      </c>
      <c r="J98" s="15" t="n">
        <f aca="false">F98-(G98+H98+I98)</f>
        <v>0</v>
      </c>
      <c r="K98" s="15" t="n">
        <v>343.43</v>
      </c>
      <c r="L98" s="15" t="n">
        <v>343.43</v>
      </c>
      <c r="M98" s="15" t="n">
        <v>343.43</v>
      </c>
      <c r="N98" s="15" t="n">
        <v>343.43</v>
      </c>
      <c r="O98" s="15" t="n">
        <v>343.43</v>
      </c>
      <c r="P98" s="15" t="n">
        <v>343.43</v>
      </c>
      <c r="Q98" s="15" t="n">
        <v>343.43</v>
      </c>
      <c r="R98" s="15" t="n">
        <v>343.43</v>
      </c>
      <c r="S98" s="15" t="n">
        <v>343.43</v>
      </c>
      <c r="T98" s="15" t="n">
        <v>343.43</v>
      </c>
      <c r="U98" s="15" t="n">
        <v>350</v>
      </c>
      <c r="V98" s="15" t="n">
        <v>0</v>
      </c>
      <c r="W98" s="15" t="n">
        <f aca="false">U98+V98</f>
        <v>350</v>
      </c>
    </row>
    <row r="99" customFormat="false" ht="15" hidden="false" customHeight="false" outlineLevel="0" collapsed="false">
      <c r="A99" s="3" t="s">
        <v>3319</v>
      </c>
      <c r="B99" s="3" t="s">
        <v>3239</v>
      </c>
      <c r="C99" s="3" t="s">
        <v>454</v>
      </c>
      <c r="D99" s="3" t="s">
        <v>203</v>
      </c>
      <c r="E99" s="13" t="n">
        <v>630000</v>
      </c>
      <c r="F99" s="13" t="n">
        <v>6702.97</v>
      </c>
      <c r="G99" s="13" t="n">
        <v>837.87</v>
      </c>
      <c r="H99" s="13" t="n">
        <v>837.87</v>
      </c>
      <c r="I99" s="13" t="n">
        <f aca="false">SUM(K99:T99)</f>
        <v>5027.2</v>
      </c>
      <c r="J99" s="13" t="n">
        <f aca="false">F99-(G99+H99+I99)</f>
        <v>0.0299999999997453</v>
      </c>
      <c r="K99" s="13" t="n">
        <v>502.72</v>
      </c>
      <c r="L99" s="13" t="n">
        <v>502.72</v>
      </c>
      <c r="M99" s="13" t="n">
        <v>502.72</v>
      </c>
      <c r="N99" s="13" t="n">
        <v>502.72</v>
      </c>
      <c r="O99" s="13" t="n">
        <v>502.72</v>
      </c>
      <c r="P99" s="13" t="n">
        <v>502.72</v>
      </c>
      <c r="Q99" s="13" t="n">
        <v>502.72</v>
      </c>
      <c r="R99" s="13" t="n">
        <v>502.72</v>
      </c>
      <c r="S99" s="13" t="n">
        <v>502.72</v>
      </c>
      <c r="T99" s="13" t="n">
        <v>502.72</v>
      </c>
      <c r="U99" s="13" t="n">
        <v>350</v>
      </c>
      <c r="V99" s="13" t="n">
        <v>0</v>
      </c>
      <c r="W99" s="13" t="n">
        <f aca="false">U99+V99</f>
        <v>350</v>
      </c>
    </row>
    <row r="100" customFormat="false" ht="15" hidden="false" customHeight="false" outlineLevel="0" collapsed="false">
      <c r="A100" s="14" t="s">
        <v>3320</v>
      </c>
      <c r="B100" s="14" t="s">
        <v>3221</v>
      </c>
      <c r="C100" s="14" t="s">
        <v>755</v>
      </c>
      <c r="D100" s="14" t="s">
        <v>89</v>
      </c>
      <c r="E100" s="15" t="n">
        <v>1435000</v>
      </c>
      <c r="F100" s="15" t="n">
        <v>22252.79</v>
      </c>
      <c r="G100" s="15" t="n">
        <v>2781.6</v>
      </c>
      <c r="H100" s="15" t="n">
        <v>2781.6</v>
      </c>
      <c r="I100" s="15" t="n">
        <f aca="false">SUM(K100:T100)</f>
        <v>16689.6</v>
      </c>
      <c r="J100" s="15" t="n">
        <f aca="false">F100-(G100+H100+I100)</f>
        <v>-0.00999999999839929</v>
      </c>
      <c r="K100" s="15" t="n">
        <v>1668.96</v>
      </c>
      <c r="L100" s="15" t="n">
        <v>1668.96</v>
      </c>
      <c r="M100" s="15" t="n">
        <v>1668.96</v>
      </c>
      <c r="N100" s="15" t="n">
        <v>1668.96</v>
      </c>
      <c r="O100" s="15" t="n">
        <v>1668.96</v>
      </c>
      <c r="P100" s="15" t="n">
        <v>1668.96</v>
      </c>
      <c r="Q100" s="15" t="n">
        <v>1668.96</v>
      </c>
      <c r="R100" s="15" t="n">
        <v>1668.96</v>
      </c>
      <c r="S100" s="15" t="n">
        <v>1668.96</v>
      </c>
      <c r="T100" s="15" t="n">
        <v>1668.96</v>
      </c>
      <c r="U100" s="15" t="n">
        <v>350</v>
      </c>
      <c r="V100" s="15" t="n">
        <v>250</v>
      </c>
      <c r="W100" s="15" t="n">
        <f aca="false">U100+V100</f>
        <v>600</v>
      </c>
    </row>
    <row r="101" customFormat="false" ht="15" hidden="false" customHeight="false" outlineLevel="0" collapsed="false">
      <c r="A101" s="3" t="s">
        <v>3321</v>
      </c>
      <c r="B101" s="3" t="s">
        <v>3199</v>
      </c>
      <c r="C101" s="3" t="s">
        <v>2470</v>
      </c>
      <c r="D101" s="3" t="s">
        <v>185</v>
      </c>
      <c r="E101" s="13" t="n">
        <v>825000</v>
      </c>
      <c r="F101" s="13" t="n">
        <v>7776.74</v>
      </c>
      <c r="G101" s="13" t="n">
        <v>972.09</v>
      </c>
      <c r="H101" s="13" t="n">
        <v>972.09</v>
      </c>
      <c r="I101" s="13" t="n">
        <f aca="false">SUM(K101:T101)</f>
        <v>5832.6</v>
      </c>
      <c r="J101" s="13" t="n">
        <f aca="false">F101-(G101+H101+I101)</f>
        <v>-0.0400000000008731</v>
      </c>
      <c r="K101" s="13" t="n">
        <v>583.26</v>
      </c>
      <c r="L101" s="13" t="n">
        <v>583.26</v>
      </c>
      <c r="M101" s="13" t="n">
        <v>583.26</v>
      </c>
      <c r="N101" s="13" t="n">
        <v>583.26</v>
      </c>
      <c r="O101" s="13" t="n">
        <v>583.26</v>
      </c>
      <c r="P101" s="13" t="n">
        <v>583.26</v>
      </c>
      <c r="Q101" s="13" t="n">
        <v>583.26</v>
      </c>
      <c r="R101" s="13" t="n">
        <v>583.26</v>
      </c>
      <c r="S101" s="13" t="n">
        <v>583.26</v>
      </c>
      <c r="T101" s="13" t="n">
        <v>583.26</v>
      </c>
      <c r="U101" s="13" t="n">
        <v>350</v>
      </c>
      <c r="V101" s="13" t="n">
        <v>0</v>
      </c>
      <c r="W101" s="13" t="n">
        <f aca="false">U101+V101</f>
        <v>350</v>
      </c>
    </row>
    <row r="102" customFormat="false" ht="15" hidden="false" customHeight="false" outlineLevel="0" collapsed="false">
      <c r="A102" s="14" t="s">
        <v>3322</v>
      </c>
      <c r="B102" s="14" t="s">
        <v>3235</v>
      </c>
      <c r="C102" s="14" t="s">
        <v>1381</v>
      </c>
      <c r="D102" s="14" t="s">
        <v>298</v>
      </c>
      <c r="E102" s="15" t="n">
        <v>1325000</v>
      </c>
      <c r="F102" s="15" t="n">
        <v>13184.33</v>
      </c>
      <c r="G102" s="15" t="n">
        <v>1648.04</v>
      </c>
      <c r="H102" s="15" t="n">
        <v>1648.04</v>
      </c>
      <c r="I102" s="15" t="n">
        <f aca="false">SUM(K102:T102)</f>
        <v>9888.2</v>
      </c>
      <c r="J102" s="15" t="n">
        <f aca="false">F102-(G102+H102+I102)</f>
        <v>0.0499999999992724</v>
      </c>
      <c r="K102" s="15" t="n">
        <v>988.82</v>
      </c>
      <c r="L102" s="15" t="n">
        <v>988.82</v>
      </c>
      <c r="M102" s="15" t="n">
        <v>988.82</v>
      </c>
      <c r="N102" s="15" t="n">
        <v>988.82</v>
      </c>
      <c r="O102" s="15" t="n">
        <v>988.82</v>
      </c>
      <c r="P102" s="15" t="n">
        <v>988.82</v>
      </c>
      <c r="Q102" s="15" t="n">
        <v>988.82</v>
      </c>
      <c r="R102" s="15" t="n">
        <v>988.82</v>
      </c>
      <c r="S102" s="15" t="n">
        <v>988.82</v>
      </c>
      <c r="T102" s="15" t="n">
        <v>988.82</v>
      </c>
      <c r="U102" s="15" t="n">
        <v>350</v>
      </c>
      <c r="V102" s="15" t="n">
        <v>250</v>
      </c>
      <c r="W102" s="15" t="n">
        <f aca="false">U102+V102</f>
        <v>600</v>
      </c>
    </row>
    <row r="103" customFormat="false" ht="15" hidden="false" customHeight="false" outlineLevel="0" collapsed="false">
      <c r="A103" s="3" t="s">
        <v>3323</v>
      </c>
      <c r="B103" s="3" t="s">
        <v>3225</v>
      </c>
      <c r="C103" s="3" t="s">
        <v>673</v>
      </c>
      <c r="D103" s="3" t="s">
        <v>132</v>
      </c>
      <c r="E103" s="13" t="n">
        <v>320000</v>
      </c>
      <c r="F103" s="13" t="n">
        <v>3446.04</v>
      </c>
      <c r="G103" s="13" t="n">
        <v>430.75</v>
      </c>
      <c r="H103" s="13" t="n">
        <v>430.75</v>
      </c>
      <c r="I103" s="13" t="n">
        <f aca="false">SUM(K103:T103)</f>
        <v>2584.5</v>
      </c>
      <c r="J103" s="13" t="n">
        <f aca="false">F103-(G103+H103+I103)</f>
        <v>0.0400000000004184</v>
      </c>
      <c r="K103" s="13" t="n">
        <v>258.45</v>
      </c>
      <c r="L103" s="13" t="n">
        <v>258.45</v>
      </c>
      <c r="M103" s="13" t="n">
        <v>258.45</v>
      </c>
      <c r="N103" s="13" t="n">
        <v>258.45</v>
      </c>
      <c r="O103" s="13" t="n">
        <v>258.45</v>
      </c>
      <c r="P103" s="13" t="n">
        <v>258.45</v>
      </c>
      <c r="Q103" s="13" t="n">
        <v>258.45</v>
      </c>
      <c r="R103" s="13" t="n">
        <v>258.45</v>
      </c>
      <c r="S103" s="13" t="n">
        <v>258.45</v>
      </c>
      <c r="T103" s="13" t="n">
        <v>258.45</v>
      </c>
      <c r="U103" s="13" t="n">
        <v>350</v>
      </c>
      <c r="V103" s="13" t="n">
        <v>0</v>
      </c>
      <c r="W103" s="13" t="n">
        <f aca="false">U103+V103</f>
        <v>350</v>
      </c>
    </row>
    <row r="104" customFormat="false" ht="15" hidden="false" customHeight="false" outlineLevel="0" collapsed="false">
      <c r="A104" s="14" t="s">
        <v>3324</v>
      </c>
      <c r="B104" s="14" t="s">
        <v>3325</v>
      </c>
      <c r="C104" s="14" t="s">
        <v>292</v>
      </c>
      <c r="D104" s="14" t="s">
        <v>222</v>
      </c>
      <c r="E104" s="15" t="n">
        <v>390000</v>
      </c>
      <c r="F104" s="15" t="n">
        <v>4619.84</v>
      </c>
      <c r="G104" s="15" t="n">
        <v>577.48</v>
      </c>
      <c r="H104" s="15" t="n">
        <v>577.48</v>
      </c>
      <c r="I104" s="15" t="n">
        <f aca="false">SUM(K104:T104)</f>
        <v>3464.9</v>
      </c>
      <c r="J104" s="15" t="n">
        <f aca="false">F104-(G104+H104+I104)</f>
        <v>-0.0199999999995271</v>
      </c>
      <c r="K104" s="15" t="n">
        <v>346.49</v>
      </c>
      <c r="L104" s="15" t="n">
        <v>346.49</v>
      </c>
      <c r="M104" s="15" t="n">
        <v>346.49</v>
      </c>
      <c r="N104" s="15" t="n">
        <v>346.49</v>
      </c>
      <c r="O104" s="15" t="n">
        <v>346.49</v>
      </c>
      <c r="P104" s="15" t="n">
        <v>346.49</v>
      </c>
      <c r="Q104" s="15" t="n">
        <v>346.49</v>
      </c>
      <c r="R104" s="15" t="n">
        <v>346.49</v>
      </c>
      <c r="S104" s="15" t="n">
        <v>346.49</v>
      </c>
      <c r="T104" s="15" t="n">
        <v>346.49</v>
      </c>
      <c r="U104" s="15" t="n">
        <v>350</v>
      </c>
      <c r="V104" s="15" t="n">
        <v>0</v>
      </c>
      <c r="W104" s="15" t="n">
        <f aca="false">U104+V104</f>
        <v>350</v>
      </c>
    </row>
    <row r="105" customFormat="false" ht="15" hidden="false" customHeight="false" outlineLevel="0" collapsed="false">
      <c r="A105" s="3" t="s">
        <v>3326</v>
      </c>
      <c r="B105" s="3" t="s">
        <v>3266</v>
      </c>
      <c r="C105" s="3" t="s">
        <v>2208</v>
      </c>
      <c r="D105" s="3" t="s">
        <v>153</v>
      </c>
      <c r="E105" s="13" t="n">
        <v>665000</v>
      </c>
      <c r="F105" s="13" t="n">
        <v>9620.01</v>
      </c>
      <c r="G105" s="13" t="n">
        <v>1202.5</v>
      </c>
      <c r="H105" s="13" t="n">
        <v>1202.5</v>
      </c>
      <c r="I105" s="13" t="n">
        <f aca="false">SUM(K105:T105)</f>
        <v>7215</v>
      </c>
      <c r="J105" s="13" t="n">
        <f aca="false">F105-(G105+H105+I105)</f>
        <v>0.0100000000002183</v>
      </c>
      <c r="K105" s="13" t="n">
        <v>721.5</v>
      </c>
      <c r="L105" s="13" t="n">
        <v>721.5</v>
      </c>
      <c r="M105" s="13" t="n">
        <v>721.5</v>
      </c>
      <c r="N105" s="13" t="n">
        <v>721.5</v>
      </c>
      <c r="O105" s="13" t="n">
        <v>721.5</v>
      </c>
      <c r="P105" s="13" t="n">
        <v>721.5</v>
      </c>
      <c r="Q105" s="13" t="n">
        <v>721.5</v>
      </c>
      <c r="R105" s="13" t="n">
        <v>721.5</v>
      </c>
      <c r="S105" s="13" t="n">
        <v>721.5</v>
      </c>
      <c r="T105" s="13" t="n">
        <v>721.5</v>
      </c>
      <c r="U105" s="13" t="n">
        <v>350</v>
      </c>
      <c r="V105" s="13" t="n">
        <v>0</v>
      </c>
      <c r="W105" s="13" t="n">
        <f aca="false">U105+V105</f>
        <v>350</v>
      </c>
    </row>
    <row r="106" customFormat="false" ht="15" hidden="false" customHeight="false" outlineLevel="0" collapsed="false">
      <c r="A106" s="14" t="s">
        <v>3327</v>
      </c>
      <c r="B106" s="14" t="s">
        <v>3266</v>
      </c>
      <c r="C106" s="14" t="s">
        <v>896</v>
      </c>
      <c r="D106" s="14" t="s">
        <v>157</v>
      </c>
      <c r="E106" s="15" t="n">
        <v>195000</v>
      </c>
      <c r="F106" s="15" t="n">
        <v>3657.8</v>
      </c>
      <c r="G106" s="15" t="n">
        <v>457.23</v>
      </c>
      <c r="H106" s="15" t="n">
        <v>457.23</v>
      </c>
      <c r="I106" s="15" t="n">
        <f aca="false">SUM(K106:T106)</f>
        <v>2743.3</v>
      </c>
      <c r="J106" s="15" t="n">
        <f aca="false">F106-(G106+H106+I106)</f>
        <v>0.0400000000004184</v>
      </c>
      <c r="K106" s="15" t="n">
        <v>274.33</v>
      </c>
      <c r="L106" s="15" t="n">
        <v>274.33</v>
      </c>
      <c r="M106" s="15" t="n">
        <v>274.33</v>
      </c>
      <c r="N106" s="15" t="n">
        <v>274.33</v>
      </c>
      <c r="O106" s="15" t="n">
        <v>274.33</v>
      </c>
      <c r="P106" s="15" t="n">
        <v>274.33</v>
      </c>
      <c r="Q106" s="15" t="n">
        <v>274.33</v>
      </c>
      <c r="R106" s="15" t="n">
        <v>274.33</v>
      </c>
      <c r="S106" s="15" t="n">
        <v>274.33</v>
      </c>
      <c r="T106" s="15" t="n">
        <v>274.33</v>
      </c>
      <c r="U106" s="15" t="n">
        <v>350</v>
      </c>
      <c r="V106" s="15" t="n">
        <v>0</v>
      </c>
      <c r="W106" s="15" t="n">
        <f aca="false">U106+V106</f>
        <v>350</v>
      </c>
    </row>
    <row r="107" customFormat="false" ht="15" hidden="false" customHeight="false" outlineLevel="0" collapsed="false">
      <c r="A107" s="3" t="s">
        <v>3328</v>
      </c>
      <c r="B107" s="3" t="s">
        <v>3299</v>
      </c>
      <c r="C107" s="3" t="s">
        <v>2276</v>
      </c>
      <c r="D107" s="3" t="s">
        <v>109</v>
      </c>
      <c r="E107" s="13" t="n">
        <v>1575000</v>
      </c>
      <c r="F107" s="13" t="n">
        <v>22614.62</v>
      </c>
      <c r="G107" s="13" t="n">
        <v>2826.83</v>
      </c>
      <c r="H107" s="13" t="n">
        <v>2826.83</v>
      </c>
      <c r="I107" s="13" t="n">
        <f aca="false">SUM(K107:T107)</f>
        <v>16961</v>
      </c>
      <c r="J107" s="13" t="n">
        <f aca="false">F107-(G107+H107+I107)</f>
        <v>-0.0400000000008731</v>
      </c>
      <c r="K107" s="13" t="n">
        <v>1696.1</v>
      </c>
      <c r="L107" s="13" t="n">
        <v>1696.1</v>
      </c>
      <c r="M107" s="13" t="n">
        <v>1696.1</v>
      </c>
      <c r="N107" s="13" t="n">
        <v>1696.1</v>
      </c>
      <c r="O107" s="13" t="n">
        <v>1696.1</v>
      </c>
      <c r="P107" s="13" t="n">
        <v>1696.1</v>
      </c>
      <c r="Q107" s="13" t="n">
        <v>1696.1</v>
      </c>
      <c r="R107" s="13" t="n">
        <v>1696.1</v>
      </c>
      <c r="S107" s="13" t="n">
        <v>1696.1</v>
      </c>
      <c r="T107" s="13" t="n">
        <v>1696.1</v>
      </c>
      <c r="U107" s="13" t="n">
        <v>350</v>
      </c>
      <c r="V107" s="13" t="n">
        <v>250</v>
      </c>
      <c r="W107" s="13" t="n">
        <f aca="false">U107+V107</f>
        <v>600</v>
      </c>
    </row>
    <row r="108" customFormat="false" ht="15" hidden="false" customHeight="false" outlineLevel="0" collapsed="false">
      <c r="A108" s="14" t="s">
        <v>3329</v>
      </c>
      <c r="B108" s="14" t="s">
        <v>3325</v>
      </c>
      <c r="C108" s="14" t="s">
        <v>1603</v>
      </c>
      <c r="D108" s="14" t="s">
        <v>89</v>
      </c>
      <c r="E108" s="15" t="n">
        <v>790000</v>
      </c>
      <c r="F108" s="15" t="n">
        <v>11944.4</v>
      </c>
      <c r="G108" s="15" t="n">
        <v>1493.05</v>
      </c>
      <c r="H108" s="15" t="n">
        <v>1493.05</v>
      </c>
      <c r="I108" s="15" t="n">
        <f aca="false">SUM(K108:T108)</f>
        <v>8958.3</v>
      </c>
      <c r="J108" s="15" t="n">
        <f aca="false">F108-(G108+H108+I108)</f>
        <v>0</v>
      </c>
      <c r="K108" s="15" t="n">
        <v>895.83</v>
      </c>
      <c r="L108" s="15" t="n">
        <v>895.83</v>
      </c>
      <c r="M108" s="15" t="n">
        <v>895.83</v>
      </c>
      <c r="N108" s="15" t="n">
        <v>895.83</v>
      </c>
      <c r="O108" s="15" t="n">
        <v>895.83</v>
      </c>
      <c r="P108" s="15" t="n">
        <v>895.83</v>
      </c>
      <c r="Q108" s="15" t="n">
        <v>895.83</v>
      </c>
      <c r="R108" s="15" t="n">
        <v>895.83</v>
      </c>
      <c r="S108" s="15" t="n">
        <v>895.83</v>
      </c>
      <c r="T108" s="15" t="n">
        <v>895.83</v>
      </c>
      <c r="U108" s="15" t="n">
        <v>350</v>
      </c>
      <c r="V108" s="15" t="n">
        <v>0</v>
      </c>
      <c r="W108" s="15" t="n">
        <f aca="false">U108+V108</f>
        <v>350</v>
      </c>
    </row>
    <row r="109" customFormat="false" ht="15" hidden="false" customHeight="false" outlineLevel="0" collapsed="false">
      <c r="A109" s="3" t="s">
        <v>3330</v>
      </c>
      <c r="B109" s="3" t="s">
        <v>3266</v>
      </c>
      <c r="C109" s="3" t="s">
        <v>2429</v>
      </c>
      <c r="D109" s="3" t="s">
        <v>203</v>
      </c>
      <c r="E109" s="13" t="n">
        <v>1125000</v>
      </c>
      <c r="F109" s="13" t="n">
        <v>10128.12</v>
      </c>
      <c r="G109" s="13" t="n">
        <v>1266.02</v>
      </c>
      <c r="H109" s="13" t="n">
        <v>1266.02</v>
      </c>
      <c r="I109" s="13" t="n">
        <f aca="false">SUM(K109:T109)</f>
        <v>7596.1</v>
      </c>
      <c r="J109" s="13" t="n">
        <f aca="false">F109-(G109+H109+I109)</f>
        <v>-0.0199999999986176</v>
      </c>
      <c r="K109" s="13" t="n">
        <v>759.61</v>
      </c>
      <c r="L109" s="13" t="n">
        <v>759.61</v>
      </c>
      <c r="M109" s="13" t="n">
        <v>759.61</v>
      </c>
      <c r="N109" s="13" t="n">
        <v>759.61</v>
      </c>
      <c r="O109" s="13" t="n">
        <v>759.61</v>
      </c>
      <c r="P109" s="13" t="n">
        <v>759.61</v>
      </c>
      <c r="Q109" s="13" t="n">
        <v>759.61</v>
      </c>
      <c r="R109" s="13" t="n">
        <v>759.61</v>
      </c>
      <c r="S109" s="13" t="n">
        <v>759.61</v>
      </c>
      <c r="T109" s="13" t="n">
        <v>759.61</v>
      </c>
      <c r="U109" s="13" t="n">
        <v>350</v>
      </c>
      <c r="V109" s="13" t="n">
        <v>250</v>
      </c>
      <c r="W109" s="13" t="n">
        <f aca="false">U109+V109</f>
        <v>600</v>
      </c>
    </row>
    <row r="110" customFormat="false" ht="15" hidden="false" customHeight="false" outlineLevel="0" collapsed="false">
      <c r="A110" s="14" t="s">
        <v>3331</v>
      </c>
      <c r="B110" s="14" t="s">
        <v>3203</v>
      </c>
      <c r="C110" s="14" t="s">
        <v>695</v>
      </c>
      <c r="D110" s="14" t="s">
        <v>69</v>
      </c>
      <c r="E110" s="15" t="n">
        <v>1950000</v>
      </c>
      <c r="F110" s="15" t="n">
        <v>10320.45</v>
      </c>
      <c r="G110" s="15" t="n">
        <v>1290.06</v>
      </c>
      <c r="H110" s="15" t="n">
        <v>1290.06</v>
      </c>
      <c r="I110" s="15" t="n">
        <f aca="false">SUM(K110:T110)</f>
        <v>7740.3</v>
      </c>
      <c r="J110" s="15" t="n">
        <f aca="false">F110-(G110+H110+I110)</f>
        <v>0.0300000000024738</v>
      </c>
      <c r="K110" s="15" t="n">
        <v>774.03</v>
      </c>
      <c r="L110" s="15" t="n">
        <v>774.03</v>
      </c>
      <c r="M110" s="15" t="n">
        <v>774.03</v>
      </c>
      <c r="N110" s="15" t="n">
        <v>774.03</v>
      </c>
      <c r="O110" s="15" t="n">
        <v>774.03</v>
      </c>
      <c r="P110" s="15" t="n">
        <v>774.03</v>
      </c>
      <c r="Q110" s="15" t="n">
        <v>774.03</v>
      </c>
      <c r="R110" s="15" t="n">
        <v>774.03</v>
      </c>
      <c r="S110" s="15" t="n">
        <v>774.03</v>
      </c>
      <c r="T110" s="15" t="n">
        <v>774.03</v>
      </c>
      <c r="U110" s="15" t="n">
        <v>350</v>
      </c>
      <c r="V110" s="15" t="n">
        <v>250</v>
      </c>
      <c r="W110" s="15" t="n">
        <f aca="false">U110+V110</f>
        <v>600</v>
      </c>
    </row>
    <row r="111" customFormat="false" ht="15" hidden="false" customHeight="false" outlineLevel="0" collapsed="false">
      <c r="A111" s="3" t="s">
        <v>3332</v>
      </c>
      <c r="B111" s="3" t="s">
        <v>3269</v>
      </c>
      <c r="C111" s="3" t="s">
        <v>1170</v>
      </c>
      <c r="D111" s="3" t="s">
        <v>246</v>
      </c>
      <c r="E111" s="13" t="n">
        <v>910000</v>
      </c>
      <c r="F111" s="13" t="n">
        <v>14895.49</v>
      </c>
      <c r="G111" s="13" t="n">
        <v>1861.94</v>
      </c>
      <c r="H111" s="13" t="n">
        <v>1861.94</v>
      </c>
      <c r="I111" s="13" t="n">
        <f aca="false">SUM(K111:T111)</f>
        <v>11171.6</v>
      </c>
      <c r="J111" s="13" t="n">
        <f aca="false">F111-(G111+H111+I111)</f>
        <v>0.0100000000002183</v>
      </c>
      <c r="K111" s="13" t="n">
        <v>1117.16</v>
      </c>
      <c r="L111" s="13" t="n">
        <v>1117.16</v>
      </c>
      <c r="M111" s="13" t="n">
        <v>1117.16</v>
      </c>
      <c r="N111" s="13" t="n">
        <v>1117.16</v>
      </c>
      <c r="O111" s="13" t="n">
        <v>1117.16</v>
      </c>
      <c r="P111" s="13" t="n">
        <v>1117.16</v>
      </c>
      <c r="Q111" s="13" t="n">
        <v>1117.16</v>
      </c>
      <c r="R111" s="13" t="n">
        <v>1117.16</v>
      </c>
      <c r="S111" s="13" t="n">
        <v>1117.16</v>
      </c>
      <c r="T111" s="13" t="n">
        <v>1117.16</v>
      </c>
      <c r="U111" s="13" t="n">
        <v>350</v>
      </c>
      <c r="V111" s="13" t="n">
        <v>0</v>
      </c>
      <c r="W111" s="13" t="n">
        <f aca="false">U111+V111</f>
        <v>350</v>
      </c>
    </row>
    <row r="112" customFormat="false" ht="15" hidden="false" customHeight="false" outlineLevel="0" collapsed="false">
      <c r="A112" s="14" t="s">
        <v>3333</v>
      </c>
      <c r="B112" s="14" t="s">
        <v>3269</v>
      </c>
      <c r="C112" s="14" t="s">
        <v>436</v>
      </c>
      <c r="D112" s="14" t="s">
        <v>112</v>
      </c>
      <c r="E112" s="15" t="n">
        <v>480000</v>
      </c>
      <c r="F112" s="15" t="n">
        <v>7529.59</v>
      </c>
      <c r="G112" s="15" t="n">
        <v>941.2</v>
      </c>
      <c r="H112" s="15" t="n">
        <v>941.2</v>
      </c>
      <c r="I112" s="15" t="n">
        <f aca="false">SUM(K112:T112)</f>
        <v>5647.2</v>
      </c>
      <c r="J112" s="15" t="n">
        <f aca="false">F112-(G112+H112+I112)</f>
        <v>-0.0100000000002183</v>
      </c>
      <c r="K112" s="15" t="n">
        <v>564.72</v>
      </c>
      <c r="L112" s="15" t="n">
        <v>564.72</v>
      </c>
      <c r="M112" s="15" t="n">
        <v>564.72</v>
      </c>
      <c r="N112" s="15" t="n">
        <v>564.72</v>
      </c>
      <c r="O112" s="15" t="n">
        <v>564.72</v>
      </c>
      <c r="P112" s="15" t="n">
        <v>564.72</v>
      </c>
      <c r="Q112" s="15" t="n">
        <v>564.72</v>
      </c>
      <c r="R112" s="15" t="n">
        <v>564.72</v>
      </c>
      <c r="S112" s="15" t="n">
        <v>564.72</v>
      </c>
      <c r="T112" s="15" t="n">
        <v>564.72</v>
      </c>
      <c r="U112" s="15" t="n">
        <v>350</v>
      </c>
      <c r="V112" s="15" t="n">
        <v>0</v>
      </c>
      <c r="W112" s="15" t="n">
        <f aca="false">U112+V112</f>
        <v>350</v>
      </c>
    </row>
    <row r="113" customFormat="false" ht="15" hidden="false" customHeight="false" outlineLevel="0" collapsed="false">
      <c r="A113" s="3" t="s">
        <v>3334</v>
      </c>
      <c r="B113" s="3" t="s">
        <v>3215</v>
      </c>
      <c r="C113" s="3" t="s">
        <v>1700</v>
      </c>
      <c r="D113" s="3" t="s">
        <v>77</v>
      </c>
      <c r="E113" s="13" t="n">
        <v>1235000</v>
      </c>
      <c r="F113" s="13" t="n">
        <v>18016.46</v>
      </c>
      <c r="G113" s="13" t="n">
        <v>2252.06</v>
      </c>
      <c r="H113" s="13" t="n">
        <v>2252.06</v>
      </c>
      <c r="I113" s="13" t="n">
        <f aca="false">SUM(K113:T113)</f>
        <v>13512.3</v>
      </c>
      <c r="J113" s="13" t="n">
        <f aca="false">F113-(G113+H113+I113)</f>
        <v>0.0400000000008731</v>
      </c>
      <c r="K113" s="13" t="n">
        <v>1351.23</v>
      </c>
      <c r="L113" s="13" t="n">
        <v>1351.23</v>
      </c>
      <c r="M113" s="13" t="n">
        <v>1351.23</v>
      </c>
      <c r="N113" s="13" t="n">
        <v>1351.23</v>
      </c>
      <c r="O113" s="13" t="n">
        <v>1351.23</v>
      </c>
      <c r="P113" s="13" t="n">
        <v>1351.23</v>
      </c>
      <c r="Q113" s="13" t="n">
        <v>1351.23</v>
      </c>
      <c r="R113" s="13" t="n">
        <v>1351.23</v>
      </c>
      <c r="S113" s="13" t="n">
        <v>1351.23</v>
      </c>
      <c r="T113" s="13" t="n">
        <v>1351.23</v>
      </c>
      <c r="U113" s="13" t="n">
        <v>350</v>
      </c>
      <c r="V113" s="13" t="n">
        <v>250</v>
      </c>
      <c r="W113" s="13" t="n">
        <f aca="false">U113+V113</f>
        <v>600</v>
      </c>
    </row>
    <row r="114" customFormat="false" ht="15" hidden="false" customHeight="false" outlineLevel="0" collapsed="false">
      <c r="A114" s="14" t="s">
        <v>3335</v>
      </c>
      <c r="B114" s="14" t="s">
        <v>3289</v>
      </c>
      <c r="C114" s="14" t="s">
        <v>1666</v>
      </c>
      <c r="D114" s="14" t="s">
        <v>338</v>
      </c>
      <c r="E114" s="15" t="n">
        <v>620000</v>
      </c>
      <c r="F114" s="15" t="n">
        <v>8610.27</v>
      </c>
      <c r="G114" s="15" t="n">
        <v>1076.28</v>
      </c>
      <c r="H114" s="15" t="n">
        <v>1076.28</v>
      </c>
      <c r="I114" s="15" t="n">
        <f aca="false">SUM(K114:T114)</f>
        <v>6457.7</v>
      </c>
      <c r="J114" s="15" t="n">
        <f aca="false">F114-(G114+H114+I114)</f>
        <v>0.0100000000002183</v>
      </c>
      <c r="K114" s="15" t="n">
        <v>645.77</v>
      </c>
      <c r="L114" s="15" t="n">
        <v>645.77</v>
      </c>
      <c r="M114" s="15" t="n">
        <v>645.77</v>
      </c>
      <c r="N114" s="15" t="n">
        <v>645.77</v>
      </c>
      <c r="O114" s="15" t="n">
        <v>645.77</v>
      </c>
      <c r="P114" s="15" t="n">
        <v>645.77</v>
      </c>
      <c r="Q114" s="15" t="n">
        <v>645.77</v>
      </c>
      <c r="R114" s="15" t="n">
        <v>645.77</v>
      </c>
      <c r="S114" s="15" t="n">
        <v>645.77</v>
      </c>
      <c r="T114" s="15" t="n">
        <v>645.77</v>
      </c>
      <c r="U114" s="15" t="n">
        <v>350</v>
      </c>
      <c r="V114" s="15" t="n">
        <v>0</v>
      </c>
      <c r="W114" s="15" t="n">
        <f aca="false">U114+V114</f>
        <v>350</v>
      </c>
    </row>
    <row r="115" customFormat="false" ht="15" hidden="false" customHeight="false" outlineLevel="0" collapsed="false">
      <c r="A115" s="3" t="s">
        <v>3336</v>
      </c>
      <c r="B115" s="3" t="s">
        <v>3299</v>
      </c>
      <c r="C115" s="3" t="s">
        <v>1990</v>
      </c>
      <c r="D115" s="3" t="s">
        <v>157</v>
      </c>
      <c r="E115" s="13" t="n">
        <v>1405000</v>
      </c>
      <c r="F115" s="13" t="n">
        <v>22917.3</v>
      </c>
      <c r="G115" s="13" t="n">
        <v>2864.66</v>
      </c>
      <c r="H115" s="13" t="n">
        <v>2864.66</v>
      </c>
      <c r="I115" s="13" t="n">
        <f aca="false">SUM(K115:T115)</f>
        <v>17188</v>
      </c>
      <c r="J115" s="13" t="n">
        <f aca="false">F115-(G115+H115+I115)</f>
        <v>-0.0200000000004366</v>
      </c>
      <c r="K115" s="13" t="n">
        <v>1718.8</v>
      </c>
      <c r="L115" s="13" t="n">
        <v>1718.8</v>
      </c>
      <c r="M115" s="13" t="n">
        <v>1718.8</v>
      </c>
      <c r="N115" s="13" t="n">
        <v>1718.8</v>
      </c>
      <c r="O115" s="13" t="n">
        <v>1718.8</v>
      </c>
      <c r="P115" s="13" t="n">
        <v>1718.8</v>
      </c>
      <c r="Q115" s="13" t="n">
        <v>1718.8</v>
      </c>
      <c r="R115" s="13" t="n">
        <v>1718.8</v>
      </c>
      <c r="S115" s="13" t="n">
        <v>1718.8</v>
      </c>
      <c r="T115" s="13" t="n">
        <v>1718.8</v>
      </c>
      <c r="U115" s="13" t="n">
        <v>350</v>
      </c>
      <c r="V115" s="13" t="n">
        <v>250</v>
      </c>
      <c r="W115" s="13" t="n">
        <f aca="false">U115+V115</f>
        <v>600</v>
      </c>
    </row>
    <row r="116" customFormat="false" ht="15" hidden="false" customHeight="false" outlineLevel="0" collapsed="false">
      <c r="A116" s="14" t="s">
        <v>3337</v>
      </c>
      <c r="B116" s="14" t="s">
        <v>3223</v>
      </c>
      <c r="C116" s="14" t="s">
        <v>2040</v>
      </c>
      <c r="D116" s="14" t="s">
        <v>233</v>
      </c>
      <c r="E116" s="15" t="n">
        <v>365000</v>
      </c>
      <c r="F116" s="15" t="n">
        <v>3852.02</v>
      </c>
      <c r="G116" s="15" t="n">
        <v>481.5</v>
      </c>
      <c r="H116" s="15" t="n">
        <v>481.5</v>
      </c>
      <c r="I116" s="15" t="n">
        <f aca="false">SUM(K116:T116)</f>
        <v>2889</v>
      </c>
      <c r="J116" s="15" t="n">
        <f aca="false">F116-(G116+H116+I116)</f>
        <v>0.0199999999999818</v>
      </c>
      <c r="K116" s="15" t="n">
        <v>288.9</v>
      </c>
      <c r="L116" s="15" t="n">
        <v>288.9</v>
      </c>
      <c r="M116" s="15" t="n">
        <v>288.9</v>
      </c>
      <c r="N116" s="15" t="n">
        <v>288.9</v>
      </c>
      <c r="O116" s="15" t="n">
        <v>288.9</v>
      </c>
      <c r="P116" s="15" t="n">
        <v>288.9</v>
      </c>
      <c r="Q116" s="15" t="n">
        <v>288.9</v>
      </c>
      <c r="R116" s="15" t="n">
        <v>288.9</v>
      </c>
      <c r="S116" s="15" t="n">
        <v>288.9</v>
      </c>
      <c r="T116" s="15" t="n">
        <v>288.9</v>
      </c>
      <c r="U116" s="15" t="n">
        <v>350</v>
      </c>
      <c r="V116" s="15" t="n">
        <v>0</v>
      </c>
      <c r="W116" s="15" t="n">
        <f aca="false">U116+V116</f>
        <v>350</v>
      </c>
    </row>
    <row r="117" customFormat="false" ht="15" hidden="false" customHeight="false" outlineLevel="0" collapsed="false">
      <c r="A117" s="3" t="s">
        <v>3338</v>
      </c>
      <c r="B117" s="3" t="s">
        <v>3195</v>
      </c>
      <c r="C117" s="3" t="s">
        <v>2609</v>
      </c>
      <c r="D117" s="3" t="s">
        <v>222</v>
      </c>
      <c r="E117" s="13" t="n">
        <v>380000</v>
      </c>
      <c r="F117" s="13" t="n">
        <v>4501.38</v>
      </c>
      <c r="G117" s="13" t="n">
        <v>562.67</v>
      </c>
      <c r="H117" s="13" t="n">
        <v>562.67</v>
      </c>
      <c r="I117" s="13" t="n">
        <f aca="false">SUM(K117:T117)</f>
        <v>3376</v>
      </c>
      <c r="J117" s="13" t="n">
        <f aca="false">F117-(G117+H117+I117)</f>
        <v>0.0399999999999636</v>
      </c>
      <c r="K117" s="13" t="n">
        <v>337.6</v>
      </c>
      <c r="L117" s="13" t="n">
        <v>337.6</v>
      </c>
      <c r="M117" s="13" t="n">
        <v>337.6</v>
      </c>
      <c r="N117" s="13" t="n">
        <v>337.6</v>
      </c>
      <c r="O117" s="13" t="n">
        <v>337.6</v>
      </c>
      <c r="P117" s="13" t="n">
        <v>337.6</v>
      </c>
      <c r="Q117" s="13" t="n">
        <v>337.6</v>
      </c>
      <c r="R117" s="13" t="n">
        <v>337.6</v>
      </c>
      <c r="S117" s="13" t="n">
        <v>337.6</v>
      </c>
      <c r="T117" s="13" t="n">
        <v>337.6</v>
      </c>
      <c r="U117" s="13" t="n">
        <v>350</v>
      </c>
      <c r="V117" s="13" t="n">
        <v>0</v>
      </c>
      <c r="W117" s="13" t="n">
        <f aca="false">U117+V117</f>
        <v>350</v>
      </c>
    </row>
    <row r="118" customFormat="false" ht="15" hidden="false" customHeight="false" outlineLevel="0" collapsed="false">
      <c r="A118" s="14" t="s">
        <v>3339</v>
      </c>
      <c r="B118" s="14" t="s">
        <v>3197</v>
      </c>
      <c r="C118" s="14" t="s">
        <v>1555</v>
      </c>
      <c r="D118" s="14" t="s">
        <v>338</v>
      </c>
      <c r="E118" s="15" t="n">
        <v>955000</v>
      </c>
      <c r="F118" s="15" t="n">
        <v>11052.16</v>
      </c>
      <c r="G118" s="15" t="n">
        <v>1381.52</v>
      </c>
      <c r="H118" s="15" t="n">
        <v>1381.52</v>
      </c>
      <c r="I118" s="15" t="n">
        <f aca="false">SUM(K118:T118)</f>
        <v>8289.1</v>
      </c>
      <c r="J118" s="15" t="n">
        <f aca="false">F118-(G118+H118+I118)</f>
        <v>0.0200000000004366</v>
      </c>
      <c r="K118" s="15" t="n">
        <v>828.91</v>
      </c>
      <c r="L118" s="15" t="n">
        <v>828.91</v>
      </c>
      <c r="M118" s="15" t="n">
        <v>828.91</v>
      </c>
      <c r="N118" s="15" t="n">
        <v>828.91</v>
      </c>
      <c r="O118" s="15" t="n">
        <v>828.91</v>
      </c>
      <c r="P118" s="15" t="n">
        <v>828.91</v>
      </c>
      <c r="Q118" s="15" t="n">
        <v>828.91</v>
      </c>
      <c r="R118" s="15" t="n">
        <v>828.91</v>
      </c>
      <c r="S118" s="15" t="n">
        <v>828.91</v>
      </c>
      <c r="T118" s="15" t="n">
        <v>828.91</v>
      </c>
      <c r="U118" s="15" t="n">
        <v>350</v>
      </c>
      <c r="V118" s="15" t="n">
        <v>0</v>
      </c>
      <c r="W118" s="15" t="n">
        <f aca="false">U118+V118</f>
        <v>350</v>
      </c>
    </row>
    <row r="119" customFormat="false" ht="15" hidden="false" customHeight="false" outlineLevel="0" collapsed="false">
      <c r="A119" s="3" t="s">
        <v>3340</v>
      </c>
      <c r="B119" s="3" t="s">
        <v>3266</v>
      </c>
      <c r="C119" s="3" t="s">
        <v>76</v>
      </c>
      <c r="D119" s="3" t="s">
        <v>256</v>
      </c>
      <c r="E119" s="13" t="n">
        <v>440000</v>
      </c>
      <c r="F119" s="13" t="n">
        <v>6301.94</v>
      </c>
      <c r="G119" s="13" t="n">
        <v>787.74</v>
      </c>
      <c r="H119" s="13" t="n">
        <v>787.74</v>
      </c>
      <c r="I119" s="13" t="n">
        <f aca="false">SUM(K119:T119)</f>
        <v>4726.5</v>
      </c>
      <c r="J119" s="13" t="n">
        <f aca="false">F119-(G119+H119+I119)</f>
        <v>-0.0399999999999636</v>
      </c>
      <c r="K119" s="13" t="n">
        <v>472.65</v>
      </c>
      <c r="L119" s="13" t="n">
        <v>472.65</v>
      </c>
      <c r="M119" s="13" t="n">
        <v>472.65</v>
      </c>
      <c r="N119" s="13" t="n">
        <v>472.65</v>
      </c>
      <c r="O119" s="13" t="n">
        <v>472.65</v>
      </c>
      <c r="P119" s="13" t="n">
        <v>472.65</v>
      </c>
      <c r="Q119" s="13" t="n">
        <v>472.65</v>
      </c>
      <c r="R119" s="13" t="n">
        <v>472.65</v>
      </c>
      <c r="S119" s="13" t="n">
        <v>472.65</v>
      </c>
      <c r="T119" s="13" t="n">
        <v>472.65</v>
      </c>
      <c r="U119" s="13" t="n">
        <v>350</v>
      </c>
      <c r="V119" s="13" t="n">
        <v>0</v>
      </c>
      <c r="W119" s="13" t="n">
        <f aca="false">U119+V119</f>
        <v>350</v>
      </c>
    </row>
    <row r="120" customFormat="false" ht="15" hidden="false" customHeight="false" outlineLevel="0" collapsed="false">
      <c r="A120" s="14" t="s">
        <v>3341</v>
      </c>
      <c r="B120" s="14" t="s">
        <v>3237</v>
      </c>
      <c r="C120" s="14" t="s">
        <v>1652</v>
      </c>
      <c r="D120" s="14" t="s">
        <v>77</v>
      </c>
      <c r="E120" s="15" t="n">
        <v>555000</v>
      </c>
      <c r="F120" s="15" t="n">
        <v>7894.05</v>
      </c>
      <c r="G120" s="15" t="n">
        <v>986.76</v>
      </c>
      <c r="H120" s="15" t="n">
        <v>986.76</v>
      </c>
      <c r="I120" s="15" t="n">
        <f aca="false">SUM(K120:T120)</f>
        <v>5920.5</v>
      </c>
      <c r="J120" s="15" t="n">
        <f aca="false">F120-(G120+H120+I120)</f>
        <v>0.0299999999997453</v>
      </c>
      <c r="K120" s="15" t="n">
        <v>592.05</v>
      </c>
      <c r="L120" s="15" t="n">
        <v>592.05</v>
      </c>
      <c r="M120" s="15" t="n">
        <v>592.05</v>
      </c>
      <c r="N120" s="15" t="n">
        <v>592.05</v>
      </c>
      <c r="O120" s="15" t="n">
        <v>592.05</v>
      </c>
      <c r="P120" s="15" t="n">
        <v>592.05</v>
      </c>
      <c r="Q120" s="15" t="n">
        <v>592.05</v>
      </c>
      <c r="R120" s="15" t="n">
        <v>592.05</v>
      </c>
      <c r="S120" s="15" t="n">
        <v>592.05</v>
      </c>
      <c r="T120" s="15" t="n">
        <v>592.05</v>
      </c>
      <c r="U120" s="15" t="n">
        <v>350</v>
      </c>
      <c r="V120" s="15" t="n">
        <v>0</v>
      </c>
      <c r="W120" s="15" t="n">
        <f aca="false">U120+V120</f>
        <v>350</v>
      </c>
    </row>
    <row r="121" customFormat="false" ht="15" hidden="false" customHeight="false" outlineLevel="0" collapsed="false">
      <c r="A121" s="3" t="s">
        <v>3342</v>
      </c>
      <c r="B121" s="3" t="s">
        <v>3248</v>
      </c>
      <c r="C121" s="3" t="s">
        <v>822</v>
      </c>
      <c r="D121" s="3" t="s">
        <v>89</v>
      </c>
      <c r="E121" s="13" t="n">
        <v>950000</v>
      </c>
      <c r="F121" s="13" t="n">
        <v>17494.03</v>
      </c>
      <c r="G121" s="13" t="n">
        <v>2186.75</v>
      </c>
      <c r="H121" s="13" t="n">
        <v>2186.75</v>
      </c>
      <c r="I121" s="13" t="n">
        <f aca="false">SUM(K121:T121)</f>
        <v>13120.5</v>
      </c>
      <c r="J121" s="13" t="n">
        <f aca="false">F121-(G121+H121+I121)</f>
        <v>0.0299999999988358</v>
      </c>
      <c r="K121" s="13" t="n">
        <v>1312.05</v>
      </c>
      <c r="L121" s="13" t="n">
        <v>1312.05</v>
      </c>
      <c r="M121" s="13" t="n">
        <v>1312.05</v>
      </c>
      <c r="N121" s="13" t="n">
        <v>1312.05</v>
      </c>
      <c r="O121" s="13" t="n">
        <v>1312.05</v>
      </c>
      <c r="P121" s="13" t="n">
        <v>1312.05</v>
      </c>
      <c r="Q121" s="13" t="n">
        <v>1312.05</v>
      </c>
      <c r="R121" s="13" t="n">
        <v>1312.05</v>
      </c>
      <c r="S121" s="13" t="n">
        <v>1312.05</v>
      </c>
      <c r="T121" s="13" t="n">
        <v>1312.05</v>
      </c>
      <c r="U121" s="13" t="n">
        <v>350</v>
      </c>
      <c r="V121" s="13" t="n">
        <v>0</v>
      </c>
      <c r="W121" s="13" t="n">
        <f aca="false">U121+V121</f>
        <v>350</v>
      </c>
    </row>
    <row r="122" customFormat="false" ht="15" hidden="false" customHeight="false" outlineLevel="0" collapsed="false">
      <c r="A122" s="14" t="s">
        <v>3343</v>
      </c>
      <c r="B122" s="14" t="s">
        <v>3215</v>
      </c>
      <c r="C122" s="14" t="s">
        <v>545</v>
      </c>
      <c r="D122" s="14" t="s">
        <v>153</v>
      </c>
      <c r="E122" s="15" t="n">
        <v>390000</v>
      </c>
      <c r="F122" s="15" t="n">
        <v>9981.66</v>
      </c>
      <c r="G122" s="15" t="n">
        <v>1247.71</v>
      </c>
      <c r="H122" s="15" t="n">
        <v>1247.71</v>
      </c>
      <c r="I122" s="15" t="n">
        <f aca="false">SUM(K122:T122)</f>
        <v>7486.2</v>
      </c>
      <c r="J122" s="15" t="n">
        <f aca="false">F122-(G122+H122+I122)</f>
        <v>0.0400000000008731</v>
      </c>
      <c r="K122" s="15" t="n">
        <v>748.62</v>
      </c>
      <c r="L122" s="15" t="n">
        <v>748.62</v>
      </c>
      <c r="M122" s="15" t="n">
        <v>748.62</v>
      </c>
      <c r="N122" s="15" t="n">
        <v>748.62</v>
      </c>
      <c r="O122" s="15" t="n">
        <v>748.62</v>
      </c>
      <c r="P122" s="15" t="n">
        <v>748.62</v>
      </c>
      <c r="Q122" s="15" t="n">
        <v>748.62</v>
      </c>
      <c r="R122" s="15" t="n">
        <v>748.62</v>
      </c>
      <c r="S122" s="15" t="n">
        <v>748.62</v>
      </c>
      <c r="T122" s="15" t="n">
        <v>748.62</v>
      </c>
      <c r="U122" s="15" t="n">
        <v>350</v>
      </c>
      <c r="V122" s="15" t="n">
        <v>0</v>
      </c>
      <c r="W122" s="15" t="n">
        <f aca="false">U122+V122</f>
        <v>350</v>
      </c>
    </row>
    <row r="123" customFormat="false" ht="15" hidden="false" customHeight="false" outlineLevel="0" collapsed="false">
      <c r="A123" s="3" t="s">
        <v>3344</v>
      </c>
      <c r="B123" s="3" t="s">
        <v>3248</v>
      </c>
      <c r="C123" s="3" t="s">
        <v>1682</v>
      </c>
      <c r="D123" s="3" t="s">
        <v>698</v>
      </c>
      <c r="E123" s="13" t="n">
        <v>395000</v>
      </c>
      <c r="F123" s="13" t="n">
        <v>8935.61</v>
      </c>
      <c r="G123" s="13" t="n">
        <v>1116.95</v>
      </c>
      <c r="H123" s="13" t="n">
        <v>1116.95</v>
      </c>
      <c r="I123" s="13" t="n">
        <f aca="false">SUM(K123:T123)</f>
        <v>6701.7</v>
      </c>
      <c r="J123" s="13" t="n">
        <f aca="false">F123-(G123+H123+I123)</f>
        <v>0.0100000000002183</v>
      </c>
      <c r="K123" s="13" t="n">
        <v>670.17</v>
      </c>
      <c r="L123" s="13" t="n">
        <v>670.17</v>
      </c>
      <c r="M123" s="13" t="n">
        <v>670.17</v>
      </c>
      <c r="N123" s="13" t="n">
        <v>670.17</v>
      </c>
      <c r="O123" s="13" t="n">
        <v>670.17</v>
      </c>
      <c r="P123" s="13" t="n">
        <v>670.17</v>
      </c>
      <c r="Q123" s="13" t="n">
        <v>670.17</v>
      </c>
      <c r="R123" s="13" t="n">
        <v>670.17</v>
      </c>
      <c r="S123" s="13" t="n">
        <v>670.17</v>
      </c>
      <c r="T123" s="13" t="n">
        <v>670.17</v>
      </c>
      <c r="U123" s="13" t="n">
        <v>350</v>
      </c>
      <c r="V123" s="13" t="n">
        <v>0</v>
      </c>
      <c r="W123" s="13" t="n">
        <f aca="false">U123+V123</f>
        <v>350</v>
      </c>
    </row>
    <row r="124" customFormat="false" ht="15" hidden="false" customHeight="false" outlineLevel="0" collapsed="false">
      <c r="A124" s="14" t="s">
        <v>3345</v>
      </c>
      <c r="B124" s="14" t="s">
        <v>3218</v>
      </c>
      <c r="C124" s="14" t="s">
        <v>523</v>
      </c>
      <c r="D124" s="14" t="s">
        <v>89</v>
      </c>
      <c r="E124" s="15" t="n">
        <v>990000</v>
      </c>
      <c r="F124" s="15" t="n">
        <v>12473.58</v>
      </c>
      <c r="G124" s="15" t="n">
        <v>1559.2</v>
      </c>
      <c r="H124" s="15" t="n">
        <v>1559.2</v>
      </c>
      <c r="I124" s="15" t="n">
        <f aca="false">SUM(K124:T124)</f>
        <v>9355.2</v>
      </c>
      <c r="J124" s="15" t="n">
        <f aca="false">F124-(G124+H124+I124)</f>
        <v>-0.0200000000004366</v>
      </c>
      <c r="K124" s="15" t="n">
        <v>935.52</v>
      </c>
      <c r="L124" s="15" t="n">
        <v>935.52</v>
      </c>
      <c r="M124" s="15" t="n">
        <v>935.52</v>
      </c>
      <c r="N124" s="15" t="n">
        <v>935.52</v>
      </c>
      <c r="O124" s="15" t="n">
        <v>935.52</v>
      </c>
      <c r="P124" s="15" t="n">
        <v>935.52</v>
      </c>
      <c r="Q124" s="15" t="n">
        <v>935.52</v>
      </c>
      <c r="R124" s="15" t="n">
        <v>935.52</v>
      </c>
      <c r="S124" s="15" t="n">
        <v>935.52</v>
      </c>
      <c r="T124" s="15" t="n">
        <v>935.52</v>
      </c>
      <c r="U124" s="15" t="n">
        <v>350</v>
      </c>
      <c r="V124" s="15" t="n">
        <v>0</v>
      </c>
      <c r="W124" s="15" t="n">
        <f aca="false">U124+V124</f>
        <v>350</v>
      </c>
    </row>
    <row r="125" customFormat="false" ht="15" hidden="false" customHeight="false" outlineLevel="0" collapsed="false">
      <c r="A125" s="3" t="s">
        <v>3346</v>
      </c>
      <c r="B125" s="3" t="s">
        <v>3266</v>
      </c>
      <c r="C125" s="3" t="s">
        <v>2347</v>
      </c>
      <c r="D125" s="3" t="s">
        <v>89</v>
      </c>
      <c r="E125" s="13" t="n">
        <v>1615000</v>
      </c>
      <c r="F125" s="13" t="n">
        <v>11895.94</v>
      </c>
      <c r="G125" s="13" t="n">
        <v>1486.99</v>
      </c>
      <c r="H125" s="13" t="n">
        <v>1486.99</v>
      </c>
      <c r="I125" s="13" t="n">
        <f aca="false">SUM(K125:T125)</f>
        <v>8922</v>
      </c>
      <c r="J125" s="13" t="n">
        <f aca="false">F125-(G125+H125+I125)</f>
        <v>-0.0399999999990541</v>
      </c>
      <c r="K125" s="13" t="n">
        <v>892.2</v>
      </c>
      <c r="L125" s="13" t="n">
        <v>892.2</v>
      </c>
      <c r="M125" s="13" t="n">
        <v>892.2</v>
      </c>
      <c r="N125" s="13" t="n">
        <v>892.2</v>
      </c>
      <c r="O125" s="13" t="n">
        <v>892.2</v>
      </c>
      <c r="P125" s="13" t="n">
        <v>892.2</v>
      </c>
      <c r="Q125" s="13" t="n">
        <v>892.2</v>
      </c>
      <c r="R125" s="13" t="n">
        <v>892.2</v>
      </c>
      <c r="S125" s="13" t="n">
        <v>892.2</v>
      </c>
      <c r="T125" s="13" t="n">
        <v>892.2</v>
      </c>
      <c r="U125" s="13" t="n">
        <v>350</v>
      </c>
      <c r="V125" s="13" t="n">
        <v>250</v>
      </c>
      <c r="W125" s="13" t="n">
        <f aca="false">U125+V125</f>
        <v>600</v>
      </c>
    </row>
    <row r="126" customFormat="false" ht="15" hidden="false" customHeight="false" outlineLevel="0" collapsed="false">
      <c r="A126" s="14" t="s">
        <v>3347</v>
      </c>
      <c r="B126" s="14" t="s">
        <v>3197</v>
      </c>
      <c r="C126" s="14" t="s">
        <v>1116</v>
      </c>
      <c r="D126" s="14" t="s">
        <v>197</v>
      </c>
      <c r="E126" s="15" t="n">
        <v>660000</v>
      </c>
      <c r="F126" s="15" t="n">
        <v>6714.17</v>
      </c>
      <c r="G126" s="15" t="n">
        <v>839.27</v>
      </c>
      <c r="H126" s="15" t="n">
        <v>839.27</v>
      </c>
      <c r="I126" s="15" t="n">
        <f aca="false">SUM(K126:T126)</f>
        <v>5035.6</v>
      </c>
      <c r="J126" s="15" t="n">
        <f aca="false">F126-(G126+H126+I126)</f>
        <v>0.0299999999997453</v>
      </c>
      <c r="K126" s="15" t="n">
        <v>503.56</v>
      </c>
      <c r="L126" s="15" t="n">
        <v>503.56</v>
      </c>
      <c r="M126" s="15" t="n">
        <v>503.56</v>
      </c>
      <c r="N126" s="15" t="n">
        <v>503.56</v>
      </c>
      <c r="O126" s="15" t="n">
        <v>503.56</v>
      </c>
      <c r="P126" s="15" t="n">
        <v>503.56</v>
      </c>
      <c r="Q126" s="15" t="n">
        <v>503.56</v>
      </c>
      <c r="R126" s="15" t="n">
        <v>503.56</v>
      </c>
      <c r="S126" s="15" t="n">
        <v>503.56</v>
      </c>
      <c r="T126" s="15" t="n">
        <v>503.56</v>
      </c>
      <c r="U126" s="15" t="n">
        <v>350</v>
      </c>
      <c r="V126" s="15" t="n">
        <v>0</v>
      </c>
      <c r="W126" s="15" t="n">
        <f aca="false">U126+V126</f>
        <v>350</v>
      </c>
    </row>
    <row r="127" customFormat="false" ht="15" hidden="false" customHeight="false" outlineLevel="0" collapsed="false">
      <c r="A127" s="3" t="s">
        <v>3348</v>
      </c>
      <c r="B127" s="3" t="s">
        <v>3235</v>
      </c>
      <c r="C127" s="3" t="s">
        <v>717</v>
      </c>
      <c r="D127" s="3" t="s">
        <v>115</v>
      </c>
      <c r="E127" s="13" t="n">
        <v>1610000</v>
      </c>
      <c r="F127" s="13" t="n">
        <v>11595.57</v>
      </c>
      <c r="G127" s="13" t="n">
        <v>1449.45</v>
      </c>
      <c r="H127" s="13" t="n">
        <v>1449.45</v>
      </c>
      <c r="I127" s="13" t="n">
        <f aca="false">SUM(K127:T127)</f>
        <v>8696.7</v>
      </c>
      <c r="J127" s="13" t="n">
        <f aca="false">F127-(G127+H127+I127)</f>
        <v>-0.0299999999988358</v>
      </c>
      <c r="K127" s="13" t="n">
        <v>869.67</v>
      </c>
      <c r="L127" s="13" t="n">
        <v>869.67</v>
      </c>
      <c r="M127" s="13" t="n">
        <v>869.67</v>
      </c>
      <c r="N127" s="13" t="n">
        <v>869.67</v>
      </c>
      <c r="O127" s="13" t="n">
        <v>869.67</v>
      </c>
      <c r="P127" s="13" t="n">
        <v>869.67</v>
      </c>
      <c r="Q127" s="13" t="n">
        <v>869.67</v>
      </c>
      <c r="R127" s="13" t="n">
        <v>869.67</v>
      </c>
      <c r="S127" s="13" t="n">
        <v>869.67</v>
      </c>
      <c r="T127" s="13" t="n">
        <v>869.67</v>
      </c>
      <c r="U127" s="13" t="n">
        <v>350</v>
      </c>
      <c r="V127" s="13" t="n">
        <v>250</v>
      </c>
      <c r="W127" s="13" t="n">
        <f aca="false">U127+V127</f>
        <v>600</v>
      </c>
    </row>
    <row r="128" customFormat="false" ht="15" hidden="false" customHeight="false" outlineLevel="0" collapsed="false">
      <c r="A128" s="14" t="s">
        <v>3349</v>
      </c>
      <c r="B128" s="14" t="s">
        <v>3252</v>
      </c>
      <c r="C128" s="14" t="s">
        <v>749</v>
      </c>
      <c r="D128" s="14" t="s">
        <v>121</v>
      </c>
      <c r="E128" s="15" t="n">
        <v>545000</v>
      </c>
      <c r="F128" s="15" t="n">
        <v>6205.52</v>
      </c>
      <c r="G128" s="15" t="n">
        <v>775.69</v>
      </c>
      <c r="H128" s="15" t="n">
        <v>775.69</v>
      </c>
      <c r="I128" s="15" t="n">
        <f aca="false">SUM(K128:T128)</f>
        <v>4654.1</v>
      </c>
      <c r="J128" s="15" t="n">
        <f aca="false">F128-(G128+H128+I128)</f>
        <v>0.0399999999999636</v>
      </c>
      <c r="K128" s="15" t="n">
        <v>465.41</v>
      </c>
      <c r="L128" s="15" t="n">
        <v>465.41</v>
      </c>
      <c r="M128" s="15" t="n">
        <v>465.41</v>
      </c>
      <c r="N128" s="15" t="n">
        <v>465.41</v>
      </c>
      <c r="O128" s="15" t="n">
        <v>465.41</v>
      </c>
      <c r="P128" s="15" t="n">
        <v>465.41</v>
      </c>
      <c r="Q128" s="15" t="n">
        <v>465.41</v>
      </c>
      <c r="R128" s="15" t="n">
        <v>465.41</v>
      </c>
      <c r="S128" s="15" t="n">
        <v>465.41</v>
      </c>
      <c r="T128" s="15" t="n">
        <v>465.41</v>
      </c>
      <c r="U128" s="15" t="n">
        <v>350</v>
      </c>
      <c r="V128" s="15" t="n">
        <v>0</v>
      </c>
      <c r="W128" s="15" t="n">
        <f aca="false">U128+V128</f>
        <v>350</v>
      </c>
    </row>
    <row r="129" customFormat="false" ht="15" hidden="false" customHeight="false" outlineLevel="0" collapsed="false">
      <c r="A129" s="3" t="s">
        <v>3350</v>
      </c>
      <c r="B129" s="3" t="s">
        <v>3289</v>
      </c>
      <c r="C129" s="3" t="s">
        <v>156</v>
      </c>
      <c r="D129" s="3" t="s">
        <v>85</v>
      </c>
      <c r="E129" s="13" t="n">
        <v>580000</v>
      </c>
      <c r="F129" s="13" t="n">
        <v>4398.81</v>
      </c>
      <c r="G129" s="13" t="n">
        <v>549.85</v>
      </c>
      <c r="H129" s="13" t="n">
        <v>549.85</v>
      </c>
      <c r="I129" s="13" t="n">
        <f aca="false">SUM(K129:T129)</f>
        <v>3299.1</v>
      </c>
      <c r="J129" s="13" t="n">
        <f aca="false">F129-(G129+H129+I129)</f>
        <v>0.0100000000002183</v>
      </c>
      <c r="K129" s="13" t="n">
        <v>329.91</v>
      </c>
      <c r="L129" s="13" t="n">
        <v>329.91</v>
      </c>
      <c r="M129" s="13" t="n">
        <v>329.91</v>
      </c>
      <c r="N129" s="13" t="n">
        <v>329.91</v>
      </c>
      <c r="O129" s="13" t="n">
        <v>329.91</v>
      </c>
      <c r="P129" s="13" t="n">
        <v>329.91</v>
      </c>
      <c r="Q129" s="13" t="n">
        <v>329.91</v>
      </c>
      <c r="R129" s="13" t="n">
        <v>329.91</v>
      </c>
      <c r="S129" s="13" t="n">
        <v>329.91</v>
      </c>
      <c r="T129" s="13" t="n">
        <v>329.91</v>
      </c>
      <c r="U129" s="13" t="n">
        <v>350</v>
      </c>
      <c r="V129" s="13" t="n">
        <v>0</v>
      </c>
      <c r="W129" s="13" t="n">
        <f aca="false">U129+V129</f>
        <v>350</v>
      </c>
    </row>
    <row r="130" customFormat="false" ht="15" hidden="false" customHeight="false" outlineLevel="0" collapsed="false">
      <c r="A130" s="14" t="s">
        <v>3351</v>
      </c>
      <c r="B130" s="14" t="s">
        <v>3352</v>
      </c>
      <c r="C130" s="14" t="s">
        <v>445</v>
      </c>
      <c r="D130" s="14" t="s">
        <v>430</v>
      </c>
      <c r="E130" s="15" t="n">
        <v>555000</v>
      </c>
      <c r="F130" s="15" t="n">
        <v>5128.03</v>
      </c>
      <c r="G130" s="15" t="n">
        <v>641</v>
      </c>
      <c r="H130" s="15" t="n">
        <v>641</v>
      </c>
      <c r="I130" s="15" t="n">
        <f aca="false">SUM(K130:T130)</f>
        <v>3846</v>
      </c>
      <c r="J130" s="15" t="n">
        <f aca="false">F130-(G130+H130+I130)</f>
        <v>0.0299999999997453</v>
      </c>
      <c r="K130" s="15" t="n">
        <v>384.6</v>
      </c>
      <c r="L130" s="15" t="n">
        <v>384.6</v>
      </c>
      <c r="M130" s="15" t="n">
        <v>384.6</v>
      </c>
      <c r="N130" s="15" t="n">
        <v>384.6</v>
      </c>
      <c r="O130" s="15" t="n">
        <v>384.6</v>
      </c>
      <c r="P130" s="15" t="n">
        <v>384.6</v>
      </c>
      <c r="Q130" s="15" t="n">
        <v>384.6</v>
      </c>
      <c r="R130" s="15" t="n">
        <v>384.6</v>
      </c>
      <c r="S130" s="15" t="n">
        <v>384.6</v>
      </c>
      <c r="T130" s="15" t="n">
        <v>384.6</v>
      </c>
      <c r="U130" s="15" t="n">
        <v>350</v>
      </c>
      <c r="V130" s="15" t="n">
        <v>0</v>
      </c>
      <c r="W130" s="15" t="n">
        <f aca="false">U130+V130</f>
        <v>350</v>
      </c>
    </row>
    <row r="131" customFormat="false" ht="15" hidden="false" customHeight="false" outlineLevel="0" collapsed="false">
      <c r="A131" s="3" t="s">
        <v>3353</v>
      </c>
      <c r="B131" s="3" t="s">
        <v>3218</v>
      </c>
      <c r="C131" s="3" t="s">
        <v>1364</v>
      </c>
      <c r="D131" s="3" t="s">
        <v>279</v>
      </c>
      <c r="E131" s="13" t="n">
        <v>715000</v>
      </c>
      <c r="F131" s="13" t="n">
        <v>6072.53</v>
      </c>
      <c r="G131" s="13" t="n">
        <v>759.07</v>
      </c>
      <c r="H131" s="13" t="n">
        <v>759.07</v>
      </c>
      <c r="I131" s="13" t="n">
        <f aca="false">SUM(K131:T131)</f>
        <v>4554.4</v>
      </c>
      <c r="J131" s="13" t="n">
        <f aca="false">F131-(G131+H131+I131)</f>
        <v>-0.0100000000002183</v>
      </c>
      <c r="K131" s="13" t="n">
        <v>455.44</v>
      </c>
      <c r="L131" s="13" t="n">
        <v>455.44</v>
      </c>
      <c r="M131" s="13" t="n">
        <v>455.44</v>
      </c>
      <c r="N131" s="13" t="n">
        <v>455.44</v>
      </c>
      <c r="O131" s="13" t="n">
        <v>455.44</v>
      </c>
      <c r="P131" s="13" t="n">
        <v>455.44</v>
      </c>
      <c r="Q131" s="13" t="n">
        <v>455.44</v>
      </c>
      <c r="R131" s="13" t="n">
        <v>455.44</v>
      </c>
      <c r="S131" s="13" t="n">
        <v>455.44</v>
      </c>
      <c r="T131" s="13" t="n">
        <v>455.44</v>
      </c>
      <c r="U131" s="13" t="n">
        <v>350</v>
      </c>
      <c r="V131" s="13" t="n">
        <v>0</v>
      </c>
      <c r="W131" s="13" t="n">
        <f aca="false">U131+V131</f>
        <v>350</v>
      </c>
    </row>
    <row r="132" customFormat="false" ht="15" hidden="false" customHeight="false" outlineLevel="0" collapsed="false">
      <c r="A132" s="14" t="s">
        <v>3354</v>
      </c>
      <c r="B132" s="14" t="s">
        <v>3266</v>
      </c>
      <c r="C132" s="14" t="s">
        <v>1063</v>
      </c>
      <c r="D132" s="14" t="s">
        <v>93</v>
      </c>
      <c r="E132" s="15" t="n">
        <v>500000</v>
      </c>
      <c r="F132" s="15" t="n">
        <v>8729.96</v>
      </c>
      <c r="G132" s="15" t="n">
        <v>1091.24</v>
      </c>
      <c r="H132" s="15" t="n">
        <v>1091.24</v>
      </c>
      <c r="I132" s="15" t="n">
        <f aca="false">SUM(K132:T132)</f>
        <v>6547.5</v>
      </c>
      <c r="J132" s="15" t="n">
        <f aca="false">F132-(G132+H132+I132)</f>
        <v>-0.0200000000004366</v>
      </c>
      <c r="K132" s="15" t="n">
        <v>654.75</v>
      </c>
      <c r="L132" s="15" t="n">
        <v>654.75</v>
      </c>
      <c r="M132" s="15" t="n">
        <v>654.75</v>
      </c>
      <c r="N132" s="15" t="n">
        <v>654.75</v>
      </c>
      <c r="O132" s="15" t="n">
        <v>654.75</v>
      </c>
      <c r="P132" s="15" t="n">
        <v>654.75</v>
      </c>
      <c r="Q132" s="15" t="n">
        <v>654.75</v>
      </c>
      <c r="R132" s="15" t="n">
        <v>654.75</v>
      </c>
      <c r="S132" s="15" t="n">
        <v>654.75</v>
      </c>
      <c r="T132" s="15" t="n">
        <v>654.75</v>
      </c>
      <c r="U132" s="15" t="n">
        <v>350</v>
      </c>
      <c r="V132" s="15" t="n">
        <v>0</v>
      </c>
      <c r="W132" s="15" t="n">
        <f aca="false">U132+V132</f>
        <v>350</v>
      </c>
    </row>
    <row r="133" customFormat="false" ht="15" hidden="false" customHeight="false" outlineLevel="0" collapsed="false">
      <c r="A133" s="3" t="s">
        <v>3355</v>
      </c>
      <c r="B133" s="3" t="s">
        <v>3199</v>
      </c>
      <c r="C133" s="3" t="s">
        <v>1170</v>
      </c>
      <c r="D133" s="3" t="s">
        <v>352</v>
      </c>
      <c r="E133" s="13" t="n">
        <v>1205000</v>
      </c>
      <c r="F133" s="13" t="n">
        <v>15640.99</v>
      </c>
      <c r="G133" s="13" t="n">
        <v>1955.12</v>
      </c>
      <c r="H133" s="13" t="n">
        <v>1955.12</v>
      </c>
      <c r="I133" s="13" t="n">
        <f aca="false">SUM(K133:T133)</f>
        <v>11730.7</v>
      </c>
      <c r="J133" s="13" t="n">
        <f aca="false">F133-(G133+H133+I133)</f>
        <v>0.0500000000010914</v>
      </c>
      <c r="K133" s="13" t="n">
        <v>1173.07</v>
      </c>
      <c r="L133" s="13" t="n">
        <v>1173.07</v>
      </c>
      <c r="M133" s="13" t="n">
        <v>1173.07</v>
      </c>
      <c r="N133" s="13" t="n">
        <v>1173.07</v>
      </c>
      <c r="O133" s="13" t="n">
        <v>1173.07</v>
      </c>
      <c r="P133" s="13" t="n">
        <v>1173.07</v>
      </c>
      <c r="Q133" s="13" t="n">
        <v>1173.07</v>
      </c>
      <c r="R133" s="13" t="n">
        <v>1173.07</v>
      </c>
      <c r="S133" s="13" t="n">
        <v>1173.07</v>
      </c>
      <c r="T133" s="13" t="n">
        <v>1173.07</v>
      </c>
      <c r="U133" s="13" t="n">
        <v>350</v>
      </c>
      <c r="V133" s="13" t="n">
        <v>250</v>
      </c>
      <c r="W133" s="13" t="n">
        <f aca="false">U133+V133</f>
        <v>600</v>
      </c>
    </row>
    <row r="134" customFormat="false" ht="15" hidden="false" customHeight="false" outlineLevel="0" collapsed="false">
      <c r="A134" s="14" t="s">
        <v>3356</v>
      </c>
      <c r="B134" s="14" t="s">
        <v>3208</v>
      </c>
      <c r="C134" s="14" t="s">
        <v>289</v>
      </c>
      <c r="D134" s="14" t="s">
        <v>125</v>
      </c>
      <c r="E134" s="15" t="n">
        <v>300000</v>
      </c>
      <c r="F134" s="15" t="n">
        <v>3101.43</v>
      </c>
      <c r="G134" s="15" t="n">
        <v>387.68</v>
      </c>
      <c r="H134" s="15" t="n">
        <v>387.68</v>
      </c>
      <c r="I134" s="15" t="n">
        <f aca="false">SUM(K134:T134)</f>
        <v>2326.1</v>
      </c>
      <c r="J134" s="15" t="n">
        <f aca="false">F134-(G134+H134+I134)</f>
        <v>-0.0300000000006548</v>
      </c>
      <c r="K134" s="15" t="n">
        <v>232.61</v>
      </c>
      <c r="L134" s="15" t="n">
        <v>232.61</v>
      </c>
      <c r="M134" s="15" t="n">
        <v>232.61</v>
      </c>
      <c r="N134" s="15" t="n">
        <v>232.61</v>
      </c>
      <c r="O134" s="15" t="n">
        <v>232.61</v>
      </c>
      <c r="P134" s="15" t="n">
        <v>232.61</v>
      </c>
      <c r="Q134" s="15" t="n">
        <v>232.61</v>
      </c>
      <c r="R134" s="15" t="n">
        <v>232.61</v>
      </c>
      <c r="S134" s="15" t="n">
        <v>232.61</v>
      </c>
      <c r="T134" s="15" t="n">
        <v>232.61</v>
      </c>
      <c r="U134" s="15" t="n">
        <v>350</v>
      </c>
      <c r="V134" s="15" t="n">
        <v>0</v>
      </c>
      <c r="W134" s="15" t="n">
        <f aca="false">U134+V134</f>
        <v>350</v>
      </c>
    </row>
    <row r="135" customFormat="false" ht="15" hidden="false" customHeight="false" outlineLevel="0" collapsed="false">
      <c r="A135" s="3" t="s">
        <v>3357</v>
      </c>
      <c r="B135" s="3" t="s">
        <v>3218</v>
      </c>
      <c r="C135" s="3" t="s">
        <v>850</v>
      </c>
      <c r="D135" s="3" t="s">
        <v>230</v>
      </c>
      <c r="E135" s="13" t="n">
        <v>650000</v>
      </c>
      <c r="F135" s="13" t="n">
        <v>7219.09</v>
      </c>
      <c r="G135" s="13" t="n">
        <v>902.39</v>
      </c>
      <c r="H135" s="13" t="n">
        <v>902.39</v>
      </c>
      <c r="I135" s="13" t="n">
        <f aca="false">SUM(K135:T135)</f>
        <v>5414.3</v>
      </c>
      <c r="J135" s="13" t="n">
        <f aca="false">F135-(G135+H135+I135)</f>
        <v>0.0100000000002183</v>
      </c>
      <c r="K135" s="13" t="n">
        <v>541.43</v>
      </c>
      <c r="L135" s="13" t="n">
        <v>541.43</v>
      </c>
      <c r="M135" s="13" t="n">
        <v>541.43</v>
      </c>
      <c r="N135" s="13" t="n">
        <v>541.43</v>
      </c>
      <c r="O135" s="13" t="n">
        <v>541.43</v>
      </c>
      <c r="P135" s="13" t="n">
        <v>541.43</v>
      </c>
      <c r="Q135" s="13" t="n">
        <v>541.43</v>
      </c>
      <c r="R135" s="13" t="n">
        <v>541.43</v>
      </c>
      <c r="S135" s="13" t="n">
        <v>541.43</v>
      </c>
      <c r="T135" s="13" t="n">
        <v>541.43</v>
      </c>
      <c r="U135" s="13" t="n">
        <v>350</v>
      </c>
      <c r="V135" s="13" t="n">
        <v>0</v>
      </c>
      <c r="W135" s="13" t="n">
        <f aca="false">U135+V135</f>
        <v>350</v>
      </c>
    </row>
    <row r="136" customFormat="false" ht="15" hidden="false" customHeight="false" outlineLevel="0" collapsed="false">
      <c r="A136" s="14" t="s">
        <v>3358</v>
      </c>
      <c r="B136" s="14" t="s">
        <v>3245</v>
      </c>
      <c r="C136" s="14" t="s">
        <v>749</v>
      </c>
      <c r="D136" s="14" t="s">
        <v>115</v>
      </c>
      <c r="E136" s="15" t="n">
        <v>1705000</v>
      </c>
      <c r="F136" s="15" t="n">
        <v>17773.37</v>
      </c>
      <c r="G136" s="15" t="n">
        <v>2221.67</v>
      </c>
      <c r="H136" s="15" t="n">
        <v>2221.67</v>
      </c>
      <c r="I136" s="15" t="n">
        <f aca="false">SUM(K136:T136)</f>
        <v>13330</v>
      </c>
      <c r="J136" s="15" t="n">
        <f aca="false">F136-(G136+H136+I136)</f>
        <v>0.0299999999988358</v>
      </c>
      <c r="K136" s="15" t="n">
        <v>1333</v>
      </c>
      <c r="L136" s="15" t="n">
        <v>1333</v>
      </c>
      <c r="M136" s="15" t="n">
        <v>1333</v>
      </c>
      <c r="N136" s="15" t="n">
        <v>1333</v>
      </c>
      <c r="O136" s="15" t="n">
        <v>1333</v>
      </c>
      <c r="P136" s="15" t="n">
        <v>1333</v>
      </c>
      <c r="Q136" s="15" t="n">
        <v>1333</v>
      </c>
      <c r="R136" s="15" t="n">
        <v>1333</v>
      </c>
      <c r="S136" s="15" t="n">
        <v>1333</v>
      </c>
      <c r="T136" s="15" t="n">
        <v>1333</v>
      </c>
      <c r="U136" s="15" t="n">
        <v>350</v>
      </c>
      <c r="V136" s="15" t="n">
        <v>250</v>
      </c>
      <c r="W136" s="15" t="n">
        <f aca="false">U136+V136</f>
        <v>600</v>
      </c>
    </row>
    <row r="137" customFormat="false" ht="15" hidden="false" customHeight="false" outlineLevel="0" collapsed="false">
      <c r="A137" s="3" t="s">
        <v>3359</v>
      </c>
      <c r="B137" s="3" t="s">
        <v>3197</v>
      </c>
      <c r="C137" s="3" t="s">
        <v>92</v>
      </c>
      <c r="D137" s="3" t="s">
        <v>352</v>
      </c>
      <c r="E137" s="13" t="n">
        <v>1085000</v>
      </c>
      <c r="F137" s="13" t="n">
        <v>14083.39</v>
      </c>
      <c r="G137" s="13" t="n">
        <v>1760.42</v>
      </c>
      <c r="H137" s="13" t="n">
        <v>1760.42</v>
      </c>
      <c r="I137" s="13" t="n">
        <f aca="false">SUM(K137:T137)</f>
        <v>10562.5</v>
      </c>
      <c r="J137" s="13" t="n">
        <f aca="false">F137-(G137+H137+I137)</f>
        <v>0.0499999999992724</v>
      </c>
      <c r="K137" s="13" t="n">
        <v>1056.25</v>
      </c>
      <c r="L137" s="13" t="n">
        <v>1056.25</v>
      </c>
      <c r="M137" s="13" t="n">
        <v>1056.25</v>
      </c>
      <c r="N137" s="13" t="n">
        <v>1056.25</v>
      </c>
      <c r="O137" s="13" t="n">
        <v>1056.25</v>
      </c>
      <c r="P137" s="13" t="n">
        <v>1056.25</v>
      </c>
      <c r="Q137" s="13" t="n">
        <v>1056.25</v>
      </c>
      <c r="R137" s="13" t="n">
        <v>1056.25</v>
      </c>
      <c r="S137" s="13" t="n">
        <v>1056.25</v>
      </c>
      <c r="T137" s="13" t="n">
        <v>1056.25</v>
      </c>
      <c r="U137" s="13" t="n">
        <v>350</v>
      </c>
      <c r="V137" s="13" t="n">
        <v>250</v>
      </c>
      <c r="W137" s="13" t="n">
        <f aca="false">U137+V137</f>
        <v>600</v>
      </c>
    </row>
    <row r="138" customFormat="false" ht="15" hidden="false" customHeight="false" outlineLevel="0" collapsed="false">
      <c r="A138" s="14" t="s">
        <v>3360</v>
      </c>
      <c r="B138" s="14" t="s">
        <v>3280</v>
      </c>
      <c r="C138" s="14" t="s">
        <v>1478</v>
      </c>
      <c r="D138" s="14" t="s">
        <v>132</v>
      </c>
      <c r="E138" s="15" t="n">
        <v>630000</v>
      </c>
      <c r="F138" s="15" t="n">
        <v>5879.81</v>
      </c>
      <c r="G138" s="15" t="n">
        <v>734.98</v>
      </c>
      <c r="H138" s="15" t="n">
        <v>734.98</v>
      </c>
      <c r="I138" s="15" t="n">
        <f aca="false">SUM(K138:T138)</f>
        <v>4409.9</v>
      </c>
      <c r="J138" s="15" t="n">
        <f aca="false">F138-(G138+H138+I138)</f>
        <v>-0.0499999999992724</v>
      </c>
      <c r="K138" s="15" t="n">
        <v>440.99</v>
      </c>
      <c r="L138" s="15" t="n">
        <v>440.99</v>
      </c>
      <c r="M138" s="15" t="n">
        <v>440.99</v>
      </c>
      <c r="N138" s="15" t="n">
        <v>440.99</v>
      </c>
      <c r="O138" s="15" t="n">
        <v>440.99</v>
      </c>
      <c r="P138" s="15" t="n">
        <v>440.99</v>
      </c>
      <c r="Q138" s="15" t="n">
        <v>440.99</v>
      </c>
      <c r="R138" s="15" t="n">
        <v>440.99</v>
      </c>
      <c r="S138" s="15" t="n">
        <v>440.99</v>
      </c>
      <c r="T138" s="15" t="n">
        <v>440.99</v>
      </c>
      <c r="U138" s="15" t="n">
        <v>350</v>
      </c>
      <c r="V138" s="15" t="n">
        <v>0</v>
      </c>
      <c r="W138" s="15" t="n">
        <f aca="false">U138+V138</f>
        <v>350</v>
      </c>
    </row>
    <row r="139" customFormat="false" ht="15" hidden="false" customHeight="false" outlineLevel="0" collapsed="false">
      <c r="A139" s="3" t="s">
        <v>3361</v>
      </c>
      <c r="B139" s="3" t="s">
        <v>3266</v>
      </c>
      <c r="C139" s="3" t="s">
        <v>3267</v>
      </c>
      <c r="D139" s="3" t="s">
        <v>73</v>
      </c>
      <c r="E139" s="13" t="n">
        <v>1950000</v>
      </c>
      <c r="F139" s="13" t="n">
        <v>11138.03</v>
      </c>
      <c r="G139" s="13" t="n">
        <v>1392.25</v>
      </c>
      <c r="H139" s="13" t="n">
        <v>1392.25</v>
      </c>
      <c r="I139" s="13" t="n">
        <f aca="false">SUM(K139:T139)</f>
        <v>8353.5</v>
      </c>
      <c r="J139" s="13" t="n">
        <f aca="false">F139-(G139+H139+I139)</f>
        <v>0.0300000000006548</v>
      </c>
      <c r="K139" s="13" t="n">
        <v>835.35</v>
      </c>
      <c r="L139" s="13" t="n">
        <v>835.35</v>
      </c>
      <c r="M139" s="13" t="n">
        <v>835.35</v>
      </c>
      <c r="N139" s="13" t="n">
        <v>835.35</v>
      </c>
      <c r="O139" s="13" t="n">
        <v>835.35</v>
      </c>
      <c r="P139" s="13" t="n">
        <v>835.35</v>
      </c>
      <c r="Q139" s="13" t="n">
        <v>835.35</v>
      </c>
      <c r="R139" s="13" t="n">
        <v>835.35</v>
      </c>
      <c r="S139" s="13" t="n">
        <v>835.35</v>
      </c>
      <c r="T139" s="13" t="n">
        <v>835.35</v>
      </c>
      <c r="U139" s="13" t="n">
        <v>350</v>
      </c>
      <c r="V139" s="13" t="n">
        <v>250</v>
      </c>
      <c r="W139" s="13" t="n">
        <f aca="false">U139+V139</f>
        <v>600</v>
      </c>
    </row>
    <row r="140" customFormat="false" ht="15" hidden="false" customHeight="false" outlineLevel="0" collapsed="false">
      <c r="A140" s="14" t="s">
        <v>3362</v>
      </c>
      <c r="B140" s="14" t="s">
        <v>3218</v>
      </c>
      <c r="C140" s="14" t="s">
        <v>211</v>
      </c>
      <c r="D140" s="14" t="s">
        <v>698</v>
      </c>
      <c r="E140" s="15" t="n">
        <v>370000</v>
      </c>
      <c r="F140" s="15" t="n">
        <v>5458.74</v>
      </c>
      <c r="G140" s="15" t="n">
        <v>682.34</v>
      </c>
      <c r="H140" s="15" t="n">
        <v>682.34</v>
      </c>
      <c r="I140" s="15" t="n">
        <f aca="false">SUM(K140:T140)</f>
        <v>4094.1</v>
      </c>
      <c r="J140" s="15" t="n">
        <f aca="false">F140-(G140+H140+I140)</f>
        <v>-0.0399999999999636</v>
      </c>
      <c r="K140" s="15" t="n">
        <v>409.41</v>
      </c>
      <c r="L140" s="15" t="n">
        <v>409.41</v>
      </c>
      <c r="M140" s="15" t="n">
        <v>409.41</v>
      </c>
      <c r="N140" s="15" t="n">
        <v>409.41</v>
      </c>
      <c r="O140" s="15" t="n">
        <v>409.41</v>
      </c>
      <c r="P140" s="15" t="n">
        <v>409.41</v>
      </c>
      <c r="Q140" s="15" t="n">
        <v>409.41</v>
      </c>
      <c r="R140" s="15" t="n">
        <v>409.41</v>
      </c>
      <c r="S140" s="15" t="n">
        <v>409.41</v>
      </c>
      <c r="T140" s="15" t="n">
        <v>409.41</v>
      </c>
      <c r="U140" s="15" t="n">
        <v>350</v>
      </c>
      <c r="V140" s="15" t="n">
        <v>0</v>
      </c>
      <c r="W140" s="15" t="n">
        <f aca="false">U140+V140</f>
        <v>350</v>
      </c>
    </row>
    <row r="141" customFormat="false" ht="15" hidden="false" customHeight="false" outlineLevel="0" collapsed="false">
      <c r="A141" s="3" t="s">
        <v>3363</v>
      </c>
      <c r="B141" s="3" t="s">
        <v>3195</v>
      </c>
      <c r="C141" s="3" t="s">
        <v>1578</v>
      </c>
      <c r="D141" s="3" t="s">
        <v>338</v>
      </c>
      <c r="E141" s="13" t="n">
        <v>925000</v>
      </c>
      <c r="F141" s="13" t="n">
        <v>10704.97</v>
      </c>
      <c r="G141" s="13" t="n">
        <v>1338.12</v>
      </c>
      <c r="H141" s="13" t="n">
        <v>1338.12</v>
      </c>
      <c r="I141" s="13" t="n">
        <f aca="false">SUM(K141:T141)</f>
        <v>8028.7</v>
      </c>
      <c r="J141" s="13" t="n">
        <f aca="false">F141-(G141+H141+I141)</f>
        <v>0.0300000000006548</v>
      </c>
      <c r="K141" s="13" t="n">
        <v>802.87</v>
      </c>
      <c r="L141" s="13" t="n">
        <v>802.87</v>
      </c>
      <c r="M141" s="13" t="n">
        <v>802.87</v>
      </c>
      <c r="N141" s="13" t="n">
        <v>802.87</v>
      </c>
      <c r="O141" s="13" t="n">
        <v>802.87</v>
      </c>
      <c r="P141" s="13" t="n">
        <v>802.87</v>
      </c>
      <c r="Q141" s="13" t="n">
        <v>802.87</v>
      </c>
      <c r="R141" s="13" t="n">
        <v>802.87</v>
      </c>
      <c r="S141" s="13" t="n">
        <v>802.87</v>
      </c>
      <c r="T141" s="13" t="n">
        <v>802.87</v>
      </c>
      <c r="U141" s="13" t="n">
        <v>350</v>
      </c>
      <c r="V141" s="13" t="n">
        <v>0</v>
      </c>
      <c r="W141" s="13" t="n">
        <f aca="false">U141+V141</f>
        <v>350</v>
      </c>
    </row>
    <row r="142" customFormat="false" ht="15" hidden="false" customHeight="false" outlineLevel="0" collapsed="false">
      <c r="A142" s="14" t="s">
        <v>3364</v>
      </c>
      <c r="B142" s="14" t="s">
        <v>3203</v>
      </c>
      <c r="C142" s="14" t="s">
        <v>474</v>
      </c>
      <c r="D142" s="14" t="s">
        <v>157</v>
      </c>
      <c r="E142" s="15" t="n">
        <v>740000</v>
      </c>
      <c r="F142" s="15" t="n">
        <v>9807.14</v>
      </c>
      <c r="G142" s="15" t="n">
        <v>1225.89</v>
      </c>
      <c r="H142" s="15" t="n">
        <v>1225.89</v>
      </c>
      <c r="I142" s="15" t="n">
        <f aca="false">SUM(K142:T142)</f>
        <v>7355.4</v>
      </c>
      <c r="J142" s="15" t="n">
        <f aca="false">F142-(G142+H142+I142)</f>
        <v>-0.0400000000008731</v>
      </c>
      <c r="K142" s="15" t="n">
        <v>735.54</v>
      </c>
      <c r="L142" s="15" t="n">
        <v>735.54</v>
      </c>
      <c r="M142" s="15" t="n">
        <v>735.54</v>
      </c>
      <c r="N142" s="15" t="n">
        <v>735.54</v>
      </c>
      <c r="O142" s="15" t="n">
        <v>735.54</v>
      </c>
      <c r="P142" s="15" t="n">
        <v>735.54</v>
      </c>
      <c r="Q142" s="15" t="n">
        <v>735.54</v>
      </c>
      <c r="R142" s="15" t="n">
        <v>735.54</v>
      </c>
      <c r="S142" s="15" t="n">
        <v>735.54</v>
      </c>
      <c r="T142" s="15" t="n">
        <v>735.54</v>
      </c>
      <c r="U142" s="15" t="n">
        <v>350</v>
      </c>
      <c r="V142" s="15" t="n">
        <v>0</v>
      </c>
      <c r="W142" s="15" t="n">
        <f aca="false">U142+V142</f>
        <v>350</v>
      </c>
    </row>
    <row r="143" customFormat="false" ht="15" hidden="false" customHeight="false" outlineLevel="0" collapsed="false">
      <c r="A143" s="3" t="s">
        <v>3365</v>
      </c>
      <c r="B143" s="3" t="s">
        <v>3312</v>
      </c>
      <c r="C143" s="3" t="s">
        <v>356</v>
      </c>
      <c r="D143" s="3" t="s">
        <v>99</v>
      </c>
      <c r="E143" s="13" t="n">
        <v>435000</v>
      </c>
      <c r="F143" s="13" t="n">
        <v>4077.35</v>
      </c>
      <c r="G143" s="13" t="n">
        <v>509.67</v>
      </c>
      <c r="H143" s="13" t="n">
        <v>509.67</v>
      </c>
      <c r="I143" s="13" t="n">
        <f aca="false">SUM(K143:T143)</f>
        <v>3058</v>
      </c>
      <c r="J143" s="13" t="n">
        <f aca="false">F143-(G143+H143+I143)</f>
        <v>0.00999999999930878</v>
      </c>
      <c r="K143" s="13" t="n">
        <v>305.8</v>
      </c>
      <c r="L143" s="13" t="n">
        <v>305.8</v>
      </c>
      <c r="M143" s="13" t="n">
        <v>305.8</v>
      </c>
      <c r="N143" s="13" t="n">
        <v>305.8</v>
      </c>
      <c r="O143" s="13" t="n">
        <v>305.8</v>
      </c>
      <c r="P143" s="13" t="n">
        <v>305.8</v>
      </c>
      <c r="Q143" s="13" t="n">
        <v>305.8</v>
      </c>
      <c r="R143" s="13" t="n">
        <v>305.8</v>
      </c>
      <c r="S143" s="13" t="n">
        <v>305.8</v>
      </c>
      <c r="T143" s="13" t="n">
        <v>305.8</v>
      </c>
      <c r="U143" s="13" t="n">
        <v>350</v>
      </c>
      <c r="V143" s="13" t="n">
        <v>0</v>
      </c>
      <c r="W143" s="13" t="n">
        <f aca="false">U143+V143</f>
        <v>350</v>
      </c>
    </row>
    <row r="144" customFormat="false" ht="15" hidden="false" customHeight="false" outlineLevel="0" collapsed="false">
      <c r="A144" s="14" t="s">
        <v>3366</v>
      </c>
      <c r="B144" s="14" t="s">
        <v>3312</v>
      </c>
      <c r="C144" s="14" t="s">
        <v>327</v>
      </c>
      <c r="D144" s="14" t="s">
        <v>325</v>
      </c>
      <c r="E144" s="15" t="n">
        <v>880000</v>
      </c>
      <c r="F144" s="15" t="n">
        <v>11334.01</v>
      </c>
      <c r="G144" s="15" t="n">
        <v>1416.75</v>
      </c>
      <c r="H144" s="15" t="n">
        <v>1416.75</v>
      </c>
      <c r="I144" s="15" t="n">
        <f aca="false">SUM(K144:T144)</f>
        <v>8500.5</v>
      </c>
      <c r="J144" s="15" t="n">
        <f aca="false">F144-(G144+H144+I144)</f>
        <v>0.0100000000002183</v>
      </c>
      <c r="K144" s="15" t="n">
        <v>850.05</v>
      </c>
      <c r="L144" s="15" t="n">
        <v>850.05</v>
      </c>
      <c r="M144" s="15" t="n">
        <v>850.05</v>
      </c>
      <c r="N144" s="15" t="n">
        <v>850.05</v>
      </c>
      <c r="O144" s="15" t="n">
        <v>850.05</v>
      </c>
      <c r="P144" s="15" t="n">
        <v>850.05</v>
      </c>
      <c r="Q144" s="15" t="n">
        <v>850.05</v>
      </c>
      <c r="R144" s="15" t="n">
        <v>850.05</v>
      </c>
      <c r="S144" s="15" t="n">
        <v>850.05</v>
      </c>
      <c r="T144" s="15" t="n">
        <v>850.05</v>
      </c>
      <c r="U144" s="15" t="n">
        <v>350</v>
      </c>
      <c r="V144" s="15" t="n">
        <v>0</v>
      </c>
      <c r="W144" s="15" t="n">
        <f aca="false">U144+V144</f>
        <v>350</v>
      </c>
    </row>
    <row r="145" customFormat="false" ht="15" hidden="false" customHeight="false" outlineLevel="0" collapsed="false">
      <c r="A145" s="3" t="s">
        <v>3367</v>
      </c>
      <c r="B145" s="3" t="s">
        <v>3227</v>
      </c>
      <c r="C145" s="3" t="s">
        <v>664</v>
      </c>
      <c r="D145" s="3" t="s">
        <v>77</v>
      </c>
      <c r="E145" s="13" t="n">
        <v>335000</v>
      </c>
      <c r="F145" s="13" t="n">
        <v>4581.62</v>
      </c>
      <c r="G145" s="13" t="n">
        <v>572.7</v>
      </c>
      <c r="H145" s="13" t="n">
        <v>572.7</v>
      </c>
      <c r="I145" s="13" t="n">
        <f aca="false">SUM(K145:T145)</f>
        <v>3436.2</v>
      </c>
      <c r="J145" s="13" t="n">
        <f aca="false">F145-(G145+H145+I145)</f>
        <v>0.0199999999995271</v>
      </c>
      <c r="K145" s="13" t="n">
        <v>343.62</v>
      </c>
      <c r="L145" s="13" t="n">
        <v>343.62</v>
      </c>
      <c r="M145" s="13" t="n">
        <v>343.62</v>
      </c>
      <c r="N145" s="13" t="n">
        <v>343.62</v>
      </c>
      <c r="O145" s="13" t="n">
        <v>343.62</v>
      </c>
      <c r="P145" s="13" t="n">
        <v>343.62</v>
      </c>
      <c r="Q145" s="13" t="n">
        <v>343.62</v>
      </c>
      <c r="R145" s="13" t="n">
        <v>343.62</v>
      </c>
      <c r="S145" s="13" t="n">
        <v>343.62</v>
      </c>
      <c r="T145" s="13" t="n">
        <v>343.62</v>
      </c>
      <c r="U145" s="13" t="n">
        <v>350</v>
      </c>
      <c r="V145" s="13" t="n">
        <v>0</v>
      </c>
      <c r="W145" s="13" t="n">
        <f aca="false">U145+V145</f>
        <v>350</v>
      </c>
    </row>
    <row r="146" customFormat="false" ht="15" hidden="false" customHeight="false" outlineLevel="0" collapsed="false">
      <c r="A146" s="14" t="s">
        <v>3368</v>
      </c>
      <c r="B146" s="14" t="s">
        <v>3266</v>
      </c>
      <c r="C146" s="14" t="s">
        <v>381</v>
      </c>
      <c r="D146" s="14" t="s">
        <v>69</v>
      </c>
      <c r="E146" s="15" t="n">
        <v>1160000</v>
      </c>
      <c r="F146" s="15" t="n">
        <v>12924.94</v>
      </c>
      <c r="G146" s="15" t="n">
        <v>1615.62</v>
      </c>
      <c r="H146" s="15" t="n">
        <v>1615.62</v>
      </c>
      <c r="I146" s="15" t="n">
        <f aca="false">SUM(K146:T146)</f>
        <v>9693.7</v>
      </c>
      <c r="J146" s="15" t="n">
        <f aca="false">F146-(G146+H146+I146)</f>
        <v>0</v>
      </c>
      <c r="K146" s="15" t="n">
        <v>969.37</v>
      </c>
      <c r="L146" s="15" t="n">
        <v>969.37</v>
      </c>
      <c r="M146" s="15" t="n">
        <v>969.37</v>
      </c>
      <c r="N146" s="15" t="n">
        <v>969.37</v>
      </c>
      <c r="O146" s="15" t="n">
        <v>969.37</v>
      </c>
      <c r="P146" s="15" t="n">
        <v>969.37</v>
      </c>
      <c r="Q146" s="15" t="n">
        <v>969.37</v>
      </c>
      <c r="R146" s="15" t="n">
        <v>969.37</v>
      </c>
      <c r="S146" s="15" t="n">
        <v>969.37</v>
      </c>
      <c r="T146" s="15" t="n">
        <v>969.37</v>
      </c>
      <c r="U146" s="15" t="n">
        <v>350</v>
      </c>
      <c r="V146" s="15" t="n">
        <v>250</v>
      </c>
      <c r="W146" s="15" t="n">
        <f aca="false">U146+V146</f>
        <v>600</v>
      </c>
    </row>
    <row r="147" customFormat="false" ht="15" hidden="false" customHeight="false" outlineLevel="0" collapsed="false">
      <c r="A147" s="3" t="s">
        <v>3369</v>
      </c>
      <c r="B147" s="3" t="s">
        <v>3237</v>
      </c>
      <c r="C147" s="3" t="s">
        <v>137</v>
      </c>
      <c r="D147" s="3" t="s">
        <v>406</v>
      </c>
      <c r="E147" s="13" t="n">
        <v>415000</v>
      </c>
      <c r="F147" s="13" t="n">
        <v>4156.25</v>
      </c>
      <c r="G147" s="13" t="n">
        <v>519.53</v>
      </c>
      <c r="H147" s="13" t="n">
        <v>519.53</v>
      </c>
      <c r="I147" s="13" t="n">
        <f aca="false">SUM(K147:T147)</f>
        <v>3117.2</v>
      </c>
      <c r="J147" s="13" t="n">
        <f aca="false">F147-(G147+H147+I147)</f>
        <v>-0.0100000000002183</v>
      </c>
      <c r="K147" s="13" t="n">
        <v>311.72</v>
      </c>
      <c r="L147" s="13" t="n">
        <v>311.72</v>
      </c>
      <c r="M147" s="13" t="n">
        <v>311.72</v>
      </c>
      <c r="N147" s="13" t="n">
        <v>311.72</v>
      </c>
      <c r="O147" s="13" t="n">
        <v>311.72</v>
      </c>
      <c r="P147" s="13" t="n">
        <v>311.72</v>
      </c>
      <c r="Q147" s="13" t="n">
        <v>311.72</v>
      </c>
      <c r="R147" s="13" t="n">
        <v>311.72</v>
      </c>
      <c r="S147" s="13" t="n">
        <v>311.72</v>
      </c>
      <c r="T147" s="13" t="n">
        <v>311.72</v>
      </c>
      <c r="U147" s="13" t="n">
        <v>350</v>
      </c>
      <c r="V147" s="13" t="n">
        <v>0</v>
      </c>
      <c r="W147" s="13" t="n">
        <f aca="false">U147+V147</f>
        <v>350</v>
      </c>
    </row>
    <row r="148" customFormat="false" ht="15" hidden="false" customHeight="false" outlineLevel="0" collapsed="false">
      <c r="A148" s="14" t="s">
        <v>3370</v>
      </c>
      <c r="B148" s="14" t="s">
        <v>3221</v>
      </c>
      <c r="C148" s="14" t="s">
        <v>917</v>
      </c>
      <c r="D148" s="14" t="s">
        <v>112</v>
      </c>
      <c r="E148" s="15" t="n">
        <v>460000</v>
      </c>
      <c r="F148" s="15" t="n">
        <v>4705.99</v>
      </c>
      <c r="G148" s="15" t="n">
        <v>588.25</v>
      </c>
      <c r="H148" s="15" t="n">
        <v>588.25</v>
      </c>
      <c r="I148" s="15" t="n">
        <f aca="false">SUM(K148:T148)</f>
        <v>3529.5</v>
      </c>
      <c r="J148" s="15" t="n">
        <f aca="false">F148-(G148+H148+I148)</f>
        <v>-0.0100000000002183</v>
      </c>
      <c r="K148" s="15" t="n">
        <v>352.95</v>
      </c>
      <c r="L148" s="15" t="n">
        <v>352.95</v>
      </c>
      <c r="M148" s="15" t="n">
        <v>352.95</v>
      </c>
      <c r="N148" s="15" t="n">
        <v>352.95</v>
      </c>
      <c r="O148" s="15" t="n">
        <v>352.95</v>
      </c>
      <c r="P148" s="15" t="n">
        <v>352.95</v>
      </c>
      <c r="Q148" s="15" t="n">
        <v>352.95</v>
      </c>
      <c r="R148" s="15" t="n">
        <v>352.95</v>
      </c>
      <c r="S148" s="15" t="n">
        <v>352.95</v>
      </c>
      <c r="T148" s="15" t="n">
        <v>352.95</v>
      </c>
      <c r="U148" s="15" t="n">
        <v>350</v>
      </c>
      <c r="V148" s="15" t="n">
        <v>0</v>
      </c>
      <c r="W148" s="15" t="n">
        <f aca="false">U148+V148</f>
        <v>350</v>
      </c>
    </row>
    <row r="149" customFormat="false" ht="15" hidden="false" customHeight="false" outlineLevel="0" collapsed="false">
      <c r="A149" s="3" t="s">
        <v>3371</v>
      </c>
      <c r="B149" s="3" t="s">
        <v>3245</v>
      </c>
      <c r="C149" s="3" t="s">
        <v>797</v>
      </c>
      <c r="D149" s="3" t="s">
        <v>99</v>
      </c>
      <c r="E149" s="13" t="n">
        <v>285000</v>
      </c>
      <c r="F149" s="13" t="n">
        <v>4897.51</v>
      </c>
      <c r="G149" s="13" t="n">
        <v>612.19</v>
      </c>
      <c r="H149" s="13" t="n">
        <v>612.19</v>
      </c>
      <c r="I149" s="13" t="n">
        <f aca="false">SUM(K149:T149)</f>
        <v>3673.1</v>
      </c>
      <c r="J149" s="13" t="n">
        <f aca="false">F149-(G149+H149+I149)</f>
        <v>0.0300000000006548</v>
      </c>
      <c r="K149" s="13" t="n">
        <v>367.31</v>
      </c>
      <c r="L149" s="13" t="n">
        <v>367.31</v>
      </c>
      <c r="M149" s="13" t="n">
        <v>367.31</v>
      </c>
      <c r="N149" s="13" t="n">
        <v>367.31</v>
      </c>
      <c r="O149" s="13" t="n">
        <v>367.31</v>
      </c>
      <c r="P149" s="13" t="n">
        <v>367.31</v>
      </c>
      <c r="Q149" s="13" t="n">
        <v>367.31</v>
      </c>
      <c r="R149" s="13" t="n">
        <v>367.31</v>
      </c>
      <c r="S149" s="13" t="n">
        <v>367.31</v>
      </c>
      <c r="T149" s="13" t="n">
        <v>367.31</v>
      </c>
      <c r="U149" s="13" t="n">
        <v>350</v>
      </c>
      <c r="V149" s="13" t="n">
        <v>0</v>
      </c>
      <c r="W149" s="13" t="n">
        <f aca="false">U149+V149</f>
        <v>350</v>
      </c>
    </row>
    <row r="150" customFormat="false" ht="15" hidden="false" customHeight="false" outlineLevel="0" collapsed="false">
      <c r="A150" s="14" t="s">
        <v>3372</v>
      </c>
      <c r="B150" s="14" t="s">
        <v>3208</v>
      </c>
      <c r="C150" s="14" t="s">
        <v>376</v>
      </c>
      <c r="D150" s="14" t="s">
        <v>911</v>
      </c>
      <c r="E150" s="15" t="n">
        <v>235000</v>
      </c>
      <c r="F150" s="15" t="n">
        <v>3352.65</v>
      </c>
      <c r="G150" s="15" t="n">
        <v>419.08</v>
      </c>
      <c r="H150" s="15" t="n">
        <v>419.08</v>
      </c>
      <c r="I150" s="15" t="n">
        <f aca="false">SUM(K150:T150)</f>
        <v>2514.5</v>
      </c>
      <c r="J150" s="15" t="n">
        <f aca="false">F150-(G150+H150+I150)</f>
        <v>-0.00999999999930878</v>
      </c>
      <c r="K150" s="15" t="n">
        <v>251.45</v>
      </c>
      <c r="L150" s="15" t="n">
        <v>251.45</v>
      </c>
      <c r="M150" s="15" t="n">
        <v>251.45</v>
      </c>
      <c r="N150" s="15" t="n">
        <v>251.45</v>
      </c>
      <c r="O150" s="15" t="n">
        <v>251.45</v>
      </c>
      <c r="P150" s="15" t="n">
        <v>251.45</v>
      </c>
      <c r="Q150" s="15" t="n">
        <v>251.45</v>
      </c>
      <c r="R150" s="15" t="n">
        <v>251.45</v>
      </c>
      <c r="S150" s="15" t="n">
        <v>251.45</v>
      </c>
      <c r="T150" s="15" t="n">
        <v>251.45</v>
      </c>
      <c r="U150" s="15" t="n">
        <v>350</v>
      </c>
      <c r="V150" s="15" t="n">
        <v>0</v>
      </c>
      <c r="W150" s="15" t="n">
        <f aca="false">U150+V150</f>
        <v>350</v>
      </c>
    </row>
    <row r="151" customFormat="false" ht="15" hidden="false" customHeight="false" outlineLevel="0" collapsed="false">
      <c r="A151" s="3" t="s">
        <v>3373</v>
      </c>
      <c r="B151" s="3" t="s">
        <v>3205</v>
      </c>
      <c r="C151" s="3" t="s">
        <v>1103</v>
      </c>
      <c r="D151" s="3" t="s">
        <v>132</v>
      </c>
      <c r="E151" s="13" t="n">
        <v>700000</v>
      </c>
      <c r="F151" s="13" t="n">
        <v>6533.12</v>
      </c>
      <c r="G151" s="13" t="n">
        <v>816.64</v>
      </c>
      <c r="H151" s="13" t="n">
        <v>816.64</v>
      </c>
      <c r="I151" s="13" t="n">
        <f aca="false">SUM(K151:T151)</f>
        <v>4899.8</v>
      </c>
      <c r="J151" s="13" t="n">
        <f aca="false">F151-(G151+H151+I151)</f>
        <v>0.0400000000008731</v>
      </c>
      <c r="K151" s="13" t="n">
        <v>489.98</v>
      </c>
      <c r="L151" s="13" t="n">
        <v>489.98</v>
      </c>
      <c r="M151" s="13" t="n">
        <v>489.98</v>
      </c>
      <c r="N151" s="13" t="n">
        <v>489.98</v>
      </c>
      <c r="O151" s="13" t="n">
        <v>489.98</v>
      </c>
      <c r="P151" s="13" t="n">
        <v>489.98</v>
      </c>
      <c r="Q151" s="13" t="n">
        <v>489.98</v>
      </c>
      <c r="R151" s="13" t="n">
        <v>489.98</v>
      </c>
      <c r="S151" s="13" t="n">
        <v>489.98</v>
      </c>
      <c r="T151" s="13" t="n">
        <v>489.98</v>
      </c>
      <c r="U151" s="13" t="n">
        <v>350</v>
      </c>
      <c r="V151" s="13" t="n">
        <v>0</v>
      </c>
      <c r="W151" s="13" t="n">
        <f aca="false">U151+V151</f>
        <v>350</v>
      </c>
    </row>
    <row r="152" customFormat="false" ht="15" hidden="false" customHeight="false" outlineLevel="0" collapsed="false">
      <c r="A152" s="14" t="s">
        <v>3374</v>
      </c>
      <c r="B152" s="14" t="s">
        <v>3199</v>
      </c>
      <c r="C152" s="14" t="s">
        <v>2621</v>
      </c>
      <c r="D152" s="14" t="s">
        <v>180</v>
      </c>
      <c r="E152" s="15" t="n">
        <v>1060000</v>
      </c>
      <c r="F152" s="15" t="n">
        <v>10128.91</v>
      </c>
      <c r="G152" s="15" t="n">
        <v>1266.11</v>
      </c>
      <c r="H152" s="15" t="n">
        <v>1266.11</v>
      </c>
      <c r="I152" s="15" t="n">
        <f aca="false">SUM(K152:T152)</f>
        <v>7596.7</v>
      </c>
      <c r="J152" s="15" t="n">
        <f aca="false">F152-(G152+H152+I152)</f>
        <v>-0.0100000000002183</v>
      </c>
      <c r="K152" s="15" t="n">
        <v>759.67</v>
      </c>
      <c r="L152" s="15" t="n">
        <v>759.67</v>
      </c>
      <c r="M152" s="15" t="n">
        <v>759.67</v>
      </c>
      <c r="N152" s="15" t="n">
        <v>759.67</v>
      </c>
      <c r="O152" s="15" t="n">
        <v>759.67</v>
      </c>
      <c r="P152" s="15" t="n">
        <v>759.67</v>
      </c>
      <c r="Q152" s="15" t="n">
        <v>759.67</v>
      </c>
      <c r="R152" s="15" t="n">
        <v>759.67</v>
      </c>
      <c r="S152" s="15" t="n">
        <v>759.67</v>
      </c>
      <c r="T152" s="15" t="n">
        <v>759.67</v>
      </c>
      <c r="U152" s="15" t="n">
        <v>350</v>
      </c>
      <c r="V152" s="15" t="n">
        <v>250</v>
      </c>
      <c r="W152" s="15" t="n">
        <f aca="false">U152+V152</f>
        <v>600</v>
      </c>
    </row>
    <row r="153" customFormat="false" ht="15" hidden="false" customHeight="false" outlineLevel="0" collapsed="false">
      <c r="A153" s="3" t="s">
        <v>3375</v>
      </c>
      <c r="B153" s="3" t="s">
        <v>3239</v>
      </c>
      <c r="C153" s="3" t="s">
        <v>450</v>
      </c>
      <c r="D153" s="3" t="s">
        <v>193</v>
      </c>
      <c r="E153" s="13" t="n">
        <v>600000</v>
      </c>
      <c r="F153" s="13" t="n">
        <v>6999.76</v>
      </c>
      <c r="G153" s="13" t="n">
        <v>874.97</v>
      </c>
      <c r="H153" s="13" t="n">
        <v>874.97</v>
      </c>
      <c r="I153" s="13" t="n">
        <f aca="false">SUM(K153:T153)</f>
        <v>5249.8</v>
      </c>
      <c r="J153" s="13" t="n">
        <f aca="false">F153-(G153+H153+I153)</f>
        <v>0.0200000000004366</v>
      </c>
      <c r="K153" s="13" t="n">
        <v>524.98</v>
      </c>
      <c r="L153" s="13" t="n">
        <v>524.98</v>
      </c>
      <c r="M153" s="13" t="n">
        <v>524.98</v>
      </c>
      <c r="N153" s="13" t="n">
        <v>524.98</v>
      </c>
      <c r="O153" s="13" t="n">
        <v>524.98</v>
      </c>
      <c r="P153" s="13" t="n">
        <v>524.98</v>
      </c>
      <c r="Q153" s="13" t="n">
        <v>524.98</v>
      </c>
      <c r="R153" s="13" t="n">
        <v>524.98</v>
      </c>
      <c r="S153" s="13" t="n">
        <v>524.98</v>
      </c>
      <c r="T153" s="13" t="n">
        <v>524.98</v>
      </c>
      <c r="U153" s="13" t="n">
        <v>350</v>
      </c>
      <c r="V153" s="13" t="n">
        <v>0</v>
      </c>
      <c r="W153" s="13" t="n">
        <f aca="false">U153+V153</f>
        <v>350</v>
      </c>
    </row>
    <row r="154" customFormat="false" ht="15" hidden="false" customHeight="false" outlineLevel="0" collapsed="false">
      <c r="A154" s="14" t="s">
        <v>3376</v>
      </c>
      <c r="B154" s="14" t="s">
        <v>3208</v>
      </c>
      <c r="C154" s="14" t="s">
        <v>137</v>
      </c>
      <c r="D154" s="14" t="s">
        <v>125</v>
      </c>
      <c r="E154" s="15" t="n">
        <v>380000</v>
      </c>
      <c r="F154" s="15" t="n">
        <v>3928.48</v>
      </c>
      <c r="G154" s="15" t="n">
        <v>491.06</v>
      </c>
      <c r="H154" s="15" t="n">
        <v>491.06</v>
      </c>
      <c r="I154" s="15" t="n">
        <f aca="false">SUM(K154:T154)</f>
        <v>2946.4</v>
      </c>
      <c r="J154" s="15" t="n">
        <f aca="false">F154-(G154+H154+I154)</f>
        <v>-0.0399999999995089</v>
      </c>
      <c r="K154" s="15" t="n">
        <v>294.64</v>
      </c>
      <c r="L154" s="15" t="n">
        <v>294.64</v>
      </c>
      <c r="M154" s="15" t="n">
        <v>294.64</v>
      </c>
      <c r="N154" s="15" t="n">
        <v>294.64</v>
      </c>
      <c r="O154" s="15" t="n">
        <v>294.64</v>
      </c>
      <c r="P154" s="15" t="n">
        <v>294.64</v>
      </c>
      <c r="Q154" s="15" t="n">
        <v>294.64</v>
      </c>
      <c r="R154" s="15" t="n">
        <v>294.64</v>
      </c>
      <c r="S154" s="15" t="n">
        <v>294.64</v>
      </c>
      <c r="T154" s="15" t="n">
        <v>294.64</v>
      </c>
      <c r="U154" s="15" t="n">
        <v>350</v>
      </c>
      <c r="V154" s="15" t="n">
        <v>0</v>
      </c>
      <c r="W154" s="15" t="n">
        <f aca="false">U154+V154</f>
        <v>350</v>
      </c>
    </row>
    <row r="155" customFormat="false" ht="15" hidden="false" customHeight="false" outlineLevel="0" collapsed="false">
      <c r="A155" s="3" t="s">
        <v>3377</v>
      </c>
      <c r="B155" s="3" t="s">
        <v>3227</v>
      </c>
      <c r="C155" s="3" t="s">
        <v>666</v>
      </c>
      <c r="D155" s="3" t="s">
        <v>93</v>
      </c>
      <c r="E155" s="13" t="n">
        <v>380000</v>
      </c>
      <c r="F155" s="13" t="n">
        <v>5237.98</v>
      </c>
      <c r="G155" s="13" t="n">
        <v>654.75</v>
      </c>
      <c r="H155" s="13" t="n">
        <v>654.75</v>
      </c>
      <c r="I155" s="13" t="n">
        <f aca="false">SUM(K155:T155)</f>
        <v>3928.5</v>
      </c>
      <c r="J155" s="13" t="n">
        <f aca="false">F155-(G155+H155+I155)</f>
        <v>-0.0200000000004366</v>
      </c>
      <c r="K155" s="13" t="n">
        <v>392.85</v>
      </c>
      <c r="L155" s="13" t="n">
        <v>392.85</v>
      </c>
      <c r="M155" s="13" t="n">
        <v>392.85</v>
      </c>
      <c r="N155" s="13" t="n">
        <v>392.85</v>
      </c>
      <c r="O155" s="13" t="n">
        <v>392.85</v>
      </c>
      <c r="P155" s="13" t="n">
        <v>392.85</v>
      </c>
      <c r="Q155" s="13" t="n">
        <v>392.85</v>
      </c>
      <c r="R155" s="13" t="n">
        <v>392.85</v>
      </c>
      <c r="S155" s="13" t="n">
        <v>392.85</v>
      </c>
      <c r="T155" s="13" t="n">
        <v>392.85</v>
      </c>
      <c r="U155" s="13" t="n">
        <v>350</v>
      </c>
      <c r="V155" s="13" t="n">
        <v>0</v>
      </c>
      <c r="W155" s="13" t="n">
        <f aca="false">U155+V155</f>
        <v>350</v>
      </c>
    </row>
    <row r="156" customFormat="false" ht="15" hidden="false" customHeight="false" outlineLevel="0" collapsed="false">
      <c r="A156" s="14" t="s">
        <v>3378</v>
      </c>
      <c r="B156" s="14" t="s">
        <v>3197</v>
      </c>
      <c r="C156" s="14" t="s">
        <v>2114</v>
      </c>
      <c r="D156" s="14" t="s">
        <v>125</v>
      </c>
      <c r="E156" s="15" t="n">
        <v>660000</v>
      </c>
      <c r="F156" s="15" t="n">
        <v>5913.4</v>
      </c>
      <c r="G156" s="15" t="n">
        <v>739.17</v>
      </c>
      <c r="H156" s="15" t="n">
        <v>739.17</v>
      </c>
      <c r="I156" s="15" t="n">
        <f aca="false">SUM(K156:T156)</f>
        <v>4435</v>
      </c>
      <c r="J156" s="15" t="n">
        <f aca="false">F156-(G156+H156+I156)</f>
        <v>0.0599999999994907</v>
      </c>
      <c r="K156" s="15" t="n">
        <v>443.5</v>
      </c>
      <c r="L156" s="15" t="n">
        <v>443.5</v>
      </c>
      <c r="M156" s="15" t="n">
        <v>443.5</v>
      </c>
      <c r="N156" s="15" t="n">
        <v>443.5</v>
      </c>
      <c r="O156" s="15" t="n">
        <v>443.5</v>
      </c>
      <c r="P156" s="15" t="n">
        <v>443.5</v>
      </c>
      <c r="Q156" s="15" t="n">
        <v>443.5</v>
      </c>
      <c r="R156" s="15" t="n">
        <v>443.5</v>
      </c>
      <c r="S156" s="15" t="n">
        <v>443.5</v>
      </c>
      <c r="T156" s="15" t="n">
        <v>443.5</v>
      </c>
      <c r="U156" s="15" t="n">
        <v>350</v>
      </c>
      <c r="V156" s="15" t="n">
        <v>0</v>
      </c>
      <c r="W156" s="15" t="n">
        <f aca="false">U156+V156</f>
        <v>350</v>
      </c>
    </row>
    <row r="157" customFormat="false" ht="15" hidden="false" customHeight="false" outlineLevel="0" collapsed="false">
      <c r="A157" s="3" t="s">
        <v>3379</v>
      </c>
      <c r="B157" s="3" t="s">
        <v>3241</v>
      </c>
      <c r="C157" s="3" t="s">
        <v>2114</v>
      </c>
      <c r="D157" s="3" t="s">
        <v>430</v>
      </c>
      <c r="E157" s="13" t="n">
        <v>440000</v>
      </c>
      <c r="F157" s="13" t="n">
        <v>4690.92</v>
      </c>
      <c r="G157" s="13" t="n">
        <v>586.37</v>
      </c>
      <c r="H157" s="13" t="n">
        <v>586.37</v>
      </c>
      <c r="I157" s="13" t="n">
        <f aca="false">SUM(K157:T157)</f>
        <v>3518.2</v>
      </c>
      <c r="J157" s="13" t="n">
        <f aca="false">F157-(G157+H157+I157)</f>
        <v>-0.0200000000004366</v>
      </c>
      <c r="K157" s="13" t="n">
        <v>351.82</v>
      </c>
      <c r="L157" s="13" t="n">
        <v>351.82</v>
      </c>
      <c r="M157" s="13" t="n">
        <v>351.82</v>
      </c>
      <c r="N157" s="13" t="n">
        <v>351.82</v>
      </c>
      <c r="O157" s="13" t="n">
        <v>351.82</v>
      </c>
      <c r="P157" s="13" t="n">
        <v>351.82</v>
      </c>
      <c r="Q157" s="13" t="n">
        <v>351.82</v>
      </c>
      <c r="R157" s="13" t="n">
        <v>351.82</v>
      </c>
      <c r="S157" s="13" t="n">
        <v>351.82</v>
      </c>
      <c r="T157" s="13" t="n">
        <v>351.82</v>
      </c>
      <c r="U157" s="13" t="n">
        <v>350</v>
      </c>
      <c r="V157" s="13" t="n">
        <v>0</v>
      </c>
      <c r="W157" s="13" t="n">
        <f aca="false">U157+V157</f>
        <v>350</v>
      </c>
    </row>
    <row r="158" customFormat="false" ht="15" hidden="false" customHeight="false" outlineLevel="0" collapsed="false">
      <c r="A158" s="14" t="s">
        <v>3380</v>
      </c>
      <c r="B158" s="14" t="s">
        <v>3213</v>
      </c>
      <c r="C158" s="14" t="s">
        <v>1779</v>
      </c>
      <c r="D158" s="14" t="s">
        <v>89</v>
      </c>
      <c r="E158" s="15" t="n">
        <v>610000</v>
      </c>
      <c r="F158" s="15" t="n">
        <v>7685.74</v>
      </c>
      <c r="G158" s="15" t="n">
        <v>960.72</v>
      </c>
      <c r="H158" s="15" t="n">
        <v>960.72</v>
      </c>
      <c r="I158" s="15" t="n">
        <f aca="false">SUM(K158:T158)</f>
        <v>5764.3</v>
      </c>
      <c r="J158" s="15" t="n">
        <f aca="false">F158-(G158+H158+I158)</f>
        <v>0</v>
      </c>
      <c r="K158" s="15" t="n">
        <v>576.43</v>
      </c>
      <c r="L158" s="15" t="n">
        <v>576.43</v>
      </c>
      <c r="M158" s="15" t="n">
        <v>576.43</v>
      </c>
      <c r="N158" s="15" t="n">
        <v>576.43</v>
      </c>
      <c r="O158" s="15" t="n">
        <v>576.43</v>
      </c>
      <c r="P158" s="15" t="n">
        <v>576.43</v>
      </c>
      <c r="Q158" s="15" t="n">
        <v>576.43</v>
      </c>
      <c r="R158" s="15" t="n">
        <v>576.43</v>
      </c>
      <c r="S158" s="15" t="n">
        <v>576.43</v>
      </c>
      <c r="T158" s="15" t="n">
        <v>576.43</v>
      </c>
      <c r="U158" s="15" t="n">
        <v>350</v>
      </c>
      <c r="V158" s="15" t="n">
        <v>0</v>
      </c>
      <c r="W158" s="15" t="n">
        <f aca="false">U158+V158</f>
        <v>350</v>
      </c>
    </row>
    <row r="159" customFormat="false" ht="15" hidden="false" customHeight="false" outlineLevel="0" collapsed="false">
      <c r="A159" s="3" t="s">
        <v>3381</v>
      </c>
      <c r="B159" s="3" t="s">
        <v>3213</v>
      </c>
      <c r="C159" s="3" t="s">
        <v>2030</v>
      </c>
      <c r="D159" s="3" t="s">
        <v>112</v>
      </c>
      <c r="E159" s="13" t="n">
        <v>1175000</v>
      </c>
      <c r="F159" s="13" t="n">
        <v>6090.51</v>
      </c>
      <c r="G159" s="13" t="n">
        <v>761.31</v>
      </c>
      <c r="H159" s="13" t="n">
        <v>761.31</v>
      </c>
      <c r="I159" s="13" t="n">
        <f aca="false">SUM(K159:T159)</f>
        <v>4567.9</v>
      </c>
      <c r="J159" s="13" t="n">
        <f aca="false">F159-(G159+H159+I159)</f>
        <v>-0.0100000000002183</v>
      </c>
      <c r="K159" s="13" t="n">
        <v>456.79</v>
      </c>
      <c r="L159" s="13" t="n">
        <v>456.79</v>
      </c>
      <c r="M159" s="13" t="n">
        <v>456.79</v>
      </c>
      <c r="N159" s="13" t="n">
        <v>456.79</v>
      </c>
      <c r="O159" s="13" t="n">
        <v>456.79</v>
      </c>
      <c r="P159" s="13" t="n">
        <v>456.79</v>
      </c>
      <c r="Q159" s="13" t="n">
        <v>456.79</v>
      </c>
      <c r="R159" s="13" t="n">
        <v>456.79</v>
      </c>
      <c r="S159" s="13" t="n">
        <v>456.79</v>
      </c>
      <c r="T159" s="13" t="n">
        <v>456.79</v>
      </c>
      <c r="U159" s="13" t="n">
        <v>350</v>
      </c>
      <c r="V159" s="13" t="n">
        <v>250</v>
      </c>
      <c r="W159" s="13" t="n">
        <f aca="false">U159+V159</f>
        <v>600</v>
      </c>
    </row>
    <row r="160" customFormat="false" ht="15" hidden="false" customHeight="false" outlineLevel="0" collapsed="false">
      <c r="A160" s="14" t="s">
        <v>3382</v>
      </c>
      <c r="B160" s="14" t="s">
        <v>3203</v>
      </c>
      <c r="C160" s="14" t="s">
        <v>3383</v>
      </c>
      <c r="D160" s="14" t="s">
        <v>138</v>
      </c>
      <c r="E160" s="15" t="n">
        <v>460000</v>
      </c>
      <c r="F160" s="15" t="n">
        <v>5696.73</v>
      </c>
      <c r="G160" s="15" t="n">
        <v>712.09</v>
      </c>
      <c r="H160" s="15" t="n">
        <v>712.09</v>
      </c>
      <c r="I160" s="15" t="n">
        <f aca="false">SUM(K160:T160)</f>
        <v>4272.5</v>
      </c>
      <c r="J160" s="15" t="n">
        <f aca="false">F160-(G160+H160+I160)</f>
        <v>0.0499999999992724</v>
      </c>
      <c r="K160" s="15" t="n">
        <v>427.25</v>
      </c>
      <c r="L160" s="15" t="n">
        <v>427.25</v>
      </c>
      <c r="M160" s="15" t="n">
        <v>427.25</v>
      </c>
      <c r="N160" s="15" t="n">
        <v>427.25</v>
      </c>
      <c r="O160" s="15" t="n">
        <v>427.25</v>
      </c>
      <c r="P160" s="15" t="n">
        <v>427.25</v>
      </c>
      <c r="Q160" s="15" t="n">
        <v>427.25</v>
      </c>
      <c r="R160" s="15" t="n">
        <v>427.25</v>
      </c>
      <c r="S160" s="15" t="n">
        <v>427.25</v>
      </c>
      <c r="T160" s="15" t="n">
        <v>427.25</v>
      </c>
      <c r="U160" s="15" t="n">
        <v>350</v>
      </c>
      <c r="V160" s="15" t="n">
        <v>0</v>
      </c>
      <c r="W160" s="15" t="n">
        <f aca="false">U160+V160</f>
        <v>350</v>
      </c>
    </row>
    <row r="161" customFormat="false" ht="15" hidden="false" customHeight="false" outlineLevel="0" collapsed="false">
      <c r="A161" s="3" t="s">
        <v>3384</v>
      </c>
      <c r="B161" s="3" t="s">
        <v>3299</v>
      </c>
      <c r="C161" s="3" t="s">
        <v>221</v>
      </c>
      <c r="D161" s="3" t="s">
        <v>377</v>
      </c>
      <c r="E161" s="13" t="n">
        <v>935000</v>
      </c>
      <c r="F161" s="13" t="n">
        <v>17090.26</v>
      </c>
      <c r="G161" s="13" t="n">
        <v>2136.28</v>
      </c>
      <c r="H161" s="13" t="n">
        <v>2136.28</v>
      </c>
      <c r="I161" s="13" t="n">
        <f aca="false">SUM(K161:T161)</f>
        <v>12817.7</v>
      </c>
      <c r="J161" s="13" t="n">
        <f aca="false">F161-(G161+H161+I161)</f>
        <v>0</v>
      </c>
      <c r="K161" s="13" t="n">
        <v>1281.77</v>
      </c>
      <c r="L161" s="13" t="n">
        <v>1281.77</v>
      </c>
      <c r="M161" s="13" t="n">
        <v>1281.77</v>
      </c>
      <c r="N161" s="13" t="n">
        <v>1281.77</v>
      </c>
      <c r="O161" s="13" t="n">
        <v>1281.77</v>
      </c>
      <c r="P161" s="13" t="n">
        <v>1281.77</v>
      </c>
      <c r="Q161" s="13" t="n">
        <v>1281.77</v>
      </c>
      <c r="R161" s="13" t="n">
        <v>1281.77</v>
      </c>
      <c r="S161" s="13" t="n">
        <v>1281.77</v>
      </c>
      <c r="T161" s="13" t="n">
        <v>1281.77</v>
      </c>
      <c r="U161" s="13" t="n">
        <v>350</v>
      </c>
      <c r="V161" s="13" t="n">
        <v>0</v>
      </c>
      <c r="W161" s="13" t="n">
        <f aca="false">U161+V161</f>
        <v>350</v>
      </c>
    </row>
    <row r="162" customFormat="false" ht="15" hidden="false" customHeight="false" outlineLevel="0" collapsed="false">
      <c r="A162" s="14" t="s">
        <v>3385</v>
      </c>
      <c r="B162" s="14" t="s">
        <v>3195</v>
      </c>
      <c r="C162" s="14" t="s">
        <v>1154</v>
      </c>
      <c r="D162" s="14" t="s">
        <v>157</v>
      </c>
      <c r="E162" s="15" t="n">
        <v>1125000</v>
      </c>
      <c r="F162" s="15" t="n">
        <v>8716.32</v>
      </c>
      <c r="G162" s="15" t="n">
        <v>1089.54</v>
      </c>
      <c r="H162" s="15" t="n">
        <v>1089.54</v>
      </c>
      <c r="I162" s="15" t="n">
        <f aca="false">SUM(K162:T162)</f>
        <v>6537.2</v>
      </c>
      <c r="J162" s="15" t="n">
        <f aca="false">F162-(G162+H162+I162)</f>
        <v>0.0399999999990541</v>
      </c>
      <c r="K162" s="15" t="n">
        <v>653.72</v>
      </c>
      <c r="L162" s="15" t="n">
        <v>653.72</v>
      </c>
      <c r="M162" s="15" t="n">
        <v>653.72</v>
      </c>
      <c r="N162" s="15" t="n">
        <v>653.72</v>
      </c>
      <c r="O162" s="15" t="n">
        <v>653.72</v>
      </c>
      <c r="P162" s="15" t="n">
        <v>653.72</v>
      </c>
      <c r="Q162" s="15" t="n">
        <v>653.72</v>
      </c>
      <c r="R162" s="15" t="n">
        <v>653.72</v>
      </c>
      <c r="S162" s="15" t="n">
        <v>653.72</v>
      </c>
      <c r="T162" s="15" t="n">
        <v>653.72</v>
      </c>
      <c r="U162" s="15" t="n">
        <v>350</v>
      </c>
      <c r="V162" s="15" t="n">
        <v>250</v>
      </c>
      <c r="W162" s="15" t="n">
        <f aca="false">U162+V162</f>
        <v>600</v>
      </c>
    </row>
    <row r="163" customFormat="false" ht="15" hidden="false" customHeight="false" outlineLevel="0" collapsed="false">
      <c r="A163" s="3" t="s">
        <v>3386</v>
      </c>
      <c r="B163" s="3" t="s">
        <v>3352</v>
      </c>
      <c r="C163" s="3" t="s">
        <v>1432</v>
      </c>
      <c r="D163" s="3" t="s">
        <v>118</v>
      </c>
      <c r="E163" s="13" t="n">
        <v>780000</v>
      </c>
      <c r="F163" s="13" t="n">
        <v>5923.48</v>
      </c>
      <c r="G163" s="13" t="n">
        <v>740.43</v>
      </c>
      <c r="H163" s="13" t="n">
        <v>740.43</v>
      </c>
      <c r="I163" s="13" t="n">
        <f aca="false">SUM(K163:T163)</f>
        <v>4442.6</v>
      </c>
      <c r="J163" s="13" t="n">
        <f aca="false">F163-(G163+H163+I163)</f>
        <v>0.0199999999995271</v>
      </c>
      <c r="K163" s="13" t="n">
        <v>444.26</v>
      </c>
      <c r="L163" s="13" t="n">
        <v>444.26</v>
      </c>
      <c r="M163" s="13" t="n">
        <v>444.26</v>
      </c>
      <c r="N163" s="13" t="n">
        <v>444.26</v>
      </c>
      <c r="O163" s="13" t="n">
        <v>444.26</v>
      </c>
      <c r="P163" s="13" t="n">
        <v>444.26</v>
      </c>
      <c r="Q163" s="13" t="n">
        <v>444.26</v>
      </c>
      <c r="R163" s="13" t="n">
        <v>444.26</v>
      </c>
      <c r="S163" s="13" t="n">
        <v>444.26</v>
      </c>
      <c r="T163" s="13" t="n">
        <v>444.26</v>
      </c>
      <c r="U163" s="13" t="n">
        <v>350</v>
      </c>
      <c r="V163" s="13" t="n">
        <v>0</v>
      </c>
      <c r="W163" s="13" t="n">
        <f aca="false">U163+V163</f>
        <v>350</v>
      </c>
    </row>
    <row r="164" customFormat="false" ht="15" hidden="false" customHeight="false" outlineLevel="0" collapsed="false">
      <c r="A164" s="14" t="s">
        <v>3387</v>
      </c>
      <c r="B164" s="14" t="s">
        <v>3218</v>
      </c>
      <c r="C164" s="14" t="s">
        <v>156</v>
      </c>
      <c r="D164" s="14" t="s">
        <v>180</v>
      </c>
      <c r="E164" s="15" t="n">
        <v>445000</v>
      </c>
      <c r="F164" s="15" t="n">
        <v>5798.5</v>
      </c>
      <c r="G164" s="15" t="n">
        <v>724.81</v>
      </c>
      <c r="H164" s="15" t="n">
        <v>724.81</v>
      </c>
      <c r="I164" s="15" t="n">
        <f aca="false">SUM(K164:T164)</f>
        <v>4348.9</v>
      </c>
      <c r="J164" s="15" t="n">
        <f aca="false">F164-(G164+H164+I164)</f>
        <v>-0.0199999999995271</v>
      </c>
      <c r="K164" s="15" t="n">
        <v>434.89</v>
      </c>
      <c r="L164" s="15" t="n">
        <v>434.89</v>
      </c>
      <c r="M164" s="15" t="n">
        <v>434.89</v>
      </c>
      <c r="N164" s="15" t="n">
        <v>434.89</v>
      </c>
      <c r="O164" s="15" t="n">
        <v>434.89</v>
      </c>
      <c r="P164" s="15" t="n">
        <v>434.89</v>
      </c>
      <c r="Q164" s="15" t="n">
        <v>434.89</v>
      </c>
      <c r="R164" s="15" t="n">
        <v>434.89</v>
      </c>
      <c r="S164" s="15" t="n">
        <v>434.89</v>
      </c>
      <c r="T164" s="15" t="n">
        <v>434.89</v>
      </c>
      <c r="U164" s="15" t="n">
        <v>350</v>
      </c>
      <c r="V164" s="15" t="n">
        <v>0</v>
      </c>
      <c r="W164" s="15" t="n">
        <f aca="false">U164+V164</f>
        <v>350</v>
      </c>
    </row>
    <row r="165" customFormat="false" ht="15" hidden="false" customHeight="false" outlineLevel="0" collapsed="false">
      <c r="A165" s="3" t="s">
        <v>3388</v>
      </c>
      <c r="B165" s="3" t="s">
        <v>3237</v>
      </c>
      <c r="C165" s="3" t="s">
        <v>1148</v>
      </c>
      <c r="D165" s="3" t="s">
        <v>193</v>
      </c>
      <c r="E165" s="13" t="n">
        <v>440000</v>
      </c>
      <c r="F165" s="13" t="n">
        <v>5922.88</v>
      </c>
      <c r="G165" s="13" t="n">
        <v>740.36</v>
      </c>
      <c r="H165" s="13" t="n">
        <v>740.36</v>
      </c>
      <c r="I165" s="13" t="n">
        <f aca="false">SUM(K165:T165)</f>
        <v>4442.2</v>
      </c>
      <c r="J165" s="13" t="n">
        <f aca="false">F165-(G165+H165+I165)</f>
        <v>-0.0400000000008731</v>
      </c>
      <c r="K165" s="13" t="n">
        <v>444.22</v>
      </c>
      <c r="L165" s="13" t="n">
        <v>444.22</v>
      </c>
      <c r="M165" s="13" t="n">
        <v>444.22</v>
      </c>
      <c r="N165" s="13" t="n">
        <v>444.22</v>
      </c>
      <c r="O165" s="13" t="n">
        <v>444.22</v>
      </c>
      <c r="P165" s="13" t="n">
        <v>444.22</v>
      </c>
      <c r="Q165" s="13" t="n">
        <v>444.22</v>
      </c>
      <c r="R165" s="13" t="n">
        <v>444.22</v>
      </c>
      <c r="S165" s="13" t="n">
        <v>444.22</v>
      </c>
      <c r="T165" s="13" t="n">
        <v>444.22</v>
      </c>
      <c r="U165" s="13" t="n">
        <v>350</v>
      </c>
      <c r="V165" s="13" t="n">
        <v>0</v>
      </c>
      <c r="W165" s="13" t="n">
        <f aca="false">U165+V165</f>
        <v>350</v>
      </c>
    </row>
    <row r="166" customFormat="false" ht="15" hidden="false" customHeight="false" outlineLevel="0" collapsed="false">
      <c r="A166" s="14" t="s">
        <v>3389</v>
      </c>
      <c r="B166" s="14" t="s">
        <v>3197</v>
      </c>
      <c r="C166" s="14" t="s">
        <v>653</v>
      </c>
      <c r="D166" s="14" t="s">
        <v>89</v>
      </c>
      <c r="E166" s="15" t="n">
        <v>1040000</v>
      </c>
      <c r="F166" s="15" t="n">
        <v>7660.55</v>
      </c>
      <c r="G166" s="15" t="n">
        <v>957.57</v>
      </c>
      <c r="H166" s="15" t="n">
        <v>957.57</v>
      </c>
      <c r="I166" s="15" t="n">
        <f aca="false">SUM(K166:T166)</f>
        <v>5745.4</v>
      </c>
      <c r="J166" s="15" t="n">
        <f aca="false">F166-(G166+H166+I166)</f>
        <v>0.0100000000002183</v>
      </c>
      <c r="K166" s="15" t="n">
        <v>574.54</v>
      </c>
      <c r="L166" s="15" t="n">
        <v>574.54</v>
      </c>
      <c r="M166" s="15" t="n">
        <v>574.54</v>
      </c>
      <c r="N166" s="15" t="n">
        <v>574.54</v>
      </c>
      <c r="O166" s="15" t="n">
        <v>574.54</v>
      </c>
      <c r="P166" s="15" t="n">
        <v>574.54</v>
      </c>
      <c r="Q166" s="15" t="n">
        <v>574.54</v>
      </c>
      <c r="R166" s="15" t="n">
        <v>574.54</v>
      </c>
      <c r="S166" s="15" t="n">
        <v>574.54</v>
      </c>
      <c r="T166" s="15" t="n">
        <v>574.54</v>
      </c>
      <c r="U166" s="15" t="n">
        <v>350</v>
      </c>
      <c r="V166" s="15" t="n">
        <v>250</v>
      </c>
      <c r="W166" s="15" t="n">
        <f aca="false">U166+V166</f>
        <v>600</v>
      </c>
    </row>
    <row r="167" customFormat="false" ht="15" hidden="false" customHeight="false" outlineLevel="0" collapsed="false">
      <c r="A167" s="3" t="s">
        <v>3390</v>
      </c>
      <c r="B167" s="3" t="s">
        <v>3211</v>
      </c>
      <c r="C167" s="3" t="s">
        <v>1492</v>
      </c>
      <c r="D167" s="3" t="s">
        <v>377</v>
      </c>
      <c r="E167" s="13" t="n">
        <v>1950000</v>
      </c>
      <c r="F167" s="13" t="n">
        <v>14257.12</v>
      </c>
      <c r="G167" s="13" t="n">
        <v>1782.14</v>
      </c>
      <c r="H167" s="13" t="n">
        <v>1782.14</v>
      </c>
      <c r="I167" s="13" t="n">
        <f aca="false">SUM(K167:T167)</f>
        <v>10692.8</v>
      </c>
      <c r="J167" s="13" t="n">
        <f aca="false">F167-(G167+H167+I167)</f>
        <v>0.0399999999990541</v>
      </c>
      <c r="K167" s="13" t="n">
        <v>1069.28</v>
      </c>
      <c r="L167" s="13" t="n">
        <v>1069.28</v>
      </c>
      <c r="M167" s="13" t="n">
        <v>1069.28</v>
      </c>
      <c r="N167" s="13" t="n">
        <v>1069.28</v>
      </c>
      <c r="O167" s="13" t="n">
        <v>1069.28</v>
      </c>
      <c r="P167" s="13" t="n">
        <v>1069.28</v>
      </c>
      <c r="Q167" s="13" t="n">
        <v>1069.28</v>
      </c>
      <c r="R167" s="13" t="n">
        <v>1069.28</v>
      </c>
      <c r="S167" s="13" t="n">
        <v>1069.28</v>
      </c>
      <c r="T167" s="13" t="n">
        <v>1069.28</v>
      </c>
      <c r="U167" s="13" t="n">
        <v>350</v>
      </c>
      <c r="V167" s="13" t="n">
        <v>250</v>
      </c>
      <c r="W167" s="13" t="n">
        <f aca="false">U167+V167</f>
        <v>600</v>
      </c>
    </row>
    <row r="168" customFormat="false" ht="15" hidden="false" customHeight="false" outlineLevel="0" collapsed="false">
      <c r="A168" s="14" t="s">
        <v>3391</v>
      </c>
      <c r="B168" s="14" t="s">
        <v>3241</v>
      </c>
      <c r="C168" s="14" t="s">
        <v>915</v>
      </c>
      <c r="D168" s="14" t="s">
        <v>166</v>
      </c>
      <c r="E168" s="15" t="n">
        <v>350000</v>
      </c>
      <c r="F168" s="15" t="n">
        <v>5088.29</v>
      </c>
      <c r="G168" s="15" t="n">
        <v>636.04</v>
      </c>
      <c r="H168" s="15" t="n">
        <v>636.04</v>
      </c>
      <c r="I168" s="15" t="n">
        <f aca="false">SUM(K168:T168)</f>
        <v>3816.2</v>
      </c>
      <c r="J168" s="15" t="n">
        <f aca="false">F168-(G168+H168+I168)</f>
        <v>0.0100000000002183</v>
      </c>
      <c r="K168" s="15" t="n">
        <v>381.62</v>
      </c>
      <c r="L168" s="15" t="n">
        <v>381.62</v>
      </c>
      <c r="M168" s="15" t="n">
        <v>381.62</v>
      </c>
      <c r="N168" s="15" t="n">
        <v>381.62</v>
      </c>
      <c r="O168" s="15" t="n">
        <v>381.62</v>
      </c>
      <c r="P168" s="15" t="n">
        <v>381.62</v>
      </c>
      <c r="Q168" s="15" t="n">
        <v>381.62</v>
      </c>
      <c r="R168" s="15" t="n">
        <v>381.62</v>
      </c>
      <c r="S168" s="15" t="n">
        <v>381.62</v>
      </c>
      <c r="T168" s="15" t="n">
        <v>381.62</v>
      </c>
      <c r="U168" s="15" t="n">
        <v>350</v>
      </c>
      <c r="V168" s="15" t="n">
        <v>0</v>
      </c>
      <c r="W168" s="15" t="n">
        <f aca="false">U168+V168</f>
        <v>350</v>
      </c>
    </row>
    <row r="169" customFormat="false" ht="15" hidden="false" customHeight="false" outlineLevel="0" collapsed="false">
      <c r="A169" s="3" t="s">
        <v>3392</v>
      </c>
      <c r="B169" s="3" t="s">
        <v>3266</v>
      </c>
      <c r="C169" s="3" t="s">
        <v>206</v>
      </c>
      <c r="D169" s="3" t="s">
        <v>377</v>
      </c>
      <c r="E169" s="13" t="n">
        <v>485000</v>
      </c>
      <c r="F169" s="13" t="n">
        <v>6998.69</v>
      </c>
      <c r="G169" s="13" t="n">
        <v>874.84</v>
      </c>
      <c r="H169" s="13" t="n">
        <v>874.84</v>
      </c>
      <c r="I169" s="13" t="n">
        <f aca="false">SUM(K169:T169)</f>
        <v>5249</v>
      </c>
      <c r="J169" s="13" t="n">
        <f aca="false">F169-(G169+H169+I169)</f>
        <v>0.0100000000002183</v>
      </c>
      <c r="K169" s="13" t="n">
        <v>524.9</v>
      </c>
      <c r="L169" s="13" t="n">
        <v>524.9</v>
      </c>
      <c r="M169" s="13" t="n">
        <v>524.9</v>
      </c>
      <c r="N169" s="13" t="n">
        <v>524.9</v>
      </c>
      <c r="O169" s="13" t="n">
        <v>524.9</v>
      </c>
      <c r="P169" s="13" t="n">
        <v>524.9</v>
      </c>
      <c r="Q169" s="13" t="n">
        <v>524.9</v>
      </c>
      <c r="R169" s="13" t="n">
        <v>524.9</v>
      </c>
      <c r="S169" s="13" t="n">
        <v>524.9</v>
      </c>
      <c r="T169" s="13" t="n">
        <v>524.9</v>
      </c>
      <c r="U169" s="13" t="n">
        <v>350</v>
      </c>
      <c r="V169" s="13" t="n">
        <v>0</v>
      </c>
      <c r="W169" s="13" t="n">
        <f aca="false">U169+V169</f>
        <v>350</v>
      </c>
    </row>
    <row r="170" customFormat="false" ht="15" hidden="false" customHeight="false" outlineLevel="0" collapsed="false">
      <c r="A170" s="14" t="s">
        <v>3393</v>
      </c>
      <c r="B170" s="14" t="s">
        <v>3280</v>
      </c>
      <c r="C170" s="14" t="s">
        <v>3267</v>
      </c>
      <c r="D170" s="14" t="s">
        <v>81</v>
      </c>
      <c r="E170" s="15" t="n">
        <v>1950000</v>
      </c>
      <c r="F170" s="15" t="n">
        <v>28671.03</v>
      </c>
      <c r="G170" s="15" t="n">
        <v>3583.88</v>
      </c>
      <c r="H170" s="15" t="n">
        <v>3583.88</v>
      </c>
      <c r="I170" s="15" t="n">
        <f aca="false">SUM(K170:T170)</f>
        <v>21503.3</v>
      </c>
      <c r="J170" s="15" t="n">
        <f aca="false">F170-(G170+H170+I170)</f>
        <v>-0.0300000000061118</v>
      </c>
      <c r="K170" s="15" t="n">
        <v>2150.33</v>
      </c>
      <c r="L170" s="15" t="n">
        <v>2150.33</v>
      </c>
      <c r="M170" s="15" t="n">
        <v>2150.33</v>
      </c>
      <c r="N170" s="15" t="n">
        <v>2150.33</v>
      </c>
      <c r="O170" s="15" t="n">
        <v>2150.33</v>
      </c>
      <c r="P170" s="15" t="n">
        <v>2150.33</v>
      </c>
      <c r="Q170" s="15" t="n">
        <v>2150.33</v>
      </c>
      <c r="R170" s="15" t="n">
        <v>2150.33</v>
      </c>
      <c r="S170" s="15" t="n">
        <v>2150.33</v>
      </c>
      <c r="T170" s="15" t="n">
        <v>2150.33</v>
      </c>
      <c r="U170" s="15" t="n">
        <v>350</v>
      </c>
      <c r="V170" s="15" t="n">
        <v>250</v>
      </c>
      <c r="W170" s="15" t="n">
        <f aca="false">U170+V170</f>
        <v>600</v>
      </c>
    </row>
    <row r="171" customFormat="false" ht="15" hidden="false" customHeight="false" outlineLevel="0" collapsed="false">
      <c r="A171" s="3" t="s">
        <v>3394</v>
      </c>
      <c r="B171" s="3" t="s">
        <v>3199</v>
      </c>
      <c r="C171" s="3" t="s">
        <v>101</v>
      </c>
      <c r="D171" s="3" t="s">
        <v>112</v>
      </c>
      <c r="E171" s="13" t="n">
        <v>565000</v>
      </c>
      <c r="F171" s="13" t="n">
        <v>7321.57</v>
      </c>
      <c r="G171" s="13" t="n">
        <v>915.2</v>
      </c>
      <c r="H171" s="13" t="n">
        <v>915.2</v>
      </c>
      <c r="I171" s="13" t="n">
        <f aca="false">SUM(K171:T171)</f>
        <v>5491.2</v>
      </c>
      <c r="J171" s="13" t="n">
        <f aca="false">F171-(G171+H171+I171)</f>
        <v>-0.0300000000006548</v>
      </c>
      <c r="K171" s="13" t="n">
        <v>549.12</v>
      </c>
      <c r="L171" s="13" t="n">
        <v>549.12</v>
      </c>
      <c r="M171" s="13" t="n">
        <v>549.12</v>
      </c>
      <c r="N171" s="13" t="n">
        <v>549.12</v>
      </c>
      <c r="O171" s="13" t="n">
        <v>549.12</v>
      </c>
      <c r="P171" s="13" t="n">
        <v>549.12</v>
      </c>
      <c r="Q171" s="13" t="n">
        <v>549.12</v>
      </c>
      <c r="R171" s="13" t="n">
        <v>549.12</v>
      </c>
      <c r="S171" s="13" t="n">
        <v>549.12</v>
      </c>
      <c r="T171" s="13" t="n">
        <v>549.12</v>
      </c>
      <c r="U171" s="13" t="n">
        <v>350</v>
      </c>
      <c r="V171" s="13" t="n">
        <v>0</v>
      </c>
      <c r="W171" s="13" t="n">
        <f aca="false">U171+V171</f>
        <v>350</v>
      </c>
    </row>
    <row r="172" customFormat="false" ht="15" hidden="false" customHeight="false" outlineLevel="0" collapsed="false">
      <c r="A172" s="14" t="s">
        <v>3395</v>
      </c>
      <c r="B172" s="14" t="s">
        <v>3264</v>
      </c>
      <c r="C172" s="14" t="s">
        <v>368</v>
      </c>
      <c r="D172" s="14" t="s">
        <v>382</v>
      </c>
      <c r="E172" s="15" t="n">
        <v>540000</v>
      </c>
      <c r="F172" s="15" t="n">
        <v>5644.61</v>
      </c>
      <c r="G172" s="15" t="n">
        <v>705.58</v>
      </c>
      <c r="H172" s="15" t="n">
        <v>705.58</v>
      </c>
      <c r="I172" s="15" t="n">
        <f aca="false">SUM(K172:T172)</f>
        <v>4233.5</v>
      </c>
      <c r="J172" s="15" t="n">
        <f aca="false">F172-(G172+H172+I172)</f>
        <v>-0.0500000000001819</v>
      </c>
      <c r="K172" s="15" t="n">
        <v>423.35</v>
      </c>
      <c r="L172" s="15" t="n">
        <v>423.35</v>
      </c>
      <c r="M172" s="15" t="n">
        <v>423.35</v>
      </c>
      <c r="N172" s="15" t="n">
        <v>423.35</v>
      </c>
      <c r="O172" s="15" t="n">
        <v>423.35</v>
      </c>
      <c r="P172" s="15" t="n">
        <v>423.35</v>
      </c>
      <c r="Q172" s="15" t="n">
        <v>423.35</v>
      </c>
      <c r="R172" s="15" t="n">
        <v>423.35</v>
      </c>
      <c r="S172" s="15" t="n">
        <v>423.35</v>
      </c>
      <c r="T172" s="15" t="n">
        <v>423.35</v>
      </c>
      <c r="U172" s="15" t="n">
        <v>350</v>
      </c>
      <c r="V172" s="15" t="n">
        <v>0</v>
      </c>
      <c r="W172" s="15" t="n">
        <f aca="false">U172+V172</f>
        <v>350</v>
      </c>
    </row>
    <row r="173" customFormat="false" ht="15" hidden="false" customHeight="false" outlineLevel="0" collapsed="false">
      <c r="A173" s="3" t="s">
        <v>3396</v>
      </c>
      <c r="B173" s="3" t="s">
        <v>3239</v>
      </c>
      <c r="C173" s="3" t="s">
        <v>511</v>
      </c>
      <c r="D173" s="3" t="s">
        <v>279</v>
      </c>
      <c r="E173" s="13" t="n">
        <v>415000</v>
      </c>
      <c r="F173" s="13" t="n">
        <v>6235.85</v>
      </c>
      <c r="G173" s="13" t="n">
        <v>779.48</v>
      </c>
      <c r="H173" s="13" t="n">
        <v>779.48</v>
      </c>
      <c r="I173" s="13" t="n">
        <f aca="false">SUM(K173:T173)</f>
        <v>4676.9</v>
      </c>
      <c r="J173" s="13" t="n">
        <f aca="false">F173-(G173+H173+I173)</f>
        <v>-0.00999999999930878</v>
      </c>
      <c r="K173" s="13" t="n">
        <v>467.69</v>
      </c>
      <c r="L173" s="13" t="n">
        <v>467.69</v>
      </c>
      <c r="M173" s="13" t="n">
        <v>467.69</v>
      </c>
      <c r="N173" s="13" t="n">
        <v>467.69</v>
      </c>
      <c r="O173" s="13" t="n">
        <v>467.69</v>
      </c>
      <c r="P173" s="13" t="n">
        <v>467.69</v>
      </c>
      <c r="Q173" s="13" t="n">
        <v>467.69</v>
      </c>
      <c r="R173" s="13" t="n">
        <v>467.69</v>
      </c>
      <c r="S173" s="13" t="n">
        <v>467.69</v>
      </c>
      <c r="T173" s="13" t="n">
        <v>467.69</v>
      </c>
      <c r="U173" s="13" t="n">
        <v>350</v>
      </c>
      <c r="V173" s="13" t="n">
        <v>0</v>
      </c>
      <c r="W173" s="13" t="n">
        <f aca="false">U173+V173</f>
        <v>350</v>
      </c>
    </row>
    <row r="174" customFormat="false" ht="15" hidden="false" customHeight="false" outlineLevel="0" collapsed="false">
      <c r="A174" s="14" t="s">
        <v>3397</v>
      </c>
      <c r="B174" s="14" t="s">
        <v>3218</v>
      </c>
      <c r="C174" s="14" t="s">
        <v>917</v>
      </c>
      <c r="D174" s="14" t="s">
        <v>69</v>
      </c>
      <c r="E174" s="15" t="n">
        <v>400000</v>
      </c>
      <c r="F174" s="15" t="n">
        <v>4178.32</v>
      </c>
      <c r="G174" s="15" t="n">
        <v>522.29</v>
      </c>
      <c r="H174" s="15" t="n">
        <v>522.29</v>
      </c>
      <c r="I174" s="15" t="n">
        <f aca="false">SUM(K174:T174)</f>
        <v>3133.7</v>
      </c>
      <c r="J174" s="15" t="n">
        <f aca="false">F174-(G174+H174+I174)</f>
        <v>0.0399999999999636</v>
      </c>
      <c r="K174" s="15" t="n">
        <v>313.37</v>
      </c>
      <c r="L174" s="15" t="n">
        <v>313.37</v>
      </c>
      <c r="M174" s="15" t="n">
        <v>313.37</v>
      </c>
      <c r="N174" s="15" t="n">
        <v>313.37</v>
      </c>
      <c r="O174" s="15" t="n">
        <v>313.37</v>
      </c>
      <c r="P174" s="15" t="n">
        <v>313.37</v>
      </c>
      <c r="Q174" s="15" t="n">
        <v>313.37</v>
      </c>
      <c r="R174" s="15" t="n">
        <v>313.37</v>
      </c>
      <c r="S174" s="15" t="n">
        <v>313.37</v>
      </c>
      <c r="T174" s="15" t="n">
        <v>313.37</v>
      </c>
      <c r="U174" s="15" t="n">
        <v>350</v>
      </c>
      <c r="V174" s="15" t="n">
        <v>0</v>
      </c>
      <c r="W174" s="15" t="n">
        <f aca="false">U174+V174</f>
        <v>350</v>
      </c>
    </row>
    <row r="175" customFormat="false" ht="15" hidden="false" customHeight="false" outlineLevel="0" collapsed="false">
      <c r="A175" s="3" t="s">
        <v>3398</v>
      </c>
      <c r="B175" s="3" t="s">
        <v>3235</v>
      </c>
      <c r="C175" s="3" t="s">
        <v>966</v>
      </c>
      <c r="D175" s="3" t="s">
        <v>222</v>
      </c>
      <c r="E175" s="13" t="n">
        <v>375000</v>
      </c>
      <c r="F175" s="13" t="n">
        <v>4442.15</v>
      </c>
      <c r="G175" s="13" t="n">
        <v>555.27</v>
      </c>
      <c r="H175" s="13" t="n">
        <v>555.27</v>
      </c>
      <c r="I175" s="13" t="n">
        <f aca="false">SUM(K175:T175)</f>
        <v>3331.6</v>
      </c>
      <c r="J175" s="13" t="n">
        <f aca="false">F175-(G175+H175+I175)</f>
        <v>0.0100000000002183</v>
      </c>
      <c r="K175" s="13" t="n">
        <v>333.16</v>
      </c>
      <c r="L175" s="13" t="n">
        <v>333.16</v>
      </c>
      <c r="M175" s="13" t="n">
        <v>333.16</v>
      </c>
      <c r="N175" s="13" t="n">
        <v>333.16</v>
      </c>
      <c r="O175" s="13" t="n">
        <v>333.16</v>
      </c>
      <c r="P175" s="13" t="n">
        <v>333.16</v>
      </c>
      <c r="Q175" s="13" t="n">
        <v>333.16</v>
      </c>
      <c r="R175" s="13" t="n">
        <v>333.16</v>
      </c>
      <c r="S175" s="13" t="n">
        <v>333.16</v>
      </c>
      <c r="T175" s="13" t="n">
        <v>333.16</v>
      </c>
      <c r="U175" s="13" t="n">
        <v>350</v>
      </c>
      <c r="V175" s="13" t="n">
        <v>0</v>
      </c>
      <c r="W175" s="13" t="n">
        <f aca="false">U175+V175</f>
        <v>350</v>
      </c>
    </row>
    <row r="176" customFormat="false" ht="15" hidden="false" customHeight="false" outlineLevel="0" collapsed="false">
      <c r="A176" s="14" t="s">
        <v>3399</v>
      </c>
      <c r="B176" s="14" t="s">
        <v>3218</v>
      </c>
      <c r="C176" s="14" t="s">
        <v>1666</v>
      </c>
      <c r="D176" s="14" t="s">
        <v>112</v>
      </c>
      <c r="E176" s="15" t="n">
        <v>790000</v>
      </c>
      <c r="F176" s="15" t="n">
        <v>10237.25</v>
      </c>
      <c r="G176" s="15" t="n">
        <v>1279.66</v>
      </c>
      <c r="H176" s="15" t="n">
        <v>1279.66</v>
      </c>
      <c r="I176" s="15" t="n">
        <f aca="false">SUM(K176:T176)</f>
        <v>7677.9</v>
      </c>
      <c r="J176" s="15" t="n">
        <f aca="false">F176-(G176+H176+I176)</f>
        <v>0.0300000000006548</v>
      </c>
      <c r="K176" s="15" t="n">
        <v>767.79</v>
      </c>
      <c r="L176" s="15" t="n">
        <v>767.79</v>
      </c>
      <c r="M176" s="15" t="n">
        <v>767.79</v>
      </c>
      <c r="N176" s="15" t="n">
        <v>767.79</v>
      </c>
      <c r="O176" s="15" t="n">
        <v>767.79</v>
      </c>
      <c r="P176" s="15" t="n">
        <v>767.79</v>
      </c>
      <c r="Q176" s="15" t="n">
        <v>767.79</v>
      </c>
      <c r="R176" s="15" t="n">
        <v>767.79</v>
      </c>
      <c r="S176" s="15" t="n">
        <v>767.79</v>
      </c>
      <c r="T176" s="15" t="n">
        <v>767.79</v>
      </c>
      <c r="U176" s="15" t="n">
        <v>350</v>
      </c>
      <c r="V176" s="15" t="n">
        <v>0</v>
      </c>
      <c r="W176" s="15" t="n">
        <f aca="false">U176+V176</f>
        <v>350</v>
      </c>
    </row>
    <row r="177" customFormat="false" ht="15" hidden="false" customHeight="false" outlineLevel="0" collapsed="false">
      <c r="A177" s="3" t="s">
        <v>3400</v>
      </c>
      <c r="B177" s="3" t="s">
        <v>3197</v>
      </c>
      <c r="C177" s="3" t="s">
        <v>2231</v>
      </c>
      <c r="D177" s="3" t="s">
        <v>157</v>
      </c>
      <c r="E177" s="13" t="n">
        <v>460000</v>
      </c>
      <c r="F177" s="13" t="n">
        <v>7034.23</v>
      </c>
      <c r="G177" s="13" t="n">
        <v>879.28</v>
      </c>
      <c r="H177" s="13" t="n">
        <v>879.28</v>
      </c>
      <c r="I177" s="13" t="n">
        <f aca="false">SUM(K177:T177)</f>
        <v>5275.7</v>
      </c>
      <c r="J177" s="13" t="n">
        <f aca="false">F177-(G177+H177+I177)</f>
        <v>-0.0300000000006548</v>
      </c>
      <c r="K177" s="13" t="n">
        <v>527.57</v>
      </c>
      <c r="L177" s="13" t="n">
        <v>527.57</v>
      </c>
      <c r="M177" s="13" t="n">
        <v>527.57</v>
      </c>
      <c r="N177" s="13" t="n">
        <v>527.57</v>
      </c>
      <c r="O177" s="13" t="n">
        <v>527.57</v>
      </c>
      <c r="P177" s="13" t="n">
        <v>527.57</v>
      </c>
      <c r="Q177" s="13" t="n">
        <v>527.57</v>
      </c>
      <c r="R177" s="13" t="n">
        <v>527.57</v>
      </c>
      <c r="S177" s="13" t="n">
        <v>527.57</v>
      </c>
      <c r="T177" s="13" t="n">
        <v>527.57</v>
      </c>
      <c r="U177" s="13" t="n">
        <v>350</v>
      </c>
      <c r="V177" s="13" t="n">
        <v>0</v>
      </c>
      <c r="W177" s="13" t="n">
        <f aca="false">U177+V177</f>
        <v>350</v>
      </c>
    </row>
    <row r="178" customFormat="false" ht="15" hidden="false" customHeight="false" outlineLevel="0" collapsed="false">
      <c r="A178" s="14" t="s">
        <v>3401</v>
      </c>
      <c r="B178" s="14" t="s">
        <v>3325</v>
      </c>
      <c r="C178" s="14" t="s">
        <v>1191</v>
      </c>
      <c r="D178" s="14" t="s">
        <v>230</v>
      </c>
      <c r="E178" s="15" t="n">
        <v>505000</v>
      </c>
      <c r="F178" s="15" t="n">
        <v>5608.68</v>
      </c>
      <c r="G178" s="15" t="n">
        <v>701.09</v>
      </c>
      <c r="H178" s="15" t="n">
        <v>701.09</v>
      </c>
      <c r="I178" s="15" t="n">
        <f aca="false">SUM(K178:T178)</f>
        <v>4206.5</v>
      </c>
      <c r="J178" s="15" t="n">
        <f aca="false">F178-(G178+H178+I178)</f>
        <v>0</v>
      </c>
      <c r="K178" s="15" t="n">
        <v>420.65</v>
      </c>
      <c r="L178" s="15" t="n">
        <v>420.65</v>
      </c>
      <c r="M178" s="15" t="n">
        <v>420.65</v>
      </c>
      <c r="N178" s="15" t="n">
        <v>420.65</v>
      </c>
      <c r="O178" s="15" t="n">
        <v>420.65</v>
      </c>
      <c r="P178" s="15" t="n">
        <v>420.65</v>
      </c>
      <c r="Q178" s="15" t="n">
        <v>420.65</v>
      </c>
      <c r="R178" s="15" t="n">
        <v>420.65</v>
      </c>
      <c r="S178" s="15" t="n">
        <v>420.65</v>
      </c>
      <c r="T178" s="15" t="n">
        <v>420.65</v>
      </c>
      <c r="U178" s="15" t="n">
        <v>350</v>
      </c>
      <c r="V178" s="15" t="n">
        <v>0</v>
      </c>
      <c r="W178" s="15" t="n">
        <f aca="false">U178+V178</f>
        <v>350</v>
      </c>
    </row>
    <row r="179" customFormat="false" ht="15" hidden="false" customHeight="false" outlineLevel="0" collapsed="false">
      <c r="A179" s="3" t="s">
        <v>3402</v>
      </c>
      <c r="B179" s="3" t="s">
        <v>3225</v>
      </c>
      <c r="C179" s="3" t="s">
        <v>1154</v>
      </c>
      <c r="D179" s="3" t="s">
        <v>89</v>
      </c>
      <c r="E179" s="13" t="n">
        <v>845000</v>
      </c>
      <c r="F179" s="13" t="n">
        <v>10646.64</v>
      </c>
      <c r="G179" s="13" t="n">
        <v>1330.83</v>
      </c>
      <c r="H179" s="13" t="n">
        <v>1330.83</v>
      </c>
      <c r="I179" s="13" t="n">
        <f aca="false">SUM(K179:T179)</f>
        <v>7985</v>
      </c>
      <c r="J179" s="13" t="n">
        <f aca="false">F179-(G179+H179+I179)</f>
        <v>-0.0200000000004366</v>
      </c>
      <c r="K179" s="13" t="n">
        <v>798.5</v>
      </c>
      <c r="L179" s="13" t="n">
        <v>798.5</v>
      </c>
      <c r="M179" s="13" t="n">
        <v>798.5</v>
      </c>
      <c r="N179" s="13" t="n">
        <v>798.5</v>
      </c>
      <c r="O179" s="13" t="n">
        <v>798.5</v>
      </c>
      <c r="P179" s="13" t="n">
        <v>798.5</v>
      </c>
      <c r="Q179" s="13" t="n">
        <v>798.5</v>
      </c>
      <c r="R179" s="13" t="n">
        <v>798.5</v>
      </c>
      <c r="S179" s="13" t="n">
        <v>798.5</v>
      </c>
      <c r="T179" s="13" t="n">
        <v>798.5</v>
      </c>
      <c r="U179" s="13" t="n">
        <v>350</v>
      </c>
      <c r="V179" s="13" t="n">
        <v>0</v>
      </c>
      <c r="W179" s="13" t="n">
        <f aca="false">U179+V179</f>
        <v>350</v>
      </c>
    </row>
    <row r="180" customFormat="false" ht="15" hidden="false" customHeight="false" outlineLevel="0" collapsed="false">
      <c r="A180" s="14" t="s">
        <v>3403</v>
      </c>
      <c r="B180" s="14" t="s">
        <v>3312</v>
      </c>
      <c r="C180" s="14" t="s">
        <v>662</v>
      </c>
      <c r="D180" s="14" t="s">
        <v>279</v>
      </c>
      <c r="E180" s="15" t="n">
        <v>540000</v>
      </c>
      <c r="F180" s="15" t="n">
        <v>4586.24</v>
      </c>
      <c r="G180" s="15" t="n">
        <v>573.28</v>
      </c>
      <c r="H180" s="15" t="n">
        <v>573.28</v>
      </c>
      <c r="I180" s="15" t="n">
        <f aca="false">SUM(K180:T180)</f>
        <v>3439.7</v>
      </c>
      <c r="J180" s="15" t="n">
        <f aca="false">F180-(G180+H180+I180)</f>
        <v>-0.0200000000004366</v>
      </c>
      <c r="K180" s="15" t="n">
        <v>343.97</v>
      </c>
      <c r="L180" s="15" t="n">
        <v>343.97</v>
      </c>
      <c r="M180" s="15" t="n">
        <v>343.97</v>
      </c>
      <c r="N180" s="15" t="n">
        <v>343.97</v>
      </c>
      <c r="O180" s="15" t="n">
        <v>343.97</v>
      </c>
      <c r="P180" s="15" t="n">
        <v>343.97</v>
      </c>
      <c r="Q180" s="15" t="n">
        <v>343.97</v>
      </c>
      <c r="R180" s="15" t="n">
        <v>343.97</v>
      </c>
      <c r="S180" s="15" t="n">
        <v>343.97</v>
      </c>
      <c r="T180" s="15" t="n">
        <v>343.97</v>
      </c>
      <c r="U180" s="15" t="n">
        <v>350</v>
      </c>
      <c r="V180" s="15" t="n">
        <v>0</v>
      </c>
      <c r="W180" s="15" t="n">
        <f aca="false">U180+V180</f>
        <v>350</v>
      </c>
    </row>
    <row r="181" customFormat="false" ht="15" hidden="false" customHeight="false" outlineLevel="0" collapsed="false">
      <c r="A181" s="3" t="s">
        <v>3404</v>
      </c>
      <c r="B181" s="3" t="s">
        <v>3225</v>
      </c>
      <c r="C181" s="3" t="s">
        <v>176</v>
      </c>
      <c r="D181" s="3" t="s">
        <v>99</v>
      </c>
      <c r="E181" s="13" t="n">
        <v>440000</v>
      </c>
      <c r="F181" s="13" t="n">
        <v>9880.94</v>
      </c>
      <c r="G181" s="13" t="n">
        <v>1235.12</v>
      </c>
      <c r="H181" s="13" t="n">
        <v>1235.12</v>
      </c>
      <c r="I181" s="13" t="n">
        <f aca="false">SUM(K181:T181)</f>
        <v>7410.7</v>
      </c>
      <c r="J181" s="13" t="n">
        <f aca="false">F181-(G181+H181+I181)</f>
        <v>0</v>
      </c>
      <c r="K181" s="13" t="n">
        <v>741.07</v>
      </c>
      <c r="L181" s="13" t="n">
        <v>741.07</v>
      </c>
      <c r="M181" s="13" t="n">
        <v>741.07</v>
      </c>
      <c r="N181" s="13" t="n">
        <v>741.07</v>
      </c>
      <c r="O181" s="13" t="n">
        <v>741.07</v>
      </c>
      <c r="P181" s="13" t="n">
        <v>741.07</v>
      </c>
      <c r="Q181" s="13" t="n">
        <v>741.07</v>
      </c>
      <c r="R181" s="13" t="n">
        <v>741.07</v>
      </c>
      <c r="S181" s="13" t="n">
        <v>741.07</v>
      </c>
      <c r="T181" s="13" t="n">
        <v>741.07</v>
      </c>
      <c r="U181" s="13" t="n">
        <v>350</v>
      </c>
      <c r="V181" s="13" t="n">
        <v>0</v>
      </c>
      <c r="W181" s="13" t="n">
        <f aca="false">U181+V181</f>
        <v>350</v>
      </c>
    </row>
    <row r="182" customFormat="false" ht="15" hidden="false" customHeight="false" outlineLevel="0" collapsed="false">
      <c r="A182" s="14" t="s">
        <v>3405</v>
      </c>
      <c r="B182" s="14" t="s">
        <v>3201</v>
      </c>
      <c r="C182" s="14" t="s">
        <v>199</v>
      </c>
      <c r="D182" s="14" t="s">
        <v>138</v>
      </c>
      <c r="E182" s="15" t="n">
        <v>745000</v>
      </c>
      <c r="F182" s="15" t="n">
        <v>7996.06</v>
      </c>
      <c r="G182" s="15" t="n">
        <v>999.51</v>
      </c>
      <c r="H182" s="15" t="n">
        <v>999.51</v>
      </c>
      <c r="I182" s="15" t="n">
        <f aca="false">SUM(K182:T182)</f>
        <v>5997</v>
      </c>
      <c r="J182" s="15" t="n">
        <f aca="false">F182-(G182+H182+I182)</f>
        <v>0.0399999999999636</v>
      </c>
      <c r="K182" s="15" t="n">
        <v>599.7</v>
      </c>
      <c r="L182" s="15" t="n">
        <v>599.7</v>
      </c>
      <c r="M182" s="15" t="n">
        <v>599.7</v>
      </c>
      <c r="N182" s="15" t="n">
        <v>599.7</v>
      </c>
      <c r="O182" s="15" t="n">
        <v>599.7</v>
      </c>
      <c r="P182" s="15" t="n">
        <v>599.7</v>
      </c>
      <c r="Q182" s="15" t="n">
        <v>599.7</v>
      </c>
      <c r="R182" s="15" t="n">
        <v>599.7</v>
      </c>
      <c r="S182" s="15" t="n">
        <v>599.7</v>
      </c>
      <c r="T182" s="15" t="n">
        <v>599.7</v>
      </c>
      <c r="U182" s="15" t="n">
        <v>350</v>
      </c>
      <c r="V182" s="15" t="n">
        <v>0</v>
      </c>
      <c r="W182" s="15" t="n">
        <f aca="false">U182+V182</f>
        <v>350</v>
      </c>
    </row>
    <row r="183" customFormat="false" ht="15" hidden="false" customHeight="false" outlineLevel="0" collapsed="false">
      <c r="A183" s="3" t="s">
        <v>3406</v>
      </c>
      <c r="B183" s="3" t="s">
        <v>3205</v>
      </c>
      <c r="C183" s="3" t="s">
        <v>261</v>
      </c>
      <c r="D183" s="3" t="s">
        <v>99</v>
      </c>
      <c r="E183" s="13" t="n">
        <v>350000</v>
      </c>
      <c r="F183" s="13" t="n">
        <v>5125.98</v>
      </c>
      <c r="G183" s="13" t="n">
        <v>640.75</v>
      </c>
      <c r="H183" s="13" t="n">
        <v>640.75</v>
      </c>
      <c r="I183" s="13" t="n">
        <f aca="false">SUM(K183:T183)</f>
        <v>3844.5</v>
      </c>
      <c r="J183" s="13" t="n">
        <f aca="false">F183-(G183+H183+I183)</f>
        <v>-0.0200000000004366</v>
      </c>
      <c r="K183" s="13" t="n">
        <v>384.45</v>
      </c>
      <c r="L183" s="13" t="n">
        <v>384.45</v>
      </c>
      <c r="M183" s="13" t="n">
        <v>384.45</v>
      </c>
      <c r="N183" s="13" t="n">
        <v>384.45</v>
      </c>
      <c r="O183" s="13" t="n">
        <v>384.45</v>
      </c>
      <c r="P183" s="13" t="n">
        <v>384.45</v>
      </c>
      <c r="Q183" s="13" t="n">
        <v>384.45</v>
      </c>
      <c r="R183" s="13" t="n">
        <v>384.45</v>
      </c>
      <c r="S183" s="13" t="n">
        <v>384.45</v>
      </c>
      <c r="T183" s="13" t="n">
        <v>384.45</v>
      </c>
      <c r="U183" s="13" t="n">
        <v>350</v>
      </c>
      <c r="V183" s="13" t="n">
        <v>0</v>
      </c>
      <c r="W183" s="13" t="n">
        <f aca="false">U183+V183</f>
        <v>350</v>
      </c>
    </row>
    <row r="184" customFormat="false" ht="15" hidden="false" customHeight="false" outlineLevel="0" collapsed="false">
      <c r="A184" s="14" t="s">
        <v>3407</v>
      </c>
      <c r="B184" s="14" t="s">
        <v>3215</v>
      </c>
      <c r="C184" s="14" t="s">
        <v>2276</v>
      </c>
      <c r="D184" s="14" t="s">
        <v>406</v>
      </c>
      <c r="E184" s="15" t="n">
        <v>525000</v>
      </c>
      <c r="F184" s="15" t="n">
        <v>4556.85</v>
      </c>
      <c r="G184" s="15" t="n">
        <v>569.61</v>
      </c>
      <c r="H184" s="15" t="n">
        <v>569.61</v>
      </c>
      <c r="I184" s="15" t="n">
        <f aca="false">SUM(K184:T184)</f>
        <v>3417.6</v>
      </c>
      <c r="J184" s="15" t="n">
        <f aca="false">F184-(G184+H184+I184)</f>
        <v>0.0299999999997453</v>
      </c>
      <c r="K184" s="15" t="n">
        <v>341.76</v>
      </c>
      <c r="L184" s="15" t="n">
        <v>341.76</v>
      </c>
      <c r="M184" s="15" t="n">
        <v>341.76</v>
      </c>
      <c r="N184" s="15" t="n">
        <v>341.76</v>
      </c>
      <c r="O184" s="15" t="n">
        <v>341.76</v>
      </c>
      <c r="P184" s="15" t="n">
        <v>341.76</v>
      </c>
      <c r="Q184" s="15" t="n">
        <v>341.76</v>
      </c>
      <c r="R184" s="15" t="n">
        <v>341.76</v>
      </c>
      <c r="S184" s="15" t="n">
        <v>341.76</v>
      </c>
      <c r="T184" s="15" t="n">
        <v>341.76</v>
      </c>
      <c r="U184" s="15" t="n">
        <v>350</v>
      </c>
      <c r="V184" s="15" t="n">
        <v>0</v>
      </c>
      <c r="W184" s="15" t="n">
        <f aca="false">U184+V184</f>
        <v>350</v>
      </c>
    </row>
    <row r="185" customFormat="false" ht="15" hidden="false" customHeight="false" outlineLevel="0" collapsed="false">
      <c r="A185" s="3" t="s">
        <v>3408</v>
      </c>
      <c r="B185" s="3" t="s">
        <v>3215</v>
      </c>
      <c r="C185" s="3" t="s">
        <v>702</v>
      </c>
      <c r="D185" s="3" t="s">
        <v>193</v>
      </c>
      <c r="E185" s="13" t="n">
        <v>530000</v>
      </c>
      <c r="F185" s="13" t="n">
        <v>4090.38</v>
      </c>
      <c r="G185" s="13" t="n">
        <v>511.3</v>
      </c>
      <c r="H185" s="13" t="n">
        <v>511.3</v>
      </c>
      <c r="I185" s="13" t="n">
        <f aca="false">SUM(K185:T185)</f>
        <v>3067.8</v>
      </c>
      <c r="J185" s="13" t="n">
        <f aca="false">F185-(G185+H185+I185)</f>
        <v>-0.0199999999990723</v>
      </c>
      <c r="K185" s="13" t="n">
        <v>306.78</v>
      </c>
      <c r="L185" s="13" t="n">
        <v>306.78</v>
      </c>
      <c r="M185" s="13" t="n">
        <v>306.78</v>
      </c>
      <c r="N185" s="13" t="n">
        <v>306.78</v>
      </c>
      <c r="O185" s="13" t="n">
        <v>306.78</v>
      </c>
      <c r="P185" s="13" t="n">
        <v>306.78</v>
      </c>
      <c r="Q185" s="13" t="n">
        <v>306.78</v>
      </c>
      <c r="R185" s="13" t="n">
        <v>306.78</v>
      </c>
      <c r="S185" s="13" t="n">
        <v>306.78</v>
      </c>
      <c r="T185" s="13" t="n">
        <v>306.78</v>
      </c>
      <c r="U185" s="13" t="n">
        <v>350</v>
      </c>
      <c r="V185" s="13" t="n">
        <v>0</v>
      </c>
      <c r="W185" s="13" t="n">
        <f aca="false">U185+V185</f>
        <v>350</v>
      </c>
    </row>
    <row r="186" customFormat="false" ht="15" hidden="false" customHeight="false" outlineLevel="0" collapsed="false">
      <c r="A186" s="14" t="s">
        <v>3409</v>
      </c>
      <c r="B186" s="14" t="s">
        <v>3213</v>
      </c>
      <c r="C186" s="14" t="s">
        <v>2130</v>
      </c>
      <c r="D186" s="14" t="s">
        <v>698</v>
      </c>
      <c r="E186" s="15" t="n">
        <v>1435000</v>
      </c>
      <c r="F186" s="15" t="n">
        <v>22582.46</v>
      </c>
      <c r="G186" s="15" t="n">
        <v>2822.81</v>
      </c>
      <c r="H186" s="15" t="n">
        <v>2822.81</v>
      </c>
      <c r="I186" s="15" t="n">
        <f aca="false">SUM(K186:T186)</f>
        <v>16936.8</v>
      </c>
      <c r="J186" s="15" t="n">
        <f aca="false">F186-(G186+H186+I186)</f>
        <v>0.0400000000008731</v>
      </c>
      <c r="K186" s="15" t="n">
        <v>1693.68</v>
      </c>
      <c r="L186" s="15" t="n">
        <v>1693.68</v>
      </c>
      <c r="M186" s="15" t="n">
        <v>1693.68</v>
      </c>
      <c r="N186" s="15" t="n">
        <v>1693.68</v>
      </c>
      <c r="O186" s="15" t="n">
        <v>1693.68</v>
      </c>
      <c r="P186" s="15" t="n">
        <v>1693.68</v>
      </c>
      <c r="Q186" s="15" t="n">
        <v>1693.68</v>
      </c>
      <c r="R186" s="15" t="n">
        <v>1693.68</v>
      </c>
      <c r="S186" s="15" t="n">
        <v>1693.68</v>
      </c>
      <c r="T186" s="15" t="n">
        <v>1693.68</v>
      </c>
      <c r="U186" s="15" t="n">
        <v>350</v>
      </c>
      <c r="V186" s="15" t="n">
        <v>250</v>
      </c>
      <c r="W186" s="15" t="n">
        <f aca="false">U186+V186</f>
        <v>600</v>
      </c>
    </row>
    <row r="187" customFormat="false" ht="15" hidden="false" customHeight="false" outlineLevel="0" collapsed="false">
      <c r="A187" s="3" t="s">
        <v>3410</v>
      </c>
      <c r="B187" s="3" t="s">
        <v>3197</v>
      </c>
      <c r="C187" s="3" t="s">
        <v>764</v>
      </c>
      <c r="D187" s="3" t="s">
        <v>166</v>
      </c>
      <c r="E187" s="13" t="n">
        <v>195000</v>
      </c>
      <c r="F187" s="13" t="n">
        <v>3477.48</v>
      </c>
      <c r="G187" s="13" t="n">
        <v>434.69</v>
      </c>
      <c r="H187" s="13" t="n">
        <v>434.69</v>
      </c>
      <c r="I187" s="13" t="n">
        <f aca="false">SUM(K187:T187)</f>
        <v>2608.1</v>
      </c>
      <c r="J187" s="13" t="n">
        <f aca="false">F187-(G187+H187+I187)</f>
        <v>0</v>
      </c>
      <c r="K187" s="13" t="n">
        <v>260.81</v>
      </c>
      <c r="L187" s="13" t="n">
        <v>260.81</v>
      </c>
      <c r="M187" s="13" t="n">
        <v>260.81</v>
      </c>
      <c r="N187" s="13" t="n">
        <v>260.81</v>
      </c>
      <c r="O187" s="13" t="n">
        <v>260.81</v>
      </c>
      <c r="P187" s="13" t="n">
        <v>260.81</v>
      </c>
      <c r="Q187" s="13" t="n">
        <v>260.81</v>
      </c>
      <c r="R187" s="13" t="n">
        <v>260.81</v>
      </c>
      <c r="S187" s="13" t="n">
        <v>260.81</v>
      </c>
      <c r="T187" s="13" t="n">
        <v>260.81</v>
      </c>
      <c r="U187" s="13" t="n">
        <v>350</v>
      </c>
      <c r="V187" s="13" t="n">
        <v>0</v>
      </c>
      <c r="W187" s="13" t="n">
        <f aca="false">U187+V187</f>
        <v>350</v>
      </c>
    </row>
    <row r="188" customFormat="false" ht="15" hidden="false" customHeight="false" outlineLevel="0" collapsed="false">
      <c r="A188" s="14" t="s">
        <v>3411</v>
      </c>
      <c r="B188" s="14" t="s">
        <v>3325</v>
      </c>
      <c r="C188" s="14" t="s">
        <v>2399</v>
      </c>
      <c r="D188" s="14" t="s">
        <v>115</v>
      </c>
      <c r="E188" s="15" t="n">
        <v>565000</v>
      </c>
      <c r="F188" s="15" t="n">
        <v>6960.56</v>
      </c>
      <c r="G188" s="15" t="n">
        <v>870.07</v>
      </c>
      <c r="H188" s="15" t="n">
        <v>870.07</v>
      </c>
      <c r="I188" s="15" t="n">
        <f aca="false">SUM(K188:T188)</f>
        <v>5220.4</v>
      </c>
      <c r="J188" s="15" t="n">
        <f aca="false">F188-(G188+H188+I188)</f>
        <v>0.0200000000004366</v>
      </c>
      <c r="K188" s="15" t="n">
        <v>522.04</v>
      </c>
      <c r="L188" s="15" t="n">
        <v>522.04</v>
      </c>
      <c r="M188" s="15" t="n">
        <v>522.04</v>
      </c>
      <c r="N188" s="15" t="n">
        <v>522.04</v>
      </c>
      <c r="O188" s="15" t="n">
        <v>522.04</v>
      </c>
      <c r="P188" s="15" t="n">
        <v>522.04</v>
      </c>
      <c r="Q188" s="15" t="n">
        <v>522.04</v>
      </c>
      <c r="R188" s="15" t="n">
        <v>522.04</v>
      </c>
      <c r="S188" s="15" t="n">
        <v>522.04</v>
      </c>
      <c r="T188" s="15" t="n">
        <v>522.04</v>
      </c>
      <c r="U188" s="15" t="n">
        <v>350</v>
      </c>
      <c r="V188" s="15" t="n">
        <v>0</v>
      </c>
      <c r="W188" s="15" t="n">
        <f aca="false">U188+V188</f>
        <v>350</v>
      </c>
    </row>
    <row r="189" customFormat="false" ht="15" hidden="false" customHeight="false" outlineLevel="0" collapsed="false">
      <c r="A189" s="3" t="s">
        <v>3412</v>
      </c>
      <c r="B189" s="3" t="s">
        <v>3221</v>
      </c>
      <c r="C189" s="3" t="s">
        <v>987</v>
      </c>
      <c r="D189" s="3" t="s">
        <v>125</v>
      </c>
      <c r="E189" s="13" t="n">
        <v>690000</v>
      </c>
      <c r="F189" s="13" t="n">
        <v>4089.76</v>
      </c>
      <c r="G189" s="13" t="n">
        <v>511.22</v>
      </c>
      <c r="H189" s="13" t="n">
        <v>511.22</v>
      </c>
      <c r="I189" s="13" t="n">
        <f aca="false">SUM(K189:T189)</f>
        <v>3067.3</v>
      </c>
      <c r="J189" s="13" t="n">
        <f aca="false">F189-(G189+H189+I189)</f>
        <v>0.0199999999999818</v>
      </c>
      <c r="K189" s="13" t="n">
        <v>306.73</v>
      </c>
      <c r="L189" s="13" t="n">
        <v>306.73</v>
      </c>
      <c r="M189" s="13" t="n">
        <v>306.73</v>
      </c>
      <c r="N189" s="13" t="n">
        <v>306.73</v>
      </c>
      <c r="O189" s="13" t="n">
        <v>306.73</v>
      </c>
      <c r="P189" s="13" t="n">
        <v>306.73</v>
      </c>
      <c r="Q189" s="13" t="n">
        <v>306.73</v>
      </c>
      <c r="R189" s="13" t="n">
        <v>306.73</v>
      </c>
      <c r="S189" s="13" t="n">
        <v>306.73</v>
      </c>
      <c r="T189" s="13" t="n">
        <v>306.73</v>
      </c>
      <c r="U189" s="13" t="n">
        <v>350</v>
      </c>
      <c r="V189" s="13" t="n">
        <v>0</v>
      </c>
      <c r="W189" s="13" t="n">
        <f aca="false">U189+V189</f>
        <v>350</v>
      </c>
    </row>
    <row r="190" customFormat="false" ht="15" hidden="false" customHeight="false" outlineLevel="0" collapsed="false">
      <c r="A190" s="14" t="s">
        <v>3413</v>
      </c>
      <c r="B190" s="14" t="s">
        <v>3235</v>
      </c>
      <c r="C190" s="14" t="s">
        <v>1012</v>
      </c>
      <c r="D190" s="14" t="s">
        <v>89</v>
      </c>
      <c r="E190" s="15" t="n">
        <v>655000</v>
      </c>
      <c r="F190" s="15" t="n">
        <v>8252.73</v>
      </c>
      <c r="G190" s="15" t="n">
        <v>1031.59</v>
      </c>
      <c r="H190" s="15" t="n">
        <v>1031.59</v>
      </c>
      <c r="I190" s="15" t="n">
        <f aca="false">SUM(K190:T190)</f>
        <v>6189.5</v>
      </c>
      <c r="J190" s="15" t="n">
        <f aca="false">F190-(G190+H190+I190)</f>
        <v>0.0499999999992724</v>
      </c>
      <c r="K190" s="15" t="n">
        <v>618.95</v>
      </c>
      <c r="L190" s="15" t="n">
        <v>618.95</v>
      </c>
      <c r="M190" s="15" t="n">
        <v>618.95</v>
      </c>
      <c r="N190" s="15" t="n">
        <v>618.95</v>
      </c>
      <c r="O190" s="15" t="n">
        <v>618.95</v>
      </c>
      <c r="P190" s="15" t="n">
        <v>618.95</v>
      </c>
      <c r="Q190" s="15" t="n">
        <v>618.95</v>
      </c>
      <c r="R190" s="15" t="n">
        <v>618.95</v>
      </c>
      <c r="S190" s="15" t="n">
        <v>618.95</v>
      </c>
      <c r="T190" s="15" t="n">
        <v>618.95</v>
      </c>
      <c r="U190" s="15" t="n">
        <v>350</v>
      </c>
      <c r="V190" s="15" t="n">
        <v>0</v>
      </c>
      <c r="W190" s="15" t="n">
        <f aca="false">U190+V190</f>
        <v>350</v>
      </c>
    </row>
    <row r="191" customFormat="false" ht="15" hidden="false" customHeight="false" outlineLevel="0" collapsed="false">
      <c r="A191" s="3" t="s">
        <v>3414</v>
      </c>
      <c r="B191" s="3" t="s">
        <v>3195</v>
      </c>
      <c r="C191" s="3" t="s">
        <v>641</v>
      </c>
      <c r="D191" s="3" t="s">
        <v>352</v>
      </c>
      <c r="E191" s="13" t="n">
        <v>260000</v>
      </c>
      <c r="F191" s="13" t="n">
        <v>3163.9</v>
      </c>
      <c r="G191" s="13" t="n">
        <v>395.49</v>
      </c>
      <c r="H191" s="13" t="n">
        <v>395.49</v>
      </c>
      <c r="I191" s="13" t="n">
        <f aca="false">SUM(K191:T191)</f>
        <v>2372.9</v>
      </c>
      <c r="J191" s="13" t="n">
        <f aca="false">F191-(G191+H191+I191)</f>
        <v>0.0199999999999818</v>
      </c>
      <c r="K191" s="13" t="n">
        <v>237.29</v>
      </c>
      <c r="L191" s="13" t="n">
        <v>237.29</v>
      </c>
      <c r="M191" s="13" t="n">
        <v>237.29</v>
      </c>
      <c r="N191" s="13" t="n">
        <v>237.29</v>
      </c>
      <c r="O191" s="13" t="n">
        <v>237.29</v>
      </c>
      <c r="P191" s="13" t="n">
        <v>237.29</v>
      </c>
      <c r="Q191" s="13" t="n">
        <v>237.29</v>
      </c>
      <c r="R191" s="13" t="n">
        <v>237.29</v>
      </c>
      <c r="S191" s="13" t="n">
        <v>237.29</v>
      </c>
      <c r="T191" s="13" t="n">
        <v>237.29</v>
      </c>
      <c r="U191" s="13" t="n">
        <v>350</v>
      </c>
      <c r="V191" s="13" t="n">
        <v>0</v>
      </c>
      <c r="W191" s="13" t="n">
        <f aca="false">U191+V191</f>
        <v>350</v>
      </c>
    </row>
    <row r="192" customFormat="false" ht="15" hidden="false" customHeight="false" outlineLevel="0" collapsed="false">
      <c r="A192" s="14" t="s">
        <v>3415</v>
      </c>
      <c r="B192" s="14" t="s">
        <v>3221</v>
      </c>
      <c r="C192" s="14" t="s">
        <v>819</v>
      </c>
      <c r="D192" s="14" t="s">
        <v>172</v>
      </c>
      <c r="E192" s="15" t="n">
        <v>1885000</v>
      </c>
      <c r="F192" s="15" t="n">
        <v>10696.39</v>
      </c>
      <c r="G192" s="15" t="n">
        <v>1337.05</v>
      </c>
      <c r="H192" s="15" t="n">
        <v>1337.05</v>
      </c>
      <c r="I192" s="15" t="n">
        <f aca="false">SUM(K192:T192)</f>
        <v>8022.3</v>
      </c>
      <c r="J192" s="15" t="n">
        <f aca="false">F192-(G192+H192+I192)</f>
        <v>-0.0100000000002183</v>
      </c>
      <c r="K192" s="15" t="n">
        <v>802.23</v>
      </c>
      <c r="L192" s="15" t="n">
        <v>802.23</v>
      </c>
      <c r="M192" s="15" t="n">
        <v>802.23</v>
      </c>
      <c r="N192" s="15" t="n">
        <v>802.23</v>
      </c>
      <c r="O192" s="15" t="n">
        <v>802.23</v>
      </c>
      <c r="P192" s="15" t="n">
        <v>802.23</v>
      </c>
      <c r="Q192" s="15" t="n">
        <v>802.23</v>
      </c>
      <c r="R192" s="15" t="n">
        <v>802.23</v>
      </c>
      <c r="S192" s="15" t="n">
        <v>802.23</v>
      </c>
      <c r="T192" s="15" t="n">
        <v>802.23</v>
      </c>
      <c r="U192" s="15" t="n">
        <v>350</v>
      </c>
      <c r="V192" s="15" t="n">
        <v>250</v>
      </c>
      <c r="W192" s="15" t="n">
        <f aca="false">U192+V192</f>
        <v>600</v>
      </c>
    </row>
    <row r="193" customFormat="false" ht="15" hidden="false" customHeight="false" outlineLevel="0" collapsed="false">
      <c r="A193" s="3" t="s">
        <v>3416</v>
      </c>
      <c r="B193" s="3" t="s">
        <v>3213</v>
      </c>
      <c r="C193" s="3" t="s">
        <v>769</v>
      </c>
      <c r="D193" s="3" t="s">
        <v>352</v>
      </c>
      <c r="E193" s="13" t="n">
        <v>1475000</v>
      </c>
      <c r="F193" s="13" t="n">
        <v>13162.61</v>
      </c>
      <c r="G193" s="13" t="n">
        <v>1645.33</v>
      </c>
      <c r="H193" s="13" t="n">
        <v>1645.33</v>
      </c>
      <c r="I193" s="13" t="n">
        <f aca="false">SUM(K193:T193)</f>
        <v>9872</v>
      </c>
      <c r="J193" s="13" t="n">
        <f aca="false">F193-(G193+H193+I193)</f>
        <v>-0.0500000000010914</v>
      </c>
      <c r="K193" s="13" t="n">
        <v>987.2</v>
      </c>
      <c r="L193" s="13" t="n">
        <v>987.2</v>
      </c>
      <c r="M193" s="13" t="n">
        <v>987.2</v>
      </c>
      <c r="N193" s="13" t="n">
        <v>987.2</v>
      </c>
      <c r="O193" s="13" t="n">
        <v>987.2</v>
      </c>
      <c r="P193" s="13" t="n">
        <v>987.2</v>
      </c>
      <c r="Q193" s="13" t="n">
        <v>987.2</v>
      </c>
      <c r="R193" s="13" t="n">
        <v>987.2</v>
      </c>
      <c r="S193" s="13" t="n">
        <v>987.2</v>
      </c>
      <c r="T193" s="13" t="n">
        <v>987.2</v>
      </c>
      <c r="U193" s="13" t="n">
        <v>350</v>
      </c>
      <c r="V193" s="13" t="n">
        <v>250</v>
      </c>
      <c r="W193" s="13" t="n">
        <f aca="false">U193+V193</f>
        <v>600</v>
      </c>
    </row>
    <row r="194" customFormat="false" ht="15" hidden="false" customHeight="false" outlineLevel="0" collapsed="false">
      <c r="A194" s="14" t="s">
        <v>3417</v>
      </c>
      <c r="B194" s="14" t="s">
        <v>3248</v>
      </c>
      <c r="C194" s="14" t="s">
        <v>545</v>
      </c>
      <c r="D194" s="14" t="s">
        <v>93</v>
      </c>
      <c r="E194" s="15" t="n">
        <v>305000</v>
      </c>
      <c r="F194" s="15" t="n">
        <v>4204.17</v>
      </c>
      <c r="G194" s="15" t="n">
        <v>525.52</v>
      </c>
      <c r="H194" s="15" t="n">
        <v>525.52</v>
      </c>
      <c r="I194" s="15" t="n">
        <f aca="false">SUM(K194:T194)</f>
        <v>3153.1</v>
      </c>
      <c r="J194" s="15" t="n">
        <f aca="false">F194-(G194+H194+I194)</f>
        <v>0.0300000000006548</v>
      </c>
      <c r="K194" s="15" t="n">
        <v>315.31</v>
      </c>
      <c r="L194" s="15" t="n">
        <v>315.31</v>
      </c>
      <c r="M194" s="15" t="n">
        <v>315.31</v>
      </c>
      <c r="N194" s="15" t="n">
        <v>315.31</v>
      </c>
      <c r="O194" s="15" t="n">
        <v>315.31</v>
      </c>
      <c r="P194" s="15" t="n">
        <v>315.31</v>
      </c>
      <c r="Q194" s="15" t="n">
        <v>315.31</v>
      </c>
      <c r="R194" s="15" t="n">
        <v>315.31</v>
      </c>
      <c r="S194" s="15" t="n">
        <v>315.31</v>
      </c>
      <c r="T194" s="15" t="n">
        <v>315.31</v>
      </c>
      <c r="U194" s="15" t="n">
        <v>350</v>
      </c>
      <c r="V194" s="15" t="n">
        <v>0</v>
      </c>
      <c r="W194" s="15" t="n">
        <f aca="false">U194+V194</f>
        <v>350</v>
      </c>
    </row>
    <row r="195" customFormat="false" ht="15" hidden="false" customHeight="false" outlineLevel="0" collapsed="false">
      <c r="A195" s="3" t="s">
        <v>3418</v>
      </c>
      <c r="B195" s="3" t="s">
        <v>3299</v>
      </c>
      <c r="C195" s="3" t="s">
        <v>98</v>
      </c>
      <c r="D195" s="3" t="s">
        <v>189</v>
      </c>
      <c r="E195" s="13" t="n">
        <v>620000</v>
      </c>
      <c r="F195" s="13" t="n">
        <v>9302.87</v>
      </c>
      <c r="G195" s="13" t="n">
        <v>1162.86</v>
      </c>
      <c r="H195" s="13" t="n">
        <v>1162.86</v>
      </c>
      <c r="I195" s="13" t="n">
        <f aca="false">SUM(K195:T195)</f>
        <v>6977.2</v>
      </c>
      <c r="J195" s="13" t="n">
        <f aca="false">F195-(G195+H195+I195)</f>
        <v>-0.0499999999992724</v>
      </c>
      <c r="K195" s="13" t="n">
        <v>697.72</v>
      </c>
      <c r="L195" s="13" t="n">
        <v>697.72</v>
      </c>
      <c r="M195" s="13" t="n">
        <v>697.72</v>
      </c>
      <c r="N195" s="13" t="n">
        <v>697.72</v>
      </c>
      <c r="O195" s="13" t="n">
        <v>697.72</v>
      </c>
      <c r="P195" s="13" t="n">
        <v>697.72</v>
      </c>
      <c r="Q195" s="13" t="n">
        <v>697.72</v>
      </c>
      <c r="R195" s="13" t="n">
        <v>697.72</v>
      </c>
      <c r="S195" s="13" t="n">
        <v>697.72</v>
      </c>
      <c r="T195" s="13" t="n">
        <v>697.72</v>
      </c>
      <c r="U195" s="13" t="n">
        <v>350</v>
      </c>
      <c r="V195" s="13" t="n">
        <v>0</v>
      </c>
      <c r="W195" s="13" t="n">
        <f aca="false">U195+V195</f>
        <v>350</v>
      </c>
    </row>
    <row r="196" customFormat="false" ht="15" hidden="false" customHeight="false" outlineLevel="0" collapsed="false">
      <c r="A196" s="14" t="s">
        <v>3419</v>
      </c>
      <c r="B196" s="14" t="s">
        <v>3312</v>
      </c>
      <c r="C196" s="14" t="s">
        <v>917</v>
      </c>
      <c r="D196" s="14" t="s">
        <v>157</v>
      </c>
      <c r="E196" s="15" t="n">
        <v>1830000</v>
      </c>
      <c r="F196" s="15" t="n">
        <v>29849.58</v>
      </c>
      <c r="G196" s="15" t="n">
        <v>3731.2</v>
      </c>
      <c r="H196" s="15" t="n">
        <v>3731.2</v>
      </c>
      <c r="I196" s="15" t="n">
        <f aca="false">SUM(K196:T196)</f>
        <v>22387.2</v>
      </c>
      <c r="J196" s="15" t="n">
        <f aca="false">F196-(G196+H196+I196)</f>
        <v>-0.0199999999967986</v>
      </c>
      <c r="K196" s="15" t="n">
        <v>2238.72</v>
      </c>
      <c r="L196" s="15" t="n">
        <v>2238.72</v>
      </c>
      <c r="M196" s="15" t="n">
        <v>2238.72</v>
      </c>
      <c r="N196" s="15" t="n">
        <v>2238.72</v>
      </c>
      <c r="O196" s="15" t="n">
        <v>2238.72</v>
      </c>
      <c r="P196" s="15" t="n">
        <v>2238.72</v>
      </c>
      <c r="Q196" s="15" t="n">
        <v>2238.72</v>
      </c>
      <c r="R196" s="15" t="n">
        <v>2238.72</v>
      </c>
      <c r="S196" s="15" t="n">
        <v>2238.72</v>
      </c>
      <c r="T196" s="15" t="n">
        <v>2238.72</v>
      </c>
      <c r="U196" s="15" t="n">
        <v>350</v>
      </c>
      <c r="V196" s="15" t="n">
        <v>250</v>
      </c>
      <c r="W196" s="15" t="n">
        <f aca="false">U196+V196</f>
        <v>600</v>
      </c>
    </row>
    <row r="197" customFormat="false" ht="15" hidden="false" customHeight="false" outlineLevel="0" collapsed="false">
      <c r="A197" s="3" t="s">
        <v>3420</v>
      </c>
      <c r="B197" s="3" t="s">
        <v>3201</v>
      </c>
      <c r="C197" s="3" t="s">
        <v>1152</v>
      </c>
      <c r="D197" s="3" t="s">
        <v>377</v>
      </c>
      <c r="E197" s="13" t="n">
        <v>1065000</v>
      </c>
      <c r="F197" s="13" t="n">
        <v>11270.05</v>
      </c>
      <c r="G197" s="13" t="n">
        <v>1408.76</v>
      </c>
      <c r="H197" s="13" t="n">
        <v>1408.76</v>
      </c>
      <c r="I197" s="13" t="n">
        <f aca="false">SUM(K197:T197)</f>
        <v>8452.5</v>
      </c>
      <c r="J197" s="13" t="n">
        <f aca="false">F197-(G197+H197+I197)</f>
        <v>0.0299999999988358</v>
      </c>
      <c r="K197" s="13" t="n">
        <v>845.25</v>
      </c>
      <c r="L197" s="13" t="n">
        <v>845.25</v>
      </c>
      <c r="M197" s="13" t="n">
        <v>845.25</v>
      </c>
      <c r="N197" s="13" t="n">
        <v>845.25</v>
      </c>
      <c r="O197" s="13" t="n">
        <v>845.25</v>
      </c>
      <c r="P197" s="13" t="n">
        <v>845.25</v>
      </c>
      <c r="Q197" s="13" t="n">
        <v>845.25</v>
      </c>
      <c r="R197" s="13" t="n">
        <v>845.25</v>
      </c>
      <c r="S197" s="13" t="n">
        <v>845.25</v>
      </c>
      <c r="T197" s="13" t="n">
        <v>845.25</v>
      </c>
      <c r="U197" s="13" t="n">
        <v>350</v>
      </c>
      <c r="V197" s="13" t="n">
        <v>250</v>
      </c>
      <c r="W197" s="13" t="n">
        <f aca="false">U197+V197</f>
        <v>600</v>
      </c>
    </row>
    <row r="198" customFormat="false" ht="15" hidden="false" customHeight="false" outlineLevel="0" collapsed="false">
      <c r="A198" s="14" t="s">
        <v>3421</v>
      </c>
      <c r="B198" s="14" t="s">
        <v>3248</v>
      </c>
      <c r="C198" s="14" t="s">
        <v>342</v>
      </c>
      <c r="D198" s="14" t="s">
        <v>251</v>
      </c>
      <c r="E198" s="15" t="n">
        <v>120000</v>
      </c>
      <c r="F198" s="15" t="n">
        <v>1775.4</v>
      </c>
      <c r="G198" s="15" t="n">
        <v>221.93</v>
      </c>
      <c r="H198" s="15" t="n">
        <v>221.93</v>
      </c>
      <c r="I198" s="15" t="n">
        <f aca="false">SUM(K198:T198)</f>
        <v>1331.6</v>
      </c>
      <c r="J198" s="15" t="n">
        <f aca="false">F198-(G198+H198+I198)</f>
        <v>-0.0599999999999454</v>
      </c>
      <c r="K198" s="15" t="n">
        <v>133.16</v>
      </c>
      <c r="L198" s="15" t="n">
        <v>133.16</v>
      </c>
      <c r="M198" s="15" t="n">
        <v>133.16</v>
      </c>
      <c r="N198" s="15" t="n">
        <v>133.16</v>
      </c>
      <c r="O198" s="15" t="n">
        <v>133.16</v>
      </c>
      <c r="P198" s="15" t="n">
        <v>133.16</v>
      </c>
      <c r="Q198" s="15" t="n">
        <v>133.16</v>
      </c>
      <c r="R198" s="15" t="n">
        <v>133.16</v>
      </c>
      <c r="S198" s="15" t="n">
        <v>133.16</v>
      </c>
      <c r="T198" s="15" t="n">
        <v>133.16</v>
      </c>
      <c r="U198" s="15" t="n">
        <v>350</v>
      </c>
      <c r="V198" s="15" t="n">
        <v>0</v>
      </c>
      <c r="W198" s="15" t="n">
        <f aca="false">U198+V198</f>
        <v>350</v>
      </c>
    </row>
    <row r="199" customFormat="false" ht="15" hidden="false" customHeight="false" outlineLevel="0" collapsed="false">
      <c r="A199" s="3" t="s">
        <v>3422</v>
      </c>
      <c r="B199" s="3" t="s">
        <v>3248</v>
      </c>
      <c r="C199" s="3" t="s">
        <v>1347</v>
      </c>
      <c r="D199" s="3" t="s">
        <v>157</v>
      </c>
      <c r="E199" s="13" t="n">
        <v>345000</v>
      </c>
      <c r="F199" s="13" t="n">
        <v>5275.67</v>
      </c>
      <c r="G199" s="13" t="n">
        <v>659.46</v>
      </c>
      <c r="H199" s="13" t="n">
        <v>659.46</v>
      </c>
      <c r="I199" s="13" t="n">
        <f aca="false">SUM(K199:T199)</f>
        <v>3956.8</v>
      </c>
      <c r="J199" s="13" t="n">
        <f aca="false">F199-(G199+H199+I199)</f>
        <v>-0.0499999999992724</v>
      </c>
      <c r="K199" s="13" t="n">
        <v>395.68</v>
      </c>
      <c r="L199" s="13" t="n">
        <v>395.68</v>
      </c>
      <c r="M199" s="13" t="n">
        <v>395.68</v>
      </c>
      <c r="N199" s="13" t="n">
        <v>395.68</v>
      </c>
      <c r="O199" s="13" t="n">
        <v>395.68</v>
      </c>
      <c r="P199" s="13" t="n">
        <v>395.68</v>
      </c>
      <c r="Q199" s="13" t="n">
        <v>395.68</v>
      </c>
      <c r="R199" s="13" t="n">
        <v>395.68</v>
      </c>
      <c r="S199" s="13" t="n">
        <v>395.68</v>
      </c>
      <c r="T199" s="13" t="n">
        <v>395.68</v>
      </c>
      <c r="U199" s="13" t="n">
        <v>350</v>
      </c>
      <c r="V199" s="13" t="n">
        <v>0</v>
      </c>
      <c r="W199" s="13" t="n">
        <f aca="false">U199+V199</f>
        <v>350</v>
      </c>
    </row>
    <row r="200" customFormat="false" ht="15" hidden="false" customHeight="false" outlineLevel="0" collapsed="false">
      <c r="A200" s="14" t="s">
        <v>3423</v>
      </c>
      <c r="B200" s="14" t="s">
        <v>3352</v>
      </c>
      <c r="C200" s="14" t="s">
        <v>1678</v>
      </c>
      <c r="D200" s="14" t="s">
        <v>89</v>
      </c>
      <c r="E200" s="15" t="n">
        <v>810000</v>
      </c>
      <c r="F200" s="15" t="n">
        <v>10205.66</v>
      </c>
      <c r="G200" s="15" t="n">
        <v>1275.71</v>
      </c>
      <c r="H200" s="15" t="n">
        <v>1275.71</v>
      </c>
      <c r="I200" s="15" t="n">
        <f aca="false">SUM(K200:T200)</f>
        <v>7654.2</v>
      </c>
      <c r="J200" s="15" t="n">
        <f aca="false">F200-(G200+H200+I200)</f>
        <v>0.0400000000008731</v>
      </c>
      <c r="K200" s="15" t="n">
        <v>765.42</v>
      </c>
      <c r="L200" s="15" t="n">
        <v>765.42</v>
      </c>
      <c r="M200" s="15" t="n">
        <v>765.42</v>
      </c>
      <c r="N200" s="15" t="n">
        <v>765.42</v>
      </c>
      <c r="O200" s="15" t="n">
        <v>765.42</v>
      </c>
      <c r="P200" s="15" t="n">
        <v>765.42</v>
      </c>
      <c r="Q200" s="15" t="n">
        <v>765.42</v>
      </c>
      <c r="R200" s="15" t="n">
        <v>765.42</v>
      </c>
      <c r="S200" s="15" t="n">
        <v>765.42</v>
      </c>
      <c r="T200" s="15" t="n">
        <v>765.42</v>
      </c>
      <c r="U200" s="15" t="n">
        <v>350</v>
      </c>
      <c r="V200" s="15" t="n">
        <v>0</v>
      </c>
      <c r="W200" s="15" t="n">
        <f aca="false">U200+V200</f>
        <v>350</v>
      </c>
    </row>
    <row r="201" customFormat="false" ht="15" hidden="false" customHeight="false" outlineLevel="0" collapsed="false">
      <c r="A201" s="3" t="s">
        <v>3424</v>
      </c>
      <c r="B201" s="3" t="s">
        <v>3266</v>
      </c>
      <c r="C201" s="3" t="s">
        <v>221</v>
      </c>
      <c r="D201" s="3" t="s">
        <v>189</v>
      </c>
      <c r="E201" s="13" t="n">
        <v>515000</v>
      </c>
      <c r="F201" s="13" t="n">
        <v>5287.15</v>
      </c>
      <c r="G201" s="13" t="n">
        <v>660.89</v>
      </c>
      <c r="H201" s="13" t="n">
        <v>660.89</v>
      </c>
      <c r="I201" s="13" t="n">
        <f aca="false">SUM(K201:T201)</f>
        <v>3965.4</v>
      </c>
      <c r="J201" s="13" t="n">
        <f aca="false">F201-(G201+H201+I201)</f>
        <v>-0.0300000000006548</v>
      </c>
      <c r="K201" s="13" t="n">
        <v>396.54</v>
      </c>
      <c r="L201" s="13" t="n">
        <v>396.54</v>
      </c>
      <c r="M201" s="13" t="n">
        <v>396.54</v>
      </c>
      <c r="N201" s="13" t="n">
        <v>396.54</v>
      </c>
      <c r="O201" s="13" t="n">
        <v>396.54</v>
      </c>
      <c r="P201" s="13" t="n">
        <v>396.54</v>
      </c>
      <c r="Q201" s="13" t="n">
        <v>396.54</v>
      </c>
      <c r="R201" s="13" t="n">
        <v>396.54</v>
      </c>
      <c r="S201" s="13" t="n">
        <v>396.54</v>
      </c>
      <c r="T201" s="13" t="n">
        <v>396.54</v>
      </c>
      <c r="U201" s="13" t="n">
        <v>350</v>
      </c>
      <c r="V201" s="13" t="n">
        <v>0</v>
      </c>
      <c r="W201" s="13" t="n">
        <f aca="false">U201+V201</f>
        <v>350</v>
      </c>
    </row>
    <row r="202" customFormat="false" ht="15" hidden="false" customHeight="false" outlineLevel="0" collapsed="false">
      <c r="A202" s="14" t="s">
        <v>3425</v>
      </c>
      <c r="B202" s="14" t="s">
        <v>3280</v>
      </c>
      <c r="C202" s="14" t="s">
        <v>3426</v>
      </c>
      <c r="D202" s="14" t="s">
        <v>153</v>
      </c>
      <c r="E202" s="15" t="n">
        <v>390000</v>
      </c>
      <c r="F202" s="15" t="n">
        <v>9981.66</v>
      </c>
      <c r="G202" s="15" t="n">
        <v>1247.71</v>
      </c>
      <c r="H202" s="15" t="n">
        <v>1247.71</v>
      </c>
      <c r="I202" s="15" t="n">
        <f aca="false">SUM(K202:T202)</f>
        <v>7486.2</v>
      </c>
      <c r="J202" s="15" t="n">
        <f aca="false">F202-(G202+H202+I202)</f>
        <v>0.0400000000008731</v>
      </c>
      <c r="K202" s="15" t="n">
        <v>748.62</v>
      </c>
      <c r="L202" s="15" t="n">
        <v>748.62</v>
      </c>
      <c r="M202" s="15" t="n">
        <v>748.62</v>
      </c>
      <c r="N202" s="15" t="n">
        <v>748.62</v>
      </c>
      <c r="O202" s="15" t="n">
        <v>748.62</v>
      </c>
      <c r="P202" s="15" t="n">
        <v>748.62</v>
      </c>
      <c r="Q202" s="15" t="n">
        <v>748.62</v>
      </c>
      <c r="R202" s="15" t="n">
        <v>748.62</v>
      </c>
      <c r="S202" s="15" t="n">
        <v>748.62</v>
      </c>
      <c r="T202" s="15" t="n">
        <v>748.62</v>
      </c>
      <c r="U202" s="15" t="n">
        <v>350</v>
      </c>
      <c r="V202" s="15" t="n">
        <v>0</v>
      </c>
      <c r="W202" s="15" t="n">
        <f aca="false">U202+V202</f>
        <v>350</v>
      </c>
    </row>
    <row r="203" customFormat="false" ht="15" hidden="false" customHeight="false" outlineLevel="0" collapsed="false">
      <c r="A203" s="3" t="s">
        <v>3427</v>
      </c>
      <c r="B203" s="3" t="s">
        <v>3289</v>
      </c>
      <c r="C203" s="3" t="s">
        <v>253</v>
      </c>
      <c r="D203" s="3" t="s">
        <v>99</v>
      </c>
      <c r="E203" s="13" t="n">
        <v>290000</v>
      </c>
      <c r="F203" s="13" t="n">
        <v>4247.24</v>
      </c>
      <c r="G203" s="13" t="n">
        <v>530.9</v>
      </c>
      <c r="H203" s="13" t="n">
        <v>530.9</v>
      </c>
      <c r="I203" s="13" t="n">
        <f aca="false">SUM(K203:T203)</f>
        <v>3185.4</v>
      </c>
      <c r="J203" s="13" t="n">
        <f aca="false">F203-(G203+H203+I203)</f>
        <v>0.0399999999999636</v>
      </c>
      <c r="K203" s="13" t="n">
        <v>318.54</v>
      </c>
      <c r="L203" s="13" t="n">
        <v>318.54</v>
      </c>
      <c r="M203" s="13" t="n">
        <v>318.54</v>
      </c>
      <c r="N203" s="13" t="n">
        <v>318.54</v>
      </c>
      <c r="O203" s="13" t="n">
        <v>318.54</v>
      </c>
      <c r="P203" s="13" t="n">
        <v>318.54</v>
      </c>
      <c r="Q203" s="13" t="n">
        <v>318.54</v>
      </c>
      <c r="R203" s="13" t="n">
        <v>318.54</v>
      </c>
      <c r="S203" s="13" t="n">
        <v>318.54</v>
      </c>
      <c r="T203" s="13" t="n">
        <v>318.54</v>
      </c>
      <c r="U203" s="13" t="n">
        <v>350</v>
      </c>
      <c r="V203" s="13" t="n">
        <v>0</v>
      </c>
      <c r="W203" s="13" t="n">
        <f aca="false">U203+V203</f>
        <v>350</v>
      </c>
    </row>
    <row r="204" customFormat="false" ht="15" hidden="false" customHeight="false" outlineLevel="0" collapsed="false">
      <c r="A204" s="14" t="s">
        <v>3428</v>
      </c>
      <c r="B204" s="14" t="s">
        <v>3221</v>
      </c>
      <c r="C204" s="14" t="s">
        <v>171</v>
      </c>
      <c r="D204" s="14" t="s">
        <v>251</v>
      </c>
      <c r="E204" s="15" t="n">
        <v>1270000</v>
      </c>
      <c r="F204" s="15" t="n">
        <v>7760.94</v>
      </c>
      <c r="G204" s="15" t="n">
        <v>970.12</v>
      </c>
      <c r="H204" s="15" t="n">
        <v>970.12</v>
      </c>
      <c r="I204" s="15" t="n">
        <f aca="false">SUM(K204:T204)</f>
        <v>5820.7</v>
      </c>
      <c r="J204" s="15" t="n">
        <f aca="false">F204-(G204+H204+I204)</f>
        <v>0</v>
      </c>
      <c r="K204" s="15" t="n">
        <v>582.07</v>
      </c>
      <c r="L204" s="15" t="n">
        <v>582.07</v>
      </c>
      <c r="M204" s="15" t="n">
        <v>582.07</v>
      </c>
      <c r="N204" s="15" t="n">
        <v>582.07</v>
      </c>
      <c r="O204" s="15" t="n">
        <v>582.07</v>
      </c>
      <c r="P204" s="15" t="n">
        <v>582.07</v>
      </c>
      <c r="Q204" s="15" t="n">
        <v>582.07</v>
      </c>
      <c r="R204" s="15" t="n">
        <v>582.07</v>
      </c>
      <c r="S204" s="15" t="n">
        <v>582.07</v>
      </c>
      <c r="T204" s="15" t="n">
        <v>582.07</v>
      </c>
      <c r="U204" s="15" t="n">
        <v>350</v>
      </c>
      <c r="V204" s="15" t="n">
        <v>250</v>
      </c>
      <c r="W204" s="15" t="n">
        <f aca="false">U204+V204</f>
        <v>600</v>
      </c>
    </row>
    <row r="205" customFormat="false" ht="15" hidden="false" customHeight="false" outlineLevel="0" collapsed="false">
      <c r="A205" s="3" t="s">
        <v>3429</v>
      </c>
      <c r="B205" s="3" t="s">
        <v>3289</v>
      </c>
      <c r="C205" s="3" t="s">
        <v>887</v>
      </c>
      <c r="D205" s="3" t="s">
        <v>132</v>
      </c>
      <c r="E205" s="13" t="n">
        <v>395000</v>
      </c>
      <c r="F205" s="13" t="n">
        <v>6522.34</v>
      </c>
      <c r="G205" s="13" t="n">
        <v>815.29</v>
      </c>
      <c r="H205" s="13" t="n">
        <v>815.29</v>
      </c>
      <c r="I205" s="13" t="n">
        <f aca="false">SUM(K205:T205)</f>
        <v>4891.8</v>
      </c>
      <c r="J205" s="13" t="n">
        <f aca="false">F205-(G205+H205+I205)</f>
        <v>-0.0399999999999636</v>
      </c>
      <c r="K205" s="13" t="n">
        <v>489.18</v>
      </c>
      <c r="L205" s="13" t="n">
        <v>489.18</v>
      </c>
      <c r="M205" s="13" t="n">
        <v>489.18</v>
      </c>
      <c r="N205" s="13" t="n">
        <v>489.18</v>
      </c>
      <c r="O205" s="13" t="n">
        <v>489.18</v>
      </c>
      <c r="P205" s="13" t="n">
        <v>489.18</v>
      </c>
      <c r="Q205" s="13" t="n">
        <v>489.18</v>
      </c>
      <c r="R205" s="13" t="n">
        <v>489.18</v>
      </c>
      <c r="S205" s="13" t="n">
        <v>489.18</v>
      </c>
      <c r="T205" s="13" t="n">
        <v>489.18</v>
      </c>
      <c r="U205" s="13" t="n">
        <v>350</v>
      </c>
      <c r="V205" s="13" t="n">
        <v>0</v>
      </c>
      <c r="W205" s="13" t="n">
        <f aca="false">U205+V205</f>
        <v>350</v>
      </c>
    </row>
    <row r="206" customFormat="false" ht="15" hidden="false" customHeight="false" outlineLevel="0" collapsed="false">
      <c r="A206" s="14" t="s">
        <v>3430</v>
      </c>
      <c r="B206" s="14" t="s">
        <v>3203</v>
      </c>
      <c r="C206" s="14" t="s">
        <v>349</v>
      </c>
      <c r="D206" s="14" t="s">
        <v>109</v>
      </c>
      <c r="E206" s="15" t="n">
        <v>1165000</v>
      </c>
      <c r="F206" s="15" t="n">
        <v>7945.63</v>
      </c>
      <c r="G206" s="15" t="n">
        <v>993.2</v>
      </c>
      <c r="H206" s="15" t="n">
        <v>993.2</v>
      </c>
      <c r="I206" s="15" t="n">
        <f aca="false">SUM(K206:T206)</f>
        <v>5959.2</v>
      </c>
      <c r="J206" s="15" t="n">
        <f aca="false">F206-(G206+H206+I206)</f>
        <v>0.0299999999997453</v>
      </c>
      <c r="K206" s="15" t="n">
        <v>595.92</v>
      </c>
      <c r="L206" s="15" t="n">
        <v>595.92</v>
      </c>
      <c r="M206" s="15" t="n">
        <v>595.92</v>
      </c>
      <c r="N206" s="15" t="n">
        <v>595.92</v>
      </c>
      <c r="O206" s="15" t="n">
        <v>595.92</v>
      </c>
      <c r="P206" s="15" t="n">
        <v>595.92</v>
      </c>
      <c r="Q206" s="15" t="n">
        <v>595.92</v>
      </c>
      <c r="R206" s="15" t="n">
        <v>595.92</v>
      </c>
      <c r="S206" s="15" t="n">
        <v>595.92</v>
      </c>
      <c r="T206" s="15" t="n">
        <v>595.92</v>
      </c>
      <c r="U206" s="15" t="n">
        <v>350</v>
      </c>
      <c r="V206" s="15" t="n">
        <v>250</v>
      </c>
      <c r="W206" s="15" t="n">
        <f aca="false">U206+V206</f>
        <v>600</v>
      </c>
    </row>
    <row r="207" customFormat="false" ht="15" hidden="false" customHeight="false" outlineLevel="0" collapsed="false">
      <c r="A207" s="3" t="s">
        <v>3431</v>
      </c>
      <c r="B207" s="3" t="s">
        <v>3252</v>
      </c>
      <c r="C207" s="3" t="s">
        <v>1156</v>
      </c>
      <c r="D207" s="3" t="s">
        <v>125</v>
      </c>
      <c r="E207" s="13" t="n">
        <v>1150000</v>
      </c>
      <c r="F207" s="13" t="n">
        <v>12681.42</v>
      </c>
      <c r="G207" s="13" t="n">
        <v>1585.18</v>
      </c>
      <c r="H207" s="13" t="n">
        <v>1585.18</v>
      </c>
      <c r="I207" s="13" t="n">
        <f aca="false">SUM(K207:T207)</f>
        <v>9511.1</v>
      </c>
      <c r="J207" s="13" t="n">
        <f aca="false">F207-(G207+H207+I207)</f>
        <v>-0.0400000000008731</v>
      </c>
      <c r="K207" s="13" t="n">
        <v>951.11</v>
      </c>
      <c r="L207" s="13" t="n">
        <v>951.11</v>
      </c>
      <c r="M207" s="13" t="n">
        <v>951.11</v>
      </c>
      <c r="N207" s="13" t="n">
        <v>951.11</v>
      </c>
      <c r="O207" s="13" t="n">
        <v>951.11</v>
      </c>
      <c r="P207" s="13" t="n">
        <v>951.11</v>
      </c>
      <c r="Q207" s="13" t="n">
        <v>951.11</v>
      </c>
      <c r="R207" s="13" t="n">
        <v>951.11</v>
      </c>
      <c r="S207" s="13" t="n">
        <v>951.11</v>
      </c>
      <c r="T207" s="13" t="n">
        <v>951.11</v>
      </c>
      <c r="U207" s="13" t="n">
        <v>350</v>
      </c>
      <c r="V207" s="13" t="n">
        <v>250</v>
      </c>
      <c r="W207" s="13" t="n">
        <f aca="false">U207+V207</f>
        <v>600</v>
      </c>
    </row>
    <row r="208" customFormat="false" ht="15" hidden="false" customHeight="false" outlineLevel="0" collapsed="false">
      <c r="A208" s="14" t="s">
        <v>3432</v>
      </c>
      <c r="B208" s="14" t="s">
        <v>3205</v>
      </c>
      <c r="C208" s="14" t="s">
        <v>1299</v>
      </c>
      <c r="D208" s="14" t="s">
        <v>203</v>
      </c>
      <c r="E208" s="15" t="n">
        <v>1190000</v>
      </c>
      <c r="F208" s="15" t="n">
        <v>10713.3</v>
      </c>
      <c r="G208" s="15" t="n">
        <v>1339.16</v>
      </c>
      <c r="H208" s="15" t="n">
        <v>1339.16</v>
      </c>
      <c r="I208" s="15" t="n">
        <f aca="false">SUM(K208:T208)</f>
        <v>8035</v>
      </c>
      <c r="J208" s="15" t="n">
        <f aca="false">F208-(G208+H208+I208)</f>
        <v>-0.0200000000004366</v>
      </c>
      <c r="K208" s="15" t="n">
        <v>803.5</v>
      </c>
      <c r="L208" s="15" t="n">
        <v>803.5</v>
      </c>
      <c r="M208" s="15" t="n">
        <v>803.5</v>
      </c>
      <c r="N208" s="15" t="n">
        <v>803.5</v>
      </c>
      <c r="O208" s="15" t="n">
        <v>803.5</v>
      </c>
      <c r="P208" s="15" t="n">
        <v>803.5</v>
      </c>
      <c r="Q208" s="15" t="n">
        <v>803.5</v>
      </c>
      <c r="R208" s="15" t="n">
        <v>803.5</v>
      </c>
      <c r="S208" s="15" t="n">
        <v>803.5</v>
      </c>
      <c r="T208" s="15" t="n">
        <v>803.5</v>
      </c>
      <c r="U208" s="15" t="n">
        <v>350</v>
      </c>
      <c r="V208" s="15" t="n">
        <v>250</v>
      </c>
      <c r="W208" s="15" t="n">
        <f aca="false">U208+V208</f>
        <v>600</v>
      </c>
    </row>
    <row r="209" customFormat="false" ht="15" hidden="false" customHeight="false" outlineLevel="0" collapsed="false">
      <c r="A209" s="3" t="s">
        <v>3433</v>
      </c>
      <c r="B209" s="3" t="s">
        <v>3239</v>
      </c>
      <c r="C209" s="3" t="s">
        <v>477</v>
      </c>
      <c r="D209" s="3" t="s">
        <v>93</v>
      </c>
      <c r="E209" s="13" t="n">
        <v>810000</v>
      </c>
      <c r="F209" s="13" t="n">
        <v>6401.36</v>
      </c>
      <c r="G209" s="13" t="n">
        <v>800.17</v>
      </c>
      <c r="H209" s="13" t="n">
        <v>800.17</v>
      </c>
      <c r="I209" s="13" t="n">
        <f aca="false">SUM(K209:T209)</f>
        <v>4801</v>
      </c>
      <c r="J209" s="13" t="n">
        <f aca="false">F209-(G209+H209+I209)</f>
        <v>0.0199999999986176</v>
      </c>
      <c r="K209" s="13" t="n">
        <v>480.1</v>
      </c>
      <c r="L209" s="13" t="n">
        <v>480.1</v>
      </c>
      <c r="M209" s="13" t="n">
        <v>480.1</v>
      </c>
      <c r="N209" s="13" t="n">
        <v>480.1</v>
      </c>
      <c r="O209" s="13" t="n">
        <v>480.1</v>
      </c>
      <c r="P209" s="13" t="n">
        <v>480.1</v>
      </c>
      <c r="Q209" s="13" t="n">
        <v>480.1</v>
      </c>
      <c r="R209" s="13" t="n">
        <v>480.1</v>
      </c>
      <c r="S209" s="13" t="n">
        <v>480.1</v>
      </c>
      <c r="T209" s="13" t="n">
        <v>480.1</v>
      </c>
      <c r="U209" s="13" t="n">
        <v>350</v>
      </c>
      <c r="V209" s="13" t="n">
        <v>0</v>
      </c>
      <c r="W209" s="13" t="n">
        <f aca="false">U209+V209</f>
        <v>350</v>
      </c>
    </row>
    <row r="210" customFormat="false" ht="15" hidden="false" customHeight="false" outlineLevel="0" collapsed="false">
      <c r="A210" s="14" t="s">
        <v>3434</v>
      </c>
      <c r="B210" s="14" t="s">
        <v>3299</v>
      </c>
      <c r="C210" s="14" t="s">
        <v>1021</v>
      </c>
      <c r="D210" s="14" t="s">
        <v>338</v>
      </c>
      <c r="E210" s="15" t="n">
        <v>405000</v>
      </c>
      <c r="F210" s="15" t="n">
        <v>3461.2</v>
      </c>
      <c r="G210" s="15" t="n">
        <v>432.65</v>
      </c>
      <c r="H210" s="15" t="n">
        <v>432.65</v>
      </c>
      <c r="I210" s="15" t="n">
        <f aca="false">SUM(K210:T210)</f>
        <v>2595.9</v>
      </c>
      <c r="J210" s="15" t="n">
        <f aca="false">F210-(G210+H210+I210)</f>
        <v>0</v>
      </c>
      <c r="K210" s="15" t="n">
        <v>259.59</v>
      </c>
      <c r="L210" s="15" t="n">
        <v>259.59</v>
      </c>
      <c r="M210" s="15" t="n">
        <v>259.59</v>
      </c>
      <c r="N210" s="15" t="n">
        <v>259.59</v>
      </c>
      <c r="O210" s="15" t="n">
        <v>259.59</v>
      </c>
      <c r="P210" s="15" t="n">
        <v>259.59</v>
      </c>
      <c r="Q210" s="15" t="n">
        <v>259.59</v>
      </c>
      <c r="R210" s="15" t="n">
        <v>259.59</v>
      </c>
      <c r="S210" s="15" t="n">
        <v>259.59</v>
      </c>
      <c r="T210" s="15" t="n">
        <v>259.59</v>
      </c>
      <c r="U210" s="15" t="n">
        <v>350</v>
      </c>
      <c r="V210" s="15" t="n">
        <v>0</v>
      </c>
      <c r="W210" s="15" t="n">
        <f aca="false">U210+V210</f>
        <v>350</v>
      </c>
    </row>
    <row r="211" customFormat="false" ht="15" hidden="false" customHeight="false" outlineLevel="0" collapsed="false">
      <c r="A211" s="3" t="s">
        <v>3435</v>
      </c>
      <c r="B211" s="3" t="s">
        <v>3205</v>
      </c>
      <c r="C211" s="3" t="s">
        <v>1015</v>
      </c>
      <c r="D211" s="3" t="s">
        <v>256</v>
      </c>
      <c r="E211" s="13" t="n">
        <v>1085000</v>
      </c>
      <c r="F211" s="13" t="n">
        <v>11396.01</v>
      </c>
      <c r="G211" s="13" t="n">
        <v>1424.5</v>
      </c>
      <c r="H211" s="13" t="n">
        <v>1424.5</v>
      </c>
      <c r="I211" s="13" t="n">
        <f aca="false">SUM(K211:T211)</f>
        <v>8547</v>
      </c>
      <c r="J211" s="13" t="n">
        <f aca="false">F211-(G211+H211+I211)</f>
        <v>0.0100000000002183</v>
      </c>
      <c r="K211" s="13" t="n">
        <v>854.7</v>
      </c>
      <c r="L211" s="13" t="n">
        <v>854.7</v>
      </c>
      <c r="M211" s="13" t="n">
        <v>854.7</v>
      </c>
      <c r="N211" s="13" t="n">
        <v>854.7</v>
      </c>
      <c r="O211" s="13" t="n">
        <v>854.7</v>
      </c>
      <c r="P211" s="13" t="n">
        <v>854.7</v>
      </c>
      <c r="Q211" s="13" t="n">
        <v>854.7</v>
      </c>
      <c r="R211" s="13" t="n">
        <v>854.7</v>
      </c>
      <c r="S211" s="13" t="n">
        <v>854.7</v>
      </c>
      <c r="T211" s="13" t="n">
        <v>854.7</v>
      </c>
      <c r="U211" s="13" t="n">
        <v>350</v>
      </c>
      <c r="V211" s="13" t="n">
        <v>250</v>
      </c>
      <c r="W211" s="13" t="n">
        <f aca="false">U211+V211</f>
        <v>600</v>
      </c>
    </row>
    <row r="212" customFormat="false" ht="15" hidden="false" customHeight="false" outlineLevel="0" collapsed="false">
      <c r="A212" s="14" t="s">
        <v>3436</v>
      </c>
      <c r="B212" s="14" t="s">
        <v>3227</v>
      </c>
      <c r="C212" s="14" t="s">
        <v>2282</v>
      </c>
      <c r="D212" s="14" t="s">
        <v>147</v>
      </c>
      <c r="E212" s="15" t="n">
        <v>1950000</v>
      </c>
      <c r="F212" s="15" t="n">
        <v>16477.45</v>
      </c>
      <c r="G212" s="15" t="n">
        <v>2059.68</v>
      </c>
      <c r="H212" s="15" t="n">
        <v>2059.68</v>
      </c>
      <c r="I212" s="15" t="n">
        <f aca="false">SUM(K212:T212)</f>
        <v>12358.1</v>
      </c>
      <c r="J212" s="15" t="n">
        <f aca="false">F212-(G212+H212+I212)</f>
        <v>-0.00999999999839929</v>
      </c>
      <c r="K212" s="15" t="n">
        <v>1235.81</v>
      </c>
      <c r="L212" s="15" t="n">
        <v>1235.81</v>
      </c>
      <c r="M212" s="15" t="n">
        <v>1235.81</v>
      </c>
      <c r="N212" s="15" t="n">
        <v>1235.81</v>
      </c>
      <c r="O212" s="15" t="n">
        <v>1235.81</v>
      </c>
      <c r="P212" s="15" t="n">
        <v>1235.81</v>
      </c>
      <c r="Q212" s="15" t="n">
        <v>1235.81</v>
      </c>
      <c r="R212" s="15" t="n">
        <v>1235.81</v>
      </c>
      <c r="S212" s="15" t="n">
        <v>1235.81</v>
      </c>
      <c r="T212" s="15" t="n">
        <v>1235.81</v>
      </c>
      <c r="U212" s="15" t="n">
        <v>350</v>
      </c>
      <c r="V212" s="15" t="n">
        <v>250</v>
      </c>
      <c r="W212" s="15" t="n">
        <f aca="false">U212+V212</f>
        <v>600</v>
      </c>
    </row>
    <row r="213" customFormat="false" ht="15" hidden="false" customHeight="false" outlineLevel="0" collapsed="false">
      <c r="A213" s="3" t="s">
        <v>3437</v>
      </c>
      <c r="B213" s="3" t="s">
        <v>3280</v>
      </c>
      <c r="C213" s="3" t="s">
        <v>572</v>
      </c>
      <c r="D213" s="3" t="s">
        <v>102</v>
      </c>
      <c r="E213" s="13" t="n">
        <v>315000</v>
      </c>
      <c r="F213" s="13" t="n">
        <v>5981.57</v>
      </c>
      <c r="G213" s="13" t="n">
        <v>747.7</v>
      </c>
      <c r="H213" s="13" t="n">
        <v>747.7</v>
      </c>
      <c r="I213" s="13" t="n">
        <f aca="false">SUM(K213:T213)</f>
        <v>4486.2</v>
      </c>
      <c r="J213" s="13" t="n">
        <f aca="false">F213-(G213+H213+I213)</f>
        <v>-0.0300000000006548</v>
      </c>
      <c r="K213" s="13" t="n">
        <v>448.62</v>
      </c>
      <c r="L213" s="13" t="n">
        <v>448.62</v>
      </c>
      <c r="M213" s="13" t="n">
        <v>448.62</v>
      </c>
      <c r="N213" s="13" t="n">
        <v>448.62</v>
      </c>
      <c r="O213" s="13" t="n">
        <v>448.62</v>
      </c>
      <c r="P213" s="13" t="n">
        <v>448.62</v>
      </c>
      <c r="Q213" s="13" t="n">
        <v>448.62</v>
      </c>
      <c r="R213" s="13" t="n">
        <v>448.62</v>
      </c>
      <c r="S213" s="13" t="n">
        <v>448.62</v>
      </c>
      <c r="T213" s="13" t="n">
        <v>448.62</v>
      </c>
      <c r="U213" s="13" t="n">
        <v>350</v>
      </c>
      <c r="V213" s="13" t="n">
        <v>0</v>
      </c>
      <c r="W213" s="13" t="n">
        <f aca="false">U213+V213</f>
        <v>350</v>
      </c>
    </row>
    <row r="214" customFormat="false" ht="15" hidden="false" customHeight="false" outlineLevel="0" collapsed="false">
      <c r="A214" s="14" t="s">
        <v>3438</v>
      </c>
      <c r="B214" s="14" t="s">
        <v>3215</v>
      </c>
      <c r="C214" s="14" t="s">
        <v>1356</v>
      </c>
      <c r="D214" s="14" t="s">
        <v>382</v>
      </c>
      <c r="E214" s="15" t="n">
        <v>285000</v>
      </c>
      <c r="F214" s="15" t="n">
        <v>3437.42</v>
      </c>
      <c r="G214" s="15" t="n">
        <v>429.68</v>
      </c>
      <c r="H214" s="15" t="n">
        <v>429.68</v>
      </c>
      <c r="I214" s="15" t="n">
        <f aca="false">SUM(K214:T214)</f>
        <v>2578.1</v>
      </c>
      <c r="J214" s="15" t="n">
        <f aca="false">F214-(G214+H214+I214)</f>
        <v>-0.0399999999999636</v>
      </c>
      <c r="K214" s="15" t="n">
        <v>257.81</v>
      </c>
      <c r="L214" s="15" t="n">
        <v>257.81</v>
      </c>
      <c r="M214" s="15" t="n">
        <v>257.81</v>
      </c>
      <c r="N214" s="15" t="n">
        <v>257.81</v>
      </c>
      <c r="O214" s="15" t="n">
        <v>257.81</v>
      </c>
      <c r="P214" s="15" t="n">
        <v>257.81</v>
      </c>
      <c r="Q214" s="15" t="n">
        <v>257.81</v>
      </c>
      <c r="R214" s="15" t="n">
        <v>257.81</v>
      </c>
      <c r="S214" s="15" t="n">
        <v>257.81</v>
      </c>
      <c r="T214" s="15" t="n">
        <v>257.81</v>
      </c>
      <c r="U214" s="15" t="n">
        <v>350</v>
      </c>
      <c r="V214" s="15" t="n">
        <v>0</v>
      </c>
      <c r="W214" s="15" t="n">
        <f aca="false">U214+V214</f>
        <v>350</v>
      </c>
    </row>
    <row r="215" customFormat="false" ht="15" hidden="false" customHeight="false" outlineLevel="0" collapsed="false">
      <c r="A215" s="3" t="s">
        <v>3439</v>
      </c>
      <c r="B215" s="3" t="s">
        <v>3213</v>
      </c>
      <c r="C215" s="3" t="s">
        <v>551</v>
      </c>
      <c r="D215" s="3" t="s">
        <v>115</v>
      </c>
      <c r="E215" s="13" t="n">
        <v>540000</v>
      </c>
      <c r="F215" s="13" t="n">
        <v>6652.58</v>
      </c>
      <c r="G215" s="13" t="n">
        <v>831.57</v>
      </c>
      <c r="H215" s="13" t="n">
        <v>831.57</v>
      </c>
      <c r="I215" s="13" t="n">
        <f aca="false">SUM(K215:T215)</f>
        <v>4989.4</v>
      </c>
      <c r="J215" s="13" t="n">
        <f aca="false">F215-(G215+H215+I215)</f>
        <v>0.0399999999999636</v>
      </c>
      <c r="K215" s="13" t="n">
        <v>498.94</v>
      </c>
      <c r="L215" s="13" t="n">
        <v>498.94</v>
      </c>
      <c r="M215" s="13" t="n">
        <v>498.94</v>
      </c>
      <c r="N215" s="13" t="n">
        <v>498.94</v>
      </c>
      <c r="O215" s="13" t="n">
        <v>498.94</v>
      </c>
      <c r="P215" s="13" t="n">
        <v>498.94</v>
      </c>
      <c r="Q215" s="13" t="n">
        <v>498.94</v>
      </c>
      <c r="R215" s="13" t="n">
        <v>498.94</v>
      </c>
      <c r="S215" s="13" t="n">
        <v>498.94</v>
      </c>
      <c r="T215" s="13" t="n">
        <v>498.94</v>
      </c>
      <c r="U215" s="13" t="n">
        <v>350</v>
      </c>
      <c r="V215" s="13" t="n">
        <v>0</v>
      </c>
      <c r="W215" s="13" t="n">
        <f aca="false">U215+V215</f>
        <v>350</v>
      </c>
    </row>
    <row r="216" customFormat="false" ht="15" hidden="false" customHeight="false" outlineLevel="0" collapsed="false">
      <c r="A216" s="14" t="s">
        <v>3440</v>
      </c>
      <c r="B216" s="14" t="s">
        <v>3235</v>
      </c>
      <c r="C216" s="14" t="s">
        <v>1625</v>
      </c>
      <c r="D216" s="14" t="s">
        <v>125</v>
      </c>
      <c r="E216" s="15" t="n">
        <v>340000</v>
      </c>
      <c r="F216" s="15" t="n">
        <v>3514.96</v>
      </c>
      <c r="G216" s="15" t="n">
        <v>439.37</v>
      </c>
      <c r="H216" s="15" t="n">
        <v>439.37</v>
      </c>
      <c r="I216" s="15" t="n">
        <f aca="false">SUM(K216:T216)</f>
        <v>2636.2</v>
      </c>
      <c r="J216" s="15" t="n">
        <f aca="false">F216-(G216+H216+I216)</f>
        <v>0.0200000000004366</v>
      </c>
      <c r="K216" s="15" t="n">
        <v>263.62</v>
      </c>
      <c r="L216" s="15" t="n">
        <v>263.62</v>
      </c>
      <c r="M216" s="15" t="n">
        <v>263.62</v>
      </c>
      <c r="N216" s="15" t="n">
        <v>263.62</v>
      </c>
      <c r="O216" s="15" t="n">
        <v>263.62</v>
      </c>
      <c r="P216" s="15" t="n">
        <v>263.62</v>
      </c>
      <c r="Q216" s="15" t="n">
        <v>263.62</v>
      </c>
      <c r="R216" s="15" t="n">
        <v>263.62</v>
      </c>
      <c r="S216" s="15" t="n">
        <v>263.62</v>
      </c>
      <c r="T216" s="15" t="n">
        <v>263.62</v>
      </c>
      <c r="U216" s="15" t="n">
        <v>350</v>
      </c>
      <c r="V216" s="15" t="n">
        <v>0</v>
      </c>
      <c r="W216" s="15" t="n">
        <f aca="false">U216+V216</f>
        <v>350</v>
      </c>
    </row>
    <row r="217" customFormat="false" ht="15" hidden="false" customHeight="false" outlineLevel="0" collapsed="false">
      <c r="A217" s="3" t="s">
        <v>3441</v>
      </c>
      <c r="B217" s="3" t="s">
        <v>3289</v>
      </c>
      <c r="C217" s="3" t="s">
        <v>1396</v>
      </c>
      <c r="D217" s="3" t="s">
        <v>93</v>
      </c>
      <c r="E217" s="13" t="n">
        <v>650000</v>
      </c>
      <c r="F217" s="13" t="n">
        <v>11348.95</v>
      </c>
      <c r="G217" s="13" t="n">
        <v>1418.62</v>
      </c>
      <c r="H217" s="13" t="n">
        <v>1418.62</v>
      </c>
      <c r="I217" s="13" t="n">
        <f aca="false">SUM(K217:T217)</f>
        <v>8511.7</v>
      </c>
      <c r="J217" s="13" t="n">
        <f aca="false">F217-(G217+H217+I217)</f>
        <v>0.0100000000020373</v>
      </c>
      <c r="K217" s="13" t="n">
        <v>851.17</v>
      </c>
      <c r="L217" s="13" t="n">
        <v>851.17</v>
      </c>
      <c r="M217" s="13" t="n">
        <v>851.17</v>
      </c>
      <c r="N217" s="13" t="n">
        <v>851.17</v>
      </c>
      <c r="O217" s="13" t="n">
        <v>851.17</v>
      </c>
      <c r="P217" s="13" t="n">
        <v>851.17</v>
      </c>
      <c r="Q217" s="13" t="n">
        <v>851.17</v>
      </c>
      <c r="R217" s="13" t="n">
        <v>851.17</v>
      </c>
      <c r="S217" s="13" t="n">
        <v>851.17</v>
      </c>
      <c r="T217" s="13" t="n">
        <v>851.17</v>
      </c>
      <c r="U217" s="13" t="n">
        <v>350</v>
      </c>
      <c r="V217" s="13" t="n">
        <v>0</v>
      </c>
      <c r="W217" s="13" t="n">
        <f aca="false">U217+V217</f>
        <v>350</v>
      </c>
    </row>
    <row r="218" customFormat="false" ht="15" hidden="false" customHeight="false" outlineLevel="0" collapsed="false">
      <c r="A218" s="14" t="s">
        <v>3442</v>
      </c>
      <c r="B218" s="14" t="s">
        <v>3312</v>
      </c>
      <c r="C218" s="14" t="s">
        <v>1242</v>
      </c>
      <c r="D218" s="14" t="s">
        <v>230</v>
      </c>
      <c r="E218" s="15" t="n">
        <v>660000</v>
      </c>
      <c r="F218" s="15" t="n">
        <v>7330.15</v>
      </c>
      <c r="G218" s="15" t="n">
        <v>916.27</v>
      </c>
      <c r="H218" s="15" t="n">
        <v>916.27</v>
      </c>
      <c r="I218" s="15" t="n">
        <f aca="false">SUM(K218:T218)</f>
        <v>5497.6</v>
      </c>
      <c r="J218" s="15" t="n">
        <f aca="false">F218-(G218+H218+I218)</f>
        <v>0.00999999999930878</v>
      </c>
      <c r="K218" s="15" t="n">
        <v>549.76</v>
      </c>
      <c r="L218" s="15" t="n">
        <v>549.76</v>
      </c>
      <c r="M218" s="15" t="n">
        <v>549.76</v>
      </c>
      <c r="N218" s="15" t="n">
        <v>549.76</v>
      </c>
      <c r="O218" s="15" t="n">
        <v>549.76</v>
      </c>
      <c r="P218" s="15" t="n">
        <v>549.76</v>
      </c>
      <c r="Q218" s="15" t="n">
        <v>549.76</v>
      </c>
      <c r="R218" s="15" t="n">
        <v>549.76</v>
      </c>
      <c r="S218" s="15" t="n">
        <v>549.76</v>
      </c>
      <c r="T218" s="15" t="n">
        <v>549.76</v>
      </c>
      <c r="U218" s="15" t="n">
        <v>350</v>
      </c>
      <c r="V218" s="15" t="n">
        <v>0</v>
      </c>
      <c r="W218" s="15" t="n">
        <f aca="false">U218+V218</f>
        <v>350</v>
      </c>
    </row>
    <row r="219" customFormat="false" ht="15" hidden="false" customHeight="false" outlineLevel="0" collapsed="false">
      <c r="A219" s="3" t="s">
        <v>3443</v>
      </c>
      <c r="B219" s="3" t="s">
        <v>3199</v>
      </c>
      <c r="C219" s="3" t="s">
        <v>101</v>
      </c>
      <c r="D219" s="3" t="s">
        <v>185</v>
      </c>
      <c r="E219" s="13" t="n">
        <v>610000</v>
      </c>
      <c r="F219" s="13" t="n">
        <v>5750.07</v>
      </c>
      <c r="G219" s="13" t="n">
        <v>718.76</v>
      </c>
      <c r="H219" s="13" t="n">
        <v>718.76</v>
      </c>
      <c r="I219" s="13" t="n">
        <f aca="false">SUM(K219:T219)</f>
        <v>4312.6</v>
      </c>
      <c r="J219" s="13" t="n">
        <f aca="false">F219-(G219+H219+I219)</f>
        <v>-0.0500000000010914</v>
      </c>
      <c r="K219" s="13" t="n">
        <v>431.26</v>
      </c>
      <c r="L219" s="13" t="n">
        <v>431.26</v>
      </c>
      <c r="M219" s="13" t="n">
        <v>431.26</v>
      </c>
      <c r="N219" s="13" t="n">
        <v>431.26</v>
      </c>
      <c r="O219" s="13" t="n">
        <v>431.26</v>
      </c>
      <c r="P219" s="13" t="n">
        <v>431.26</v>
      </c>
      <c r="Q219" s="13" t="n">
        <v>431.26</v>
      </c>
      <c r="R219" s="13" t="n">
        <v>431.26</v>
      </c>
      <c r="S219" s="13" t="n">
        <v>431.26</v>
      </c>
      <c r="T219" s="13" t="n">
        <v>431.26</v>
      </c>
      <c r="U219" s="13" t="n">
        <v>350</v>
      </c>
      <c r="V219" s="13" t="n">
        <v>0</v>
      </c>
      <c r="W219" s="13" t="n">
        <f aca="false">U219+V219</f>
        <v>350</v>
      </c>
    </row>
    <row r="220" customFormat="false" ht="15" hidden="false" customHeight="false" outlineLevel="0" collapsed="false">
      <c r="A220" s="14" t="s">
        <v>3444</v>
      </c>
      <c r="B220" s="14" t="s">
        <v>3197</v>
      </c>
      <c r="C220" s="14" t="s">
        <v>92</v>
      </c>
      <c r="D220" s="14" t="s">
        <v>138</v>
      </c>
      <c r="E220" s="15" t="n">
        <v>500000</v>
      </c>
      <c r="F220" s="15" t="n">
        <v>5366.49</v>
      </c>
      <c r="G220" s="15" t="n">
        <v>670.81</v>
      </c>
      <c r="H220" s="15" t="n">
        <v>670.81</v>
      </c>
      <c r="I220" s="15" t="n">
        <f aca="false">SUM(K220:T220)</f>
        <v>4024.9</v>
      </c>
      <c r="J220" s="15" t="n">
        <f aca="false">F220-(G220+H220+I220)</f>
        <v>-0.0299999999997453</v>
      </c>
      <c r="K220" s="15" t="n">
        <v>402.49</v>
      </c>
      <c r="L220" s="15" t="n">
        <v>402.49</v>
      </c>
      <c r="M220" s="15" t="n">
        <v>402.49</v>
      </c>
      <c r="N220" s="15" t="n">
        <v>402.49</v>
      </c>
      <c r="O220" s="15" t="n">
        <v>402.49</v>
      </c>
      <c r="P220" s="15" t="n">
        <v>402.49</v>
      </c>
      <c r="Q220" s="15" t="n">
        <v>402.49</v>
      </c>
      <c r="R220" s="15" t="n">
        <v>402.49</v>
      </c>
      <c r="S220" s="15" t="n">
        <v>402.49</v>
      </c>
      <c r="T220" s="15" t="n">
        <v>402.49</v>
      </c>
      <c r="U220" s="15" t="n">
        <v>350</v>
      </c>
      <c r="V220" s="15" t="n">
        <v>0</v>
      </c>
      <c r="W220" s="15" t="n">
        <f aca="false">U220+V220</f>
        <v>350</v>
      </c>
    </row>
    <row r="221" customFormat="false" ht="15" hidden="false" customHeight="false" outlineLevel="0" collapsed="false">
      <c r="A221" s="3" t="s">
        <v>3445</v>
      </c>
      <c r="B221" s="3" t="s">
        <v>3289</v>
      </c>
      <c r="C221" s="3" t="s">
        <v>1054</v>
      </c>
      <c r="D221" s="3" t="s">
        <v>81</v>
      </c>
      <c r="E221" s="13" t="n">
        <v>375000</v>
      </c>
      <c r="F221" s="13" t="n">
        <v>5169.05</v>
      </c>
      <c r="G221" s="13" t="n">
        <v>646.13</v>
      </c>
      <c r="H221" s="13" t="n">
        <v>646.13</v>
      </c>
      <c r="I221" s="13" t="n">
        <f aca="false">SUM(K221:T221)</f>
        <v>3876.8</v>
      </c>
      <c r="J221" s="13" t="n">
        <f aca="false">F221-(G221+H221+I221)</f>
        <v>-0.00999999999930878</v>
      </c>
      <c r="K221" s="13" t="n">
        <v>387.68</v>
      </c>
      <c r="L221" s="13" t="n">
        <v>387.68</v>
      </c>
      <c r="M221" s="13" t="n">
        <v>387.68</v>
      </c>
      <c r="N221" s="13" t="n">
        <v>387.68</v>
      </c>
      <c r="O221" s="13" t="n">
        <v>387.68</v>
      </c>
      <c r="P221" s="13" t="n">
        <v>387.68</v>
      </c>
      <c r="Q221" s="13" t="n">
        <v>387.68</v>
      </c>
      <c r="R221" s="13" t="n">
        <v>387.68</v>
      </c>
      <c r="S221" s="13" t="n">
        <v>387.68</v>
      </c>
      <c r="T221" s="13" t="n">
        <v>387.68</v>
      </c>
      <c r="U221" s="13" t="n">
        <v>350</v>
      </c>
      <c r="V221" s="13" t="n">
        <v>0</v>
      </c>
      <c r="W221" s="13" t="n">
        <f aca="false">U221+V221</f>
        <v>350</v>
      </c>
    </row>
    <row r="222" customFormat="false" ht="15" hidden="false" customHeight="false" outlineLevel="0" collapsed="false">
      <c r="A222" s="14" t="s">
        <v>3446</v>
      </c>
      <c r="B222" s="14" t="s">
        <v>3223</v>
      </c>
      <c r="C222" s="14" t="s">
        <v>695</v>
      </c>
      <c r="D222" s="14" t="s">
        <v>138</v>
      </c>
      <c r="E222" s="15" t="n">
        <v>800000</v>
      </c>
      <c r="F222" s="15" t="n">
        <v>5680.22</v>
      </c>
      <c r="G222" s="15" t="n">
        <v>710.03</v>
      </c>
      <c r="H222" s="15" t="n">
        <v>710.03</v>
      </c>
      <c r="I222" s="15" t="n">
        <f aca="false">SUM(K222:T222)</f>
        <v>4260.2</v>
      </c>
      <c r="J222" s="15" t="n">
        <f aca="false">F222-(G222+H222+I222)</f>
        <v>-0.0399999999999636</v>
      </c>
      <c r="K222" s="15" t="n">
        <v>426.02</v>
      </c>
      <c r="L222" s="15" t="n">
        <v>426.02</v>
      </c>
      <c r="M222" s="15" t="n">
        <v>426.02</v>
      </c>
      <c r="N222" s="15" t="n">
        <v>426.02</v>
      </c>
      <c r="O222" s="15" t="n">
        <v>426.02</v>
      </c>
      <c r="P222" s="15" t="n">
        <v>426.02</v>
      </c>
      <c r="Q222" s="15" t="n">
        <v>426.02</v>
      </c>
      <c r="R222" s="15" t="n">
        <v>426.02</v>
      </c>
      <c r="S222" s="15" t="n">
        <v>426.02</v>
      </c>
      <c r="T222" s="15" t="n">
        <v>426.02</v>
      </c>
      <c r="U222" s="15" t="n">
        <v>350</v>
      </c>
      <c r="V222" s="15" t="n">
        <v>0</v>
      </c>
      <c r="W222" s="15" t="n">
        <f aca="false">U222+V222</f>
        <v>350</v>
      </c>
    </row>
    <row r="223" customFormat="false" ht="15" hidden="false" customHeight="false" outlineLevel="0" collapsed="false">
      <c r="A223" s="3" t="s">
        <v>3447</v>
      </c>
      <c r="B223" s="3" t="s">
        <v>3269</v>
      </c>
      <c r="C223" s="3" t="s">
        <v>1625</v>
      </c>
      <c r="D223" s="3" t="s">
        <v>189</v>
      </c>
      <c r="E223" s="13" t="n">
        <v>1650000</v>
      </c>
      <c r="F223" s="13" t="n">
        <v>14333.37</v>
      </c>
      <c r="G223" s="13" t="n">
        <v>1791.67</v>
      </c>
      <c r="H223" s="13" t="n">
        <v>1791.67</v>
      </c>
      <c r="I223" s="13" t="n">
        <f aca="false">SUM(K223:T223)</f>
        <v>10750</v>
      </c>
      <c r="J223" s="13" t="n">
        <f aca="false">F223-(G223+H223+I223)</f>
        <v>0.0300000000006548</v>
      </c>
      <c r="K223" s="13" t="n">
        <v>1075</v>
      </c>
      <c r="L223" s="13" t="n">
        <v>1075</v>
      </c>
      <c r="M223" s="13" t="n">
        <v>1075</v>
      </c>
      <c r="N223" s="13" t="n">
        <v>1075</v>
      </c>
      <c r="O223" s="13" t="n">
        <v>1075</v>
      </c>
      <c r="P223" s="13" t="n">
        <v>1075</v>
      </c>
      <c r="Q223" s="13" t="n">
        <v>1075</v>
      </c>
      <c r="R223" s="13" t="n">
        <v>1075</v>
      </c>
      <c r="S223" s="13" t="n">
        <v>1075</v>
      </c>
      <c r="T223" s="13" t="n">
        <v>1075</v>
      </c>
      <c r="U223" s="13" t="n">
        <v>350</v>
      </c>
      <c r="V223" s="13" t="n">
        <v>250</v>
      </c>
      <c r="W223" s="13" t="n">
        <f aca="false">U223+V223</f>
        <v>600</v>
      </c>
    </row>
    <row r="224" customFormat="false" ht="15" hidden="false" customHeight="false" outlineLevel="0" collapsed="false">
      <c r="A224" s="14" t="s">
        <v>3448</v>
      </c>
      <c r="B224" s="14" t="s">
        <v>3280</v>
      </c>
      <c r="C224" s="14" t="s">
        <v>2074</v>
      </c>
      <c r="D224" s="14" t="s">
        <v>377</v>
      </c>
      <c r="E224" s="15" t="n">
        <v>815000</v>
      </c>
      <c r="F224" s="15" t="n">
        <v>5958.74</v>
      </c>
      <c r="G224" s="15" t="n">
        <v>744.84</v>
      </c>
      <c r="H224" s="15" t="n">
        <v>744.84</v>
      </c>
      <c r="I224" s="15" t="n">
        <f aca="false">SUM(K224:T224)</f>
        <v>4469.1</v>
      </c>
      <c r="J224" s="15" t="n">
        <f aca="false">F224-(G224+H224+I224)</f>
        <v>-0.0400000000008731</v>
      </c>
      <c r="K224" s="15" t="n">
        <v>446.91</v>
      </c>
      <c r="L224" s="15" t="n">
        <v>446.91</v>
      </c>
      <c r="M224" s="15" t="n">
        <v>446.91</v>
      </c>
      <c r="N224" s="15" t="n">
        <v>446.91</v>
      </c>
      <c r="O224" s="15" t="n">
        <v>446.91</v>
      </c>
      <c r="P224" s="15" t="n">
        <v>446.91</v>
      </c>
      <c r="Q224" s="15" t="n">
        <v>446.91</v>
      </c>
      <c r="R224" s="15" t="n">
        <v>446.91</v>
      </c>
      <c r="S224" s="15" t="n">
        <v>446.91</v>
      </c>
      <c r="T224" s="15" t="n">
        <v>446.91</v>
      </c>
      <c r="U224" s="15" t="n">
        <v>350</v>
      </c>
      <c r="V224" s="15" t="n">
        <v>0</v>
      </c>
      <c r="W224" s="15" t="n">
        <f aca="false">U224+V224</f>
        <v>350</v>
      </c>
    </row>
    <row r="225" customFormat="false" ht="15" hidden="false" customHeight="false" outlineLevel="0" collapsed="false">
      <c r="A225" s="3" t="s">
        <v>3449</v>
      </c>
      <c r="B225" s="3" t="s">
        <v>3201</v>
      </c>
      <c r="C225" s="3" t="s">
        <v>206</v>
      </c>
      <c r="D225" s="3" t="s">
        <v>325</v>
      </c>
      <c r="E225" s="13" t="n">
        <v>520000</v>
      </c>
      <c r="F225" s="13" t="n">
        <v>9788.47</v>
      </c>
      <c r="G225" s="13" t="n">
        <v>1223.56</v>
      </c>
      <c r="H225" s="13" t="n">
        <v>1223.56</v>
      </c>
      <c r="I225" s="13" t="n">
        <f aca="false">SUM(K225:T225)</f>
        <v>7341.4</v>
      </c>
      <c r="J225" s="13" t="n">
        <f aca="false">F225-(G225+H225+I225)</f>
        <v>-0.0500000000010914</v>
      </c>
      <c r="K225" s="13" t="n">
        <v>734.14</v>
      </c>
      <c r="L225" s="13" t="n">
        <v>734.14</v>
      </c>
      <c r="M225" s="13" t="n">
        <v>734.14</v>
      </c>
      <c r="N225" s="13" t="n">
        <v>734.14</v>
      </c>
      <c r="O225" s="13" t="n">
        <v>734.14</v>
      </c>
      <c r="P225" s="13" t="n">
        <v>734.14</v>
      </c>
      <c r="Q225" s="13" t="n">
        <v>734.14</v>
      </c>
      <c r="R225" s="13" t="n">
        <v>734.14</v>
      </c>
      <c r="S225" s="13" t="n">
        <v>734.14</v>
      </c>
      <c r="T225" s="13" t="n">
        <v>734.14</v>
      </c>
      <c r="U225" s="13" t="n">
        <v>350</v>
      </c>
      <c r="V225" s="13" t="n">
        <v>0</v>
      </c>
      <c r="W225" s="13" t="n">
        <f aca="false">U225+V225</f>
        <v>350</v>
      </c>
    </row>
    <row r="226" customFormat="false" ht="15" hidden="false" customHeight="false" outlineLevel="0" collapsed="false">
      <c r="A226" s="14" t="s">
        <v>3450</v>
      </c>
      <c r="B226" s="14" t="s">
        <v>3239</v>
      </c>
      <c r="C226" s="14" t="s">
        <v>1184</v>
      </c>
      <c r="D226" s="14" t="s">
        <v>203</v>
      </c>
      <c r="E226" s="15" t="n">
        <v>700000</v>
      </c>
      <c r="F226" s="15" t="n">
        <v>10885.17</v>
      </c>
      <c r="G226" s="15" t="n">
        <v>1360.65</v>
      </c>
      <c r="H226" s="15" t="n">
        <v>1360.65</v>
      </c>
      <c r="I226" s="15" t="n">
        <f aca="false">SUM(K226:T226)</f>
        <v>8163.9</v>
      </c>
      <c r="J226" s="15" t="n">
        <f aca="false">F226-(G226+H226+I226)</f>
        <v>-0.0300000000006548</v>
      </c>
      <c r="K226" s="15" t="n">
        <v>816.39</v>
      </c>
      <c r="L226" s="15" t="n">
        <v>816.39</v>
      </c>
      <c r="M226" s="15" t="n">
        <v>816.39</v>
      </c>
      <c r="N226" s="15" t="n">
        <v>816.39</v>
      </c>
      <c r="O226" s="15" t="n">
        <v>816.39</v>
      </c>
      <c r="P226" s="15" t="n">
        <v>816.39</v>
      </c>
      <c r="Q226" s="15" t="n">
        <v>816.39</v>
      </c>
      <c r="R226" s="15" t="n">
        <v>816.39</v>
      </c>
      <c r="S226" s="15" t="n">
        <v>816.39</v>
      </c>
      <c r="T226" s="15" t="n">
        <v>816.39</v>
      </c>
      <c r="U226" s="15" t="n">
        <v>350</v>
      </c>
      <c r="V226" s="15" t="n">
        <v>0</v>
      </c>
      <c r="W226" s="15" t="n">
        <f aca="false">U226+V226</f>
        <v>350</v>
      </c>
    </row>
    <row r="227" customFormat="false" ht="15" hidden="false" customHeight="false" outlineLevel="0" collapsed="false">
      <c r="A227" s="8" t="s">
        <v>459</v>
      </c>
      <c r="E227" s="9" t="n">
        <f aca="false">SUM(E5:E226)</f>
        <v>166620000</v>
      </c>
      <c r="F227" s="9" t="n">
        <f aca="false">SUM(F5:F226)</f>
        <v>1893819.46</v>
      </c>
      <c r="G227" s="9" t="n">
        <f aca="false">SUM(G5:G226)</f>
        <v>236727.49</v>
      </c>
      <c r="H227" s="9" t="n">
        <f aca="false">SUM(H5:H226)</f>
        <v>236727.49</v>
      </c>
      <c r="I227" s="9" t="n">
        <f aca="false">SUM(I5:I226)</f>
        <v>1420364.8</v>
      </c>
      <c r="J227" s="9" t="n">
        <f aca="false">SUM(J5:J226)</f>
        <v>-0.319999999997663</v>
      </c>
      <c r="K227" s="9" t="n">
        <f aca="false">SUM(K5:K226)</f>
        <v>142036.48</v>
      </c>
      <c r="L227" s="9" t="n">
        <f aca="false">SUM(L5:L226)</f>
        <v>142036.48</v>
      </c>
      <c r="M227" s="9" t="n">
        <f aca="false">SUM(M5:M226)</f>
        <v>142036.48</v>
      </c>
      <c r="N227" s="9" t="n">
        <f aca="false">SUM(N5:N226)</f>
        <v>142036.48</v>
      </c>
      <c r="O227" s="9" t="n">
        <f aca="false">SUM(O5:O226)</f>
        <v>142036.48</v>
      </c>
      <c r="P227" s="9" t="n">
        <f aca="false">SUM(P5:P226)</f>
        <v>142036.48</v>
      </c>
      <c r="Q227" s="9" t="n">
        <f aca="false">SUM(Q5:Q226)</f>
        <v>142036.48</v>
      </c>
      <c r="R227" s="9" t="n">
        <f aca="false">SUM(R5:R226)</f>
        <v>142036.48</v>
      </c>
      <c r="S227" s="9" t="n">
        <f aca="false">SUM(S5:S226)</f>
        <v>142036.48</v>
      </c>
      <c r="T227" s="9" t="n">
        <f aca="false">SUM(T5:T226)</f>
        <v>142036.48</v>
      </c>
      <c r="U227" s="9" t="n">
        <f aca="false">SUM(U5:U226)</f>
        <v>77700</v>
      </c>
      <c r="V227" s="9" t="n">
        <f aca="false">SUM(V5:V226)</f>
        <v>13750</v>
      </c>
      <c r="W227" s="9" t="n">
        <f aca="false">SUM(W5:W226)</f>
        <v>91450</v>
      </c>
    </row>
    <row r="228" customFormat="false" ht="15" hidden="false" customHeight="false" outlineLevel="0" collapsed="false">
      <c r="A228" s="4" t="s">
        <v>460</v>
      </c>
      <c r="F228" s="16" t="n">
        <f aca="false">F227-(G227+H227+I227+J227)</f>
        <v>0</v>
      </c>
    </row>
    <row r="229" customFormat="false" ht="15" hidden="false" customHeight="false" outlineLevel="0" collapsed="false">
      <c r="A229" s="4" t="s">
        <v>461</v>
      </c>
      <c r="I229" s="16" t="n">
        <f aca="false">I227-SUM(K227:T227)</f>
        <v>0</v>
      </c>
    </row>
  </sheetData>
  <autoFilter ref="A4:W2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2026-08-28T05:57:12Z</dcterms:created>
  <dc:creator>openpyxl</dc:creator>
  <dc:description/>
  <dc:language>en-US</dc:language>
  <cp:lastModifiedBy/>
  <dcterms:modified xsi:type="dcterms:W3CDTF">2026-08-28T05:57:16Z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